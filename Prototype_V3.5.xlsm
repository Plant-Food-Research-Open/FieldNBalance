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Repos\FieldNBalance\"/>
    </mc:Choice>
  </mc:AlternateContent>
  <xr:revisionPtr revIDLastSave="0" documentId="8_{0E9166A5-A629-428A-8765-8FE762DD8E51}" xr6:coauthVersionLast="47" xr6:coauthVersionMax="47" xr10:uidLastSave="{00000000-0000-0000-0000-000000000000}"/>
  <bookViews>
    <workbookView xWindow="-108" yWindow="-108" windowWidth="23256" windowHeight="12576" xr2:uid="{93020D75-334B-4084-BB65-B04FE3C79197}"/>
  </bookViews>
  <sheets>
    <sheet name="ConceptDemo" sheetId="1" r:id="rId1"/>
    <sheet name="Model Interface" sheetId="3" r:id="rId2"/>
    <sheet name="ListMembers" sheetId="5" r:id="rId3"/>
    <sheet name="CropCoefficients" sheetId="4" r:id="rId4"/>
    <sheet name="Met Data" sheetId="7" r:id="rId5"/>
  </sheets>
  <definedNames>
    <definedName name="Agria">ListMembers!$BB$2:$BB$5</definedName>
    <definedName name="Annual_ryegrass">ListMembers!$AS$2:$AS$10</definedName>
    <definedName name="AWC">ConceptDemo!$D$72</definedName>
    <definedName name="Barley">ListMembers!$AT$2:$AT$10</definedName>
    <definedName name="Bean">ListMembers!$AU$2:$AU$10</definedName>
    <definedName name="Broad_bean">ListMembers!$AV$2:$AV$10</definedName>
    <definedName name="Broccoli">ListMembers!$AW$2:$AW$10</definedName>
    <definedName name="Brussel_sprout">ListMembers!$AX$2:$AX$10</definedName>
    <definedName name="Bulb">ListMembers!$B$8:$H$37</definedName>
    <definedName name="Cabbage">ListMembers!$AY$2:$AY$10</definedName>
    <definedName name="Canola">ListMembers!$AZ$2:$AZ$10</definedName>
    <definedName name="Carrot">ListMembers!$BA$2:$BA$10</definedName>
    <definedName name="Cauliflower">ListMembers!$BB$2:$BB$10</definedName>
    <definedName name="Celery">ListMembers!$BC$2:$BC$10</definedName>
    <definedName name="Chickpea">ListMembers!$BD$2:$BD$10</definedName>
    <definedName name="Choy_sum">ListMembers!$BE$2:$BE$10</definedName>
    <definedName name="Cocksfoot">ListMembers!$BF$2:$BF$10</definedName>
    <definedName name="Coriander">ListMembers!$BG$2:$BG$10</definedName>
    <definedName name="CropCoefficients">CropCoefficients!$A$3:$AG$225</definedName>
    <definedName name="CurrentCropName">ConceptDemo!$D$6</definedName>
    <definedName name="CurrentCropNameFull">ConceptDemo!$D$8</definedName>
    <definedName name="CurrentCropType">ConceptDemo!$D$5</definedName>
    <definedName name="CurrentCropVariety">ConceptDemo!$D$7</definedName>
    <definedName name="CurrentDressingLoss">ConceptDemo!$G$12</definedName>
    <definedName name="CurrentEstablishDate">ConceptDemo!$D$9</definedName>
    <definedName name="CurrentEstablishStage">ConceptDemo!$G$9</definedName>
    <definedName name="CurrentFieldLoss">ConceptDemo!$G$11</definedName>
    <definedName name="CurrentHarvestDate">ConceptDemo!$D$10</definedName>
    <definedName name="CurrentHarvestStage">ConceptDemo!$G$10</definedName>
    <definedName name="CurrentMoistureContent">ConceptDemo!$G$13</definedName>
    <definedName name="CurrentPopulation">ConceptDemo!$D$11</definedName>
    <definedName name="CurrentResidueIncorporation">ConceptDemo!$G$15</definedName>
    <definedName name="CurrentResidueRemoval">ConceptDemo!$G$14</definedName>
    <definedName name="CurrentResidueTreatment">ConceptDemo!$G$14</definedName>
    <definedName name="CurrentUnits">ConceptDemo!$D$13</definedName>
    <definedName name="CurrentYield">ConceptDemo!$D$12</definedName>
    <definedName name="CurrentYield_tperHa">ConceptDemo!$B$14</definedName>
    <definedName name="CurrentYieldHa">ConceptDemo!$B$14</definedName>
    <definedName name="CurrentYieldperArea">ConceptDemo!$B$14</definedName>
    <definedName name="CurrentYieldtHA">ConceptDemo!$B$14</definedName>
    <definedName name="depths">ListMembers!$AE$7:$AF$8</definedName>
    <definedName name="DUL">ConceptDemo!$D$72</definedName>
    <definedName name="Early_harvest">ListMembers!$CS$2:$CS$10</definedName>
    <definedName name="Efficiency">ConceptDemo!$D$71</definedName>
    <definedName name="Fibre">ListMembers!$B$8:$B$37</definedName>
    <definedName name="Fodder">ListMembers!$C$8:$C$37</definedName>
    <definedName name="Fodder_beet">ListMembers!$BH$2:$BH$10</definedName>
    <definedName name="FollowingCropFullName">ConceptDemo!$D$61</definedName>
    <definedName name="FollowingCropName">ConceptDemo!$D$59</definedName>
    <definedName name="FollowingCropType">ConceptDemo!$D$58</definedName>
    <definedName name="FollowingCropVariety">ConceptDemo!$D$60</definedName>
    <definedName name="FollowingDressingLoss">ConceptDemo!$G$59</definedName>
    <definedName name="FollowingEstablishDate">ConceptDemo!$D$62</definedName>
    <definedName name="FollowingEstablishmentDate">ConceptDemo!$D$62</definedName>
    <definedName name="FollowingEstablishStage">ConceptDemo!$G$62</definedName>
    <definedName name="FollowingFieldLoss">ConceptDemo!$G$58</definedName>
    <definedName name="FollowingHarvestDate">ConceptDemo!$D$63</definedName>
    <definedName name="FollowingHarvestStage">ConceptDemo!$G$63</definedName>
    <definedName name="FollowingMoistureLoss">ConceptDemo!$G$60</definedName>
    <definedName name="FollowingPopulation">ConceptDemo!$D$64</definedName>
    <definedName name="FollowingResidueIncorporation">ConceptDemo!$G$66</definedName>
    <definedName name="FollowingResidueRemoval">ConceptDemo!$G$65</definedName>
    <definedName name="FollowingResidueTreatment">ConceptDemo!$G$65</definedName>
    <definedName name="FollowingUnits">ConceptDemo!$D$66</definedName>
    <definedName name="FollowingYIeld">ConceptDemo!$D$65</definedName>
    <definedName name="FollowingYield_tperHa">ConceptDemo!$B$61</definedName>
    <definedName name="FollowingYieldPerArea">ConceptDemo!$B$61</definedName>
    <definedName name="Garlic">ListMembers!$BI$2:$BI$10</definedName>
    <definedName name="General">ListMembers!$AT$2:$CV$2</definedName>
    <definedName name="Grain">ListMembers!$D$8:$D$37</definedName>
    <definedName name="Green_Manure">ListMembers!$E$8:$E$37</definedName>
    <definedName name="GroundStore">ListMembers!$CU$2:$CU$10</definedName>
    <definedName name="Hemp">ListMembers!$BJ$2:$BJ$10</definedName>
    <definedName name="HWEON">ConceptDemo!$D$19</definedName>
    <definedName name="InCropRain">ConceptDemo!$G$5</definedName>
    <definedName name="InitialDate">ConceptDemo!$B$44</definedName>
    <definedName name="InitialN">ConceptDemo!$D$69</definedName>
    <definedName name="Innovator">ListMembers!$BC$2:$BC$5</definedName>
    <definedName name="Irrigation">ConceptDemo!$G$6</definedName>
    <definedName name="Kale">ListMembers!$BK$2:$BK$10</definedName>
    <definedName name="Kumara">ListMembers!$BL$2:$BL$10</definedName>
    <definedName name="Leek">ListMembers!$BM$2:$BM$10</definedName>
    <definedName name="Lentil">ListMembers!$BN$2:$BN$10</definedName>
    <definedName name="Lettuce">ListMembers!$BO$2:$BO$10</definedName>
    <definedName name="Linseed">ListMembers!$BP$2:$BP$10</definedName>
    <definedName name="Location">ConceptDemo!$D$4</definedName>
    <definedName name="Long__Group3">ListMembers!$BI$5:$BI$5</definedName>
    <definedName name="Lupin">ListMembers!$BQ$2:$BQ$10</definedName>
    <definedName name="Maize">ListMembers!$BR$2:$BR$10</definedName>
    <definedName name="Maturity_harvest">ListMembers!$CT$2:$CT$10</definedName>
    <definedName name="Medium__Group2">ListMembers!$BH$5:$BH$5</definedName>
    <definedName name="ModelOutputs">'Model Interface'!$J$7:$V$1000</definedName>
    <definedName name="Moonlight">ListMembers!$BD$2:$BD$5</definedName>
    <definedName name="Mustard">ListMembers!$BS$2:$BS$10</definedName>
    <definedName name="Nadine">ListMembers!$BE$5:$BE$5</definedName>
    <definedName name="Oat">ListMembers!$BT$2:$BT$10</definedName>
    <definedName name="Onion">ListMembers!$BU$2:$BU$10</definedName>
    <definedName name="Pak_choi">ListMembers!$BV$2:$BV$10</definedName>
    <definedName name="Parsnip">ListMembers!$BW$2:$BW$10</definedName>
    <definedName name="Pea">ListMembers!$BX$2:$BX$10</definedName>
    <definedName name="Phacelia">ListMembers!$BY$2:$BY$10</definedName>
    <definedName name="PMN">ConceptDemo!$D$19</definedName>
    <definedName name="PMNtypes">ListMembers!$AC$7:$AC$8</definedName>
    <definedName name="Potato">ListMembers!$H$8:$H$37</definedName>
    <definedName name="PrePlantRain">ConceptDemo!$G$4</definedName>
    <definedName name="PriorCropName">ConceptDemo!$D$48</definedName>
    <definedName name="PriorCropNameFull">ConceptDemo!$D$50</definedName>
    <definedName name="PriorCropType">ConceptDemo!$D$47</definedName>
    <definedName name="PriorCropVariety">ConceptDemo!$D$49</definedName>
    <definedName name="PriorDressingLoss">ConceptDemo!$G$48</definedName>
    <definedName name="PriorEstablishDate">ConceptDemo!$D$51</definedName>
    <definedName name="PriorEstablishStage">ConceptDemo!$G$51</definedName>
    <definedName name="PriorFieldLoss">ConceptDemo!$G$47</definedName>
    <definedName name="PriorHarvestDate">ConceptDemo!$D$52</definedName>
    <definedName name="PriorHarvestStage">ConceptDemo!$G$52</definedName>
    <definedName name="PriorMoistureContent">ConceptDemo!$G$49</definedName>
    <definedName name="PriorPopulation">ConceptDemo!$D$53</definedName>
    <definedName name="PriorResidueIncorporation">ConceptDemo!$G$55</definedName>
    <definedName name="PriorResidueRemoval">ConceptDemo!$G$54</definedName>
    <definedName name="PriorResidueTreatment">ConceptDemo!$G$54</definedName>
    <definedName name="PriorSaleableYield">ConceptDemo!$B$50</definedName>
    <definedName name="PriorUnits">ConceptDemo!$D$55</definedName>
    <definedName name="PriorYield">ConceptDemo!$D$54</definedName>
    <definedName name="PriorYield_tperHa">ConceptDemo!$B$50</definedName>
    <definedName name="PriorYieldPerArea">ConceptDemo!$B$50</definedName>
    <definedName name="Pumpkin">ListMembers!$BZ$2:$BZ$10</definedName>
    <definedName name="Radish">ListMembers!$CA$2:$CA$10</definedName>
    <definedName name="Rape">ListMembers!$CB$2:$CB$10</definedName>
    <definedName name="Red_beet">ListMembers!$CC$2:$CC$10</definedName>
    <definedName name="Rock_melon">ListMembers!$CD$2:$CD$10</definedName>
    <definedName name="Rocks">ConceptDemo!$D$24</definedName>
    <definedName name="RussetBurbank">ListMembers!$BF$5:$BF$5</definedName>
    <definedName name="Rye_corn">ListMembers!$CE$2:$CE$10</definedName>
    <definedName name="Ryegrass">ListMembers!$CF$2:$CF$10</definedName>
    <definedName name="SampleDepth">ConceptDemo!$D$21</definedName>
    <definedName name="Seed">ListMembers!$F$8:$F$37</definedName>
    <definedName name="Short__Group1">ListMembers!$BG$5:$BG$5</definedName>
    <definedName name="Silver_beet">ListMembers!$CG$2:$CG$10</definedName>
    <definedName name="SoilCategory">ConceptDemo!$D$20</definedName>
    <definedName name="SoilOrder">ConceptDemo!$D$22</definedName>
    <definedName name="SoilOrders">ListMembers!$AH$7:$AJ$12</definedName>
    <definedName name="Spinach">ListMembers!$CH$2:$CH$10</definedName>
    <definedName name="Splits">ConceptDemo!$D$25</definedName>
    <definedName name="Spring_onion">ListMembers!$CI$2:$CI$10</definedName>
    <definedName name="Squash">ListMembers!$CJ$2:$CJ$10</definedName>
    <definedName name="StartGraphDate">ConceptDemo!$R$14</definedName>
    <definedName name="StartSchedullingDate">ConceptDemo!$D$44</definedName>
    <definedName name="Sunflower">ListMembers!$CK$2:$CK$10</definedName>
    <definedName name="Swede">ListMembers!$CL$2:$CL$10</definedName>
    <definedName name="Sweetcorn">ListMembers!$CM$2:$CM$10</definedName>
    <definedName name="Teir">ConceptDemo!#REF!</definedName>
    <definedName name="Tomato">ListMembers!$CN$2:$CN$10</definedName>
    <definedName name="Trigger">ConceptDemo!$D$70</definedName>
    <definedName name="Triticale">ListMembers!$CO$2:$CO$10</definedName>
    <definedName name="Tulip">ListMembers!$CP$2:$CP$10</definedName>
    <definedName name="Turnip">ListMembers!$CQ$2:$CQ$10</definedName>
    <definedName name="Vegetable">ListMembers!$G$8:$G$37</definedName>
    <definedName name="Very_Long__Group4">ListMembers!$BJ$5:$BJ$5</definedName>
    <definedName name="Wheat">ListMembers!$CR$2:$CR$10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3" l="1"/>
  <c r="D20" i="1"/>
  <c r="B5" i="3" s="1"/>
  <c r="D24" i="1"/>
  <c r="B8" i="3" s="1"/>
  <c r="D22" i="1"/>
  <c r="B3" i="3" s="1"/>
  <c r="D19" i="1"/>
  <c r="B6" i="3" s="1"/>
  <c r="D21" i="1"/>
  <c r="B4" i="3" s="1"/>
  <c r="D9" i="1"/>
  <c r="D25" i="1"/>
  <c r="B7" i="3" s="1"/>
  <c r="G4" i="1"/>
  <c r="B9" i="3" s="1"/>
  <c r="G5" i="1"/>
  <c r="B10" i="3" s="1"/>
  <c r="G6" i="1"/>
  <c r="B11" i="3" s="1"/>
  <c r="C25" i="1"/>
  <c r="B1" i="1"/>
  <c r="G55" i="1"/>
  <c r="B24" i="3" s="1"/>
  <c r="G66" i="1"/>
  <c r="B50" i="3" s="1"/>
  <c r="G15" i="1"/>
  <c r="B37" i="3" s="1"/>
  <c r="G65" i="1"/>
  <c r="B49" i="3" s="1"/>
  <c r="G54" i="1"/>
  <c r="B23" i="3" s="1"/>
  <c r="G14" i="1"/>
  <c r="B36" i="3" s="1"/>
  <c r="D7" i="1"/>
  <c r="D8" i="1" s="1"/>
  <c r="D47" i="1"/>
  <c r="D48" i="1"/>
  <c r="D49" i="1"/>
  <c r="D59" i="1"/>
  <c r="D58" i="1"/>
  <c r="D60" i="1"/>
  <c r="D10" i="3"/>
  <c r="E10" i="3"/>
  <c r="E9" i="3"/>
  <c r="D9" i="3"/>
  <c r="E8" i="3"/>
  <c r="D8" i="3"/>
  <c r="E7" i="3"/>
  <c r="D7" i="3"/>
  <c r="E6" i="3"/>
  <c r="D6" i="3"/>
  <c r="E5" i="3"/>
  <c r="E4" i="3"/>
  <c r="D4" i="3"/>
  <c r="D3" i="3"/>
  <c r="E14" i="3"/>
  <c r="D16" i="3"/>
  <c r="E16" i="3"/>
  <c r="D17" i="3"/>
  <c r="E17" i="3"/>
  <c r="D18" i="3"/>
  <c r="E18" i="3"/>
  <c r="D19" i="3"/>
  <c r="E19" i="3"/>
  <c r="E15" i="3"/>
  <c r="D15" i="3"/>
  <c r="D12" i="3"/>
  <c r="D13" i="3"/>
  <c r="E13" i="3"/>
  <c r="A1" i="4" a="1"/>
  <c r="H1" i="4" l="1"/>
  <c r="P1" i="4"/>
  <c r="X1" i="4"/>
  <c r="AF1" i="4"/>
  <c r="G2" i="4"/>
  <c r="O2" i="4"/>
  <c r="W2" i="4"/>
  <c r="AE2" i="4"/>
  <c r="F3" i="4"/>
  <c r="N3" i="4"/>
  <c r="V3" i="4"/>
  <c r="AD3" i="4"/>
  <c r="E4" i="4"/>
  <c r="M4" i="4"/>
  <c r="U4" i="4"/>
  <c r="AC4" i="4"/>
  <c r="D5" i="4"/>
  <c r="L5" i="4"/>
  <c r="T5" i="4"/>
  <c r="AB5" i="4"/>
  <c r="C6" i="4"/>
  <c r="K6" i="4"/>
  <c r="S6" i="4"/>
  <c r="AA6" i="4"/>
  <c r="B7" i="4"/>
  <c r="J7" i="4"/>
  <c r="R7" i="4"/>
  <c r="Z7" i="4"/>
  <c r="A8" i="4"/>
  <c r="I8" i="4"/>
  <c r="Q8" i="4"/>
  <c r="Y8" i="4"/>
  <c r="AG8" i="4"/>
  <c r="H9" i="4"/>
  <c r="P9" i="4"/>
  <c r="X9" i="4"/>
  <c r="AF9" i="4"/>
  <c r="G10" i="4"/>
  <c r="O10" i="4"/>
  <c r="W10" i="4"/>
  <c r="AE10" i="4"/>
  <c r="F11" i="4"/>
  <c r="N11" i="4"/>
  <c r="V11" i="4"/>
  <c r="AD11" i="4"/>
  <c r="E12" i="4"/>
  <c r="M12" i="4"/>
  <c r="U12" i="4"/>
  <c r="AC12" i="4"/>
  <c r="D13" i="4"/>
  <c r="L13" i="4"/>
  <c r="T13" i="4"/>
  <c r="AB13" i="4"/>
  <c r="C14" i="4"/>
  <c r="K14" i="4"/>
  <c r="S14" i="4"/>
  <c r="AA14" i="4"/>
  <c r="B15" i="4"/>
  <c r="J15" i="4"/>
  <c r="R15" i="4"/>
  <c r="Z15" i="4"/>
  <c r="A16" i="4"/>
  <c r="I16" i="4"/>
  <c r="Q16" i="4"/>
  <c r="Y16" i="4"/>
  <c r="AG16" i="4"/>
  <c r="H17" i="4"/>
  <c r="P17" i="4"/>
  <c r="X17" i="4"/>
  <c r="AF17" i="4"/>
  <c r="G18" i="4"/>
  <c r="O18" i="4"/>
  <c r="W18" i="4"/>
  <c r="AE18" i="4"/>
  <c r="F19" i="4"/>
  <c r="N19" i="4"/>
  <c r="V19" i="4"/>
  <c r="AD19" i="4"/>
  <c r="E20" i="4"/>
  <c r="M20" i="4"/>
  <c r="U20" i="4"/>
  <c r="AC20" i="4"/>
  <c r="D21" i="4"/>
  <c r="L21" i="4"/>
  <c r="A1" i="4"/>
  <c r="I1" i="4"/>
  <c r="Q1" i="4"/>
  <c r="Y1" i="4"/>
  <c r="AG1" i="4"/>
  <c r="H2" i="4"/>
  <c r="P2" i="4"/>
  <c r="X2" i="4"/>
  <c r="AF2" i="4"/>
  <c r="G3" i="4"/>
  <c r="O3" i="4"/>
  <c r="W3" i="4"/>
  <c r="AE3" i="4"/>
  <c r="F4" i="4"/>
  <c r="N4" i="4"/>
  <c r="V4" i="4"/>
  <c r="AD4" i="4"/>
  <c r="E5" i="4"/>
  <c r="M5" i="4"/>
  <c r="U5" i="4"/>
  <c r="AC5" i="4"/>
  <c r="D6" i="4"/>
  <c r="L6" i="4"/>
  <c r="T6" i="4"/>
  <c r="AB6" i="4"/>
  <c r="C7" i="4"/>
  <c r="K7" i="4"/>
  <c r="S7" i="4"/>
  <c r="AA7" i="4"/>
  <c r="B8" i="4"/>
  <c r="J8" i="4"/>
  <c r="R8" i="4"/>
  <c r="Z8" i="4"/>
  <c r="A9" i="4"/>
  <c r="I9" i="4"/>
  <c r="Q9" i="4"/>
  <c r="Y9" i="4"/>
  <c r="AG9" i="4"/>
  <c r="H10" i="4"/>
  <c r="P10" i="4"/>
  <c r="X10" i="4"/>
  <c r="AF10" i="4"/>
  <c r="G11" i="4"/>
  <c r="O11" i="4"/>
  <c r="W11" i="4"/>
  <c r="AE11" i="4"/>
  <c r="F12" i="4"/>
  <c r="N12" i="4"/>
  <c r="V12" i="4"/>
  <c r="AD12" i="4"/>
  <c r="E13" i="4"/>
  <c r="M13" i="4"/>
  <c r="U13" i="4"/>
  <c r="AC13" i="4"/>
  <c r="D14" i="4"/>
  <c r="L14" i="4"/>
  <c r="T14" i="4"/>
  <c r="AB14" i="4"/>
  <c r="C15" i="4"/>
  <c r="K15" i="4"/>
  <c r="S15" i="4"/>
  <c r="AA15" i="4"/>
  <c r="B16" i="4"/>
  <c r="J16" i="4"/>
  <c r="R16" i="4"/>
  <c r="Z16" i="4"/>
  <c r="A17" i="4"/>
  <c r="I17" i="4"/>
  <c r="Q17" i="4"/>
  <c r="Y17" i="4"/>
  <c r="AG17" i="4"/>
  <c r="H18" i="4"/>
  <c r="P18" i="4"/>
  <c r="X18" i="4"/>
  <c r="AF18" i="4"/>
  <c r="G19" i="4"/>
  <c r="O19" i="4"/>
  <c r="B1" i="4"/>
  <c r="J1" i="4"/>
  <c r="R1" i="4"/>
  <c r="Z1" i="4"/>
  <c r="A2" i="4"/>
  <c r="I2" i="4"/>
  <c r="Q2" i="4"/>
  <c r="Y2" i="4"/>
  <c r="AG2" i="4"/>
  <c r="H3" i="4"/>
  <c r="P3" i="4"/>
  <c r="X3" i="4"/>
  <c r="AF3" i="4"/>
  <c r="G4" i="4"/>
  <c r="O4" i="4"/>
  <c r="W4" i="4"/>
  <c r="AE4" i="4"/>
  <c r="F5" i="4"/>
  <c r="N5" i="4"/>
  <c r="V5" i="4"/>
  <c r="AD5" i="4"/>
  <c r="E6" i="4"/>
  <c r="M6" i="4"/>
  <c r="U6" i="4"/>
  <c r="AC6" i="4"/>
  <c r="D7" i="4"/>
  <c r="L7" i="4"/>
  <c r="T7" i="4"/>
  <c r="AB7" i="4"/>
  <c r="C8" i="4"/>
  <c r="K8" i="4"/>
  <c r="S8" i="4"/>
  <c r="AA8" i="4"/>
  <c r="B9" i="4"/>
  <c r="J9" i="4"/>
  <c r="R9" i="4"/>
  <c r="Z9" i="4"/>
  <c r="A10" i="4"/>
  <c r="I10" i="4"/>
  <c r="Q10" i="4"/>
  <c r="Y10" i="4"/>
  <c r="AG10" i="4"/>
  <c r="H11" i="4"/>
  <c r="P11" i="4"/>
  <c r="X11" i="4"/>
  <c r="AF11" i="4"/>
  <c r="G12" i="4"/>
  <c r="O12" i="4"/>
  <c r="W12" i="4"/>
  <c r="AE12" i="4"/>
  <c r="F13" i="4"/>
  <c r="N13" i="4"/>
  <c r="V13" i="4"/>
  <c r="AD13" i="4"/>
  <c r="E14" i="4"/>
  <c r="M14" i="4"/>
  <c r="U14" i="4"/>
  <c r="AC14" i="4"/>
  <c r="D15" i="4"/>
  <c r="L15" i="4"/>
  <c r="T15" i="4"/>
  <c r="AB15" i="4"/>
  <c r="C16" i="4"/>
  <c r="K16" i="4"/>
  <c r="S16" i="4"/>
  <c r="AA16" i="4"/>
  <c r="B17" i="4"/>
  <c r="J17" i="4"/>
  <c r="R17" i="4"/>
  <c r="Z17" i="4"/>
  <c r="A18" i="4"/>
  <c r="I18" i="4"/>
  <c r="Q18" i="4"/>
  <c r="Y18" i="4"/>
  <c r="AG18" i="4"/>
  <c r="H19" i="4"/>
  <c r="P19" i="4"/>
  <c r="X19" i="4"/>
  <c r="AF19" i="4"/>
  <c r="G20" i="4"/>
  <c r="O20" i="4"/>
  <c r="W20" i="4"/>
  <c r="AE20" i="4"/>
  <c r="F21" i="4"/>
  <c r="N21" i="4"/>
  <c r="C1" i="4"/>
  <c r="K1" i="4"/>
  <c r="S1" i="4"/>
  <c r="AA1" i="4"/>
  <c r="B2" i="4"/>
  <c r="J2" i="4"/>
  <c r="R2" i="4"/>
  <c r="Z2" i="4"/>
  <c r="A3" i="4"/>
  <c r="I3" i="4"/>
  <c r="Q3" i="4"/>
  <c r="Y3" i="4"/>
  <c r="AG3" i="4"/>
  <c r="H4" i="4"/>
  <c r="P4" i="4"/>
  <c r="X4" i="4"/>
  <c r="AF4" i="4"/>
  <c r="G5" i="4"/>
  <c r="O5" i="4"/>
  <c r="W5" i="4"/>
  <c r="AE5" i="4"/>
  <c r="F6" i="4"/>
  <c r="N6" i="4"/>
  <c r="V6" i="4"/>
  <c r="AD6" i="4"/>
  <c r="E7" i="4"/>
  <c r="M7" i="4"/>
  <c r="U7" i="4"/>
  <c r="AC7" i="4"/>
  <c r="D8" i="4"/>
  <c r="L8" i="4"/>
  <c r="T8" i="4"/>
  <c r="AB8" i="4"/>
  <c r="C9" i="4"/>
  <c r="K9" i="4"/>
  <c r="S9" i="4"/>
  <c r="AA9" i="4"/>
  <c r="B10" i="4"/>
  <c r="J10" i="4"/>
  <c r="R10" i="4"/>
  <c r="Z10" i="4"/>
  <c r="A11" i="4"/>
  <c r="I11" i="4"/>
  <c r="Q11" i="4"/>
  <c r="Y11" i="4"/>
  <c r="AG11" i="4"/>
  <c r="H12" i="4"/>
  <c r="P12" i="4"/>
  <c r="X12" i="4"/>
  <c r="AF12" i="4"/>
  <c r="G13" i="4"/>
  <c r="O13" i="4"/>
  <c r="W13" i="4"/>
  <c r="AE13" i="4"/>
  <c r="F14" i="4"/>
  <c r="N14" i="4"/>
  <c r="V14" i="4"/>
  <c r="AD14" i="4"/>
  <c r="E15" i="4"/>
  <c r="M15" i="4"/>
  <c r="U15" i="4"/>
  <c r="AC15" i="4"/>
  <c r="D16" i="4"/>
  <c r="L16" i="4"/>
  <c r="T16" i="4"/>
  <c r="AB16" i="4"/>
  <c r="C17" i="4"/>
  <c r="K17" i="4"/>
  <c r="S17" i="4"/>
  <c r="AA17" i="4"/>
  <c r="B18" i="4"/>
  <c r="J18" i="4"/>
  <c r="R18" i="4"/>
  <c r="Z18" i="4"/>
  <c r="A19" i="4"/>
  <c r="I19" i="4"/>
  <c r="Q19" i="4"/>
  <c r="Y19" i="4"/>
  <c r="AG19" i="4"/>
  <c r="H20" i="4"/>
  <c r="P20" i="4"/>
  <c r="X20" i="4"/>
  <c r="AF20" i="4"/>
  <c r="G21" i="4"/>
  <c r="O21" i="4"/>
  <c r="D1" i="4"/>
  <c r="L1" i="4"/>
  <c r="T1" i="4"/>
  <c r="AB1" i="4"/>
  <c r="C2" i="4"/>
  <c r="K2" i="4"/>
  <c r="S2" i="4"/>
  <c r="AA2" i="4"/>
  <c r="B3" i="4"/>
  <c r="J3" i="4"/>
  <c r="R3" i="4"/>
  <c r="Z3" i="4"/>
  <c r="A4" i="4"/>
  <c r="G9" i="1" s="1"/>
  <c r="I4" i="4"/>
  <c r="Q4" i="4"/>
  <c r="Y4" i="4"/>
  <c r="AG4" i="4"/>
  <c r="H5" i="4"/>
  <c r="P5" i="4"/>
  <c r="X5" i="4"/>
  <c r="AF5" i="4"/>
  <c r="G6" i="4"/>
  <c r="O6" i="4"/>
  <c r="W6" i="4"/>
  <c r="AE6" i="4"/>
  <c r="F7" i="4"/>
  <c r="N7" i="4"/>
  <c r="V7" i="4"/>
  <c r="AD7" i="4"/>
  <c r="E8" i="4"/>
  <c r="M8" i="4"/>
  <c r="U8" i="4"/>
  <c r="AC8" i="4"/>
  <c r="D9" i="4"/>
  <c r="L9" i="4"/>
  <c r="T9" i="4"/>
  <c r="AB9" i="4"/>
  <c r="C10" i="4"/>
  <c r="K10" i="4"/>
  <c r="S10" i="4"/>
  <c r="AA10" i="4"/>
  <c r="B11" i="4"/>
  <c r="J11" i="4"/>
  <c r="R11" i="4"/>
  <c r="Z11" i="4"/>
  <c r="A12" i="4"/>
  <c r="I12" i="4"/>
  <c r="Q12" i="4"/>
  <c r="Y12" i="4"/>
  <c r="AG12" i="4"/>
  <c r="H13" i="4"/>
  <c r="P13" i="4"/>
  <c r="X13" i="4"/>
  <c r="AF13" i="4"/>
  <c r="G14" i="4"/>
  <c r="O14" i="4"/>
  <c r="W14" i="4"/>
  <c r="AE14" i="4"/>
  <c r="F15" i="4"/>
  <c r="N15" i="4"/>
  <c r="V15" i="4"/>
  <c r="AD15" i="4"/>
  <c r="E16" i="4"/>
  <c r="M16" i="4"/>
  <c r="U16" i="4"/>
  <c r="AC16" i="4"/>
  <c r="D17" i="4"/>
  <c r="L17" i="4"/>
  <c r="T17" i="4"/>
  <c r="AB17" i="4"/>
  <c r="C18" i="4"/>
  <c r="K18" i="4"/>
  <c r="S18" i="4"/>
  <c r="AA18" i="4"/>
  <c r="B19" i="4"/>
  <c r="J19" i="4"/>
  <c r="R19" i="4"/>
  <c r="Z19" i="4"/>
  <c r="A20" i="4"/>
  <c r="I20" i="4"/>
  <c r="Q20" i="4"/>
  <c r="Y20" i="4"/>
  <c r="E1" i="4"/>
  <c r="M1" i="4"/>
  <c r="U1" i="4"/>
  <c r="AC1" i="4"/>
  <c r="D2" i="4"/>
  <c r="L2" i="4"/>
  <c r="T2" i="4"/>
  <c r="AB2" i="4"/>
  <c r="C3" i="4"/>
  <c r="K3" i="4"/>
  <c r="S3" i="4"/>
  <c r="AA3" i="4"/>
  <c r="B4" i="4"/>
  <c r="J4" i="4"/>
  <c r="R4" i="4"/>
  <c r="Z4" i="4"/>
  <c r="A5" i="4"/>
  <c r="I5" i="4"/>
  <c r="Q5" i="4"/>
  <c r="Y5" i="4"/>
  <c r="AG5" i="4"/>
  <c r="H6" i="4"/>
  <c r="P6" i="4"/>
  <c r="X6" i="4"/>
  <c r="AF6" i="4"/>
  <c r="G7" i="4"/>
  <c r="O7" i="4"/>
  <c r="W7" i="4"/>
  <c r="AE7" i="4"/>
  <c r="F8" i="4"/>
  <c r="N8" i="4"/>
  <c r="V8" i="4"/>
  <c r="AD8" i="4"/>
  <c r="E9" i="4"/>
  <c r="M9" i="4"/>
  <c r="U9" i="4"/>
  <c r="AC9" i="4"/>
  <c r="D10" i="4"/>
  <c r="L10" i="4"/>
  <c r="T10" i="4"/>
  <c r="AB10" i="4"/>
  <c r="C11" i="4"/>
  <c r="K11" i="4"/>
  <c r="S11" i="4"/>
  <c r="AA11" i="4"/>
  <c r="B12" i="4"/>
  <c r="J12" i="4"/>
  <c r="R12" i="4"/>
  <c r="Z12" i="4"/>
  <c r="A13" i="4"/>
  <c r="I13" i="4"/>
  <c r="Q13" i="4"/>
  <c r="Y13" i="4"/>
  <c r="AG13" i="4"/>
  <c r="H14" i="4"/>
  <c r="P14" i="4"/>
  <c r="X14" i="4"/>
  <c r="AF14" i="4"/>
  <c r="G15" i="4"/>
  <c r="O15" i="4"/>
  <c r="W15" i="4"/>
  <c r="AE15" i="4"/>
  <c r="F16" i="4"/>
  <c r="N16" i="4"/>
  <c r="V16" i="4"/>
  <c r="AD16" i="4"/>
  <c r="E17" i="4"/>
  <c r="M17" i="4"/>
  <c r="U17" i="4"/>
  <c r="AC17" i="4"/>
  <c r="D18" i="4"/>
  <c r="L18" i="4"/>
  <c r="T18" i="4"/>
  <c r="AB18" i="4"/>
  <c r="C19" i="4"/>
  <c r="K19" i="4"/>
  <c r="S19" i="4"/>
  <c r="F1" i="4"/>
  <c r="N1" i="4"/>
  <c r="V1" i="4"/>
  <c r="AD1" i="4"/>
  <c r="E2" i="4"/>
  <c r="M2" i="4"/>
  <c r="U2" i="4"/>
  <c r="AC2" i="4"/>
  <c r="D3" i="4"/>
  <c r="L3" i="4"/>
  <c r="T3" i="4"/>
  <c r="AB3" i="4"/>
  <c r="C4" i="4"/>
  <c r="K4" i="4"/>
  <c r="S4" i="4"/>
  <c r="AA4" i="4"/>
  <c r="B5" i="4"/>
  <c r="J5" i="4"/>
  <c r="R5" i="4"/>
  <c r="Z5" i="4"/>
  <c r="A6" i="4"/>
  <c r="I6" i="4"/>
  <c r="Q6" i="4"/>
  <c r="Y6" i="4"/>
  <c r="AG6" i="4"/>
  <c r="H7" i="4"/>
  <c r="P7" i="4"/>
  <c r="X7" i="4"/>
  <c r="AF7" i="4"/>
  <c r="G8" i="4"/>
  <c r="O8" i="4"/>
  <c r="W8" i="4"/>
  <c r="AE8" i="4"/>
  <c r="F9" i="4"/>
  <c r="N9" i="4"/>
  <c r="V9" i="4"/>
  <c r="AD9" i="4"/>
  <c r="E10" i="4"/>
  <c r="M10" i="4"/>
  <c r="U10" i="4"/>
  <c r="AC10" i="4"/>
  <c r="D11" i="4"/>
  <c r="L11" i="4"/>
  <c r="T11" i="4"/>
  <c r="AB11" i="4"/>
  <c r="C12" i="4"/>
  <c r="K12" i="4"/>
  <c r="S12" i="4"/>
  <c r="AA12" i="4"/>
  <c r="B13" i="4"/>
  <c r="J13" i="4"/>
  <c r="R13" i="4"/>
  <c r="Z13" i="4"/>
  <c r="A14" i="4"/>
  <c r="I14" i="4"/>
  <c r="Q14" i="4"/>
  <c r="Y14" i="4"/>
  <c r="AG14" i="4"/>
  <c r="H15" i="4"/>
  <c r="P15" i="4"/>
  <c r="G1" i="4"/>
  <c r="O1" i="4"/>
  <c r="W1" i="4"/>
  <c r="AE1" i="4"/>
  <c r="F2" i="4"/>
  <c r="N2" i="4"/>
  <c r="V2" i="4"/>
  <c r="AD2" i="4"/>
  <c r="E3" i="4"/>
  <c r="M3" i="4"/>
  <c r="U3" i="4"/>
  <c r="AC3" i="4"/>
  <c r="D4" i="4"/>
  <c r="L4" i="4"/>
  <c r="T4" i="4"/>
  <c r="AB4" i="4"/>
  <c r="C5" i="4"/>
  <c r="K5" i="4"/>
  <c r="S5" i="4"/>
  <c r="AA5" i="4"/>
  <c r="B6" i="4"/>
  <c r="J6" i="4"/>
  <c r="R6" i="4"/>
  <c r="Z6" i="4"/>
  <c r="A7" i="4"/>
  <c r="I7" i="4"/>
  <c r="Q7" i="4"/>
  <c r="Y7" i="4"/>
  <c r="AG7" i="4"/>
  <c r="H8" i="4"/>
  <c r="P8" i="4"/>
  <c r="X8" i="4"/>
  <c r="AF8" i="4"/>
  <c r="G9" i="4"/>
  <c r="O9" i="4"/>
  <c r="W9" i="4"/>
  <c r="AE9" i="4"/>
  <c r="F10" i="4"/>
  <c r="N10" i="4"/>
  <c r="V10" i="4"/>
  <c r="AD10" i="4"/>
  <c r="E11" i="4"/>
  <c r="M11" i="4"/>
  <c r="U11" i="4"/>
  <c r="AC11" i="4"/>
  <c r="D12" i="4"/>
  <c r="L12" i="4"/>
  <c r="T12" i="4"/>
  <c r="AB12" i="4"/>
  <c r="C13" i="4"/>
  <c r="K13" i="4"/>
  <c r="S13" i="4"/>
  <c r="AA13" i="4"/>
  <c r="B14" i="4"/>
  <c r="J14" i="4"/>
  <c r="R14" i="4"/>
  <c r="Z14" i="4"/>
  <c r="A15" i="4"/>
  <c r="I15" i="4"/>
  <c r="Q15" i="4"/>
  <c r="Y15" i="4"/>
  <c r="AG15" i="4"/>
  <c r="H16" i="4"/>
  <c r="P16" i="4"/>
  <c r="X16" i="4"/>
  <c r="AF16" i="4"/>
  <c r="G17" i="4"/>
  <c r="O17" i="4"/>
  <c r="W17" i="4"/>
  <c r="AE17" i="4"/>
  <c r="F18" i="4"/>
  <c r="N18" i="4"/>
  <c r="V18" i="4"/>
  <c r="AD18" i="4"/>
  <c r="E19" i="4"/>
  <c r="M19" i="4"/>
  <c r="U19" i="4"/>
  <c r="AC19" i="4"/>
  <c r="D20" i="4"/>
  <c r="L20" i="4"/>
  <c r="T20" i="4"/>
  <c r="AB20" i="4"/>
  <c r="C21" i="4"/>
  <c r="AF15" i="4"/>
  <c r="AD17" i="4"/>
  <c r="W19" i="4"/>
  <c r="K20" i="4"/>
  <c r="AG20" i="4"/>
  <c r="M21" i="4"/>
  <c r="W21" i="4"/>
  <c r="AE21" i="4"/>
  <c r="F22" i="4"/>
  <c r="N22" i="4"/>
  <c r="V22" i="4"/>
  <c r="AD22" i="4"/>
  <c r="E23" i="4"/>
  <c r="M23" i="4"/>
  <c r="U23" i="4"/>
  <c r="AC23" i="4"/>
  <c r="D24" i="4"/>
  <c r="L24" i="4"/>
  <c r="T24" i="4"/>
  <c r="AB24" i="4"/>
  <c r="C25" i="4"/>
  <c r="K25" i="4"/>
  <c r="S25" i="4"/>
  <c r="AA25" i="4"/>
  <c r="B26" i="4"/>
  <c r="J26" i="4"/>
  <c r="R26" i="4"/>
  <c r="Z26" i="4"/>
  <c r="A27" i="4"/>
  <c r="I27" i="4"/>
  <c r="Q27" i="4"/>
  <c r="Y27" i="4"/>
  <c r="AG27" i="4"/>
  <c r="H28" i="4"/>
  <c r="P28" i="4"/>
  <c r="X28" i="4"/>
  <c r="AF28" i="4"/>
  <c r="G29" i="4"/>
  <c r="O29" i="4"/>
  <c r="W29" i="4"/>
  <c r="AE29" i="4"/>
  <c r="F30" i="4"/>
  <c r="N30" i="4"/>
  <c r="V30" i="4"/>
  <c r="AD30" i="4"/>
  <c r="E31" i="4"/>
  <c r="M31" i="4"/>
  <c r="U31" i="4"/>
  <c r="AC31" i="4"/>
  <c r="D32" i="4"/>
  <c r="L32" i="4"/>
  <c r="T32" i="4"/>
  <c r="AB32" i="4"/>
  <c r="C33" i="4"/>
  <c r="K33" i="4"/>
  <c r="S33" i="4"/>
  <c r="AA33" i="4"/>
  <c r="B34" i="4"/>
  <c r="J34" i="4"/>
  <c r="R34" i="4"/>
  <c r="Z34" i="4"/>
  <c r="A35" i="4"/>
  <c r="I35" i="4"/>
  <c r="Q35" i="4"/>
  <c r="Y35" i="4"/>
  <c r="AG35" i="4"/>
  <c r="H36" i="4"/>
  <c r="P36" i="4"/>
  <c r="X36" i="4"/>
  <c r="AF36" i="4"/>
  <c r="G37" i="4"/>
  <c r="O37" i="4"/>
  <c r="W37" i="4"/>
  <c r="AE37" i="4"/>
  <c r="F38" i="4"/>
  <c r="N38" i="4"/>
  <c r="V38" i="4"/>
  <c r="AD38" i="4"/>
  <c r="E39" i="4"/>
  <c r="M39" i="4"/>
  <c r="U39" i="4"/>
  <c r="AC39" i="4"/>
  <c r="D40" i="4"/>
  <c r="L40" i="4"/>
  <c r="T40" i="4"/>
  <c r="G16" i="4"/>
  <c r="E18" i="4"/>
  <c r="AA19" i="4"/>
  <c r="N20" i="4"/>
  <c r="A21" i="4"/>
  <c r="P21" i="4"/>
  <c r="X21" i="4"/>
  <c r="AF21" i="4"/>
  <c r="G22" i="4"/>
  <c r="O22" i="4"/>
  <c r="W22" i="4"/>
  <c r="AE22" i="4"/>
  <c r="F23" i="4"/>
  <c r="N23" i="4"/>
  <c r="V23" i="4"/>
  <c r="AD23" i="4"/>
  <c r="E24" i="4"/>
  <c r="M24" i="4"/>
  <c r="U24" i="4"/>
  <c r="AC24" i="4"/>
  <c r="D25" i="4"/>
  <c r="L25" i="4"/>
  <c r="T25" i="4"/>
  <c r="AB25" i="4"/>
  <c r="C26" i="4"/>
  <c r="K26" i="4"/>
  <c r="S26" i="4"/>
  <c r="AA26" i="4"/>
  <c r="B27" i="4"/>
  <c r="J27" i="4"/>
  <c r="R27" i="4"/>
  <c r="Z27" i="4"/>
  <c r="A28" i="4"/>
  <c r="I28" i="4"/>
  <c r="Q28" i="4"/>
  <c r="Y28" i="4"/>
  <c r="AG28" i="4"/>
  <c r="H29" i="4"/>
  <c r="P29" i="4"/>
  <c r="X29" i="4"/>
  <c r="AF29" i="4"/>
  <c r="G30" i="4"/>
  <c r="O30" i="4"/>
  <c r="W30" i="4"/>
  <c r="AE30" i="4"/>
  <c r="F31" i="4"/>
  <c r="N31" i="4"/>
  <c r="V31" i="4"/>
  <c r="AD31" i="4"/>
  <c r="E32" i="4"/>
  <c r="M32" i="4"/>
  <c r="U32" i="4"/>
  <c r="AC32" i="4"/>
  <c r="D33" i="4"/>
  <c r="L33" i="4"/>
  <c r="T33" i="4"/>
  <c r="AB33" i="4"/>
  <c r="C34" i="4"/>
  <c r="K34" i="4"/>
  <c r="S34" i="4"/>
  <c r="AA34" i="4"/>
  <c r="B35" i="4"/>
  <c r="J35" i="4"/>
  <c r="R35" i="4"/>
  <c r="Z35" i="4"/>
  <c r="A36" i="4"/>
  <c r="I36" i="4"/>
  <c r="Q36" i="4"/>
  <c r="Y36" i="4"/>
  <c r="AG36" i="4"/>
  <c r="H37" i="4"/>
  <c r="P37" i="4"/>
  <c r="X37" i="4"/>
  <c r="AF37" i="4"/>
  <c r="G38" i="4"/>
  <c r="O38" i="4"/>
  <c r="W38" i="4"/>
  <c r="AE38" i="4"/>
  <c r="F39" i="4"/>
  <c r="N39" i="4"/>
  <c r="V39" i="4"/>
  <c r="AD39" i="4"/>
  <c r="E40" i="4"/>
  <c r="M40" i="4"/>
  <c r="U40" i="4"/>
  <c r="AC40" i="4"/>
  <c r="D41" i="4"/>
  <c r="O16" i="4"/>
  <c r="M18" i="4"/>
  <c r="AB19" i="4"/>
  <c r="R20" i="4"/>
  <c r="B21" i="4"/>
  <c r="Q21" i="4"/>
  <c r="Y21" i="4"/>
  <c r="AG21" i="4"/>
  <c r="H22" i="4"/>
  <c r="P22" i="4"/>
  <c r="X22" i="4"/>
  <c r="AF22" i="4"/>
  <c r="G23" i="4"/>
  <c r="O23" i="4"/>
  <c r="W23" i="4"/>
  <c r="AE23" i="4"/>
  <c r="F24" i="4"/>
  <c r="N24" i="4"/>
  <c r="V24" i="4"/>
  <c r="AD24" i="4"/>
  <c r="E25" i="4"/>
  <c r="M25" i="4"/>
  <c r="U25" i="4"/>
  <c r="AC25" i="4"/>
  <c r="D26" i="4"/>
  <c r="L26" i="4"/>
  <c r="T26" i="4"/>
  <c r="AB26" i="4"/>
  <c r="C27" i="4"/>
  <c r="K27" i="4"/>
  <c r="S27" i="4"/>
  <c r="AA27" i="4"/>
  <c r="B28" i="4"/>
  <c r="J28" i="4"/>
  <c r="R28" i="4"/>
  <c r="Z28" i="4"/>
  <c r="A29" i="4"/>
  <c r="I29" i="4"/>
  <c r="Q29" i="4"/>
  <c r="Y29" i="4"/>
  <c r="AG29" i="4"/>
  <c r="AE16" i="4"/>
  <c r="AC18" i="4"/>
  <c r="B20" i="4"/>
  <c r="V20" i="4"/>
  <c r="H21" i="4"/>
  <c r="S21" i="4"/>
  <c r="AA21" i="4"/>
  <c r="B22" i="4"/>
  <c r="J22" i="4"/>
  <c r="R22" i="4"/>
  <c r="Z22" i="4"/>
  <c r="A23" i="4"/>
  <c r="I23" i="4"/>
  <c r="Q23" i="4"/>
  <c r="Y23" i="4"/>
  <c r="AG23" i="4"/>
  <c r="H24" i="4"/>
  <c r="P24" i="4"/>
  <c r="F17" i="4"/>
  <c r="D19" i="4"/>
  <c r="C20" i="4"/>
  <c r="Z20" i="4"/>
  <c r="I21" i="4"/>
  <c r="T21" i="4"/>
  <c r="AB21" i="4"/>
  <c r="C22" i="4"/>
  <c r="K22" i="4"/>
  <c r="S22" i="4"/>
  <c r="AA22" i="4"/>
  <c r="B23" i="4"/>
  <c r="J23" i="4"/>
  <c r="R23" i="4"/>
  <c r="Z23" i="4"/>
  <c r="A24" i="4"/>
  <c r="N17" i="4"/>
  <c r="L19" i="4"/>
  <c r="F20" i="4"/>
  <c r="AA20" i="4"/>
  <c r="J21" i="4"/>
  <c r="U21" i="4"/>
  <c r="AC21" i="4"/>
  <c r="D22" i="4"/>
  <c r="L22" i="4"/>
  <c r="T22" i="4"/>
  <c r="AB22" i="4"/>
  <c r="C23" i="4"/>
  <c r="K23" i="4"/>
  <c r="S23" i="4"/>
  <c r="V17" i="4"/>
  <c r="K21" i="4"/>
  <c r="M22" i="4"/>
  <c r="L23" i="4"/>
  <c r="C24" i="4"/>
  <c r="S24" i="4"/>
  <c r="AG24" i="4"/>
  <c r="N25" i="4"/>
  <c r="Y25" i="4"/>
  <c r="F26" i="4"/>
  <c r="Q26" i="4"/>
  <c r="AE26" i="4"/>
  <c r="L27" i="4"/>
  <c r="W27" i="4"/>
  <c r="D28" i="4"/>
  <c r="O28" i="4"/>
  <c r="AC28" i="4"/>
  <c r="J29" i="4"/>
  <c r="U29" i="4"/>
  <c r="B30" i="4"/>
  <c r="L30" i="4"/>
  <c r="X30" i="4"/>
  <c r="A31" i="4"/>
  <c r="K31" i="4"/>
  <c r="W31" i="4"/>
  <c r="AG31" i="4"/>
  <c r="J32" i="4"/>
  <c r="V32" i="4"/>
  <c r="AF32" i="4"/>
  <c r="I33" i="4"/>
  <c r="U33" i="4"/>
  <c r="AE33" i="4"/>
  <c r="H34" i="4"/>
  <c r="T34" i="4"/>
  <c r="AD34" i="4"/>
  <c r="G35" i="4"/>
  <c r="S35" i="4"/>
  <c r="AC35" i="4"/>
  <c r="F36" i="4"/>
  <c r="R36" i="4"/>
  <c r="AB36" i="4"/>
  <c r="E37" i="4"/>
  <c r="Q37" i="4"/>
  <c r="AA37" i="4"/>
  <c r="D38" i="4"/>
  <c r="P38" i="4"/>
  <c r="Z38" i="4"/>
  <c r="C39" i="4"/>
  <c r="O39" i="4"/>
  <c r="Y39" i="4"/>
  <c r="B40" i="4"/>
  <c r="N40" i="4"/>
  <c r="X40" i="4"/>
  <c r="AG40" i="4"/>
  <c r="I41" i="4"/>
  <c r="Q41" i="4"/>
  <c r="Y41" i="4"/>
  <c r="AG41" i="4"/>
  <c r="H42" i="4"/>
  <c r="P42" i="4"/>
  <c r="X42" i="4"/>
  <c r="AF42" i="4"/>
  <c r="G43" i="4"/>
  <c r="O43" i="4"/>
  <c r="W43" i="4"/>
  <c r="AE43" i="4"/>
  <c r="F44" i="4"/>
  <c r="N44" i="4"/>
  <c r="V44" i="4"/>
  <c r="AD44" i="4"/>
  <c r="E45" i="4"/>
  <c r="M45" i="4"/>
  <c r="U45" i="4"/>
  <c r="AC45" i="4"/>
  <c r="D46" i="4"/>
  <c r="L46" i="4"/>
  <c r="T46" i="4"/>
  <c r="AB46" i="4"/>
  <c r="C47" i="4"/>
  <c r="K47" i="4"/>
  <c r="S47" i="4"/>
  <c r="AA47" i="4"/>
  <c r="B48" i="4"/>
  <c r="J48" i="4"/>
  <c r="R48" i="4"/>
  <c r="Z48" i="4"/>
  <c r="A49" i="4"/>
  <c r="I49" i="4"/>
  <c r="Q49" i="4"/>
  <c r="Y49" i="4"/>
  <c r="AG49" i="4"/>
  <c r="H50" i="4"/>
  <c r="P50" i="4"/>
  <c r="X50" i="4"/>
  <c r="AF50" i="4"/>
  <c r="G51" i="4"/>
  <c r="O51" i="4"/>
  <c r="W51" i="4"/>
  <c r="AE51" i="4"/>
  <c r="F52" i="4"/>
  <c r="N52" i="4"/>
  <c r="V52" i="4"/>
  <c r="AD52" i="4"/>
  <c r="E53" i="4"/>
  <c r="M53" i="4"/>
  <c r="U53" i="4"/>
  <c r="AC53" i="4"/>
  <c r="D54" i="4"/>
  <c r="L54" i="4"/>
  <c r="T54" i="4"/>
  <c r="AB54" i="4"/>
  <c r="C55" i="4"/>
  <c r="K55" i="4"/>
  <c r="S55" i="4"/>
  <c r="AA55" i="4"/>
  <c r="B56" i="4"/>
  <c r="J56" i="4"/>
  <c r="R56" i="4"/>
  <c r="Z56" i="4"/>
  <c r="A57" i="4"/>
  <c r="I57" i="4"/>
  <c r="Q57" i="4"/>
  <c r="Y57" i="4"/>
  <c r="AG57" i="4"/>
  <c r="H58" i="4"/>
  <c r="P58" i="4"/>
  <c r="X58" i="4"/>
  <c r="AF58" i="4"/>
  <c r="G59" i="4"/>
  <c r="O59" i="4"/>
  <c r="W59" i="4"/>
  <c r="AE59" i="4"/>
  <c r="F60" i="4"/>
  <c r="N60" i="4"/>
  <c r="V60" i="4"/>
  <c r="AD60" i="4"/>
  <c r="E61" i="4"/>
  <c r="M61" i="4"/>
  <c r="U61" i="4"/>
  <c r="AC61" i="4"/>
  <c r="D62" i="4"/>
  <c r="L62" i="4"/>
  <c r="T62" i="4"/>
  <c r="AB62" i="4"/>
  <c r="C63" i="4"/>
  <c r="K63" i="4"/>
  <c r="S63" i="4"/>
  <c r="AA63" i="4"/>
  <c r="B64" i="4"/>
  <c r="J64" i="4"/>
  <c r="R64" i="4"/>
  <c r="Z64" i="4"/>
  <c r="A65" i="4"/>
  <c r="I65" i="4"/>
  <c r="Q65" i="4"/>
  <c r="AE19" i="4"/>
  <c r="Z21" i="4"/>
  <c r="Y22" i="4"/>
  <c r="X23" i="4"/>
  <c r="J24" i="4"/>
  <c r="Y24" i="4"/>
  <c r="F25" i="4"/>
  <c r="Q25" i="4"/>
  <c r="AE25" i="4"/>
  <c r="I26" i="4"/>
  <c r="W26" i="4"/>
  <c r="D27" i="4"/>
  <c r="O27" i="4"/>
  <c r="AC27" i="4"/>
  <c r="G28" i="4"/>
  <c r="U28" i="4"/>
  <c r="B29" i="4"/>
  <c r="M29" i="4"/>
  <c r="AA29" i="4"/>
  <c r="E30" i="4"/>
  <c r="Q30" i="4"/>
  <c r="AA30" i="4"/>
  <c r="D31" i="4"/>
  <c r="P31" i="4"/>
  <c r="Z31" i="4"/>
  <c r="C32" i="4"/>
  <c r="O32" i="4"/>
  <c r="Y32" i="4"/>
  <c r="B33" i="4"/>
  <c r="N33" i="4"/>
  <c r="X33" i="4"/>
  <c r="A34" i="4"/>
  <c r="M34" i="4"/>
  <c r="W34" i="4"/>
  <c r="AG34" i="4"/>
  <c r="L35" i="4"/>
  <c r="V35" i="4"/>
  <c r="AF35" i="4"/>
  <c r="K36" i="4"/>
  <c r="U36" i="4"/>
  <c r="AE36" i="4"/>
  <c r="J37" i="4"/>
  <c r="T37" i="4"/>
  <c r="AD37" i="4"/>
  <c r="I38" i="4"/>
  <c r="S38" i="4"/>
  <c r="AC38" i="4"/>
  <c r="H39" i="4"/>
  <c r="R39" i="4"/>
  <c r="AB39" i="4"/>
  <c r="G40" i="4"/>
  <c r="Q40" i="4"/>
  <c r="AA40" i="4"/>
  <c r="C41" i="4"/>
  <c r="L41" i="4"/>
  <c r="T41" i="4"/>
  <c r="AB41" i="4"/>
  <c r="C42" i="4"/>
  <c r="K42" i="4"/>
  <c r="S42" i="4"/>
  <c r="AA42" i="4"/>
  <c r="B43" i="4"/>
  <c r="J43" i="4"/>
  <c r="R43" i="4"/>
  <c r="Z43" i="4"/>
  <c r="A44" i="4"/>
  <c r="I44" i="4"/>
  <c r="Q44" i="4"/>
  <c r="Y44" i="4"/>
  <c r="AG44" i="4"/>
  <c r="H45" i="4"/>
  <c r="P45" i="4"/>
  <c r="X45" i="4"/>
  <c r="AF45" i="4"/>
  <c r="G46" i="4"/>
  <c r="O46" i="4"/>
  <c r="W46" i="4"/>
  <c r="AE46" i="4"/>
  <c r="F47" i="4"/>
  <c r="N47" i="4"/>
  <c r="V47" i="4"/>
  <c r="AD47" i="4"/>
  <c r="E48" i="4"/>
  <c r="M48" i="4"/>
  <c r="U48" i="4"/>
  <c r="J20" i="4"/>
  <c r="AD21" i="4"/>
  <c r="AC22" i="4"/>
  <c r="AA23" i="4"/>
  <c r="K24" i="4"/>
  <c r="Z24" i="4"/>
  <c r="G25" i="4"/>
  <c r="R25" i="4"/>
  <c r="AF25" i="4"/>
  <c r="M26" i="4"/>
  <c r="X26" i="4"/>
  <c r="E27" i="4"/>
  <c r="P27" i="4"/>
  <c r="AD27" i="4"/>
  <c r="K28" i="4"/>
  <c r="V28" i="4"/>
  <c r="C29" i="4"/>
  <c r="N29" i="4"/>
  <c r="AB29" i="4"/>
  <c r="H30" i="4"/>
  <c r="R30" i="4"/>
  <c r="AB30" i="4"/>
  <c r="G31" i="4"/>
  <c r="Q31" i="4"/>
  <c r="AA31" i="4"/>
  <c r="F32" i="4"/>
  <c r="P32" i="4"/>
  <c r="Z32" i="4"/>
  <c r="E33" i="4"/>
  <c r="O33" i="4"/>
  <c r="Y33" i="4"/>
  <c r="D34" i="4"/>
  <c r="N34" i="4"/>
  <c r="X34" i="4"/>
  <c r="C35" i="4"/>
  <c r="M35" i="4"/>
  <c r="W35" i="4"/>
  <c r="B36" i="4"/>
  <c r="L36" i="4"/>
  <c r="V36" i="4"/>
  <c r="A37" i="4"/>
  <c r="K37" i="4"/>
  <c r="U37" i="4"/>
  <c r="AG37" i="4"/>
  <c r="J38" i="4"/>
  <c r="T38" i="4"/>
  <c r="AF38" i="4"/>
  <c r="I39" i="4"/>
  <c r="S39" i="4"/>
  <c r="AE39" i="4"/>
  <c r="H40" i="4"/>
  <c r="R40" i="4"/>
  <c r="AB40" i="4"/>
  <c r="E41" i="4"/>
  <c r="M41" i="4"/>
  <c r="U41" i="4"/>
  <c r="AC41" i="4"/>
  <c r="D42" i="4"/>
  <c r="L42" i="4"/>
  <c r="T42" i="4"/>
  <c r="AB42" i="4"/>
  <c r="C43" i="4"/>
  <c r="K43" i="4"/>
  <c r="S43" i="4"/>
  <c r="AA43" i="4"/>
  <c r="B44" i="4"/>
  <c r="J44" i="4"/>
  <c r="R44" i="4"/>
  <c r="Z44" i="4"/>
  <c r="A45" i="4"/>
  <c r="I45" i="4"/>
  <c r="Q45" i="4"/>
  <c r="Y45" i="4"/>
  <c r="AG45" i="4"/>
  <c r="H46" i="4"/>
  <c r="P46" i="4"/>
  <c r="X46" i="4"/>
  <c r="AF46" i="4"/>
  <c r="G47" i="4"/>
  <c r="O47" i="4"/>
  <c r="W47" i="4"/>
  <c r="AE47" i="4"/>
  <c r="F48" i="4"/>
  <c r="N48" i="4"/>
  <c r="V48" i="4"/>
  <c r="W16" i="4"/>
  <c r="A22" i="4"/>
  <c r="P23" i="4"/>
  <c r="Q24" i="4"/>
  <c r="B25" i="4"/>
  <c r="X25" i="4"/>
  <c r="N26" i="4"/>
  <c r="AF26" i="4"/>
  <c r="U27" i="4"/>
  <c r="F28" i="4"/>
  <c r="AB28" i="4"/>
  <c r="R29" i="4"/>
  <c r="C30" i="4"/>
  <c r="T30" i="4"/>
  <c r="C31" i="4"/>
  <c r="T31" i="4"/>
  <c r="G32" i="4"/>
  <c r="W32" i="4"/>
  <c r="G33" i="4"/>
  <c r="W33" i="4"/>
  <c r="G34" i="4"/>
  <c r="Y34" i="4"/>
  <c r="H35" i="4"/>
  <c r="AA35" i="4"/>
  <c r="J36" i="4"/>
  <c r="AA36" i="4"/>
  <c r="L37" i="4"/>
  <c r="AB37" i="4"/>
  <c r="L38" i="4"/>
  <c r="AB38" i="4"/>
  <c r="L39" i="4"/>
  <c r="AF39" i="4"/>
  <c r="O40" i="4"/>
  <c r="AE40" i="4"/>
  <c r="K41" i="4"/>
  <c r="X41" i="4"/>
  <c r="E42" i="4"/>
  <c r="Q42" i="4"/>
  <c r="AD42" i="4"/>
  <c r="I43" i="4"/>
  <c r="V43" i="4"/>
  <c r="C44" i="4"/>
  <c r="O44" i="4"/>
  <c r="AB44" i="4"/>
  <c r="G45" i="4"/>
  <c r="T45" i="4"/>
  <c r="A46" i="4"/>
  <c r="M46" i="4"/>
  <c r="Z46" i="4"/>
  <c r="E47" i="4"/>
  <c r="R47" i="4"/>
  <c r="AF47" i="4"/>
  <c r="K48" i="4"/>
  <c r="X48" i="4"/>
  <c r="AG48" i="4"/>
  <c r="J49" i="4"/>
  <c r="S49" i="4"/>
  <c r="AB49" i="4"/>
  <c r="D50" i="4"/>
  <c r="M50" i="4"/>
  <c r="V50" i="4"/>
  <c r="AE50" i="4"/>
  <c r="H51" i="4"/>
  <c r="Q51" i="4"/>
  <c r="Z51" i="4"/>
  <c r="B52" i="4"/>
  <c r="K52" i="4"/>
  <c r="T52" i="4"/>
  <c r="AC52" i="4"/>
  <c r="F53" i="4"/>
  <c r="O53" i="4"/>
  <c r="X53" i="4"/>
  <c r="AG53" i="4"/>
  <c r="I54" i="4"/>
  <c r="R54" i="4"/>
  <c r="AA54" i="4"/>
  <c r="D55" i="4"/>
  <c r="M55" i="4"/>
  <c r="V55" i="4"/>
  <c r="AE55" i="4"/>
  <c r="G56" i="4"/>
  <c r="P56" i="4"/>
  <c r="Y56" i="4"/>
  <c r="B57" i="4"/>
  <c r="K57" i="4"/>
  <c r="T57" i="4"/>
  <c r="AC57" i="4"/>
  <c r="E58" i="4"/>
  <c r="N58" i="4"/>
  <c r="W58" i="4"/>
  <c r="AG58" i="4"/>
  <c r="I59" i="4"/>
  <c r="R59" i="4"/>
  <c r="AA59" i="4"/>
  <c r="C60" i="4"/>
  <c r="L60" i="4"/>
  <c r="U60" i="4"/>
  <c r="AE60" i="4"/>
  <c r="G61" i="4"/>
  <c r="P61" i="4"/>
  <c r="Y61" i="4"/>
  <c r="A62" i="4"/>
  <c r="J62" i="4"/>
  <c r="S62" i="4"/>
  <c r="AC62" i="4"/>
  <c r="E63" i="4"/>
  <c r="N63" i="4"/>
  <c r="W63" i="4"/>
  <c r="AF63" i="4"/>
  <c r="H64" i="4"/>
  <c r="Q64" i="4"/>
  <c r="AA64" i="4"/>
  <c r="C65" i="4"/>
  <c r="L65" i="4"/>
  <c r="U65" i="4"/>
  <c r="AC65" i="4"/>
  <c r="D66" i="4"/>
  <c r="L66" i="4"/>
  <c r="T66" i="4"/>
  <c r="AB66" i="4"/>
  <c r="C67" i="4"/>
  <c r="K67" i="4"/>
  <c r="S67" i="4"/>
  <c r="AA67" i="4"/>
  <c r="B68" i="4"/>
  <c r="J68" i="4"/>
  <c r="R68" i="4"/>
  <c r="Z68" i="4"/>
  <c r="U18" i="4"/>
  <c r="E22" i="4"/>
  <c r="T23" i="4"/>
  <c r="R24" i="4"/>
  <c r="H25" i="4"/>
  <c r="Z25" i="4"/>
  <c r="O26" i="4"/>
  <c r="AG26" i="4"/>
  <c r="V27" i="4"/>
  <c r="L28" i="4"/>
  <c r="AD28" i="4"/>
  <c r="S29" i="4"/>
  <c r="D30" i="4"/>
  <c r="U30" i="4"/>
  <c r="H31" i="4"/>
  <c r="X31" i="4"/>
  <c r="H32" i="4"/>
  <c r="X32" i="4"/>
  <c r="H33" i="4"/>
  <c r="Z33" i="4"/>
  <c r="I34" i="4"/>
  <c r="AB34" i="4"/>
  <c r="K35" i="4"/>
  <c r="AB35" i="4"/>
  <c r="M36" i="4"/>
  <c r="AC36" i="4"/>
  <c r="M37" i="4"/>
  <c r="AC37" i="4"/>
  <c r="M38" i="4"/>
  <c r="AG38" i="4"/>
  <c r="P39" i="4"/>
  <c r="AG39" i="4"/>
  <c r="P40" i="4"/>
  <c r="AF40" i="4"/>
  <c r="N41" i="4"/>
  <c r="Z41" i="4"/>
  <c r="F42" i="4"/>
  <c r="R42" i="4"/>
  <c r="AE42" i="4"/>
  <c r="L43" i="4"/>
  <c r="X43" i="4"/>
  <c r="D44" i="4"/>
  <c r="P44" i="4"/>
  <c r="AC44" i="4"/>
  <c r="J45" i="4"/>
  <c r="V45" i="4"/>
  <c r="B46" i="4"/>
  <c r="N46" i="4"/>
  <c r="AA46" i="4"/>
  <c r="H47" i="4"/>
  <c r="T47" i="4"/>
  <c r="AG47" i="4"/>
  <c r="L48" i="4"/>
  <c r="Y48" i="4"/>
  <c r="B49" i="4"/>
  <c r="K49" i="4"/>
  <c r="T49" i="4"/>
  <c r="AC49" i="4"/>
  <c r="E50" i="4"/>
  <c r="N50" i="4"/>
  <c r="W50" i="4"/>
  <c r="AG50" i="4"/>
  <c r="I51" i="4"/>
  <c r="R51" i="4"/>
  <c r="AA51" i="4"/>
  <c r="C52" i="4"/>
  <c r="L52" i="4"/>
  <c r="U52" i="4"/>
  <c r="AE52" i="4"/>
  <c r="G53" i="4"/>
  <c r="P53" i="4"/>
  <c r="Y53" i="4"/>
  <c r="A54" i="4"/>
  <c r="J54" i="4"/>
  <c r="S54" i="4"/>
  <c r="AC54" i="4"/>
  <c r="E55" i="4"/>
  <c r="N55" i="4"/>
  <c r="W55" i="4"/>
  <c r="AF55" i="4"/>
  <c r="H56" i="4"/>
  <c r="Q56" i="4"/>
  <c r="AA56" i="4"/>
  <c r="C57" i="4"/>
  <c r="L57" i="4"/>
  <c r="U57" i="4"/>
  <c r="AD57" i="4"/>
  <c r="F58" i="4"/>
  <c r="O58" i="4"/>
  <c r="Y58" i="4"/>
  <c r="T19" i="4"/>
  <c r="I22" i="4"/>
  <c r="AB23" i="4"/>
  <c r="W24" i="4"/>
  <c r="I25" i="4"/>
  <c r="AD25" i="4"/>
  <c r="P26" i="4"/>
  <c r="F27" i="4"/>
  <c r="X27" i="4"/>
  <c r="M28" i="4"/>
  <c r="AE28" i="4"/>
  <c r="T29" i="4"/>
  <c r="I30" i="4"/>
  <c r="Y30" i="4"/>
  <c r="I31" i="4"/>
  <c r="Y31" i="4"/>
  <c r="I32" i="4"/>
  <c r="AA32" i="4"/>
  <c r="J33" i="4"/>
  <c r="AC33" i="4"/>
  <c r="L34" i="4"/>
  <c r="AC34" i="4"/>
  <c r="N35" i="4"/>
  <c r="AD35" i="4"/>
  <c r="N36" i="4"/>
  <c r="AD36" i="4"/>
  <c r="N37" i="4"/>
  <c r="A38" i="4"/>
  <c r="Q38" i="4"/>
  <c r="A39" i="4"/>
  <c r="Q39" i="4"/>
  <c r="A40" i="4"/>
  <c r="S40" i="4"/>
  <c r="A41" i="4"/>
  <c r="O41" i="4"/>
  <c r="AA41" i="4"/>
  <c r="G42" i="4"/>
  <c r="U42" i="4"/>
  <c r="AG42" i="4"/>
  <c r="M43" i="4"/>
  <c r="Y43" i="4"/>
  <c r="E44" i="4"/>
  <c r="S44" i="4"/>
  <c r="AE44" i="4"/>
  <c r="K45" i="4"/>
  <c r="W45" i="4"/>
  <c r="C46" i="4"/>
  <c r="Q46" i="4"/>
  <c r="AC46" i="4"/>
  <c r="I47" i="4"/>
  <c r="U47" i="4"/>
  <c r="A48" i="4"/>
  <c r="O48" i="4"/>
  <c r="AA48" i="4"/>
  <c r="C49" i="4"/>
  <c r="L49" i="4"/>
  <c r="U49" i="4"/>
  <c r="AD49" i="4"/>
  <c r="F50" i="4"/>
  <c r="O50" i="4"/>
  <c r="Y50" i="4"/>
  <c r="A51" i="4"/>
  <c r="J51" i="4"/>
  <c r="S51" i="4"/>
  <c r="AB51" i="4"/>
  <c r="D52" i="4"/>
  <c r="M52" i="4"/>
  <c r="W52" i="4"/>
  <c r="AF52" i="4"/>
  <c r="H53" i="4"/>
  <c r="Q53" i="4"/>
  <c r="Z53" i="4"/>
  <c r="B54" i="4"/>
  <c r="K54" i="4"/>
  <c r="U54" i="4"/>
  <c r="AD54" i="4"/>
  <c r="F55" i="4"/>
  <c r="O55" i="4"/>
  <c r="X55" i="4"/>
  <c r="AG55" i="4"/>
  <c r="I56" i="4"/>
  <c r="S56" i="4"/>
  <c r="AB56" i="4"/>
  <c r="D57" i="4"/>
  <c r="M57" i="4"/>
  <c r="V57" i="4"/>
  <c r="AE57" i="4"/>
  <c r="G58" i="4"/>
  <c r="Q58" i="4"/>
  <c r="Z58" i="4"/>
  <c r="B59" i="4"/>
  <c r="K59" i="4"/>
  <c r="T59" i="4"/>
  <c r="AC59" i="4"/>
  <c r="E60" i="4"/>
  <c r="O60" i="4"/>
  <c r="X60" i="4"/>
  <c r="AG60" i="4"/>
  <c r="I61" i="4"/>
  <c r="R61" i="4"/>
  <c r="AA61" i="4"/>
  <c r="C62" i="4"/>
  <c r="M62" i="4"/>
  <c r="V62" i="4"/>
  <c r="AE62" i="4"/>
  <c r="G63" i="4"/>
  <c r="P63" i="4"/>
  <c r="AD20" i="4"/>
  <c r="U22" i="4"/>
  <c r="B24" i="4"/>
  <c r="AA24" i="4"/>
  <c r="O25" i="4"/>
  <c r="A26" i="4"/>
  <c r="V26" i="4"/>
  <c r="H27" i="4"/>
  <c r="AE27" i="4"/>
  <c r="S28" i="4"/>
  <c r="E29" i="4"/>
  <c r="Z29" i="4"/>
  <c r="K30" i="4"/>
  <c r="AC30" i="4"/>
  <c r="L31" i="4"/>
  <c r="AE31" i="4"/>
  <c r="N32" i="4"/>
  <c r="AE32" i="4"/>
  <c r="P33" i="4"/>
  <c r="AF33" i="4"/>
  <c r="P34" i="4"/>
  <c r="AF34" i="4"/>
  <c r="P35" i="4"/>
  <c r="C36" i="4"/>
  <c r="S36" i="4"/>
  <c r="C37" i="4"/>
  <c r="S37" i="4"/>
  <c r="C38" i="4"/>
  <c r="U38" i="4"/>
  <c r="D39" i="4"/>
  <c r="W39" i="4"/>
  <c r="F40" i="4"/>
  <c r="W40" i="4"/>
  <c r="E21" i="4"/>
  <c r="AG22" i="4"/>
  <c r="G24" i="4"/>
  <c r="AE24" i="4"/>
  <c r="P25" i="4"/>
  <c r="E26" i="4"/>
  <c r="R21" i="4"/>
  <c r="D23" i="4"/>
  <c r="I24" i="4"/>
  <c r="AF24" i="4"/>
  <c r="V25" i="4"/>
  <c r="G26" i="4"/>
  <c r="AC26" i="4"/>
  <c r="N27" i="4"/>
  <c r="C28" i="4"/>
  <c r="W28" i="4"/>
  <c r="K29" i="4"/>
  <c r="AD29" i="4"/>
  <c r="P30" i="4"/>
  <c r="AG30" i="4"/>
  <c r="R31" i="4"/>
  <c r="A32" i="4"/>
  <c r="R32" i="4"/>
  <c r="A33" i="4"/>
  <c r="R33" i="4"/>
  <c r="E34" i="4"/>
  <c r="U34" i="4"/>
  <c r="E35" i="4"/>
  <c r="U35" i="4"/>
  <c r="E36" i="4"/>
  <c r="W36" i="4"/>
  <c r="F37" i="4"/>
  <c r="Y37" i="4"/>
  <c r="H38" i="4"/>
  <c r="Y38" i="4"/>
  <c r="J39" i="4"/>
  <c r="Z39" i="4"/>
  <c r="J40" i="4"/>
  <c r="Z40" i="4"/>
  <c r="H41" i="4"/>
  <c r="V41" i="4"/>
  <c r="A42" i="4"/>
  <c r="N42" i="4"/>
  <c r="Z42" i="4"/>
  <c r="F43" i="4"/>
  <c r="T43" i="4"/>
  <c r="AF43" i="4"/>
  <c r="L44" i="4"/>
  <c r="X44" i="4"/>
  <c r="D45" i="4"/>
  <c r="R45" i="4"/>
  <c r="AD45" i="4"/>
  <c r="J46" i="4"/>
  <c r="V46" i="4"/>
  <c r="B47" i="4"/>
  <c r="P47" i="4"/>
  <c r="AB47" i="4"/>
  <c r="H48" i="4"/>
  <c r="T48" i="4"/>
  <c r="AE48" i="4"/>
  <c r="G49" i="4"/>
  <c r="P49" i="4"/>
  <c r="Z49" i="4"/>
  <c r="B50" i="4"/>
  <c r="K50" i="4"/>
  <c r="T50" i="4"/>
  <c r="AC50" i="4"/>
  <c r="E51" i="4"/>
  <c r="N51" i="4"/>
  <c r="X51" i="4"/>
  <c r="AG51" i="4"/>
  <c r="I52" i="4"/>
  <c r="R52" i="4"/>
  <c r="AA52" i="4"/>
  <c r="C53" i="4"/>
  <c r="L53" i="4"/>
  <c r="V53" i="4"/>
  <c r="AE53" i="4"/>
  <c r="G54" i="4"/>
  <c r="P54" i="4"/>
  <c r="Y54" i="4"/>
  <c r="A55" i="4"/>
  <c r="J55" i="4"/>
  <c r="T55" i="4"/>
  <c r="AC55" i="4"/>
  <c r="E56" i="4"/>
  <c r="N56" i="4"/>
  <c r="W56" i="4"/>
  <c r="AF56" i="4"/>
  <c r="H57" i="4"/>
  <c r="R57" i="4"/>
  <c r="V21" i="4"/>
  <c r="W25" i="4"/>
  <c r="T27" i="4"/>
  <c r="F29" i="4"/>
  <c r="Z30" i="4"/>
  <c r="B32" i="4"/>
  <c r="Q33" i="4"/>
  <c r="AE34" i="4"/>
  <c r="G36" i="4"/>
  <c r="V37" i="4"/>
  <c r="B39" i="4"/>
  <c r="K40" i="4"/>
  <c r="P41" i="4"/>
  <c r="I42" i="4"/>
  <c r="A43" i="4"/>
  <c r="AB43" i="4"/>
  <c r="T44" i="4"/>
  <c r="L45" i="4"/>
  <c r="E46" i="4"/>
  <c r="AD46" i="4"/>
  <c r="X47" i="4"/>
  <c r="P48" i="4"/>
  <c r="D49" i="4"/>
  <c r="V49" i="4"/>
  <c r="G50" i="4"/>
  <c r="Z50" i="4"/>
  <c r="K51" i="4"/>
  <c r="AC51" i="4"/>
  <c r="O52" i="4"/>
  <c r="AG52" i="4"/>
  <c r="R53" i="4"/>
  <c r="C54" i="4"/>
  <c r="V54" i="4"/>
  <c r="G55" i="4"/>
  <c r="Y55" i="4"/>
  <c r="K56" i="4"/>
  <c r="AC56" i="4"/>
  <c r="N57" i="4"/>
  <c r="AB57" i="4"/>
  <c r="K58" i="4"/>
  <c r="AA58" i="4"/>
  <c r="E59" i="4"/>
  <c r="Q59" i="4"/>
  <c r="AD59" i="4"/>
  <c r="I60" i="4"/>
  <c r="T60" i="4"/>
  <c r="A61" i="4"/>
  <c r="L61" i="4"/>
  <c r="X61" i="4"/>
  <c r="E62" i="4"/>
  <c r="P62" i="4"/>
  <c r="AA62" i="4"/>
  <c r="H63" i="4"/>
  <c r="T63" i="4"/>
  <c r="AD63" i="4"/>
  <c r="G64" i="4"/>
  <c r="S64" i="4"/>
  <c r="AC64" i="4"/>
  <c r="F65" i="4"/>
  <c r="P65" i="4"/>
  <c r="Z65" i="4"/>
  <c r="B66" i="4"/>
  <c r="K66" i="4"/>
  <c r="U66" i="4"/>
  <c r="AD66" i="4"/>
  <c r="F67" i="4"/>
  <c r="O67" i="4"/>
  <c r="X67" i="4"/>
  <c r="AG67" i="4"/>
  <c r="I68" i="4"/>
  <c r="S68" i="4"/>
  <c r="AB68" i="4"/>
  <c r="C69" i="4"/>
  <c r="K69" i="4"/>
  <c r="S69" i="4"/>
  <c r="AA69" i="4"/>
  <c r="B70" i="4"/>
  <c r="J70" i="4"/>
  <c r="R70" i="4"/>
  <c r="Z70" i="4"/>
  <c r="A71" i="4"/>
  <c r="I71" i="4"/>
  <c r="Q71" i="4"/>
  <c r="Y71" i="4"/>
  <c r="AG71" i="4"/>
  <c r="H72" i="4"/>
  <c r="P72" i="4"/>
  <c r="X72" i="4"/>
  <c r="AF72" i="4"/>
  <c r="G73" i="4"/>
  <c r="O73" i="4"/>
  <c r="W73" i="4"/>
  <c r="AE73" i="4"/>
  <c r="F74" i="4"/>
  <c r="N74" i="4"/>
  <c r="V74" i="4"/>
  <c r="AD74" i="4"/>
  <c r="E75" i="4"/>
  <c r="M75" i="4"/>
  <c r="U75" i="4"/>
  <c r="AC75" i="4"/>
  <c r="D76" i="4"/>
  <c r="L76" i="4"/>
  <c r="T76" i="4"/>
  <c r="AB76" i="4"/>
  <c r="C77" i="4"/>
  <c r="K77" i="4"/>
  <c r="S77" i="4"/>
  <c r="AA77" i="4"/>
  <c r="B78" i="4"/>
  <c r="J78" i="4"/>
  <c r="R78" i="4"/>
  <c r="Z78" i="4"/>
  <c r="A79" i="4"/>
  <c r="I79" i="4"/>
  <c r="Q79" i="4"/>
  <c r="Y79" i="4"/>
  <c r="AG79" i="4"/>
  <c r="H80" i="4"/>
  <c r="P80" i="4"/>
  <c r="X80" i="4"/>
  <c r="AF80" i="4"/>
  <c r="G81" i="4"/>
  <c r="O81" i="4"/>
  <c r="W81" i="4"/>
  <c r="AE81" i="4"/>
  <c r="F82" i="4"/>
  <c r="N82" i="4"/>
  <c r="V82" i="4"/>
  <c r="AD82" i="4"/>
  <c r="E83" i="4"/>
  <c r="M83" i="4"/>
  <c r="U83" i="4"/>
  <c r="AC83" i="4"/>
  <c r="D84" i="4"/>
  <c r="L84" i="4"/>
  <c r="T84" i="4"/>
  <c r="AB84" i="4"/>
  <c r="C85" i="4"/>
  <c r="K85" i="4"/>
  <c r="S85" i="4"/>
  <c r="AA85" i="4"/>
  <c r="B86" i="4"/>
  <c r="J86" i="4"/>
  <c r="R86" i="4"/>
  <c r="Z86" i="4"/>
  <c r="A87" i="4"/>
  <c r="I87" i="4"/>
  <c r="Q87" i="4"/>
  <c r="Y87" i="4"/>
  <c r="AG87" i="4"/>
  <c r="H88" i="4"/>
  <c r="P88" i="4"/>
  <c r="X88" i="4"/>
  <c r="AF88" i="4"/>
  <c r="G89" i="4"/>
  <c r="O89" i="4"/>
  <c r="W89" i="4"/>
  <c r="AE89" i="4"/>
  <c r="F90" i="4"/>
  <c r="N90" i="4"/>
  <c r="V90" i="4"/>
  <c r="AD90" i="4"/>
  <c r="E91" i="4"/>
  <c r="M91" i="4"/>
  <c r="U91" i="4"/>
  <c r="AC91" i="4"/>
  <c r="D92" i="4"/>
  <c r="L92" i="4"/>
  <c r="T92" i="4"/>
  <c r="AF23" i="4"/>
  <c r="U26" i="4"/>
  <c r="E28" i="4"/>
  <c r="AC29" i="4"/>
  <c r="J31" i="4"/>
  <c r="S32" i="4"/>
  <c r="AG33" i="4"/>
  <c r="O35" i="4"/>
  <c r="Z36" i="4"/>
  <c r="E38" i="4"/>
  <c r="T39" i="4"/>
  <c r="AD40" i="4"/>
  <c r="W41" i="4"/>
  <c r="O42" i="4"/>
  <c r="H43" i="4"/>
  <c r="AG43" i="4"/>
  <c r="AA44" i="4"/>
  <c r="S45" i="4"/>
  <c r="K46" i="4"/>
  <c r="D47" i="4"/>
  <c r="AC47" i="4"/>
  <c r="W48" i="4"/>
  <c r="H49" i="4"/>
  <c r="AA49" i="4"/>
  <c r="L50" i="4"/>
  <c r="AD50" i="4"/>
  <c r="P51" i="4"/>
  <c r="A52" i="4"/>
  <c r="S52" i="4"/>
  <c r="D53" i="4"/>
  <c r="W53" i="4"/>
  <c r="H54" i="4"/>
  <c r="Z54" i="4"/>
  <c r="L55" i="4"/>
  <c r="AD55" i="4"/>
  <c r="O56" i="4"/>
  <c r="AG56" i="4"/>
  <c r="S57" i="4"/>
  <c r="B58" i="4"/>
  <c r="R58" i="4"/>
  <c r="AD58" i="4"/>
  <c r="J59" i="4"/>
  <c r="V59" i="4"/>
  <c r="A60" i="4"/>
  <c r="M60" i="4"/>
  <c r="Z60" i="4"/>
  <c r="D61" i="4"/>
  <c r="Q61" i="4"/>
  <c r="AD61" i="4"/>
  <c r="H62" i="4"/>
  <c r="U62" i="4"/>
  <c r="AG62" i="4"/>
  <c r="L63" i="4"/>
  <c r="X63" i="4"/>
  <c r="A64" i="4"/>
  <c r="L64" i="4"/>
  <c r="V64" i="4"/>
  <c r="AF64" i="4"/>
  <c r="J65" i="4"/>
  <c r="T65" i="4"/>
  <c r="AD65" i="4"/>
  <c r="F66" i="4"/>
  <c r="O66" i="4"/>
  <c r="X66" i="4"/>
  <c r="AG66" i="4"/>
  <c r="I67" i="4"/>
  <c r="R67" i="4"/>
  <c r="AB67" i="4"/>
  <c r="D68" i="4"/>
  <c r="M68" i="4"/>
  <c r="V68" i="4"/>
  <c r="AE68" i="4"/>
  <c r="F69" i="4"/>
  <c r="N69" i="4"/>
  <c r="V69" i="4"/>
  <c r="AD69" i="4"/>
  <c r="E70" i="4"/>
  <c r="M70" i="4"/>
  <c r="U70" i="4"/>
  <c r="AC70" i="4"/>
  <c r="D71" i="4"/>
  <c r="L71" i="4"/>
  <c r="T71" i="4"/>
  <c r="AB71" i="4"/>
  <c r="C72" i="4"/>
  <c r="K72" i="4"/>
  <c r="S72" i="4"/>
  <c r="AA72" i="4"/>
  <c r="B73" i="4"/>
  <c r="J73" i="4"/>
  <c r="O24" i="4"/>
  <c r="Y26" i="4"/>
  <c r="N28" i="4"/>
  <c r="A30" i="4"/>
  <c r="O31" i="4"/>
  <c r="AD32" i="4"/>
  <c r="F34" i="4"/>
  <c r="T35" i="4"/>
  <c r="B37" i="4"/>
  <c r="K38" i="4"/>
  <c r="X39" i="4"/>
  <c r="B41" i="4"/>
  <c r="AD41" i="4"/>
  <c r="V42" i="4"/>
  <c r="N43" i="4"/>
  <c r="G44" i="4"/>
  <c r="AF44" i="4"/>
  <c r="Z45" i="4"/>
  <c r="R46" i="4"/>
  <c r="J47" i="4"/>
  <c r="C48" i="4"/>
  <c r="AB48" i="4"/>
  <c r="M49" i="4"/>
  <c r="AE49" i="4"/>
  <c r="Q50" i="4"/>
  <c r="B51" i="4"/>
  <c r="T51" i="4"/>
  <c r="E52" i="4"/>
  <c r="X52" i="4"/>
  <c r="I53" i="4"/>
  <c r="AA53" i="4"/>
  <c r="M54" i="4"/>
  <c r="AE54" i="4"/>
  <c r="P55" i="4"/>
  <c r="A56" i="4"/>
  <c r="T56" i="4"/>
  <c r="E57" i="4"/>
  <c r="W57" i="4"/>
  <c r="C58" i="4"/>
  <c r="S58" i="4"/>
  <c r="AE58" i="4"/>
  <c r="L59" i="4"/>
  <c r="X59" i="4"/>
  <c r="B60" i="4"/>
  <c r="P60" i="4"/>
  <c r="AA60" i="4"/>
  <c r="F61" i="4"/>
  <c r="S61" i="4"/>
  <c r="AE61" i="4"/>
  <c r="I62" i="4"/>
  <c r="W62" i="4"/>
  <c r="A63" i="4"/>
  <c r="M63" i="4"/>
  <c r="Y63" i="4"/>
  <c r="C64" i="4"/>
  <c r="M64" i="4"/>
  <c r="W64" i="4"/>
  <c r="AG64" i="4"/>
  <c r="K65" i="4"/>
  <c r="V65" i="4"/>
  <c r="AE65" i="4"/>
  <c r="G66" i="4"/>
  <c r="P66" i="4"/>
  <c r="Y66" i="4"/>
  <c r="A67" i="4"/>
  <c r="J67" i="4"/>
  <c r="T67" i="4"/>
  <c r="AC67" i="4"/>
  <c r="E68" i="4"/>
  <c r="N68" i="4"/>
  <c r="W68" i="4"/>
  <c r="AF68" i="4"/>
  <c r="G69" i="4"/>
  <c r="O69" i="4"/>
  <c r="W69" i="4"/>
  <c r="AE69" i="4"/>
  <c r="F70" i="4"/>
  <c r="N70" i="4"/>
  <c r="V70" i="4"/>
  <c r="AD70" i="4"/>
  <c r="E71" i="4"/>
  <c r="M71" i="4"/>
  <c r="U71" i="4"/>
  <c r="AC71" i="4"/>
  <c r="D72" i="4"/>
  <c r="L72" i="4"/>
  <c r="T72" i="4"/>
  <c r="AB72" i="4"/>
  <c r="C73" i="4"/>
  <c r="K73" i="4"/>
  <c r="X24" i="4"/>
  <c r="AD26" i="4"/>
  <c r="T28" i="4"/>
  <c r="J30" i="4"/>
  <c r="S31" i="4"/>
  <c r="AG32" i="4"/>
  <c r="O34" i="4"/>
  <c r="X35" i="4"/>
  <c r="D37" i="4"/>
  <c r="R38" i="4"/>
  <c r="AA39" i="4"/>
  <c r="F41" i="4"/>
  <c r="AE41" i="4"/>
  <c r="W42" i="4"/>
  <c r="P43" i="4"/>
  <c r="H44" i="4"/>
  <c r="B45" i="4"/>
  <c r="AA45" i="4"/>
  <c r="S46" i="4"/>
  <c r="L47" i="4"/>
  <c r="D48" i="4"/>
  <c r="AC48" i="4"/>
  <c r="N49" i="4"/>
  <c r="AF49" i="4"/>
  <c r="R50" i="4"/>
  <c r="C51" i="4"/>
  <c r="U51" i="4"/>
  <c r="G52" i="4"/>
  <c r="Y52" i="4"/>
  <c r="J53" i="4"/>
  <c r="AB53" i="4"/>
  <c r="N54" i="4"/>
  <c r="AF54" i="4"/>
  <c r="Q55" i="4"/>
  <c r="C56" i="4"/>
  <c r="U56" i="4"/>
  <c r="F57" i="4"/>
  <c r="X57" i="4"/>
  <c r="D58" i="4"/>
  <c r="T58" i="4"/>
  <c r="A59" i="4"/>
  <c r="M59" i="4"/>
  <c r="Y59" i="4"/>
  <c r="D60" i="4"/>
  <c r="Q60" i="4"/>
  <c r="AB60" i="4"/>
  <c r="H61" i="4"/>
  <c r="T61" i="4"/>
  <c r="AF61" i="4"/>
  <c r="K62" i="4"/>
  <c r="X62" i="4"/>
  <c r="B63" i="4"/>
  <c r="O63" i="4"/>
  <c r="Z63" i="4"/>
  <c r="D64" i="4"/>
  <c r="N64" i="4"/>
  <c r="X64" i="4"/>
  <c r="B65" i="4"/>
  <c r="M65" i="4"/>
  <c r="W65" i="4"/>
  <c r="AF65" i="4"/>
  <c r="H66" i="4"/>
  <c r="Q66" i="4"/>
  <c r="Z66" i="4"/>
  <c r="B67" i="4"/>
  <c r="L67" i="4"/>
  <c r="U67" i="4"/>
  <c r="AD67" i="4"/>
  <c r="F68" i="4"/>
  <c r="O68" i="4"/>
  <c r="X68" i="4"/>
  <c r="AG68" i="4"/>
  <c r="H69" i="4"/>
  <c r="P69" i="4"/>
  <c r="X69" i="4"/>
  <c r="AF69" i="4"/>
  <c r="G70" i="4"/>
  <c r="O70" i="4"/>
  <c r="W70" i="4"/>
  <c r="AE70" i="4"/>
  <c r="F71" i="4"/>
  <c r="N71" i="4"/>
  <c r="V71" i="4"/>
  <c r="AD71" i="4"/>
  <c r="E72" i="4"/>
  <c r="M72" i="4"/>
  <c r="U72" i="4"/>
  <c r="AC72" i="4"/>
  <c r="D73" i="4"/>
  <c r="L73" i="4"/>
  <c r="T73" i="4"/>
  <c r="AB73" i="4"/>
  <c r="C74" i="4"/>
  <c r="K74" i="4"/>
  <c r="S74" i="4"/>
  <c r="AA74" i="4"/>
  <c r="B75" i="4"/>
  <c r="J75" i="4"/>
  <c r="R75" i="4"/>
  <c r="Z75" i="4"/>
  <c r="A76" i="4"/>
  <c r="I76" i="4"/>
  <c r="Q76" i="4"/>
  <c r="Y76" i="4"/>
  <c r="AG76" i="4"/>
  <c r="H77" i="4"/>
  <c r="P77" i="4"/>
  <c r="X77" i="4"/>
  <c r="AF77" i="4"/>
  <c r="G78" i="4"/>
  <c r="O78" i="4"/>
  <c r="W78" i="4"/>
  <c r="AE78" i="4"/>
  <c r="F79" i="4"/>
  <c r="N79" i="4"/>
  <c r="V79" i="4"/>
  <c r="AD79" i="4"/>
  <c r="E80" i="4"/>
  <c r="M80" i="4"/>
  <c r="U80" i="4"/>
  <c r="AC80" i="4"/>
  <c r="S20" i="4"/>
  <c r="M27" i="4"/>
  <c r="S30" i="4"/>
  <c r="M33" i="4"/>
  <c r="D36" i="4"/>
  <c r="AA38" i="4"/>
  <c r="J41" i="4"/>
  <c r="AC42" i="4"/>
  <c r="M44" i="4"/>
  <c r="AE45" i="4"/>
  <c r="Q47" i="4"/>
  <c r="AF48" i="4"/>
  <c r="C50" i="4"/>
  <c r="F51" i="4"/>
  <c r="J52" i="4"/>
  <c r="N53" i="4"/>
  <c r="Q54" i="4"/>
  <c r="U55" i="4"/>
  <c r="X56" i="4"/>
  <c r="AA57" i="4"/>
  <c r="V58" i="4"/>
  <c r="P59" i="4"/>
  <c r="H60" i="4"/>
  <c r="AF60" i="4"/>
  <c r="W61" i="4"/>
  <c r="O62" i="4"/>
  <c r="F63" i="4"/>
  <c r="AC63" i="4"/>
  <c r="P64" i="4"/>
  <c r="E65" i="4"/>
  <c r="Y65" i="4"/>
  <c r="J66" i="4"/>
  <c r="AC66" i="4"/>
  <c r="N67" i="4"/>
  <c r="AF67" i="4"/>
  <c r="Q68" i="4"/>
  <c r="B69" i="4"/>
  <c r="R69" i="4"/>
  <c r="A70" i="4"/>
  <c r="Q70" i="4"/>
  <c r="AG70" i="4"/>
  <c r="P71" i="4"/>
  <c r="AF71" i="4"/>
  <c r="O72" i="4"/>
  <c r="AE72" i="4"/>
  <c r="N73" i="4"/>
  <c r="Y73" i="4"/>
  <c r="B74" i="4"/>
  <c r="M74" i="4"/>
  <c r="X74" i="4"/>
  <c r="A75" i="4"/>
  <c r="L75" i="4"/>
  <c r="W75" i="4"/>
  <c r="AG75" i="4"/>
  <c r="K76" i="4"/>
  <c r="V76" i="4"/>
  <c r="AF76" i="4"/>
  <c r="J77" i="4"/>
  <c r="U77" i="4"/>
  <c r="AE77" i="4"/>
  <c r="I78" i="4"/>
  <c r="T78" i="4"/>
  <c r="AD78" i="4"/>
  <c r="H79" i="4"/>
  <c r="S79" i="4"/>
  <c r="AC79" i="4"/>
  <c r="G80" i="4"/>
  <c r="R80" i="4"/>
  <c r="AB80" i="4"/>
  <c r="E81" i="4"/>
  <c r="N81" i="4"/>
  <c r="X81" i="4"/>
  <c r="AG81" i="4"/>
  <c r="I82" i="4"/>
  <c r="R82" i="4"/>
  <c r="AA82" i="4"/>
  <c r="C83" i="4"/>
  <c r="L83" i="4"/>
  <c r="V83" i="4"/>
  <c r="AE83" i="4"/>
  <c r="G84" i="4"/>
  <c r="P84" i="4"/>
  <c r="Y84" i="4"/>
  <c r="A85" i="4"/>
  <c r="J85" i="4"/>
  <c r="T85" i="4"/>
  <c r="AC85" i="4"/>
  <c r="E86" i="4"/>
  <c r="N86" i="4"/>
  <c r="W86" i="4"/>
  <c r="AF86" i="4"/>
  <c r="H87" i="4"/>
  <c r="R87" i="4"/>
  <c r="AA87" i="4"/>
  <c r="C88" i="4"/>
  <c r="L88" i="4"/>
  <c r="U88" i="4"/>
  <c r="AD88" i="4"/>
  <c r="F89" i="4"/>
  <c r="P89" i="4"/>
  <c r="Y89" i="4"/>
  <c r="A90" i="4"/>
  <c r="J90" i="4"/>
  <c r="S90" i="4"/>
  <c r="AB90" i="4"/>
  <c r="D91" i="4"/>
  <c r="N91" i="4"/>
  <c r="W91" i="4"/>
  <c r="AF91" i="4"/>
  <c r="H92" i="4"/>
  <c r="Q92" i="4"/>
  <c r="Z92" i="4"/>
  <c r="A93" i="4"/>
  <c r="I93" i="4"/>
  <c r="Q93" i="4"/>
  <c r="Y93" i="4"/>
  <c r="AG93" i="4"/>
  <c r="H94" i="4"/>
  <c r="P94" i="4"/>
  <c r="X94" i="4"/>
  <c r="AF94" i="4"/>
  <c r="G95" i="4"/>
  <c r="O95" i="4"/>
  <c r="W95" i="4"/>
  <c r="AE95" i="4"/>
  <c r="F96" i="4"/>
  <c r="N96" i="4"/>
  <c r="V96" i="4"/>
  <c r="AD96" i="4"/>
  <c r="E97" i="4"/>
  <c r="M97" i="4"/>
  <c r="U97" i="4"/>
  <c r="AC97" i="4"/>
  <c r="D98" i="4"/>
  <c r="L98" i="4"/>
  <c r="T98" i="4"/>
  <c r="AB98" i="4"/>
  <c r="C99" i="4"/>
  <c r="K99" i="4"/>
  <c r="S99" i="4"/>
  <c r="AA99" i="4"/>
  <c r="B100" i="4"/>
  <c r="J100" i="4"/>
  <c r="R100" i="4"/>
  <c r="Z100" i="4"/>
  <c r="A101" i="4"/>
  <c r="I101" i="4"/>
  <c r="Q101" i="4"/>
  <c r="Y101" i="4"/>
  <c r="AG101" i="4"/>
  <c r="H102" i="4"/>
  <c r="P102" i="4"/>
  <c r="X102" i="4"/>
  <c r="AF102" i="4"/>
  <c r="G103" i="4"/>
  <c r="O103" i="4"/>
  <c r="W103" i="4"/>
  <c r="AE103" i="4"/>
  <c r="F104" i="4"/>
  <c r="N104" i="4"/>
  <c r="V104" i="4"/>
  <c r="AD104" i="4"/>
  <c r="E105" i="4"/>
  <c r="M105" i="4"/>
  <c r="U105" i="4"/>
  <c r="AC105" i="4"/>
  <c r="D106" i="4"/>
  <c r="L106" i="4"/>
  <c r="T106" i="4"/>
  <c r="AB106" i="4"/>
  <c r="Q22" i="4"/>
  <c r="AB27" i="4"/>
  <c r="AF30" i="4"/>
  <c r="V33" i="4"/>
  <c r="O36" i="4"/>
  <c r="G39" i="4"/>
  <c r="R41" i="4"/>
  <c r="D43" i="4"/>
  <c r="U44" i="4"/>
  <c r="F46" i="4"/>
  <c r="Y47" i="4"/>
  <c r="E49" i="4"/>
  <c r="I50" i="4"/>
  <c r="L51" i="4"/>
  <c r="P52" i="4"/>
  <c r="S53" i="4"/>
  <c r="W54" i="4"/>
  <c r="Z55" i="4"/>
  <c r="AD56" i="4"/>
  <c r="AF57" i="4"/>
  <c r="AB58" i="4"/>
  <c r="S59" i="4"/>
  <c r="J60" i="4"/>
  <c r="B61" i="4"/>
  <c r="Z61" i="4"/>
  <c r="Q62" i="4"/>
  <c r="I63" i="4"/>
  <c r="AE63" i="4"/>
  <c r="T64" i="4"/>
  <c r="G65" i="4"/>
  <c r="AA65" i="4"/>
  <c r="M66" i="4"/>
  <c r="AE66" i="4"/>
  <c r="P67" i="4"/>
  <c r="A68" i="4"/>
  <c r="T68" i="4"/>
  <c r="D69" i="4"/>
  <c r="T69" i="4"/>
  <c r="C70" i="4"/>
  <c r="S70" i="4"/>
  <c r="B71" i="4"/>
  <c r="R71" i="4"/>
  <c r="A72" i="4"/>
  <c r="Q72" i="4"/>
  <c r="AG72" i="4"/>
  <c r="P73" i="4"/>
  <c r="Z73" i="4"/>
  <c r="D74" i="4"/>
  <c r="O74" i="4"/>
  <c r="Y74" i="4"/>
  <c r="C75" i="4"/>
  <c r="N75" i="4"/>
  <c r="X75" i="4"/>
  <c r="B76" i="4"/>
  <c r="M76" i="4"/>
  <c r="W76" i="4"/>
  <c r="A77" i="4"/>
  <c r="L77" i="4"/>
  <c r="V77" i="4"/>
  <c r="AG77" i="4"/>
  <c r="K78" i="4"/>
  <c r="U78" i="4"/>
  <c r="AF78" i="4"/>
  <c r="J79" i="4"/>
  <c r="T79" i="4"/>
  <c r="AE79" i="4"/>
  <c r="I80" i="4"/>
  <c r="S80" i="4"/>
  <c r="AD80" i="4"/>
  <c r="F81" i="4"/>
  <c r="P81" i="4"/>
  <c r="Y81" i="4"/>
  <c r="A82" i="4"/>
  <c r="J82" i="4"/>
  <c r="S82" i="4"/>
  <c r="AB82" i="4"/>
  <c r="D83" i="4"/>
  <c r="N83" i="4"/>
  <c r="W83" i="4"/>
  <c r="AF83" i="4"/>
  <c r="H84" i="4"/>
  <c r="Q84" i="4"/>
  <c r="Z84" i="4"/>
  <c r="B85" i="4"/>
  <c r="L85" i="4"/>
  <c r="U85" i="4"/>
  <c r="AD85" i="4"/>
  <c r="F86" i="4"/>
  <c r="O86" i="4"/>
  <c r="X86" i="4"/>
  <c r="AG86" i="4"/>
  <c r="J87" i="4"/>
  <c r="S87" i="4"/>
  <c r="AB87" i="4"/>
  <c r="D88" i="4"/>
  <c r="M88" i="4"/>
  <c r="V88" i="4"/>
  <c r="AE88" i="4"/>
  <c r="H89" i="4"/>
  <c r="Q89" i="4"/>
  <c r="Z89" i="4"/>
  <c r="B90" i="4"/>
  <c r="K90" i="4"/>
  <c r="T90" i="4"/>
  <c r="AC90" i="4"/>
  <c r="F91" i="4"/>
  <c r="O91" i="4"/>
  <c r="X91" i="4"/>
  <c r="AG91" i="4"/>
  <c r="I92" i="4"/>
  <c r="R92" i="4"/>
  <c r="AA92" i="4"/>
  <c r="B93" i="4"/>
  <c r="J93" i="4"/>
  <c r="R93" i="4"/>
  <c r="Z93" i="4"/>
  <c r="A94" i="4"/>
  <c r="I94" i="4"/>
  <c r="Q94" i="4"/>
  <c r="Y94" i="4"/>
  <c r="AG94" i="4"/>
  <c r="H95" i="4"/>
  <c r="P95" i="4"/>
  <c r="X95" i="4"/>
  <c r="AF95" i="4"/>
  <c r="G96" i="4"/>
  <c r="O96" i="4"/>
  <c r="W96" i="4"/>
  <c r="AE96" i="4"/>
  <c r="F97" i="4"/>
  <c r="N97" i="4"/>
  <c r="V97" i="4"/>
  <c r="AD97" i="4"/>
  <c r="E98" i="4"/>
  <c r="M98" i="4"/>
  <c r="U98" i="4"/>
  <c r="AC98" i="4"/>
  <c r="D99" i="4"/>
  <c r="L99" i="4"/>
  <c r="H23" i="4"/>
  <c r="AF27" i="4"/>
  <c r="B31" i="4"/>
  <c r="AD33" i="4"/>
  <c r="T36" i="4"/>
  <c r="K39" i="4"/>
  <c r="S41" i="4"/>
  <c r="E43" i="4"/>
  <c r="W44" i="4"/>
  <c r="I46" i="4"/>
  <c r="Z47" i="4"/>
  <c r="F49" i="4"/>
  <c r="J50" i="4"/>
  <c r="M51" i="4"/>
  <c r="Q52" i="4"/>
  <c r="T53" i="4"/>
  <c r="X54" i="4"/>
  <c r="AB55" i="4"/>
  <c r="AE56" i="4"/>
  <c r="A58" i="4"/>
  <c r="AC58" i="4"/>
  <c r="U59" i="4"/>
  <c r="K60" i="4"/>
  <c r="C61" i="4"/>
  <c r="AB61" i="4"/>
  <c r="R62" i="4"/>
  <c r="J63" i="4"/>
  <c r="AG63" i="4"/>
  <c r="U64" i="4"/>
  <c r="H65" i="4"/>
  <c r="AB65" i="4"/>
  <c r="N66" i="4"/>
  <c r="AF66" i="4"/>
  <c r="Q67" i="4"/>
  <c r="C68" i="4"/>
  <c r="U68" i="4"/>
  <c r="E69" i="4"/>
  <c r="U69" i="4"/>
  <c r="D70" i="4"/>
  <c r="T70" i="4"/>
  <c r="C71" i="4"/>
  <c r="S71" i="4"/>
  <c r="B72" i="4"/>
  <c r="R72" i="4"/>
  <c r="A73" i="4"/>
  <c r="Q73" i="4"/>
  <c r="AA73" i="4"/>
  <c r="E74" i="4"/>
  <c r="P74" i="4"/>
  <c r="Z74" i="4"/>
  <c r="D75" i="4"/>
  <c r="O75" i="4"/>
  <c r="Y75" i="4"/>
  <c r="C76" i="4"/>
  <c r="N76" i="4"/>
  <c r="X76" i="4"/>
  <c r="B77" i="4"/>
  <c r="M77" i="4"/>
  <c r="W77" i="4"/>
  <c r="A78" i="4"/>
  <c r="L78" i="4"/>
  <c r="V78" i="4"/>
  <c r="AG78" i="4"/>
  <c r="K79" i="4"/>
  <c r="U79" i="4"/>
  <c r="AF79" i="4"/>
  <c r="J80" i="4"/>
  <c r="T80" i="4"/>
  <c r="AE80" i="4"/>
  <c r="H81" i="4"/>
  <c r="Q81" i="4"/>
  <c r="Z81" i="4"/>
  <c r="B82" i="4"/>
  <c r="K82" i="4"/>
  <c r="T82" i="4"/>
  <c r="AC82" i="4"/>
  <c r="F83" i="4"/>
  <c r="O83" i="4"/>
  <c r="X83" i="4"/>
  <c r="AG83" i="4"/>
  <c r="I84" i="4"/>
  <c r="R84" i="4"/>
  <c r="AA84" i="4"/>
  <c r="D85" i="4"/>
  <c r="M85" i="4"/>
  <c r="V85" i="4"/>
  <c r="AE85" i="4"/>
  <c r="G86" i="4"/>
  <c r="P86" i="4"/>
  <c r="Y86" i="4"/>
  <c r="B87" i="4"/>
  <c r="K87" i="4"/>
  <c r="T87" i="4"/>
  <c r="AC87" i="4"/>
  <c r="E88" i="4"/>
  <c r="N88" i="4"/>
  <c r="W88" i="4"/>
  <c r="AG88" i="4"/>
  <c r="I89" i="4"/>
  <c r="R89" i="4"/>
  <c r="AA89" i="4"/>
  <c r="C90" i="4"/>
  <c r="L90" i="4"/>
  <c r="U90" i="4"/>
  <c r="AE90" i="4"/>
  <c r="G91" i="4"/>
  <c r="P91" i="4"/>
  <c r="Y91" i="4"/>
  <c r="A92" i="4"/>
  <c r="J25" i="4"/>
  <c r="D29" i="4"/>
  <c r="AF31" i="4"/>
  <c r="V34" i="4"/>
  <c r="R37" i="4"/>
  <c r="I40" i="4"/>
  <c r="B42" i="4"/>
  <c r="U43" i="4"/>
  <c r="F45" i="4"/>
  <c r="Y46" i="4"/>
  <c r="I48" i="4"/>
  <c r="R49" i="4"/>
  <c r="U50" i="4"/>
  <c r="Y51" i="4"/>
  <c r="AB52" i="4"/>
  <c r="AF53" i="4"/>
  <c r="B55" i="4"/>
  <c r="F56" i="4"/>
  <c r="J57" i="4"/>
  <c r="J58" i="4"/>
  <c r="D59" i="4"/>
  <c r="AB59" i="4"/>
  <c r="S60" i="4"/>
  <c r="K61" i="4"/>
  <c r="B62" i="4"/>
  <c r="Z62" i="4"/>
  <c r="R63" i="4"/>
  <c r="F64" i="4"/>
  <c r="AB64" i="4"/>
  <c r="O65" i="4"/>
  <c r="A66" i="4"/>
  <c r="S66" i="4"/>
  <c r="E67" i="4"/>
  <c r="W67" i="4"/>
  <c r="H68" i="4"/>
  <c r="AA68" i="4"/>
  <c r="J69" i="4"/>
  <c r="Z69" i="4"/>
  <c r="I70" i="4"/>
  <c r="Y70" i="4"/>
  <c r="H71" i="4"/>
  <c r="X71" i="4"/>
  <c r="G72" i="4"/>
  <c r="W72" i="4"/>
  <c r="F73" i="4"/>
  <c r="S73" i="4"/>
  <c r="AD73" i="4"/>
  <c r="H74" i="4"/>
  <c r="R74" i="4"/>
  <c r="AC74" i="4"/>
  <c r="G75" i="4"/>
  <c r="Q75" i="4"/>
  <c r="AB75" i="4"/>
  <c r="F76" i="4"/>
  <c r="P76" i="4"/>
  <c r="AA76" i="4"/>
  <c r="E77" i="4"/>
  <c r="O77" i="4"/>
  <c r="Z77" i="4"/>
  <c r="D78" i="4"/>
  <c r="N78" i="4"/>
  <c r="Y78" i="4"/>
  <c r="C79" i="4"/>
  <c r="M79" i="4"/>
  <c r="X79" i="4"/>
  <c r="B80" i="4"/>
  <c r="L80" i="4"/>
  <c r="W80" i="4"/>
  <c r="A81" i="4"/>
  <c r="J81" i="4"/>
  <c r="S81" i="4"/>
  <c r="AB81" i="4"/>
  <c r="D82" i="4"/>
  <c r="M82" i="4"/>
  <c r="W82" i="4"/>
  <c r="AF82" i="4"/>
  <c r="H83" i="4"/>
  <c r="Q83" i="4"/>
  <c r="Z83" i="4"/>
  <c r="B84" i="4"/>
  <c r="K84" i="4"/>
  <c r="U84" i="4"/>
  <c r="AD84" i="4"/>
  <c r="F85" i="4"/>
  <c r="O85" i="4"/>
  <c r="X85" i="4"/>
  <c r="AG85" i="4"/>
  <c r="I86" i="4"/>
  <c r="S86" i="4"/>
  <c r="AB86" i="4"/>
  <c r="D87" i="4"/>
  <c r="M87" i="4"/>
  <c r="V87" i="4"/>
  <c r="AE87" i="4"/>
  <c r="G88" i="4"/>
  <c r="Q88" i="4"/>
  <c r="Z88" i="4"/>
  <c r="B89" i="4"/>
  <c r="K89" i="4"/>
  <c r="T89" i="4"/>
  <c r="AC89" i="4"/>
  <c r="E90" i="4"/>
  <c r="O90" i="4"/>
  <c r="X90" i="4"/>
  <c r="AG25" i="4"/>
  <c r="L29" i="4"/>
  <c r="K32" i="4"/>
  <c r="D35" i="4"/>
  <c r="Z37" i="4"/>
  <c r="V40" i="4"/>
  <c r="J42" i="4"/>
  <c r="AC43" i="4"/>
  <c r="N45" i="4"/>
  <c r="AG46" i="4"/>
  <c r="Q48" i="4"/>
  <c r="W49" i="4"/>
  <c r="AA50" i="4"/>
  <c r="AD51" i="4"/>
  <c r="A53" i="4"/>
  <c r="E54" i="4"/>
  <c r="H55" i="4"/>
  <c r="L56" i="4"/>
  <c r="O57" i="4"/>
  <c r="L58" i="4"/>
  <c r="F59" i="4"/>
  <c r="AF59" i="4"/>
  <c r="W60" i="4"/>
  <c r="N61" i="4"/>
  <c r="F62" i="4"/>
  <c r="AD62" i="4"/>
  <c r="U63" i="4"/>
  <c r="I64" i="4"/>
  <c r="AD64" i="4"/>
  <c r="R65" i="4"/>
  <c r="C66" i="4"/>
  <c r="V66" i="4"/>
  <c r="G67" i="4"/>
  <c r="Y67" i="4"/>
  <c r="K68" i="4"/>
  <c r="AC68" i="4"/>
  <c r="L69" i="4"/>
  <c r="AB69" i="4"/>
  <c r="K70" i="4"/>
  <c r="AA70" i="4"/>
  <c r="J71" i="4"/>
  <c r="Z71" i="4"/>
  <c r="I72" i="4"/>
  <c r="Y72" i="4"/>
  <c r="H73" i="4"/>
  <c r="U73" i="4"/>
  <c r="AF73" i="4"/>
  <c r="I74" i="4"/>
  <c r="T74" i="4"/>
  <c r="AE74" i="4"/>
  <c r="H75" i="4"/>
  <c r="S75" i="4"/>
  <c r="AD75" i="4"/>
  <c r="G76" i="4"/>
  <c r="R76" i="4"/>
  <c r="AC76" i="4"/>
  <c r="F77" i="4"/>
  <c r="Q77" i="4"/>
  <c r="AB77" i="4"/>
  <c r="E78" i="4"/>
  <c r="P78" i="4"/>
  <c r="AA78" i="4"/>
  <c r="D79" i="4"/>
  <c r="O79" i="4"/>
  <c r="Z79" i="4"/>
  <c r="C80" i="4"/>
  <c r="N80" i="4"/>
  <c r="Y80" i="4"/>
  <c r="B81" i="4"/>
  <c r="K81" i="4"/>
  <c r="T81" i="4"/>
  <c r="AC81" i="4"/>
  <c r="E82" i="4"/>
  <c r="O82" i="4"/>
  <c r="X82" i="4"/>
  <c r="AG82" i="4"/>
  <c r="I83" i="4"/>
  <c r="R83" i="4"/>
  <c r="AA83" i="4"/>
  <c r="C84" i="4"/>
  <c r="M84" i="4"/>
  <c r="V84" i="4"/>
  <c r="AE84" i="4"/>
  <c r="G85" i="4"/>
  <c r="P85" i="4"/>
  <c r="Y85" i="4"/>
  <c r="A86" i="4"/>
  <c r="K86" i="4"/>
  <c r="T86" i="4"/>
  <c r="AC86" i="4"/>
  <c r="E87" i="4"/>
  <c r="N87" i="4"/>
  <c r="W87" i="4"/>
  <c r="AF87" i="4"/>
  <c r="I88" i="4"/>
  <c r="H26" i="4"/>
  <c r="V29" i="4"/>
  <c r="Q32" i="4"/>
  <c r="F35" i="4"/>
  <c r="B38" i="4"/>
  <c r="Y40" i="4"/>
  <c r="M42" i="4"/>
  <c r="AD43" i="4"/>
  <c r="O45" i="4"/>
  <c r="A47" i="4"/>
  <c r="S48" i="4"/>
  <c r="X49" i="4"/>
  <c r="AB50" i="4"/>
  <c r="AF51" i="4"/>
  <c r="B53" i="4"/>
  <c r="F54" i="4"/>
  <c r="I55" i="4"/>
  <c r="M56" i="4"/>
  <c r="P57" i="4"/>
  <c r="M58" i="4"/>
  <c r="H59" i="4"/>
  <c r="AG59" i="4"/>
  <c r="Y60" i="4"/>
  <c r="O61" i="4"/>
  <c r="G62" i="4"/>
  <c r="AF62" i="4"/>
  <c r="V63" i="4"/>
  <c r="K64" i="4"/>
  <c r="AE64" i="4"/>
  <c r="S65" i="4"/>
  <c r="E66" i="4"/>
  <c r="W66" i="4"/>
  <c r="H67" i="4"/>
  <c r="Z67" i="4"/>
  <c r="L68" i="4"/>
  <c r="AD68" i="4"/>
  <c r="M69" i="4"/>
  <c r="AC69" i="4"/>
  <c r="L70" i="4"/>
  <c r="AB70" i="4"/>
  <c r="K71" i="4"/>
  <c r="AA71" i="4"/>
  <c r="J72" i="4"/>
  <c r="Z72" i="4"/>
  <c r="I73" i="4"/>
  <c r="V73" i="4"/>
  <c r="AG73" i="4"/>
  <c r="J74" i="4"/>
  <c r="U74" i="4"/>
  <c r="AF74" i="4"/>
  <c r="I75" i="4"/>
  <c r="T75" i="4"/>
  <c r="AE75" i="4"/>
  <c r="H76" i="4"/>
  <c r="S76" i="4"/>
  <c r="AD76" i="4"/>
  <c r="G77" i="4"/>
  <c r="R77" i="4"/>
  <c r="AC77" i="4"/>
  <c r="F78" i="4"/>
  <c r="Q78" i="4"/>
  <c r="AB78" i="4"/>
  <c r="E79" i="4"/>
  <c r="P79" i="4"/>
  <c r="AA79" i="4"/>
  <c r="D80" i="4"/>
  <c r="O80" i="4"/>
  <c r="Z80" i="4"/>
  <c r="C81" i="4"/>
  <c r="L81" i="4"/>
  <c r="U81" i="4"/>
  <c r="AD81" i="4"/>
  <c r="G82" i="4"/>
  <c r="P82" i="4"/>
  <c r="Y82" i="4"/>
  <c r="A83" i="4"/>
  <c r="J83" i="4"/>
  <c r="S83" i="4"/>
  <c r="AB83" i="4"/>
  <c r="E84" i="4"/>
  <c r="N84" i="4"/>
  <c r="W84" i="4"/>
  <c r="AF84" i="4"/>
  <c r="H85" i="4"/>
  <c r="Q85" i="4"/>
  <c r="Z85" i="4"/>
  <c r="C86" i="4"/>
  <c r="L86" i="4"/>
  <c r="U86" i="4"/>
  <c r="AD86" i="4"/>
  <c r="F87" i="4"/>
  <c r="X15" i="4"/>
  <c r="AE35" i="4"/>
  <c r="K44" i="4"/>
  <c r="A50" i="4"/>
  <c r="O54" i="4"/>
  <c r="U58" i="4"/>
  <c r="A25" i="4"/>
  <c r="I37" i="4"/>
  <c r="C45" i="4"/>
  <c r="S50" i="4"/>
  <c r="AG54" i="4"/>
  <c r="C59" i="4"/>
  <c r="AG61" i="4"/>
  <c r="Y64" i="4"/>
  <c r="D67" i="4"/>
  <c r="I69" i="4"/>
  <c r="G71" i="4"/>
  <c r="E73" i="4"/>
  <c r="Q74" i="4"/>
  <c r="AA75" i="4"/>
  <c r="D77" i="4"/>
  <c r="M78" i="4"/>
  <c r="W79" i="4"/>
  <c r="AG80" i="4"/>
  <c r="C82" i="4"/>
  <c r="G83" i="4"/>
  <c r="J84" i="4"/>
  <c r="N85" i="4"/>
  <c r="Q86" i="4"/>
  <c r="P87" i="4"/>
  <c r="J88" i="4"/>
  <c r="AB88" i="4"/>
  <c r="M89" i="4"/>
  <c r="AF89" i="4"/>
  <c r="Q90" i="4"/>
  <c r="A91" i="4"/>
  <c r="Q91" i="4"/>
  <c r="AD91" i="4"/>
  <c r="K92" i="4"/>
  <c r="W92" i="4"/>
  <c r="AG92" i="4"/>
  <c r="L93" i="4"/>
  <c r="V93" i="4"/>
  <c r="AF93" i="4"/>
  <c r="K94" i="4"/>
  <c r="U94" i="4"/>
  <c r="AE94" i="4"/>
  <c r="J95" i="4"/>
  <c r="T95" i="4"/>
  <c r="AD95" i="4"/>
  <c r="I96" i="4"/>
  <c r="S96" i="4"/>
  <c r="AC96" i="4"/>
  <c r="H97" i="4"/>
  <c r="R97" i="4"/>
  <c r="AB97" i="4"/>
  <c r="G98" i="4"/>
  <c r="Q98" i="4"/>
  <c r="AA98" i="4"/>
  <c r="F99" i="4"/>
  <c r="P99" i="4"/>
  <c r="Y99" i="4"/>
  <c r="A100" i="4"/>
  <c r="K100" i="4"/>
  <c r="T100" i="4"/>
  <c r="AC100" i="4"/>
  <c r="E101" i="4"/>
  <c r="N101" i="4"/>
  <c r="W101" i="4"/>
  <c r="AF101" i="4"/>
  <c r="I102" i="4"/>
  <c r="R102" i="4"/>
  <c r="AA102" i="4"/>
  <c r="C103" i="4"/>
  <c r="L103" i="4"/>
  <c r="U103" i="4"/>
  <c r="AD103" i="4"/>
  <c r="G104" i="4"/>
  <c r="P104" i="4"/>
  <c r="Y104" i="4"/>
  <c r="A105" i="4"/>
  <c r="J105" i="4"/>
  <c r="S105" i="4"/>
  <c r="AB105" i="4"/>
  <c r="E106" i="4"/>
  <c r="N106" i="4"/>
  <c r="W106" i="4"/>
  <c r="AF106" i="4"/>
  <c r="G107" i="4"/>
  <c r="O107" i="4"/>
  <c r="W107" i="4"/>
  <c r="AE107" i="4"/>
  <c r="F108" i="4"/>
  <c r="N108" i="4"/>
  <c r="V108" i="4"/>
  <c r="AD108" i="4"/>
  <c r="E109" i="4"/>
  <c r="M109" i="4"/>
  <c r="U109" i="4"/>
  <c r="AC109" i="4"/>
  <c r="D110" i="4"/>
  <c r="L110" i="4"/>
  <c r="T110" i="4"/>
  <c r="AB110" i="4"/>
  <c r="C111" i="4"/>
  <c r="K111" i="4"/>
  <c r="S111" i="4"/>
  <c r="AA111" i="4"/>
  <c r="B112" i="4"/>
  <c r="J112" i="4"/>
  <c r="R112" i="4"/>
  <c r="Z112" i="4"/>
  <c r="A113" i="4"/>
  <c r="I113" i="4"/>
  <c r="Q113" i="4"/>
  <c r="Y113" i="4"/>
  <c r="AG113" i="4"/>
  <c r="H114" i="4"/>
  <c r="P114" i="4"/>
  <c r="X114" i="4"/>
  <c r="AF114" i="4"/>
  <c r="G115" i="4"/>
  <c r="O115" i="4"/>
  <c r="W115" i="4"/>
  <c r="AE115" i="4"/>
  <c r="F116" i="4"/>
  <c r="N116" i="4"/>
  <c r="V116" i="4"/>
  <c r="AD116" i="4"/>
  <c r="E117" i="4"/>
  <c r="M117" i="4"/>
  <c r="U117" i="4"/>
  <c r="AC117" i="4"/>
  <c r="D118" i="4"/>
  <c r="L118" i="4"/>
  <c r="T118" i="4"/>
  <c r="AB118" i="4"/>
  <c r="C119" i="4"/>
  <c r="K119" i="4"/>
  <c r="S119" i="4"/>
  <c r="AA119" i="4"/>
  <c r="B120" i="4"/>
  <c r="J120" i="4"/>
  <c r="R120" i="4"/>
  <c r="Z120" i="4"/>
  <c r="A121" i="4"/>
  <c r="I121" i="4"/>
  <c r="Q121" i="4"/>
  <c r="Y121" i="4"/>
  <c r="AG121" i="4"/>
  <c r="H122" i="4"/>
  <c r="P122" i="4"/>
  <c r="X122" i="4"/>
  <c r="AF122" i="4"/>
  <c r="G123" i="4"/>
  <c r="O123" i="4"/>
  <c r="W123" i="4"/>
  <c r="AE123" i="4"/>
  <c r="F124" i="4"/>
  <c r="N124" i="4"/>
  <c r="V124" i="4"/>
  <c r="AD124" i="4"/>
  <c r="E125" i="4"/>
  <c r="M125" i="4"/>
  <c r="U125" i="4"/>
  <c r="AC125" i="4"/>
  <c r="D126" i="4"/>
  <c r="L126" i="4"/>
  <c r="T126" i="4"/>
  <c r="AB126" i="4"/>
  <c r="C127" i="4"/>
  <c r="K127" i="4"/>
  <c r="S127" i="4"/>
  <c r="AA127" i="4"/>
  <c r="B128" i="4"/>
  <c r="J128" i="4"/>
  <c r="R128" i="4"/>
  <c r="Z128" i="4"/>
  <c r="A129" i="4"/>
  <c r="I129" i="4"/>
  <c r="Q129" i="4"/>
  <c r="Y129" i="4"/>
  <c r="AG129" i="4"/>
  <c r="H130" i="4"/>
  <c r="P130" i="4"/>
  <c r="X130" i="4"/>
  <c r="AF130" i="4"/>
  <c r="G131" i="4"/>
  <c r="O131" i="4"/>
  <c r="W131" i="4"/>
  <c r="AE131" i="4"/>
  <c r="F132" i="4"/>
  <c r="N132" i="4"/>
  <c r="V132" i="4"/>
  <c r="AD132" i="4"/>
  <c r="E133" i="4"/>
  <c r="M133" i="4"/>
  <c r="U133" i="4"/>
  <c r="AC133" i="4"/>
  <c r="D134" i="4"/>
  <c r="L134" i="4"/>
  <c r="G27" i="4"/>
  <c r="X38" i="4"/>
  <c r="AB45" i="4"/>
  <c r="D51" i="4"/>
  <c r="R55" i="4"/>
  <c r="N59" i="4"/>
  <c r="N62" i="4"/>
  <c r="D65" i="4"/>
  <c r="M67" i="4"/>
  <c r="Q69" i="4"/>
  <c r="O71" i="4"/>
  <c r="M73" i="4"/>
  <c r="W74" i="4"/>
  <c r="AF75" i="4"/>
  <c r="I77" i="4"/>
  <c r="S78" i="4"/>
  <c r="AB79" i="4"/>
  <c r="D81" i="4"/>
  <c r="H82" i="4"/>
  <c r="K83" i="4"/>
  <c r="O84" i="4"/>
  <c r="R85" i="4"/>
  <c r="V86" i="4"/>
  <c r="U87" i="4"/>
  <c r="K88" i="4"/>
  <c r="AC88" i="4"/>
  <c r="N89" i="4"/>
  <c r="AG89" i="4"/>
  <c r="R90" i="4"/>
  <c r="B91" i="4"/>
  <c r="R91" i="4"/>
  <c r="AE91" i="4"/>
  <c r="M92" i="4"/>
  <c r="X92" i="4"/>
  <c r="C93" i="4"/>
  <c r="M93" i="4"/>
  <c r="W93" i="4"/>
  <c r="B94" i="4"/>
  <c r="L94" i="4"/>
  <c r="V94" i="4"/>
  <c r="A95" i="4"/>
  <c r="K95" i="4"/>
  <c r="U95" i="4"/>
  <c r="AG95" i="4"/>
  <c r="J96" i="4"/>
  <c r="T96" i="4"/>
  <c r="AF96" i="4"/>
  <c r="I97" i="4"/>
  <c r="S97" i="4"/>
  <c r="AE97" i="4"/>
  <c r="H98" i="4"/>
  <c r="R98" i="4"/>
  <c r="AD98" i="4"/>
  <c r="G99" i="4"/>
  <c r="Q99" i="4"/>
  <c r="Z99" i="4"/>
  <c r="C100" i="4"/>
  <c r="L100" i="4"/>
  <c r="U100" i="4"/>
  <c r="AD100" i="4"/>
  <c r="F101" i="4"/>
  <c r="O101" i="4"/>
  <c r="X101" i="4"/>
  <c r="A102" i="4"/>
  <c r="J102" i="4"/>
  <c r="S102" i="4"/>
  <c r="AB102" i="4"/>
  <c r="D103" i="4"/>
  <c r="M103" i="4"/>
  <c r="V103" i="4"/>
  <c r="AF103" i="4"/>
  <c r="H104" i="4"/>
  <c r="Q104" i="4"/>
  <c r="Z104" i="4"/>
  <c r="B105" i="4"/>
  <c r="K105" i="4"/>
  <c r="T105" i="4"/>
  <c r="AD105" i="4"/>
  <c r="F106" i="4"/>
  <c r="O106" i="4"/>
  <c r="X106" i="4"/>
  <c r="AG106" i="4"/>
  <c r="H107" i="4"/>
  <c r="P107" i="4"/>
  <c r="X107" i="4"/>
  <c r="AF107" i="4"/>
  <c r="G108" i="4"/>
  <c r="O108" i="4"/>
  <c r="W108" i="4"/>
  <c r="AE108" i="4"/>
  <c r="F109" i="4"/>
  <c r="N109" i="4"/>
  <c r="V109" i="4"/>
  <c r="AD109" i="4"/>
  <c r="E110" i="4"/>
  <c r="M110" i="4"/>
  <c r="U110" i="4"/>
  <c r="AC110" i="4"/>
  <c r="D111" i="4"/>
  <c r="L111" i="4"/>
  <c r="T111" i="4"/>
  <c r="AB111" i="4"/>
  <c r="C112" i="4"/>
  <c r="K112" i="4"/>
  <c r="S112" i="4"/>
  <c r="AA112" i="4"/>
  <c r="B113" i="4"/>
  <c r="J113" i="4"/>
  <c r="R113" i="4"/>
  <c r="Z113" i="4"/>
  <c r="A114" i="4"/>
  <c r="I114" i="4"/>
  <c r="Q114" i="4"/>
  <c r="Y114" i="4"/>
  <c r="AG114" i="4"/>
  <c r="H115" i="4"/>
  <c r="P115" i="4"/>
  <c r="X115" i="4"/>
  <c r="AF115" i="4"/>
  <c r="G116" i="4"/>
  <c r="O116" i="4"/>
  <c r="W116" i="4"/>
  <c r="AE116" i="4"/>
  <c r="F117" i="4"/>
  <c r="N117" i="4"/>
  <c r="V117" i="4"/>
  <c r="AD117" i="4"/>
  <c r="E118" i="4"/>
  <c r="M118" i="4"/>
  <c r="U118" i="4"/>
  <c r="AC118" i="4"/>
  <c r="D119" i="4"/>
  <c r="L119" i="4"/>
  <c r="T119" i="4"/>
  <c r="AB119" i="4"/>
  <c r="C120" i="4"/>
  <c r="K120" i="4"/>
  <c r="S120" i="4"/>
  <c r="AA120" i="4"/>
  <c r="B121" i="4"/>
  <c r="J121" i="4"/>
  <c r="R121" i="4"/>
  <c r="Z121" i="4"/>
  <c r="A122" i="4"/>
  <c r="I122" i="4"/>
  <c r="Q122" i="4"/>
  <c r="Y122" i="4"/>
  <c r="AG122" i="4"/>
  <c r="H123" i="4"/>
  <c r="P123" i="4"/>
  <c r="X123" i="4"/>
  <c r="AF123" i="4"/>
  <c r="G124" i="4"/>
  <c r="O124" i="4"/>
  <c r="W124" i="4"/>
  <c r="AE124" i="4"/>
  <c r="F125" i="4"/>
  <c r="N125" i="4"/>
  <c r="V125" i="4"/>
  <c r="AD125" i="4"/>
  <c r="E126" i="4"/>
  <c r="M126" i="4"/>
  <c r="U126" i="4"/>
  <c r="AC126" i="4"/>
  <c r="D127" i="4"/>
  <c r="L127" i="4"/>
  <c r="T127" i="4"/>
  <c r="AB127" i="4"/>
  <c r="C128" i="4"/>
  <c r="K128" i="4"/>
  <c r="S128" i="4"/>
  <c r="AA128" i="4"/>
  <c r="B129" i="4"/>
  <c r="J129" i="4"/>
  <c r="R129" i="4"/>
  <c r="Z129" i="4"/>
  <c r="A130" i="4"/>
  <c r="I130" i="4"/>
  <c r="Q130" i="4"/>
  <c r="Y130" i="4"/>
  <c r="AG130" i="4"/>
  <c r="H131" i="4"/>
  <c r="P131" i="4"/>
  <c r="X131" i="4"/>
  <c r="AF131" i="4"/>
  <c r="G132" i="4"/>
  <c r="O132" i="4"/>
  <c r="W132" i="4"/>
  <c r="AE132" i="4"/>
  <c r="F133" i="4"/>
  <c r="N133" i="4"/>
  <c r="V133" i="4"/>
  <c r="AD133" i="4"/>
  <c r="E134" i="4"/>
  <c r="M134" i="4"/>
  <c r="U134" i="4"/>
  <c r="AA28" i="4"/>
  <c r="C40" i="4"/>
  <c r="U46" i="4"/>
  <c r="V51" i="4"/>
  <c r="D56" i="4"/>
  <c r="Z59" i="4"/>
  <c r="Y62" i="4"/>
  <c r="N65" i="4"/>
  <c r="V67" i="4"/>
  <c r="Y69" i="4"/>
  <c r="W71" i="4"/>
  <c r="R73" i="4"/>
  <c r="AB74" i="4"/>
  <c r="E76" i="4"/>
  <c r="N77" i="4"/>
  <c r="X78" i="4"/>
  <c r="A80" i="4"/>
  <c r="I81" i="4"/>
  <c r="L82" i="4"/>
  <c r="P83" i="4"/>
  <c r="S84" i="4"/>
  <c r="W85" i="4"/>
  <c r="AA86" i="4"/>
  <c r="X87" i="4"/>
  <c r="O88" i="4"/>
  <c r="A89" i="4"/>
  <c r="S89" i="4"/>
  <c r="D90" i="4"/>
  <c r="W90" i="4"/>
  <c r="C91" i="4"/>
  <c r="S91" i="4"/>
  <c r="B92" i="4"/>
  <c r="N92" i="4"/>
  <c r="Y92" i="4"/>
  <c r="D93" i="4"/>
  <c r="N93" i="4"/>
  <c r="X93" i="4"/>
  <c r="C94" i="4"/>
  <c r="M94" i="4"/>
  <c r="W94" i="4"/>
  <c r="B95" i="4"/>
  <c r="L95" i="4"/>
  <c r="V95" i="4"/>
  <c r="A96" i="4"/>
  <c r="K96" i="4"/>
  <c r="U96" i="4"/>
  <c r="AG96" i="4"/>
  <c r="J97" i="4"/>
  <c r="T97" i="4"/>
  <c r="AF97" i="4"/>
  <c r="I98" i="4"/>
  <c r="S98" i="4"/>
  <c r="AE98" i="4"/>
  <c r="H99" i="4"/>
  <c r="R99" i="4"/>
  <c r="AB99" i="4"/>
  <c r="D100" i="4"/>
  <c r="M100" i="4"/>
  <c r="V100" i="4"/>
  <c r="AE100" i="4"/>
  <c r="G101" i="4"/>
  <c r="P101" i="4"/>
  <c r="Z101" i="4"/>
  <c r="B102" i="4"/>
  <c r="K102" i="4"/>
  <c r="T102" i="4"/>
  <c r="AC102" i="4"/>
  <c r="E103" i="4"/>
  <c r="N103" i="4"/>
  <c r="X103" i="4"/>
  <c r="AG103" i="4"/>
  <c r="I104" i="4"/>
  <c r="R104" i="4"/>
  <c r="AA104" i="4"/>
  <c r="C105" i="4"/>
  <c r="L105" i="4"/>
  <c r="V105" i="4"/>
  <c r="AE105" i="4"/>
  <c r="G106" i="4"/>
  <c r="P106" i="4"/>
  <c r="Y106" i="4"/>
  <c r="A107" i="4"/>
  <c r="I107" i="4"/>
  <c r="Q107" i="4"/>
  <c r="Y107" i="4"/>
  <c r="AG107" i="4"/>
  <c r="H108" i="4"/>
  <c r="P108" i="4"/>
  <c r="X108" i="4"/>
  <c r="AF108" i="4"/>
  <c r="G109" i="4"/>
  <c r="O109" i="4"/>
  <c r="W109" i="4"/>
  <c r="AE109" i="4"/>
  <c r="F110" i="4"/>
  <c r="N110" i="4"/>
  <c r="V110" i="4"/>
  <c r="AD110" i="4"/>
  <c r="E111" i="4"/>
  <c r="M111" i="4"/>
  <c r="U111" i="4"/>
  <c r="AC111" i="4"/>
  <c r="D112" i="4"/>
  <c r="L112" i="4"/>
  <c r="T112" i="4"/>
  <c r="AB112" i="4"/>
  <c r="C113" i="4"/>
  <c r="K113" i="4"/>
  <c r="S113" i="4"/>
  <c r="AA113" i="4"/>
  <c r="B114" i="4"/>
  <c r="J114" i="4"/>
  <c r="R114" i="4"/>
  <c r="Z114" i="4"/>
  <c r="A115" i="4"/>
  <c r="I115" i="4"/>
  <c r="Q115" i="4"/>
  <c r="Y115" i="4"/>
  <c r="AG115" i="4"/>
  <c r="H116" i="4"/>
  <c r="P116" i="4"/>
  <c r="X116" i="4"/>
  <c r="AF116" i="4"/>
  <c r="G117" i="4"/>
  <c r="O117" i="4"/>
  <c r="W117" i="4"/>
  <c r="AE117" i="4"/>
  <c r="F118" i="4"/>
  <c r="N118" i="4"/>
  <c r="V118" i="4"/>
  <c r="AD118" i="4"/>
  <c r="E119" i="4"/>
  <c r="M119" i="4"/>
  <c r="U119" i="4"/>
  <c r="AC119" i="4"/>
  <c r="D120" i="4"/>
  <c r="L120" i="4"/>
  <c r="T120" i="4"/>
  <c r="AB120" i="4"/>
  <c r="C121" i="4"/>
  <c r="K121" i="4"/>
  <c r="S121" i="4"/>
  <c r="AA121" i="4"/>
  <c r="B122" i="4"/>
  <c r="J122" i="4"/>
  <c r="R122" i="4"/>
  <c r="Z122" i="4"/>
  <c r="A123" i="4"/>
  <c r="I123" i="4"/>
  <c r="Q123" i="4"/>
  <c r="Y123" i="4"/>
  <c r="AG123" i="4"/>
  <c r="H124" i="4"/>
  <c r="P124" i="4"/>
  <c r="X124" i="4"/>
  <c r="AF124" i="4"/>
  <c r="G125" i="4"/>
  <c r="O125" i="4"/>
  <c r="W125" i="4"/>
  <c r="AE125" i="4"/>
  <c r="F126" i="4"/>
  <c r="N126" i="4"/>
  <c r="V126" i="4"/>
  <c r="AD126" i="4"/>
  <c r="E127" i="4"/>
  <c r="M127" i="4"/>
  <c r="U127" i="4"/>
  <c r="AC127" i="4"/>
  <c r="D128" i="4"/>
  <c r="L128" i="4"/>
  <c r="M30" i="4"/>
  <c r="G41" i="4"/>
  <c r="M47" i="4"/>
  <c r="H52" i="4"/>
  <c r="V56" i="4"/>
  <c r="G60" i="4"/>
  <c r="AB31" i="4"/>
  <c r="AF41" i="4"/>
  <c r="G48" i="4"/>
  <c r="Z52" i="4"/>
  <c r="G57" i="4"/>
  <c r="R60" i="4"/>
  <c r="Q63" i="4"/>
  <c r="AG65" i="4"/>
  <c r="G68" i="4"/>
  <c r="H70" i="4"/>
  <c r="F72" i="4"/>
  <c r="AC73" i="4"/>
  <c r="F75" i="4"/>
  <c r="O76" i="4"/>
  <c r="Y77" i="4"/>
  <c r="B79" i="4"/>
  <c r="K80" i="4"/>
  <c r="R81" i="4"/>
  <c r="U82" i="4"/>
  <c r="Y83" i="4"/>
  <c r="AC84" i="4"/>
  <c r="AF85" i="4"/>
  <c r="C87" i="4"/>
  <c r="AD87" i="4"/>
  <c r="S88" i="4"/>
  <c r="D89" i="4"/>
  <c r="V89" i="4"/>
  <c r="H90" i="4"/>
  <c r="Z90" i="4"/>
  <c r="I91" i="4"/>
  <c r="V91" i="4"/>
  <c r="E92" i="4"/>
  <c r="P92" i="4"/>
  <c r="AC92" i="4"/>
  <c r="F93" i="4"/>
  <c r="P93" i="4"/>
  <c r="AB93" i="4"/>
  <c r="E94" i="4"/>
  <c r="O94" i="4"/>
  <c r="AA94" i="4"/>
  <c r="D95" i="4"/>
  <c r="N95" i="4"/>
  <c r="Z95" i="4"/>
  <c r="C96" i="4"/>
  <c r="M96" i="4"/>
  <c r="Y96" i="4"/>
  <c r="B97" i="4"/>
  <c r="L97" i="4"/>
  <c r="X97" i="4"/>
  <c r="A98" i="4"/>
  <c r="K98" i="4"/>
  <c r="W98" i="4"/>
  <c r="AG98" i="4"/>
  <c r="J99" i="4"/>
  <c r="U99" i="4"/>
  <c r="AD99" i="4"/>
  <c r="F100" i="4"/>
  <c r="O100" i="4"/>
  <c r="X100" i="4"/>
  <c r="AG100" i="4"/>
  <c r="J101" i="4"/>
  <c r="S101" i="4"/>
  <c r="AB101" i="4"/>
  <c r="D102" i="4"/>
  <c r="M102" i="4"/>
  <c r="V102" i="4"/>
  <c r="AE102" i="4"/>
  <c r="H103" i="4"/>
  <c r="Q103" i="4"/>
  <c r="Z103" i="4"/>
  <c r="B104" i="4"/>
  <c r="K104" i="4"/>
  <c r="T104" i="4"/>
  <c r="AC104" i="4"/>
  <c r="F105" i="4"/>
  <c r="O105" i="4"/>
  <c r="X105" i="4"/>
  <c r="AG105" i="4"/>
  <c r="I106" i="4"/>
  <c r="R106" i="4"/>
  <c r="AA106" i="4"/>
  <c r="C107" i="4"/>
  <c r="K107" i="4"/>
  <c r="S107" i="4"/>
  <c r="AA107" i="4"/>
  <c r="B108" i="4"/>
  <c r="J108" i="4"/>
  <c r="R108" i="4"/>
  <c r="Z108" i="4"/>
  <c r="A109" i="4"/>
  <c r="I109" i="4"/>
  <c r="Q109" i="4"/>
  <c r="Y109" i="4"/>
  <c r="AG109" i="4"/>
  <c r="H110" i="4"/>
  <c r="P110" i="4"/>
  <c r="X110" i="4"/>
  <c r="AF110" i="4"/>
  <c r="G111" i="4"/>
  <c r="O111" i="4"/>
  <c r="W111" i="4"/>
  <c r="AE111" i="4"/>
  <c r="F112" i="4"/>
  <c r="N112" i="4"/>
  <c r="V112" i="4"/>
  <c r="AD112" i="4"/>
  <c r="E113" i="4"/>
  <c r="M113" i="4"/>
  <c r="U113" i="4"/>
  <c r="AC113" i="4"/>
  <c r="D114" i="4"/>
  <c r="L114" i="4"/>
  <c r="T114" i="4"/>
  <c r="AB114" i="4"/>
  <c r="C115" i="4"/>
  <c r="K115" i="4"/>
  <c r="S115" i="4"/>
  <c r="AA115" i="4"/>
  <c r="B116" i="4"/>
  <c r="J116" i="4"/>
  <c r="R116" i="4"/>
  <c r="Z116" i="4"/>
  <c r="A117" i="4"/>
  <c r="I117" i="4"/>
  <c r="Q117" i="4"/>
  <c r="Y117" i="4"/>
  <c r="AG117" i="4"/>
  <c r="H118" i="4"/>
  <c r="P118" i="4"/>
  <c r="X118" i="4"/>
  <c r="AF118" i="4"/>
  <c r="G119" i="4"/>
  <c r="O119" i="4"/>
  <c r="W119" i="4"/>
  <c r="AE119" i="4"/>
  <c r="F120" i="4"/>
  <c r="N120" i="4"/>
  <c r="V120" i="4"/>
  <c r="AD120" i="4"/>
  <c r="E121" i="4"/>
  <c r="M121" i="4"/>
  <c r="U121" i="4"/>
  <c r="AC121" i="4"/>
  <c r="D122" i="4"/>
  <c r="L122" i="4"/>
  <c r="T122" i="4"/>
  <c r="AB122" i="4"/>
  <c r="C123" i="4"/>
  <c r="K123" i="4"/>
  <c r="S123" i="4"/>
  <c r="AA123" i="4"/>
  <c r="B124" i="4"/>
  <c r="J124" i="4"/>
  <c r="R124" i="4"/>
  <c r="Z124" i="4"/>
  <c r="A125" i="4"/>
  <c r="I125" i="4"/>
  <c r="Q125" i="4"/>
  <c r="Y125" i="4"/>
  <c r="AG125" i="4"/>
  <c r="H126" i="4"/>
  <c r="P126" i="4"/>
  <c r="X126" i="4"/>
  <c r="AF126" i="4"/>
  <c r="G127" i="4"/>
  <c r="O127" i="4"/>
  <c r="W127" i="4"/>
  <c r="AE127" i="4"/>
  <c r="F128" i="4"/>
  <c r="N128" i="4"/>
  <c r="F33" i="4"/>
  <c r="Y42" i="4"/>
  <c r="AD48" i="4"/>
  <c r="K53" i="4"/>
  <c r="Z57" i="4"/>
  <c r="AC60" i="4"/>
  <c r="AB63" i="4"/>
  <c r="I66" i="4"/>
  <c r="P68" i="4"/>
  <c r="P70" i="4"/>
  <c r="N72" i="4"/>
  <c r="A74" i="4"/>
  <c r="K75" i="4"/>
  <c r="U76" i="4"/>
  <c r="AD77" i="4"/>
  <c r="G79" i="4"/>
  <c r="Q80" i="4"/>
  <c r="V81" i="4"/>
  <c r="Z82" i="4"/>
  <c r="AD83" i="4"/>
  <c r="AG84" i="4"/>
  <c r="D86" i="4"/>
  <c r="G87" i="4"/>
  <c r="A88" i="4"/>
  <c r="T88" i="4"/>
  <c r="E89" i="4"/>
  <c r="X89" i="4"/>
  <c r="I90" i="4"/>
  <c r="AA90" i="4"/>
  <c r="J91" i="4"/>
  <c r="Z91" i="4"/>
  <c r="F92" i="4"/>
  <c r="S92" i="4"/>
  <c r="AD92" i="4"/>
  <c r="G93" i="4"/>
  <c r="S93" i="4"/>
  <c r="AC93" i="4"/>
  <c r="F94" i="4"/>
  <c r="R94" i="4"/>
  <c r="AB94" i="4"/>
  <c r="E95" i="4"/>
  <c r="Q95" i="4"/>
  <c r="AA95" i="4"/>
  <c r="D96" i="4"/>
  <c r="P96" i="4"/>
  <c r="Z96" i="4"/>
  <c r="C97" i="4"/>
  <c r="O97" i="4"/>
  <c r="Y97" i="4"/>
  <c r="B98" i="4"/>
  <c r="N98" i="4"/>
  <c r="X98" i="4"/>
  <c r="A99" i="4"/>
  <c r="M99" i="4"/>
  <c r="V99" i="4"/>
  <c r="AE99" i="4"/>
  <c r="G100" i="4"/>
  <c r="P100" i="4"/>
  <c r="Y100" i="4"/>
  <c r="B101" i="4"/>
  <c r="K101" i="4"/>
  <c r="T101" i="4"/>
  <c r="AC101" i="4"/>
  <c r="E102" i="4"/>
  <c r="N102" i="4"/>
  <c r="W102" i="4"/>
  <c r="AG102" i="4"/>
  <c r="I103" i="4"/>
  <c r="R103" i="4"/>
  <c r="AA103" i="4"/>
  <c r="C104" i="4"/>
  <c r="L104" i="4"/>
  <c r="U104" i="4"/>
  <c r="AE104" i="4"/>
  <c r="G105" i="4"/>
  <c r="P105" i="4"/>
  <c r="Y105" i="4"/>
  <c r="A106" i="4"/>
  <c r="J106" i="4"/>
  <c r="S106" i="4"/>
  <c r="AC106" i="4"/>
  <c r="D107" i="4"/>
  <c r="L107" i="4"/>
  <c r="T107" i="4"/>
  <c r="AB107" i="4"/>
  <c r="C108" i="4"/>
  <c r="K108" i="4"/>
  <c r="S108" i="4"/>
  <c r="AA108" i="4"/>
  <c r="B109" i="4"/>
  <c r="J109" i="4"/>
  <c r="R109" i="4"/>
  <c r="Z109" i="4"/>
  <c r="A110" i="4"/>
  <c r="I110" i="4"/>
  <c r="Q110" i="4"/>
  <c r="Y110" i="4"/>
  <c r="AG110" i="4"/>
  <c r="H111" i="4"/>
  <c r="P111" i="4"/>
  <c r="X111" i="4"/>
  <c r="AF111" i="4"/>
  <c r="G112" i="4"/>
  <c r="O112" i="4"/>
  <c r="W112" i="4"/>
  <c r="AE112" i="4"/>
  <c r="F113" i="4"/>
  <c r="N113" i="4"/>
  <c r="V113" i="4"/>
  <c r="AD113" i="4"/>
  <c r="E114" i="4"/>
  <c r="M114" i="4"/>
  <c r="U114" i="4"/>
  <c r="AC114" i="4"/>
  <c r="D115" i="4"/>
  <c r="L115" i="4"/>
  <c r="T115" i="4"/>
  <c r="AB115" i="4"/>
  <c r="C116" i="4"/>
  <c r="K116" i="4"/>
  <c r="S116" i="4"/>
  <c r="AA116" i="4"/>
  <c r="B117" i="4"/>
  <c r="J117" i="4"/>
  <c r="R117" i="4"/>
  <c r="Z117" i="4"/>
  <c r="A118" i="4"/>
  <c r="I118" i="4"/>
  <c r="Q118" i="4"/>
  <c r="Y118" i="4"/>
  <c r="AG118" i="4"/>
  <c r="H119" i="4"/>
  <c r="P119" i="4"/>
  <c r="X119" i="4"/>
  <c r="AF119" i="4"/>
  <c r="G120" i="4"/>
  <c r="O120" i="4"/>
  <c r="W120" i="4"/>
  <c r="AE120" i="4"/>
  <c r="F121" i="4"/>
  <c r="N121" i="4"/>
  <c r="V121" i="4"/>
  <c r="AD121" i="4"/>
  <c r="E122" i="4"/>
  <c r="M122" i="4"/>
  <c r="U122" i="4"/>
  <c r="AC122" i="4"/>
  <c r="D123" i="4"/>
  <c r="L123" i="4"/>
  <c r="T123" i="4"/>
  <c r="AB123" i="4"/>
  <c r="C124" i="4"/>
  <c r="K124" i="4"/>
  <c r="S124" i="4"/>
  <c r="AA124" i="4"/>
  <c r="B125" i="4"/>
  <c r="J125" i="4"/>
  <c r="R125" i="4"/>
  <c r="Z125" i="4"/>
  <c r="A126" i="4"/>
  <c r="I126" i="4"/>
  <c r="Q34" i="4"/>
  <c r="Q43" i="4"/>
  <c r="O49" i="4"/>
  <c r="AD53" i="4"/>
  <c r="I58" i="4"/>
  <c r="J61" i="4"/>
  <c r="E64" i="4"/>
  <c r="R66" i="4"/>
  <c r="Y68" i="4"/>
  <c r="X70" i="4"/>
  <c r="V72" i="4"/>
  <c r="G74" i="4"/>
  <c r="P75" i="4"/>
  <c r="Z76" i="4"/>
  <c r="C78" i="4"/>
  <c r="L79" i="4"/>
  <c r="V80" i="4"/>
  <c r="AA81" i="4"/>
  <c r="AE82" i="4"/>
  <c r="A84" i="4"/>
  <c r="E85" i="4"/>
  <c r="H86" i="4"/>
  <c r="L87" i="4"/>
  <c r="B88" i="4"/>
  <c r="Y88" i="4"/>
  <c r="J89" i="4"/>
  <c r="AB89" i="4"/>
  <c r="M90" i="4"/>
  <c r="AF90" i="4"/>
  <c r="K91" i="4"/>
  <c r="AA91" i="4"/>
  <c r="G92" i="4"/>
  <c r="U92" i="4"/>
  <c r="AE92" i="4"/>
  <c r="H93" i="4"/>
  <c r="T93" i="4"/>
  <c r="AD93" i="4"/>
  <c r="G94" i="4"/>
  <c r="S94" i="4"/>
  <c r="AC94" i="4"/>
  <c r="F95" i="4"/>
  <c r="R95" i="4"/>
  <c r="AB95" i="4"/>
  <c r="E96" i="4"/>
  <c r="Q96" i="4"/>
  <c r="AA96" i="4"/>
  <c r="D97" i="4"/>
  <c r="P97" i="4"/>
  <c r="Z97" i="4"/>
  <c r="C98" i="4"/>
  <c r="O98" i="4"/>
  <c r="Y98" i="4"/>
  <c r="B99" i="4"/>
  <c r="N99" i="4"/>
  <c r="W99" i="4"/>
  <c r="AF99" i="4"/>
  <c r="H100" i="4"/>
  <c r="Q100" i="4"/>
  <c r="AA100" i="4"/>
  <c r="C101" i="4"/>
  <c r="L101" i="4"/>
  <c r="U101" i="4"/>
  <c r="AD101" i="4"/>
  <c r="F102" i="4"/>
  <c r="O102" i="4"/>
  <c r="Y102" i="4"/>
  <c r="A103" i="4"/>
  <c r="J103" i="4"/>
  <c r="S103" i="4"/>
  <c r="AB103" i="4"/>
  <c r="D104" i="4"/>
  <c r="M104" i="4"/>
  <c r="W104" i="4"/>
  <c r="AF104" i="4"/>
  <c r="H105" i="4"/>
  <c r="Q105" i="4"/>
  <c r="Z105" i="4"/>
  <c r="B106" i="4"/>
  <c r="K106" i="4"/>
  <c r="U106" i="4"/>
  <c r="AD106" i="4"/>
  <c r="E107" i="4"/>
  <c r="M107" i="4"/>
  <c r="U107" i="4"/>
  <c r="AC107" i="4"/>
  <c r="D108" i="4"/>
  <c r="L108" i="4"/>
  <c r="T108" i="4"/>
  <c r="AB108" i="4"/>
  <c r="C109" i="4"/>
  <c r="K109" i="4"/>
  <c r="S109" i="4"/>
  <c r="AA109" i="4"/>
  <c r="B110" i="4"/>
  <c r="J110" i="4"/>
  <c r="R110" i="4"/>
  <c r="Z110" i="4"/>
  <c r="A111" i="4"/>
  <c r="I111" i="4"/>
  <c r="Q111" i="4"/>
  <c r="Y111" i="4"/>
  <c r="AG111" i="4"/>
  <c r="H112" i="4"/>
  <c r="P112" i="4"/>
  <c r="X112" i="4"/>
  <c r="AF112" i="4"/>
  <c r="G113" i="4"/>
  <c r="O113" i="4"/>
  <c r="W113" i="4"/>
  <c r="AE113" i="4"/>
  <c r="F114" i="4"/>
  <c r="N114" i="4"/>
  <c r="V114" i="4"/>
  <c r="AD114" i="4"/>
  <c r="E115" i="4"/>
  <c r="M115" i="4"/>
  <c r="U115" i="4"/>
  <c r="AC115" i="4"/>
  <c r="D116" i="4"/>
  <c r="L116" i="4"/>
  <c r="T116" i="4"/>
  <c r="AB116" i="4"/>
  <c r="C117" i="4"/>
  <c r="K117" i="4"/>
  <c r="S117" i="4"/>
  <c r="AA117" i="4"/>
  <c r="B118" i="4"/>
  <c r="J118" i="4"/>
  <c r="R118" i="4"/>
  <c r="Z118" i="4"/>
  <c r="A119" i="4"/>
  <c r="I119" i="4"/>
  <c r="Q119" i="4"/>
  <c r="Y119" i="4"/>
  <c r="AG119" i="4"/>
  <c r="H120" i="4"/>
  <c r="P120" i="4"/>
  <c r="X120" i="4"/>
  <c r="AF120" i="4"/>
  <c r="G121" i="4"/>
  <c r="O121" i="4"/>
  <c r="W121" i="4"/>
  <c r="AE121" i="4"/>
  <c r="F122" i="4"/>
  <c r="N122" i="4"/>
  <c r="V122" i="4"/>
  <c r="AD122" i="4"/>
  <c r="E123" i="4"/>
  <c r="M123" i="4"/>
  <c r="U123" i="4"/>
  <c r="AC123" i="4"/>
  <c r="D124" i="4"/>
  <c r="L124" i="4"/>
  <c r="T124" i="4"/>
  <c r="AB124" i="4"/>
  <c r="C125" i="4"/>
  <c r="AG112" i="4"/>
  <c r="D137" i="4"/>
  <c r="D63" i="4"/>
  <c r="AE71" i="4"/>
  <c r="T77" i="4"/>
  <c r="Q82" i="4"/>
  <c r="AE86" i="4"/>
  <c r="U89" i="4"/>
  <c r="T91" i="4"/>
  <c r="E93" i="4"/>
  <c r="N94" i="4"/>
  <c r="Y95" i="4"/>
  <c r="A97" i="4"/>
  <c r="J98" i="4"/>
  <c r="T99" i="4"/>
  <c r="W100" i="4"/>
  <c r="AA101" i="4"/>
  <c r="AD102" i="4"/>
  <c r="A104" i="4"/>
  <c r="D105" i="4"/>
  <c r="H106" i="4"/>
  <c r="J107" i="4"/>
  <c r="I108" i="4"/>
  <c r="H109" i="4"/>
  <c r="G110" i="4"/>
  <c r="F111" i="4"/>
  <c r="E112" i="4"/>
  <c r="D113" i="4"/>
  <c r="C114" i="4"/>
  <c r="B115" i="4"/>
  <c r="A116" i="4"/>
  <c r="AG116" i="4"/>
  <c r="AF117" i="4"/>
  <c r="AE118" i="4"/>
  <c r="AD119" i="4"/>
  <c r="AC120" i="4"/>
  <c r="AB121" i="4"/>
  <c r="AA122" i="4"/>
  <c r="Z123" i="4"/>
  <c r="Y124" i="4"/>
  <c r="S125" i="4"/>
  <c r="G126" i="4"/>
  <c r="Y126" i="4"/>
  <c r="H127" i="4"/>
  <c r="X127" i="4"/>
  <c r="G128" i="4"/>
  <c r="U128" i="4"/>
  <c r="AE128" i="4"/>
  <c r="H129" i="4"/>
  <c r="T129" i="4"/>
  <c r="AD129" i="4"/>
  <c r="G130" i="4"/>
  <c r="S130" i="4"/>
  <c r="AC130" i="4"/>
  <c r="F131" i="4"/>
  <c r="R131" i="4"/>
  <c r="AB131" i="4"/>
  <c r="E132" i="4"/>
  <c r="Q132" i="4"/>
  <c r="AA132" i="4"/>
  <c r="D133" i="4"/>
  <c r="P133" i="4"/>
  <c r="Z133" i="4"/>
  <c r="C134" i="4"/>
  <c r="O134" i="4"/>
  <c r="X134" i="4"/>
  <c r="AF134" i="4"/>
  <c r="G135" i="4"/>
  <c r="O135" i="4"/>
  <c r="W135" i="4"/>
  <c r="AE135" i="4"/>
  <c r="F136" i="4"/>
  <c r="N136" i="4"/>
  <c r="V136" i="4"/>
  <c r="AD136" i="4"/>
  <c r="E137" i="4"/>
  <c r="M137" i="4"/>
  <c r="U137" i="4"/>
  <c r="AC137" i="4"/>
  <c r="D138" i="4"/>
  <c r="L138" i="4"/>
  <c r="T138" i="4"/>
  <c r="AB138" i="4"/>
  <c r="C139" i="4"/>
  <c r="K139" i="4"/>
  <c r="S139" i="4"/>
  <c r="AA139" i="4"/>
  <c r="B140" i="4"/>
  <c r="J140" i="4"/>
  <c r="R140" i="4"/>
  <c r="Z140" i="4"/>
  <c r="A141" i="4"/>
  <c r="I141" i="4"/>
  <c r="Q141" i="4"/>
  <c r="Y141" i="4"/>
  <c r="AG141" i="4"/>
  <c r="R79" i="4"/>
  <c r="P90" i="4"/>
  <c r="AD94" i="4"/>
  <c r="Q97" i="4"/>
  <c r="G102" i="4"/>
  <c r="R105" i="4"/>
  <c r="U108" i="4"/>
  <c r="Q112" i="4"/>
  <c r="N115" i="4"/>
  <c r="K118" i="4"/>
  <c r="H121" i="4"/>
  <c r="E124" i="4"/>
  <c r="O126" i="4"/>
  <c r="AD127" i="4"/>
  <c r="C129" i="4"/>
  <c r="B130" i="4"/>
  <c r="A131" i="4"/>
  <c r="AG131" i="4"/>
  <c r="AF132" i="4"/>
  <c r="AE133" i="4"/>
  <c r="B135" i="4"/>
  <c r="A136" i="4"/>
  <c r="Y136" i="4"/>
  <c r="P137" i="4"/>
  <c r="G138" i="4"/>
  <c r="F139" i="4"/>
  <c r="AD139" i="4"/>
  <c r="M140" i="4"/>
  <c r="D141" i="4"/>
  <c r="AB141" i="4"/>
  <c r="P132" i="4"/>
  <c r="V135" i="4"/>
  <c r="L137" i="4"/>
  <c r="S138" i="4"/>
  <c r="A140" i="4"/>
  <c r="P141" i="4"/>
  <c r="O64" i="4"/>
  <c r="AD72" i="4"/>
  <c r="H78" i="4"/>
  <c r="B83" i="4"/>
  <c r="O87" i="4"/>
  <c r="AD89" i="4"/>
  <c r="AB91" i="4"/>
  <c r="K93" i="4"/>
  <c r="T94" i="4"/>
  <c r="AC95" i="4"/>
  <c r="G97" i="4"/>
  <c r="P98" i="4"/>
  <c r="X99" i="4"/>
  <c r="AB100" i="4"/>
  <c r="AE101" i="4"/>
  <c r="B103" i="4"/>
  <c r="E104" i="4"/>
  <c r="I105" i="4"/>
  <c r="M106" i="4"/>
  <c r="N107" i="4"/>
  <c r="M108" i="4"/>
  <c r="L109" i="4"/>
  <c r="K110" i="4"/>
  <c r="J111" i="4"/>
  <c r="I112" i="4"/>
  <c r="H113" i="4"/>
  <c r="G114" i="4"/>
  <c r="F115" i="4"/>
  <c r="E116" i="4"/>
  <c r="D117" i="4"/>
  <c r="C118" i="4"/>
  <c r="B119" i="4"/>
  <c r="A120" i="4"/>
  <c r="AG120" i="4"/>
  <c r="AF121" i="4"/>
  <c r="AE122" i="4"/>
  <c r="AD123" i="4"/>
  <c r="AC124" i="4"/>
  <c r="T125" i="4"/>
  <c r="J126" i="4"/>
  <c r="Z126" i="4"/>
  <c r="I127" i="4"/>
  <c r="Y127" i="4"/>
  <c r="H128" i="4"/>
  <c r="V128" i="4"/>
  <c r="AF128" i="4"/>
  <c r="K129" i="4"/>
  <c r="U129" i="4"/>
  <c r="AE129" i="4"/>
  <c r="J130" i="4"/>
  <c r="T130" i="4"/>
  <c r="AD130" i="4"/>
  <c r="I131" i="4"/>
  <c r="S131" i="4"/>
  <c r="AC131" i="4"/>
  <c r="H132" i="4"/>
  <c r="R132" i="4"/>
  <c r="AB132" i="4"/>
  <c r="G133" i="4"/>
  <c r="Q133" i="4"/>
  <c r="AA133" i="4"/>
  <c r="F134" i="4"/>
  <c r="P134" i="4"/>
  <c r="Y134" i="4"/>
  <c r="AG134" i="4"/>
  <c r="H135" i="4"/>
  <c r="P135" i="4"/>
  <c r="X135" i="4"/>
  <c r="AF135" i="4"/>
  <c r="G136" i="4"/>
  <c r="O136" i="4"/>
  <c r="W136" i="4"/>
  <c r="AE136" i="4"/>
  <c r="F137" i="4"/>
  <c r="N137" i="4"/>
  <c r="V137" i="4"/>
  <c r="AD137" i="4"/>
  <c r="E138" i="4"/>
  <c r="M138" i="4"/>
  <c r="U138" i="4"/>
  <c r="AC138" i="4"/>
  <c r="D139" i="4"/>
  <c r="L139" i="4"/>
  <c r="T139" i="4"/>
  <c r="AB139" i="4"/>
  <c r="C140" i="4"/>
  <c r="K140" i="4"/>
  <c r="S140" i="4"/>
  <c r="AA140" i="4"/>
  <c r="B141" i="4"/>
  <c r="J141" i="4"/>
  <c r="R141" i="4"/>
  <c r="Z141" i="4"/>
  <c r="L74" i="4"/>
  <c r="F84" i="4"/>
  <c r="F88" i="4"/>
  <c r="J92" i="4"/>
  <c r="H96" i="4"/>
  <c r="AG99" i="4"/>
  <c r="O104" i="4"/>
  <c r="V107" i="4"/>
  <c r="S110" i="4"/>
  <c r="P113" i="4"/>
  <c r="L117" i="4"/>
  <c r="I120" i="4"/>
  <c r="F123" i="4"/>
  <c r="AA125" i="4"/>
  <c r="N127" i="4"/>
  <c r="X128" i="4"/>
  <c r="W129" i="4"/>
  <c r="L130" i="4"/>
  <c r="K131" i="4"/>
  <c r="J132" i="4"/>
  <c r="I133" i="4"/>
  <c r="H134" i="4"/>
  <c r="J135" i="4"/>
  <c r="I136" i="4"/>
  <c r="AG136" i="4"/>
  <c r="AF137" i="4"/>
  <c r="W138" i="4"/>
  <c r="N139" i="4"/>
  <c r="E140" i="4"/>
  <c r="AC140" i="4"/>
  <c r="T141" i="4"/>
  <c r="Y133" i="4"/>
  <c r="AC136" i="4"/>
  <c r="B139" i="4"/>
  <c r="Q140" i="4"/>
  <c r="X141" i="4"/>
  <c r="X65" i="4"/>
  <c r="X73" i="4"/>
  <c r="AC78" i="4"/>
  <c r="T83" i="4"/>
  <c r="Z87" i="4"/>
  <c r="G90" i="4"/>
  <c r="C92" i="4"/>
  <c r="O93" i="4"/>
  <c r="Z94" i="4"/>
  <c r="B96" i="4"/>
  <c r="K97" i="4"/>
  <c r="V98" i="4"/>
  <c r="AC99" i="4"/>
  <c r="AF100" i="4"/>
  <c r="C102" i="4"/>
  <c r="F103" i="4"/>
  <c r="J104" i="4"/>
  <c r="N105" i="4"/>
  <c r="Q106" i="4"/>
  <c r="R107" i="4"/>
  <c r="Q108" i="4"/>
  <c r="P109" i="4"/>
  <c r="O110" i="4"/>
  <c r="N111" i="4"/>
  <c r="M112" i="4"/>
  <c r="L113" i="4"/>
  <c r="K114" i="4"/>
  <c r="J115" i="4"/>
  <c r="I116" i="4"/>
  <c r="H117" i="4"/>
  <c r="G118" i="4"/>
  <c r="F119" i="4"/>
  <c r="E120" i="4"/>
  <c r="D121" i="4"/>
  <c r="C122" i="4"/>
  <c r="B123" i="4"/>
  <c r="A124" i="4"/>
  <c r="AG124" i="4"/>
  <c r="X125" i="4"/>
  <c r="K126" i="4"/>
  <c r="AA126" i="4"/>
  <c r="J127" i="4"/>
  <c r="Z127" i="4"/>
  <c r="I128" i="4"/>
  <c r="W128" i="4"/>
  <c r="AG128" i="4"/>
  <c r="L129" i="4"/>
  <c r="V129" i="4"/>
  <c r="AF129" i="4"/>
  <c r="K130" i="4"/>
  <c r="U130" i="4"/>
  <c r="AE130" i="4"/>
  <c r="J131" i="4"/>
  <c r="T131" i="4"/>
  <c r="AD131" i="4"/>
  <c r="I132" i="4"/>
  <c r="S132" i="4"/>
  <c r="AC132" i="4"/>
  <c r="H133" i="4"/>
  <c r="R133" i="4"/>
  <c r="AB133" i="4"/>
  <c r="G134" i="4"/>
  <c r="Q134" i="4"/>
  <c r="Z134" i="4"/>
  <c r="A135" i="4"/>
  <c r="I135" i="4"/>
  <c r="Q135" i="4"/>
  <c r="Y135" i="4"/>
  <c r="AG135" i="4"/>
  <c r="H136" i="4"/>
  <c r="P136" i="4"/>
  <c r="X136" i="4"/>
  <c r="AF136" i="4"/>
  <c r="G137" i="4"/>
  <c r="O137" i="4"/>
  <c r="W137" i="4"/>
  <c r="AE137" i="4"/>
  <c r="F138" i="4"/>
  <c r="N138" i="4"/>
  <c r="V138" i="4"/>
  <c r="AD138" i="4"/>
  <c r="E139" i="4"/>
  <c r="M139" i="4"/>
  <c r="U139" i="4"/>
  <c r="AC139" i="4"/>
  <c r="D140" i="4"/>
  <c r="L140" i="4"/>
  <c r="T140" i="4"/>
  <c r="AB140" i="4"/>
  <c r="C141" i="4"/>
  <c r="K141" i="4"/>
  <c r="S141" i="4"/>
  <c r="AA141" i="4"/>
  <c r="AA66" i="4"/>
  <c r="U93" i="4"/>
  <c r="Z98" i="4"/>
  <c r="D101" i="4"/>
  <c r="K103" i="4"/>
  <c r="V106" i="4"/>
  <c r="T109" i="4"/>
  <c r="R111" i="4"/>
  <c r="O114" i="4"/>
  <c r="M116" i="4"/>
  <c r="J119" i="4"/>
  <c r="G122" i="4"/>
  <c r="D125" i="4"/>
  <c r="AE126" i="4"/>
  <c r="M128" i="4"/>
  <c r="M129" i="4"/>
  <c r="V130" i="4"/>
  <c r="U131" i="4"/>
  <c r="T132" i="4"/>
  <c r="S133" i="4"/>
  <c r="R134" i="4"/>
  <c r="AA134" i="4"/>
  <c r="Z135" i="4"/>
  <c r="Q136" i="4"/>
  <c r="H137" i="4"/>
  <c r="X137" i="4"/>
  <c r="O138" i="4"/>
  <c r="AE138" i="4"/>
  <c r="V139" i="4"/>
  <c r="U140" i="4"/>
  <c r="L141" i="4"/>
  <c r="D132" i="4"/>
  <c r="M136" i="4"/>
  <c r="K138" i="4"/>
  <c r="I140" i="4"/>
  <c r="AF141" i="4"/>
  <c r="R135" i="4"/>
  <c r="AE67" i="4"/>
  <c r="AG74" i="4"/>
  <c r="F80" i="4"/>
  <c r="X84" i="4"/>
  <c r="R88" i="4"/>
  <c r="Y90" i="4"/>
  <c r="O92" i="4"/>
  <c r="AA93" i="4"/>
  <c r="C95" i="4"/>
  <c r="L96" i="4"/>
  <c r="W97" i="4"/>
  <c r="AF98" i="4"/>
  <c r="E100" i="4"/>
  <c r="H101" i="4"/>
  <c r="L102" i="4"/>
  <c r="P103" i="4"/>
  <c r="S104" i="4"/>
  <c r="W105" i="4"/>
  <c r="Z106" i="4"/>
  <c r="Z107" i="4"/>
  <c r="Y108" i="4"/>
  <c r="X109" i="4"/>
  <c r="W110" i="4"/>
  <c r="V111" i="4"/>
  <c r="U112" i="4"/>
  <c r="T113" i="4"/>
  <c r="S114" i="4"/>
  <c r="R115" i="4"/>
  <c r="Q116" i="4"/>
  <c r="P117" i="4"/>
  <c r="O118" i="4"/>
  <c r="N119" i="4"/>
  <c r="M120" i="4"/>
  <c r="L121" i="4"/>
  <c r="K122" i="4"/>
  <c r="J123" i="4"/>
  <c r="I124" i="4"/>
  <c r="H125" i="4"/>
  <c r="AB125" i="4"/>
  <c r="Q126" i="4"/>
  <c r="AG126" i="4"/>
  <c r="P127" i="4"/>
  <c r="AF127" i="4"/>
  <c r="O128" i="4"/>
  <c r="Y128" i="4"/>
  <c r="D129" i="4"/>
  <c r="N129" i="4"/>
  <c r="X129" i="4"/>
  <c r="C130" i="4"/>
  <c r="M130" i="4"/>
  <c r="W130" i="4"/>
  <c r="B131" i="4"/>
  <c r="L131" i="4"/>
  <c r="V131" i="4"/>
  <c r="A132" i="4"/>
  <c r="K132" i="4"/>
  <c r="U132" i="4"/>
  <c r="AG132" i="4"/>
  <c r="J133" i="4"/>
  <c r="T133" i="4"/>
  <c r="AF133" i="4"/>
  <c r="I134" i="4"/>
  <c r="S134" i="4"/>
  <c r="AB134" i="4"/>
  <c r="C135" i="4"/>
  <c r="K135" i="4"/>
  <c r="S135" i="4"/>
  <c r="AA135" i="4"/>
  <c r="B136" i="4"/>
  <c r="J136" i="4"/>
  <c r="R136" i="4"/>
  <c r="Z136" i="4"/>
  <c r="A137" i="4"/>
  <c r="I137" i="4"/>
  <c r="Q137" i="4"/>
  <c r="Y137" i="4"/>
  <c r="AG137" i="4"/>
  <c r="H138" i="4"/>
  <c r="P138" i="4"/>
  <c r="X138" i="4"/>
  <c r="AF138" i="4"/>
  <c r="G139" i="4"/>
  <c r="O139" i="4"/>
  <c r="W139" i="4"/>
  <c r="AE139" i="4"/>
  <c r="F140" i="4"/>
  <c r="N140" i="4"/>
  <c r="V140" i="4"/>
  <c r="AD140" i="4"/>
  <c r="E141" i="4"/>
  <c r="M141" i="4"/>
  <c r="U141" i="4"/>
  <c r="AC141" i="4"/>
  <c r="AF70" i="4"/>
  <c r="AF81" i="4"/>
  <c r="L89" i="4"/>
  <c r="AF92" i="4"/>
  <c r="S95" i="4"/>
  <c r="F98" i="4"/>
  <c r="S100" i="4"/>
  <c r="Z102" i="4"/>
  <c r="AG104" i="4"/>
  <c r="F107" i="4"/>
  <c r="E108" i="4"/>
  <c r="C110" i="4"/>
  <c r="A112" i="4"/>
  <c r="AF113" i="4"/>
  <c r="AD115" i="4"/>
  <c r="AB117" i="4"/>
  <c r="Z119" i="4"/>
  <c r="X121" i="4"/>
  <c r="U124" i="4"/>
  <c r="C126" i="4"/>
  <c r="F127" i="4"/>
  <c r="T128" i="4"/>
  <c r="G129" i="4"/>
  <c r="AC129" i="4"/>
  <c r="F130" i="4"/>
  <c r="AB130" i="4"/>
  <c r="AA131" i="4"/>
  <c r="C133" i="4"/>
  <c r="N134" i="4"/>
  <c r="AE134" i="4"/>
  <c r="N135" i="4"/>
  <c r="U136" i="4"/>
  <c r="C138" i="4"/>
  <c r="J139" i="4"/>
  <c r="Y140" i="4"/>
  <c r="A69" i="4"/>
  <c r="V75" i="4"/>
  <c r="AA80" i="4"/>
  <c r="I85" i="4"/>
  <c r="AA88" i="4"/>
  <c r="AG90" i="4"/>
  <c r="V92" i="4"/>
  <c r="AE93" i="4"/>
  <c r="I95" i="4"/>
  <c r="R96" i="4"/>
  <c r="AA97" i="4"/>
  <c r="E99" i="4"/>
  <c r="I100" i="4"/>
  <c r="M101" i="4"/>
  <c r="Q102" i="4"/>
  <c r="T103" i="4"/>
  <c r="X104" i="4"/>
  <c r="AA105" i="4"/>
  <c r="AE106" i="4"/>
  <c r="AD107" i="4"/>
  <c r="AC108" i="4"/>
  <c r="AB109" i="4"/>
  <c r="AA110" i="4"/>
  <c r="Z111" i="4"/>
  <c r="Y112" i="4"/>
  <c r="X113" i="4"/>
  <c r="W114" i="4"/>
  <c r="V115" i="4"/>
  <c r="U116" i="4"/>
  <c r="T117" i="4"/>
  <c r="S118" i="4"/>
  <c r="R119" i="4"/>
  <c r="Q120" i="4"/>
  <c r="P121" i="4"/>
  <c r="O122" i="4"/>
  <c r="N123" i="4"/>
  <c r="M124" i="4"/>
  <c r="K125" i="4"/>
  <c r="AF125" i="4"/>
  <c r="R126" i="4"/>
  <c r="A127" i="4"/>
  <c r="Q127" i="4"/>
  <c r="AG127" i="4"/>
  <c r="P128" i="4"/>
  <c r="AB128" i="4"/>
  <c r="E129" i="4"/>
  <c r="O129" i="4"/>
  <c r="AA129" i="4"/>
  <c r="D130" i="4"/>
  <c r="N130" i="4"/>
  <c r="Z130" i="4"/>
  <c r="C131" i="4"/>
  <c r="M131" i="4"/>
  <c r="Y131" i="4"/>
  <c r="B132" i="4"/>
  <c r="L132" i="4"/>
  <c r="X132" i="4"/>
  <c r="A133" i="4"/>
  <c r="K133" i="4"/>
  <c r="W133" i="4"/>
  <c r="AG133" i="4"/>
  <c r="J134" i="4"/>
  <c r="T134" i="4"/>
  <c r="AC134" i="4"/>
  <c r="D135" i="4"/>
  <c r="L135" i="4"/>
  <c r="T135" i="4"/>
  <c r="AB135" i="4"/>
  <c r="C136" i="4"/>
  <c r="K136" i="4"/>
  <c r="S136" i="4"/>
  <c r="AA136" i="4"/>
  <c r="B137" i="4"/>
  <c r="J137" i="4"/>
  <c r="R137" i="4"/>
  <c r="Z137" i="4"/>
  <c r="A138" i="4"/>
  <c r="I138" i="4"/>
  <c r="Q138" i="4"/>
  <c r="Y138" i="4"/>
  <c r="AG138" i="4"/>
  <c r="H139" i="4"/>
  <c r="P139" i="4"/>
  <c r="X139" i="4"/>
  <c r="AF139" i="4"/>
  <c r="G140" i="4"/>
  <c r="O140" i="4"/>
  <c r="W140" i="4"/>
  <c r="AE140" i="4"/>
  <c r="F141" i="4"/>
  <c r="N141" i="4"/>
  <c r="V141" i="4"/>
  <c r="AD141" i="4"/>
  <c r="V61" i="4"/>
  <c r="AE76" i="4"/>
  <c r="M86" i="4"/>
  <c r="L91" i="4"/>
  <c r="J94" i="4"/>
  <c r="AB96" i="4"/>
  <c r="O99" i="4"/>
  <c r="V101" i="4"/>
  <c r="AC103" i="4"/>
  <c r="C106" i="4"/>
  <c r="D109" i="4"/>
  <c r="B111" i="4"/>
  <c r="AE114" i="4"/>
  <c r="AC116" i="4"/>
  <c r="AA118" i="4"/>
  <c r="Y120" i="4"/>
  <c r="W122" i="4"/>
  <c r="V123" i="4"/>
  <c r="P125" i="4"/>
  <c r="W126" i="4"/>
  <c r="E128" i="4"/>
  <c r="AD128" i="4"/>
  <c r="S129" i="4"/>
  <c r="R130" i="4"/>
  <c r="E131" i="4"/>
  <c r="Q131" i="4"/>
  <c r="Z132" i="4"/>
  <c r="O133" i="4"/>
  <c r="W134" i="4"/>
  <c r="F135" i="4"/>
  <c r="E136" i="4"/>
  <c r="AB137" i="4"/>
  <c r="R139" i="4"/>
  <c r="H141" i="4"/>
  <c r="AG69" i="4"/>
  <c r="J76" i="4"/>
  <c r="M81" i="4"/>
  <c r="AB85" i="4"/>
  <c r="C89" i="4"/>
  <c r="H91" i="4"/>
  <c r="AB92" i="4"/>
  <c r="D94" i="4"/>
  <c r="M95" i="4"/>
  <c r="X96" i="4"/>
  <c r="AG97" i="4"/>
  <c r="I99" i="4"/>
  <c r="N100" i="4"/>
  <c r="R101" i="4"/>
  <c r="U102" i="4"/>
  <c r="Y103" i="4"/>
  <c r="AB104" i="4"/>
  <c r="AF105" i="4"/>
  <c r="B107" i="4"/>
  <c r="A108" i="4"/>
  <c r="AG108" i="4"/>
  <c r="AF109" i="4"/>
  <c r="AE110" i="4"/>
  <c r="AD111" i="4"/>
  <c r="AC112" i="4"/>
  <c r="AB113" i="4"/>
  <c r="AA114" i="4"/>
  <c r="Z115" i="4"/>
  <c r="Y116" i="4"/>
  <c r="X117" i="4"/>
  <c r="W118" i="4"/>
  <c r="V119" i="4"/>
  <c r="U120" i="4"/>
  <c r="T121" i="4"/>
  <c r="S122" i="4"/>
  <c r="R123" i="4"/>
  <c r="Q124" i="4"/>
  <c r="L125" i="4"/>
  <c r="B126" i="4"/>
  <c r="S126" i="4"/>
  <c r="B127" i="4"/>
  <c r="R127" i="4"/>
  <c r="A128" i="4"/>
  <c r="Q128" i="4"/>
  <c r="AC128" i="4"/>
  <c r="F129" i="4"/>
  <c r="P129" i="4"/>
  <c r="AB129" i="4"/>
  <c r="E130" i="4"/>
  <c r="O130" i="4"/>
  <c r="AA130" i="4"/>
  <c r="D131" i="4"/>
  <c r="N131" i="4"/>
  <c r="Z131" i="4"/>
  <c r="C132" i="4"/>
  <c r="M132" i="4"/>
  <c r="Y132" i="4"/>
  <c r="B133" i="4"/>
  <c r="L133" i="4"/>
  <c r="X133" i="4"/>
  <c r="A134" i="4"/>
  <c r="K134" i="4"/>
  <c r="V134" i="4"/>
  <c r="AD134" i="4"/>
  <c r="E135" i="4"/>
  <c r="M135" i="4"/>
  <c r="U135" i="4"/>
  <c r="AC135" i="4"/>
  <c r="D136" i="4"/>
  <c r="L136" i="4"/>
  <c r="T136" i="4"/>
  <c r="AB136" i="4"/>
  <c r="C137" i="4"/>
  <c r="K137" i="4"/>
  <c r="S137" i="4"/>
  <c r="AA137" i="4"/>
  <c r="B138" i="4"/>
  <c r="J138" i="4"/>
  <c r="R138" i="4"/>
  <c r="Z138" i="4"/>
  <c r="A139" i="4"/>
  <c r="I139" i="4"/>
  <c r="Q139" i="4"/>
  <c r="Y139" i="4"/>
  <c r="AG139" i="4"/>
  <c r="H140" i="4"/>
  <c r="P140" i="4"/>
  <c r="X140" i="4"/>
  <c r="AF140" i="4"/>
  <c r="G141" i="4"/>
  <c r="O141" i="4"/>
  <c r="W141" i="4"/>
  <c r="AE141" i="4"/>
  <c r="V127" i="4"/>
  <c r="B134" i="4"/>
  <c r="AD135" i="4"/>
  <c r="T137" i="4"/>
  <c r="AA138" i="4"/>
  <c r="Z139" i="4"/>
  <c r="AG140" i="4"/>
  <c r="D10" i="1"/>
  <c r="B34" i="3" s="1"/>
  <c r="J4" i="3" s="1"/>
  <c r="B21" i="1"/>
  <c r="B44" i="1"/>
  <c r="D44" i="1"/>
  <c r="B32" i="3"/>
  <c r="D52" i="1"/>
  <c r="R14" i="1" s="1"/>
  <c r="D51" i="1"/>
  <c r="D61" i="1"/>
  <c r="D50" i="1"/>
  <c r="G52" i="1" s="1"/>
  <c r="B25" i="3"/>
  <c r="D14" i="3"/>
  <c r="D5" i="3"/>
  <c r="D62" i="1" l="1"/>
  <c r="B45" i="3" s="1"/>
  <c r="G58" i="1"/>
  <c r="G63" i="1"/>
  <c r="D13" i="1"/>
  <c r="G11" i="1"/>
  <c r="G10" i="1"/>
  <c r="D12" i="1"/>
  <c r="B26" i="3" s="1"/>
  <c r="G13" i="1"/>
  <c r="G12" i="1"/>
  <c r="D55" i="1"/>
  <c r="D53" i="1" s="1"/>
  <c r="D54" i="1"/>
  <c r="B13" i="3" s="1"/>
  <c r="G51" i="1"/>
  <c r="G49" i="1"/>
  <c r="G48" i="1"/>
  <c r="G47" i="1"/>
  <c r="G59" i="1"/>
  <c r="G62" i="1"/>
  <c r="G60" i="1"/>
  <c r="D65" i="1"/>
  <c r="B39" i="3" s="1"/>
  <c r="D66" i="1"/>
  <c r="D64" i="1" s="1"/>
  <c r="B50" i="1" l="1"/>
  <c r="D63" i="1"/>
  <c r="B47" i="3" s="1"/>
  <c r="B40" i="3"/>
  <c r="B41" i="3"/>
  <c r="B14" i="3"/>
  <c r="B15" i="3"/>
  <c r="D11" i="1"/>
  <c r="B27" i="3" s="1"/>
  <c r="B28" i="3"/>
  <c r="C12" i="1"/>
  <c r="B31" i="3"/>
  <c r="B33" i="3"/>
  <c r="B30" i="3"/>
  <c r="B35" i="3"/>
  <c r="B29" i="3"/>
  <c r="B61" i="1" l="1"/>
  <c r="C67" i="1" s="1"/>
  <c r="C56" i="1"/>
  <c r="B14" i="1"/>
  <c r="C14" i="1" s="1"/>
  <c r="B38" i="3"/>
  <c r="B44" i="3"/>
  <c r="B43" i="3"/>
  <c r="B42" i="3"/>
  <c r="B48" i="3"/>
  <c r="B46" i="3"/>
  <c r="B12" i="3"/>
  <c r="B22" i="3"/>
  <c r="B18" i="3"/>
  <c r="B17" i="3"/>
  <c r="B16" i="3"/>
  <c r="B20" i="3"/>
  <c r="B21" i="3"/>
  <c r="J3" i="3" s="1"/>
  <c r="B19" i="3"/>
  <c r="J6" i="3" a="1"/>
  <c r="Q6" i="3" l="1"/>
  <c r="L7" i="3"/>
  <c r="T7" i="3"/>
  <c r="O8" i="3"/>
  <c r="J9" i="3"/>
  <c r="R9" i="3"/>
  <c r="M10" i="3"/>
  <c r="U10" i="3"/>
  <c r="P11" i="3"/>
  <c r="K12" i="3"/>
  <c r="S12" i="3"/>
  <c r="N13" i="3"/>
  <c r="V13" i="3"/>
  <c r="Q14" i="3"/>
  <c r="L15" i="3"/>
  <c r="T15" i="3"/>
  <c r="O16" i="3"/>
  <c r="J17" i="3"/>
  <c r="R17" i="3"/>
  <c r="M18" i="3"/>
  <c r="U18" i="3"/>
  <c r="P19" i="3"/>
  <c r="K20" i="3"/>
  <c r="S20" i="3"/>
  <c r="N21" i="3"/>
  <c r="V21" i="3"/>
  <c r="Q22" i="3"/>
  <c r="L23" i="3"/>
  <c r="T23" i="3"/>
  <c r="O24" i="3"/>
  <c r="J25" i="3"/>
  <c r="R25" i="3"/>
  <c r="M26" i="3"/>
  <c r="U26" i="3"/>
  <c r="P27" i="3"/>
  <c r="K28" i="3"/>
  <c r="S28" i="3"/>
  <c r="N29" i="3"/>
  <c r="V29" i="3"/>
  <c r="Q30" i="3"/>
  <c r="L31" i="3"/>
  <c r="T31" i="3"/>
  <c r="O32" i="3"/>
  <c r="J33" i="3"/>
  <c r="R33" i="3"/>
  <c r="M34" i="3"/>
  <c r="U34" i="3"/>
  <c r="P35" i="3"/>
  <c r="K36" i="3"/>
  <c r="S36" i="3"/>
  <c r="N37" i="3"/>
  <c r="V37" i="3"/>
  <c r="Q38" i="3"/>
  <c r="L39" i="3"/>
  <c r="T39" i="3"/>
  <c r="O40" i="3"/>
  <c r="J41" i="3"/>
  <c r="R41" i="3"/>
  <c r="M42" i="3"/>
  <c r="U42" i="3"/>
  <c r="P43" i="3"/>
  <c r="K44" i="3"/>
  <c r="S44" i="3"/>
  <c r="N45" i="3"/>
  <c r="V45" i="3"/>
  <c r="Q46" i="3"/>
  <c r="L47" i="3"/>
  <c r="T47" i="3"/>
  <c r="O48" i="3"/>
  <c r="J49" i="3"/>
  <c r="R49" i="3"/>
  <c r="M50" i="3"/>
  <c r="U50" i="3"/>
  <c r="P51" i="3"/>
  <c r="K52" i="3"/>
  <c r="S52" i="3"/>
  <c r="N53" i="3"/>
  <c r="V53" i="3"/>
  <c r="Q54" i="3"/>
  <c r="L55" i="3"/>
  <c r="T55" i="3"/>
  <c r="O56" i="3"/>
  <c r="J57" i="3"/>
  <c r="R57" i="3"/>
  <c r="J6" i="3"/>
  <c r="R6" i="3"/>
  <c r="M7" i="3"/>
  <c r="U7" i="3"/>
  <c r="P8" i="3"/>
  <c r="K9" i="3"/>
  <c r="S9" i="3"/>
  <c r="N10" i="3"/>
  <c r="V10" i="3"/>
  <c r="Q11" i="3"/>
  <c r="L12" i="3"/>
  <c r="T12" i="3"/>
  <c r="O13" i="3"/>
  <c r="J14" i="3"/>
  <c r="R14" i="3"/>
  <c r="M15" i="3"/>
  <c r="U15" i="3"/>
  <c r="P16" i="3"/>
  <c r="K17" i="3"/>
  <c r="S17" i="3"/>
  <c r="N18" i="3"/>
  <c r="V18" i="3"/>
  <c r="Q19" i="3"/>
  <c r="L20" i="3"/>
  <c r="T20" i="3"/>
  <c r="O21" i="3"/>
  <c r="J22" i="3"/>
  <c r="R22" i="3"/>
  <c r="M23" i="3"/>
  <c r="U23" i="3"/>
  <c r="P24" i="3"/>
  <c r="K25" i="3"/>
  <c r="S25" i="3"/>
  <c r="N26" i="3"/>
  <c r="V26" i="3"/>
  <c r="Q27" i="3"/>
  <c r="L28" i="3"/>
  <c r="T28" i="3"/>
  <c r="O29" i="3"/>
  <c r="J30" i="3"/>
  <c r="R30" i="3"/>
  <c r="M31" i="3"/>
  <c r="U31" i="3"/>
  <c r="P32" i="3"/>
  <c r="K33" i="3"/>
  <c r="S33" i="3"/>
  <c r="N34" i="3"/>
  <c r="V34" i="3"/>
  <c r="Q35" i="3"/>
  <c r="L36" i="3"/>
  <c r="T36" i="3"/>
  <c r="O37" i="3"/>
  <c r="J38" i="3"/>
  <c r="R38" i="3"/>
  <c r="M39" i="3"/>
  <c r="U39" i="3"/>
  <c r="P40" i="3"/>
  <c r="K41" i="3"/>
  <c r="S41" i="3"/>
  <c r="N42" i="3"/>
  <c r="V42" i="3"/>
  <c r="Q43" i="3"/>
  <c r="L44" i="3"/>
  <c r="T44" i="3"/>
  <c r="O45" i="3"/>
  <c r="J46" i="3"/>
  <c r="R46" i="3"/>
  <c r="M47" i="3"/>
  <c r="U47" i="3"/>
  <c r="P48" i="3"/>
  <c r="K49" i="3"/>
  <c r="S49" i="3"/>
  <c r="N50" i="3"/>
  <c r="V50" i="3"/>
  <c r="Q51" i="3"/>
  <c r="L52" i="3"/>
  <c r="T52" i="3"/>
  <c r="O53" i="3"/>
  <c r="J54" i="3"/>
  <c r="R54" i="3"/>
  <c r="M55" i="3"/>
  <c r="U55" i="3"/>
  <c r="P56" i="3"/>
  <c r="K57" i="3"/>
  <c r="S57" i="3"/>
  <c r="K6" i="3"/>
  <c r="S6" i="3"/>
  <c r="N7" i="3"/>
  <c r="V7" i="3"/>
  <c r="Q8" i="3"/>
  <c r="L9" i="3"/>
  <c r="T9" i="3"/>
  <c r="O10" i="3"/>
  <c r="J11" i="3"/>
  <c r="R11" i="3"/>
  <c r="M12" i="3"/>
  <c r="U12" i="3"/>
  <c r="P13" i="3"/>
  <c r="K14" i="3"/>
  <c r="S14" i="3"/>
  <c r="N15" i="3"/>
  <c r="V15" i="3"/>
  <c r="Q16" i="3"/>
  <c r="L17" i="3"/>
  <c r="T17" i="3"/>
  <c r="O18" i="3"/>
  <c r="J19" i="3"/>
  <c r="R19" i="3"/>
  <c r="M20" i="3"/>
  <c r="U20" i="3"/>
  <c r="P21" i="3"/>
  <c r="K22" i="3"/>
  <c r="S22" i="3"/>
  <c r="N23" i="3"/>
  <c r="V23" i="3"/>
  <c r="Q24" i="3"/>
  <c r="L25" i="3"/>
  <c r="T25" i="3"/>
  <c r="O26" i="3"/>
  <c r="J27" i="3"/>
  <c r="R27" i="3"/>
  <c r="M28" i="3"/>
  <c r="U28" i="3"/>
  <c r="P29" i="3"/>
  <c r="K30" i="3"/>
  <c r="S30" i="3"/>
  <c r="N31" i="3"/>
  <c r="V31" i="3"/>
  <c r="Q32" i="3"/>
  <c r="L33" i="3"/>
  <c r="T33" i="3"/>
  <c r="O34" i="3"/>
  <c r="J35" i="3"/>
  <c r="R35" i="3"/>
  <c r="M36" i="3"/>
  <c r="U36" i="3"/>
  <c r="P37" i="3"/>
  <c r="K38" i="3"/>
  <c r="S38" i="3"/>
  <c r="N39" i="3"/>
  <c r="V39" i="3"/>
  <c r="Q40" i="3"/>
  <c r="L41" i="3"/>
  <c r="T41" i="3"/>
  <c r="O42" i="3"/>
  <c r="J43" i="3"/>
  <c r="R43" i="3"/>
  <c r="M44" i="3"/>
  <c r="U44" i="3"/>
  <c r="P45" i="3"/>
  <c r="K46" i="3"/>
  <c r="S46" i="3"/>
  <c r="N47" i="3"/>
  <c r="V47" i="3"/>
  <c r="Q48" i="3"/>
  <c r="L49" i="3"/>
  <c r="T49" i="3"/>
  <c r="O50" i="3"/>
  <c r="J51" i="3"/>
  <c r="R51" i="3"/>
  <c r="M52" i="3"/>
  <c r="U52" i="3"/>
  <c r="P53" i="3"/>
  <c r="K54" i="3"/>
  <c r="S54" i="3"/>
  <c r="N55" i="3"/>
  <c r="V55" i="3"/>
  <c r="Q56" i="3"/>
  <c r="L57" i="3"/>
  <c r="T57" i="3"/>
  <c r="L6" i="3"/>
  <c r="T6" i="3"/>
  <c r="O7" i="3"/>
  <c r="J8" i="3"/>
  <c r="R8" i="3"/>
  <c r="M9" i="3"/>
  <c r="U9" i="3"/>
  <c r="P10" i="3"/>
  <c r="K11" i="3"/>
  <c r="S11" i="3"/>
  <c r="N12" i="3"/>
  <c r="V12" i="3"/>
  <c r="Q13" i="3"/>
  <c r="L14" i="3"/>
  <c r="T14" i="3"/>
  <c r="O15" i="3"/>
  <c r="J16" i="3"/>
  <c r="R16" i="3"/>
  <c r="M17" i="3"/>
  <c r="U17" i="3"/>
  <c r="P18" i="3"/>
  <c r="K19" i="3"/>
  <c r="S19" i="3"/>
  <c r="N20" i="3"/>
  <c r="V20" i="3"/>
  <c r="Q21" i="3"/>
  <c r="L22" i="3"/>
  <c r="T22" i="3"/>
  <c r="O23" i="3"/>
  <c r="J24" i="3"/>
  <c r="R24" i="3"/>
  <c r="M25" i="3"/>
  <c r="U25" i="3"/>
  <c r="P26" i="3"/>
  <c r="K27" i="3"/>
  <c r="S27" i="3"/>
  <c r="N28" i="3"/>
  <c r="V28" i="3"/>
  <c r="Q29" i="3"/>
  <c r="L30" i="3"/>
  <c r="T30" i="3"/>
  <c r="O31" i="3"/>
  <c r="J32" i="3"/>
  <c r="R32" i="3"/>
  <c r="M33" i="3"/>
  <c r="U33" i="3"/>
  <c r="P34" i="3"/>
  <c r="K35" i="3"/>
  <c r="S35" i="3"/>
  <c r="N36" i="3"/>
  <c r="V36" i="3"/>
  <c r="Q37" i="3"/>
  <c r="L38" i="3"/>
  <c r="T38" i="3"/>
  <c r="O39" i="3"/>
  <c r="J40" i="3"/>
  <c r="R40" i="3"/>
  <c r="M41" i="3"/>
  <c r="U41" i="3"/>
  <c r="P42" i="3"/>
  <c r="K43" i="3"/>
  <c r="S43" i="3"/>
  <c r="N44" i="3"/>
  <c r="V44" i="3"/>
  <c r="Q45" i="3"/>
  <c r="L46" i="3"/>
  <c r="T46" i="3"/>
  <c r="O47" i="3"/>
  <c r="J48" i="3"/>
  <c r="R48" i="3"/>
  <c r="M49" i="3"/>
  <c r="U49" i="3"/>
  <c r="P50" i="3"/>
  <c r="K51" i="3"/>
  <c r="S51" i="3"/>
  <c r="N52" i="3"/>
  <c r="V52" i="3"/>
  <c r="Q53" i="3"/>
  <c r="L54" i="3"/>
  <c r="T54" i="3"/>
  <c r="O55" i="3"/>
  <c r="J56" i="3"/>
  <c r="R56" i="3"/>
  <c r="M57" i="3"/>
  <c r="U57" i="3"/>
  <c r="M6" i="3"/>
  <c r="U6" i="3"/>
  <c r="P7" i="3"/>
  <c r="K8" i="3"/>
  <c r="S8" i="3"/>
  <c r="N9" i="3"/>
  <c r="V9" i="3"/>
  <c r="Q10" i="3"/>
  <c r="L11" i="3"/>
  <c r="T11" i="3"/>
  <c r="O12" i="3"/>
  <c r="J13" i="3"/>
  <c r="R13" i="3"/>
  <c r="M14" i="3"/>
  <c r="U14" i="3"/>
  <c r="P15" i="3"/>
  <c r="K16" i="3"/>
  <c r="S16" i="3"/>
  <c r="N17" i="3"/>
  <c r="V17" i="3"/>
  <c r="Q18" i="3"/>
  <c r="L19" i="3"/>
  <c r="T19" i="3"/>
  <c r="O20" i="3"/>
  <c r="J21" i="3"/>
  <c r="R21" i="3"/>
  <c r="M22" i="3"/>
  <c r="U22" i="3"/>
  <c r="P23" i="3"/>
  <c r="K24" i="3"/>
  <c r="S24" i="3"/>
  <c r="N25" i="3"/>
  <c r="V25" i="3"/>
  <c r="Q26" i="3"/>
  <c r="L27" i="3"/>
  <c r="T27" i="3"/>
  <c r="O28" i="3"/>
  <c r="J29" i="3"/>
  <c r="R29" i="3"/>
  <c r="M30" i="3"/>
  <c r="U30" i="3"/>
  <c r="P31" i="3"/>
  <c r="K32" i="3"/>
  <c r="S32" i="3"/>
  <c r="N33" i="3"/>
  <c r="V33" i="3"/>
  <c r="Q34" i="3"/>
  <c r="L35" i="3"/>
  <c r="T35" i="3"/>
  <c r="O36" i="3"/>
  <c r="J37" i="3"/>
  <c r="R37" i="3"/>
  <c r="M38" i="3"/>
  <c r="U38" i="3"/>
  <c r="P39" i="3"/>
  <c r="K40" i="3"/>
  <c r="S40" i="3"/>
  <c r="N41" i="3"/>
  <c r="V41" i="3"/>
  <c r="Q42" i="3"/>
  <c r="L43" i="3"/>
  <c r="T43" i="3"/>
  <c r="O44" i="3"/>
  <c r="J45" i="3"/>
  <c r="R45" i="3"/>
  <c r="M46" i="3"/>
  <c r="U46" i="3"/>
  <c r="P47" i="3"/>
  <c r="K48" i="3"/>
  <c r="S48" i="3"/>
  <c r="N49" i="3"/>
  <c r="V49" i="3"/>
  <c r="Q50" i="3"/>
  <c r="L51" i="3"/>
  <c r="T51" i="3"/>
  <c r="O52" i="3"/>
  <c r="J53" i="3"/>
  <c r="R53" i="3"/>
  <c r="M54" i="3"/>
  <c r="U54" i="3"/>
  <c r="P55" i="3"/>
  <c r="K56" i="3"/>
  <c r="N6" i="3"/>
  <c r="V6" i="3"/>
  <c r="Q7" i="3"/>
  <c r="L8" i="3"/>
  <c r="T8" i="3"/>
  <c r="O9" i="3"/>
  <c r="J10" i="3"/>
  <c r="R10" i="3"/>
  <c r="M11" i="3"/>
  <c r="U11" i="3"/>
  <c r="P12" i="3"/>
  <c r="K13" i="3"/>
  <c r="S13" i="3"/>
  <c r="N14" i="3"/>
  <c r="V14" i="3"/>
  <c r="Q15" i="3"/>
  <c r="L16" i="3"/>
  <c r="T16" i="3"/>
  <c r="O17" i="3"/>
  <c r="J18" i="3"/>
  <c r="R18" i="3"/>
  <c r="M19" i="3"/>
  <c r="U19" i="3"/>
  <c r="P20" i="3"/>
  <c r="K21" i="3"/>
  <c r="S21" i="3"/>
  <c r="N22" i="3"/>
  <c r="V22" i="3"/>
  <c r="Q23" i="3"/>
  <c r="L24" i="3"/>
  <c r="T24" i="3"/>
  <c r="O25" i="3"/>
  <c r="J26" i="3"/>
  <c r="R26" i="3"/>
  <c r="M27" i="3"/>
  <c r="U27" i="3"/>
  <c r="P28" i="3"/>
  <c r="K29" i="3"/>
  <c r="S29" i="3"/>
  <c r="N30" i="3"/>
  <c r="V30" i="3"/>
  <c r="Q31" i="3"/>
  <c r="L32" i="3"/>
  <c r="T32" i="3"/>
  <c r="O33" i="3"/>
  <c r="J34" i="3"/>
  <c r="R34" i="3"/>
  <c r="M35" i="3"/>
  <c r="U35" i="3"/>
  <c r="P36" i="3"/>
  <c r="K37" i="3"/>
  <c r="S37" i="3"/>
  <c r="N38" i="3"/>
  <c r="V38" i="3"/>
  <c r="Q39" i="3"/>
  <c r="L40" i="3"/>
  <c r="T40" i="3"/>
  <c r="O41" i="3"/>
  <c r="J42" i="3"/>
  <c r="R42" i="3"/>
  <c r="M43" i="3"/>
  <c r="U43" i="3"/>
  <c r="P44" i="3"/>
  <c r="K45" i="3"/>
  <c r="S45" i="3"/>
  <c r="N46" i="3"/>
  <c r="V46" i="3"/>
  <c r="Q47" i="3"/>
  <c r="L48" i="3"/>
  <c r="T48" i="3"/>
  <c r="O49" i="3"/>
  <c r="J50" i="3"/>
  <c r="R50" i="3"/>
  <c r="M51" i="3"/>
  <c r="U51" i="3"/>
  <c r="P52" i="3"/>
  <c r="K53" i="3"/>
  <c r="S53" i="3"/>
  <c r="N54" i="3"/>
  <c r="V54" i="3"/>
  <c r="Q55" i="3"/>
  <c r="L56" i="3"/>
  <c r="T56" i="3"/>
  <c r="O57" i="3"/>
  <c r="J58" i="3"/>
  <c r="O6" i="3"/>
  <c r="U8" i="3"/>
  <c r="N11" i="3"/>
  <c r="T13" i="3"/>
  <c r="M16" i="3"/>
  <c r="S18" i="3"/>
  <c r="L21" i="3"/>
  <c r="R23" i="3"/>
  <c r="K26" i="3"/>
  <c r="Q28" i="3"/>
  <c r="J31" i="3"/>
  <c r="P33" i="3"/>
  <c r="V35" i="3"/>
  <c r="O38" i="3"/>
  <c r="U40" i="3"/>
  <c r="N43" i="3"/>
  <c r="T45" i="3"/>
  <c r="M48" i="3"/>
  <c r="S50" i="3"/>
  <c r="L53" i="3"/>
  <c r="R55" i="3"/>
  <c r="P57" i="3"/>
  <c r="P58" i="3"/>
  <c r="K59" i="3"/>
  <c r="S59" i="3"/>
  <c r="N60" i="3"/>
  <c r="V60" i="3"/>
  <c r="Q61" i="3"/>
  <c r="L62" i="3"/>
  <c r="T62" i="3"/>
  <c r="O63" i="3"/>
  <c r="J64" i="3"/>
  <c r="R64" i="3"/>
  <c r="M65" i="3"/>
  <c r="U65" i="3"/>
  <c r="P66" i="3"/>
  <c r="K67" i="3"/>
  <c r="S67" i="3"/>
  <c r="N68" i="3"/>
  <c r="V68" i="3"/>
  <c r="Q69" i="3"/>
  <c r="L70" i="3"/>
  <c r="T70" i="3"/>
  <c r="O71" i="3"/>
  <c r="J72" i="3"/>
  <c r="R72" i="3"/>
  <c r="M73" i="3"/>
  <c r="U73" i="3"/>
  <c r="P74" i="3"/>
  <c r="K75" i="3"/>
  <c r="S75" i="3"/>
  <c r="N76" i="3"/>
  <c r="V76" i="3"/>
  <c r="Q77" i="3"/>
  <c r="L78" i="3"/>
  <c r="T78" i="3"/>
  <c r="O79" i="3"/>
  <c r="J80" i="3"/>
  <c r="R80" i="3"/>
  <c r="M81" i="3"/>
  <c r="U81" i="3"/>
  <c r="P82" i="3"/>
  <c r="K83" i="3"/>
  <c r="S83" i="3"/>
  <c r="N84" i="3"/>
  <c r="V84" i="3"/>
  <c r="Q85" i="3"/>
  <c r="L86" i="3"/>
  <c r="T86" i="3"/>
  <c r="O87" i="3"/>
  <c r="J88" i="3"/>
  <c r="R88" i="3"/>
  <c r="M89" i="3"/>
  <c r="U89" i="3"/>
  <c r="P90" i="3"/>
  <c r="K91" i="3"/>
  <c r="S91" i="3"/>
  <c r="N92" i="3"/>
  <c r="V92" i="3"/>
  <c r="Q93" i="3"/>
  <c r="L94" i="3"/>
  <c r="T94" i="3"/>
  <c r="O95" i="3"/>
  <c r="J96" i="3"/>
  <c r="R96" i="3"/>
  <c r="M97" i="3"/>
  <c r="U97" i="3"/>
  <c r="P98" i="3"/>
  <c r="K99" i="3"/>
  <c r="S99" i="3"/>
  <c r="N100" i="3"/>
  <c r="V100" i="3"/>
  <c r="Q101" i="3"/>
  <c r="L102" i="3"/>
  <c r="T102" i="3"/>
  <c r="O103" i="3"/>
  <c r="J104" i="3"/>
  <c r="R104" i="3"/>
  <c r="M105" i="3"/>
  <c r="U105" i="3"/>
  <c r="P106" i="3"/>
  <c r="K107" i="3"/>
  <c r="S107" i="3"/>
  <c r="N108" i="3"/>
  <c r="V108" i="3"/>
  <c r="Q109" i="3"/>
  <c r="L110" i="3"/>
  <c r="T110" i="3"/>
  <c r="O111" i="3"/>
  <c r="J112" i="3"/>
  <c r="R112" i="3"/>
  <c r="M113" i="3"/>
  <c r="U113" i="3"/>
  <c r="P114" i="3"/>
  <c r="K115" i="3"/>
  <c r="S115" i="3"/>
  <c r="N116" i="3"/>
  <c r="V116" i="3"/>
  <c r="Q117" i="3"/>
  <c r="L118" i="3"/>
  <c r="T118" i="3"/>
  <c r="O119" i="3"/>
  <c r="J120" i="3"/>
  <c r="R120" i="3"/>
  <c r="M121" i="3"/>
  <c r="U121" i="3"/>
  <c r="P122" i="3"/>
  <c r="K123" i="3"/>
  <c r="S123" i="3"/>
  <c r="N124" i="3"/>
  <c r="V124" i="3"/>
  <c r="Q125" i="3"/>
  <c r="L126" i="3"/>
  <c r="T126" i="3"/>
  <c r="O127" i="3"/>
  <c r="P6" i="3"/>
  <c r="V8" i="3"/>
  <c r="O11" i="3"/>
  <c r="U13" i="3"/>
  <c r="N16" i="3"/>
  <c r="T18" i="3"/>
  <c r="M21" i="3"/>
  <c r="S23" i="3"/>
  <c r="L26" i="3"/>
  <c r="R28" i="3"/>
  <c r="K31" i="3"/>
  <c r="Q33" i="3"/>
  <c r="J36" i="3"/>
  <c r="P38" i="3"/>
  <c r="V40" i="3"/>
  <c r="O43" i="3"/>
  <c r="U45" i="3"/>
  <c r="N48" i="3"/>
  <c r="T50" i="3"/>
  <c r="M53" i="3"/>
  <c r="S55" i="3"/>
  <c r="Q57" i="3"/>
  <c r="Q58" i="3"/>
  <c r="L59" i="3"/>
  <c r="T59" i="3"/>
  <c r="O60" i="3"/>
  <c r="J61" i="3"/>
  <c r="R61" i="3"/>
  <c r="M62" i="3"/>
  <c r="U62" i="3"/>
  <c r="P63" i="3"/>
  <c r="K64" i="3"/>
  <c r="S64" i="3"/>
  <c r="N65" i="3"/>
  <c r="V65" i="3"/>
  <c r="Q66" i="3"/>
  <c r="L67" i="3"/>
  <c r="T67" i="3"/>
  <c r="O68" i="3"/>
  <c r="J69" i="3"/>
  <c r="R69" i="3"/>
  <c r="M70" i="3"/>
  <c r="U70" i="3"/>
  <c r="P71" i="3"/>
  <c r="K72" i="3"/>
  <c r="S72" i="3"/>
  <c r="N73" i="3"/>
  <c r="V73" i="3"/>
  <c r="Q74" i="3"/>
  <c r="L75" i="3"/>
  <c r="T75" i="3"/>
  <c r="O76" i="3"/>
  <c r="J77" i="3"/>
  <c r="R77" i="3"/>
  <c r="M78" i="3"/>
  <c r="U78" i="3"/>
  <c r="P79" i="3"/>
  <c r="K80" i="3"/>
  <c r="S80" i="3"/>
  <c r="N81" i="3"/>
  <c r="V81" i="3"/>
  <c r="Q82" i="3"/>
  <c r="L83" i="3"/>
  <c r="T83" i="3"/>
  <c r="O84" i="3"/>
  <c r="J85" i="3"/>
  <c r="R85" i="3"/>
  <c r="M86" i="3"/>
  <c r="U86" i="3"/>
  <c r="P87" i="3"/>
  <c r="K88" i="3"/>
  <c r="S88" i="3"/>
  <c r="N89" i="3"/>
  <c r="V89" i="3"/>
  <c r="Q90" i="3"/>
  <c r="L91" i="3"/>
  <c r="T91" i="3"/>
  <c r="O92" i="3"/>
  <c r="J93" i="3"/>
  <c r="R93" i="3"/>
  <c r="M94" i="3"/>
  <c r="U94" i="3"/>
  <c r="P95" i="3"/>
  <c r="K96" i="3"/>
  <c r="S96" i="3"/>
  <c r="N97" i="3"/>
  <c r="J7" i="3"/>
  <c r="P9" i="3"/>
  <c r="V11" i="3"/>
  <c r="O14" i="3"/>
  <c r="U16" i="3"/>
  <c r="N19" i="3"/>
  <c r="T21" i="3"/>
  <c r="M24" i="3"/>
  <c r="S26" i="3"/>
  <c r="L29" i="3"/>
  <c r="R31" i="3"/>
  <c r="K34" i="3"/>
  <c r="Q36" i="3"/>
  <c r="J39" i="3"/>
  <c r="P41" i="3"/>
  <c r="V43" i="3"/>
  <c r="O46" i="3"/>
  <c r="U48" i="3"/>
  <c r="N51" i="3"/>
  <c r="T53" i="3"/>
  <c r="M56" i="3"/>
  <c r="V57" i="3"/>
  <c r="R58" i="3"/>
  <c r="M59" i="3"/>
  <c r="U59" i="3"/>
  <c r="P60" i="3"/>
  <c r="K61" i="3"/>
  <c r="S61" i="3"/>
  <c r="N62" i="3"/>
  <c r="V62" i="3"/>
  <c r="Q63" i="3"/>
  <c r="L64" i="3"/>
  <c r="T64" i="3"/>
  <c r="O65" i="3"/>
  <c r="J66" i="3"/>
  <c r="R66" i="3"/>
  <c r="M67" i="3"/>
  <c r="U67" i="3"/>
  <c r="P68" i="3"/>
  <c r="K69" i="3"/>
  <c r="S69" i="3"/>
  <c r="N70" i="3"/>
  <c r="V70" i="3"/>
  <c r="Q71" i="3"/>
  <c r="L72" i="3"/>
  <c r="T72" i="3"/>
  <c r="O73" i="3"/>
  <c r="J74" i="3"/>
  <c r="R74" i="3"/>
  <c r="M75" i="3"/>
  <c r="U75" i="3"/>
  <c r="P76" i="3"/>
  <c r="K77" i="3"/>
  <c r="S77" i="3"/>
  <c r="N78" i="3"/>
  <c r="V78" i="3"/>
  <c r="Q79" i="3"/>
  <c r="L80" i="3"/>
  <c r="T80" i="3"/>
  <c r="O81" i="3"/>
  <c r="J82" i="3"/>
  <c r="R82" i="3"/>
  <c r="M83" i="3"/>
  <c r="U83" i="3"/>
  <c r="P84" i="3"/>
  <c r="K85" i="3"/>
  <c r="S85" i="3"/>
  <c r="N86" i="3"/>
  <c r="V86" i="3"/>
  <c r="Q87" i="3"/>
  <c r="L88" i="3"/>
  <c r="T88" i="3"/>
  <c r="O89" i="3"/>
  <c r="J90" i="3"/>
  <c r="R90" i="3"/>
  <c r="M91" i="3"/>
  <c r="U91" i="3"/>
  <c r="P92" i="3"/>
  <c r="K93" i="3"/>
  <c r="S93" i="3"/>
  <c r="N94" i="3"/>
  <c r="V94" i="3"/>
  <c r="Q95" i="3"/>
  <c r="L96" i="3"/>
  <c r="T96" i="3"/>
  <c r="O97" i="3"/>
  <c r="J98" i="3"/>
  <c r="R98" i="3"/>
  <c r="M99" i="3"/>
  <c r="U99" i="3"/>
  <c r="P100" i="3"/>
  <c r="K101" i="3"/>
  <c r="S101" i="3"/>
  <c r="N102" i="3"/>
  <c r="V102" i="3"/>
  <c r="Q103" i="3"/>
  <c r="L104" i="3"/>
  <c r="T104" i="3"/>
  <c r="O105" i="3"/>
  <c r="J106" i="3"/>
  <c r="R106" i="3"/>
  <c r="M107" i="3"/>
  <c r="U107" i="3"/>
  <c r="P108" i="3"/>
  <c r="K109" i="3"/>
  <c r="S109" i="3"/>
  <c r="N110" i="3"/>
  <c r="V110" i="3"/>
  <c r="Q111" i="3"/>
  <c r="L112" i="3"/>
  <c r="T112" i="3"/>
  <c r="O113" i="3"/>
  <c r="J114" i="3"/>
  <c r="R114" i="3"/>
  <c r="M115" i="3"/>
  <c r="U115" i="3"/>
  <c r="P116" i="3"/>
  <c r="K117" i="3"/>
  <c r="S117" i="3"/>
  <c r="K7" i="3"/>
  <c r="Q9" i="3"/>
  <c r="J12" i="3"/>
  <c r="P14" i="3"/>
  <c r="V16" i="3"/>
  <c r="O19" i="3"/>
  <c r="U21" i="3"/>
  <c r="N24" i="3"/>
  <c r="T26" i="3"/>
  <c r="M29" i="3"/>
  <c r="S31" i="3"/>
  <c r="L34" i="3"/>
  <c r="R36" i="3"/>
  <c r="K39" i="3"/>
  <c r="Q41" i="3"/>
  <c r="J44" i="3"/>
  <c r="P46" i="3"/>
  <c r="V48" i="3"/>
  <c r="O51" i="3"/>
  <c r="U53" i="3"/>
  <c r="N56" i="3"/>
  <c r="K58" i="3"/>
  <c r="S58" i="3"/>
  <c r="N59" i="3"/>
  <c r="V59" i="3"/>
  <c r="Q60" i="3"/>
  <c r="L61" i="3"/>
  <c r="T61" i="3"/>
  <c r="O62" i="3"/>
  <c r="J63" i="3"/>
  <c r="R63" i="3"/>
  <c r="M64" i="3"/>
  <c r="U64" i="3"/>
  <c r="P65" i="3"/>
  <c r="K66" i="3"/>
  <c r="S66" i="3"/>
  <c r="N67" i="3"/>
  <c r="V67" i="3"/>
  <c r="Q68" i="3"/>
  <c r="L69" i="3"/>
  <c r="T69" i="3"/>
  <c r="O70" i="3"/>
  <c r="J71" i="3"/>
  <c r="R71" i="3"/>
  <c r="M72" i="3"/>
  <c r="U72" i="3"/>
  <c r="P73" i="3"/>
  <c r="K74" i="3"/>
  <c r="S74" i="3"/>
  <c r="N75" i="3"/>
  <c r="V75" i="3"/>
  <c r="Q76" i="3"/>
  <c r="L77" i="3"/>
  <c r="T77" i="3"/>
  <c r="O78" i="3"/>
  <c r="J79" i="3"/>
  <c r="R79" i="3"/>
  <c r="M80" i="3"/>
  <c r="U80" i="3"/>
  <c r="P81" i="3"/>
  <c r="K82" i="3"/>
  <c r="S82" i="3"/>
  <c r="N83" i="3"/>
  <c r="V83" i="3"/>
  <c r="Q84" i="3"/>
  <c r="L85" i="3"/>
  <c r="T85" i="3"/>
  <c r="R7" i="3"/>
  <c r="K10" i="3"/>
  <c r="Q12" i="3"/>
  <c r="J15" i="3"/>
  <c r="P17" i="3"/>
  <c r="V19" i="3"/>
  <c r="O22" i="3"/>
  <c r="U24" i="3"/>
  <c r="N27" i="3"/>
  <c r="T29" i="3"/>
  <c r="M32" i="3"/>
  <c r="S34" i="3"/>
  <c r="L37" i="3"/>
  <c r="R39" i="3"/>
  <c r="K42" i="3"/>
  <c r="Q44" i="3"/>
  <c r="J47" i="3"/>
  <c r="P49" i="3"/>
  <c r="V51" i="3"/>
  <c r="O54" i="3"/>
  <c r="S56" i="3"/>
  <c r="L58" i="3"/>
  <c r="T58" i="3"/>
  <c r="O59" i="3"/>
  <c r="J60" i="3"/>
  <c r="R60" i="3"/>
  <c r="M61" i="3"/>
  <c r="U61" i="3"/>
  <c r="P62" i="3"/>
  <c r="K63" i="3"/>
  <c r="S63" i="3"/>
  <c r="N64" i="3"/>
  <c r="V64" i="3"/>
  <c r="Q65" i="3"/>
  <c r="L66" i="3"/>
  <c r="T66" i="3"/>
  <c r="O67" i="3"/>
  <c r="J68" i="3"/>
  <c r="R68" i="3"/>
  <c r="M69" i="3"/>
  <c r="U69" i="3"/>
  <c r="P70" i="3"/>
  <c r="K71" i="3"/>
  <c r="S71" i="3"/>
  <c r="N72" i="3"/>
  <c r="V72" i="3"/>
  <c r="Q73" i="3"/>
  <c r="L74" i="3"/>
  <c r="T74" i="3"/>
  <c r="O75" i="3"/>
  <c r="J76" i="3"/>
  <c r="R76" i="3"/>
  <c r="M77" i="3"/>
  <c r="U77" i="3"/>
  <c r="P78" i="3"/>
  <c r="K79" i="3"/>
  <c r="S79" i="3"/>
  <c r="N80" i="3"/>
  <c r="V80" i="3"/>
  <c r="Q81" i="3"/>
  <c r="L82" i="3"/>
  <c r="T82" i="3"/>
  <c r="O83" i="3"/>
  <c r="J84" i="3"/>
  <c r="R84" i="3"/>
  <c r="M85" i="3"/>
  <c r="U85" i="3"/>
  <c r="P86" i="3"/>
  <c r="K87" i="3"/>
  <c r="S87" i="3"/>
  <c r="N88" i="3"/>
  <c r="V88" i="3"/>
  <c r="Q89" i="3"/>
  <c r="L90" i="3"/>
  <c r="T90" i="3"/>
  <c r="O91" i="3"/>
  <c r="J92" i="3"/>
  <c r="R92" i="3"/>
  <c r="M93" i="3"/>
  <c r="U93" i="3"/>
  <c r="P94" i="3"/>
  <c r="K95" i="3"/>
  <c r="S95" i="3"/>
  <c r="N96" i="3"/>
  <c r="V96" i="3"/>
  <c r="S7" i="3"/>
  <c r="L10" i="3"/>
  <c r="R12" i="3"/>
  <c r="K15" i="3"/>
  <c r="Q17" i="3"/>
  <c r="J20" i="3"/>
  <c r="P22" i="3"/>
  <c r="V24" i="3"/>
  <c r="O27" i="3"/>
  <c r="U29" i="3"/>
  <c r="N32" i="3"/>
  <c r="T34" i="3"/>
  <c r="M37" i="3"/>
  <c r="S39" i="3"/>
  <c r="L42" i="3"/>
  <c r="R44" i="3"/>
  <c r="K47" i="3"/>
  <c r="Q49" i="3"/>
  <c r="N8" i="3"/>
  <c r="T10" i="3"/>
  <c r="M13" i="3"/>
  <c r="S15" i="3"/>
  <c r="L18" i="3"/>
  <c r="R20" i="3"/>
  <c r="K23" i="3"/>
  <c r="Q25" i="3"/>
  <c r="J28" i="3"/>
  <c r="P30" i="3"/>
  <c r="V32" i="3"/>
  <c r="O35" i="3"/>
  <c r="U37" i="3"/>
  <c r="N40" i="3"/>
  <c r="T42" i="3"/>
  <c r="M45" i="3"/>
  <c r="S47" i="3"/>
  <c r="L50" i="3"/>
  <c r="R52" i="3"/>
  <c r="K55" i="3"/>
  <c r="N57" i="3"/>
  <c r="O58" i="3"/>
  <c r="J59" i="3"/>
  <c r="R59" i="3"/>
  <c r="M60" i="3"/>
  <c r="U60" i="3"/>
  <c r="P61" i="3"/>
  <c r="K62" i="3"/>
  <c r="S62" i="3"/>
  <c r="N63" i="3"/>
  <c r="V63" i="3"/>
  <c r="Q64" i="3"/>
  <c r="L65" i="3"/>
  <c r="T65" i="3"/>
  <c r="O66" i="3"/>
  <c r="J67" i="3"/>
  <c r="R67" i="3"/>
  <c r="M68" i="3"/>
  <c r="U68" i="3"/>
  <c r="P69" i="3"/>
  <c r="K70" i="3"/>
  <c r="S70" i="3"/>
  <c r="N71" i="3"/>
  <c r="V71" i="3"/>
  <c r="Q72" i="3"/>
  <c r="L73" i="3"/>
  <c r="T73" i="3"/>
  <c r="O74" i="3"/>
  <c r="J75" i="3"/>
  <c r="R75" i="3"/>
  <c r="M76" i="3"/>
  <c r="U76" i="3"/>
  <c r="P77" i="3"/>
  <c r="K78" i="3"/>
  <c r="S78" i="3"/>
  <c r="N79" i="3"/>
  <c r="V79" i="3"/>
  <c r="Q80" i="3"/>
  <c r="L81" i="3"/>
  <c r="T81" i="3"/>
  <c r="O82" i="3"/>
  <c r="J83" i="3"/>
  <c r="R83" i="3"/>
  <c r="M84" i="3"/>
  <c r="M8" i="3"/>
  <c r="V27" i="3"/>
  <c r="R47" i="3"/>
  <c r="M58" i="3"/>
  <c r="S60" i="3"/>
  <c r="L63" i="3"/>
  <c r="R65" i="3"/>
  <c r="K68" i="3"/>
  <c r="Q70" i="3"/>
  <c r="J73" i="3"/>
  <c r="P75" i="3"/>
  <c r="V77" i="3"/>
  <c r="O80" i="3"/>
  <c r="U82" i="3"/>
  <c r="U84" i="3"/>
  <c r="Q86" i="3"/>
  <c r="T87" i="3"/>
  <c r="J89" i="3"/>
  <c r="M90" i="3"/>
  <c r="P91" i="3"/>
  <c r="S92" i="3"/>
  <c r="V93" i="3"/>
  <c r="L95" i="3"/>
  <c r="O96" i="3"/>
  <c r="Q97" i="3"/>
  <c r="N98" i="3"/>
  <c r="L99" i="3"/>
  <c r="J100" i="3"/>
  <c r="T100" i="3"/>
  <c r="R101" i="3"/>
  <c r="P102" i="3"/>
  <c r="M103" i="3"/>
  <c r="K104" i="3"/>
  <c r="V104" i="3"/>
  <c r="S105" i="3"/>
  <c r="Q106" i="3"/>
  <c r="O107" i="3"/>
  <c r="L108" i="3"/>
  <c r="J109" i="3"/>
  <c r="U109" i="3"/>
  <c r="R110" i="3"/>
  <c r="P111" i="3"/>
  <c r="N112" i="3"/>
  <c r="K113" i="3"/>
  <c r="V113" i="3"/>
  <c r="T114" i="3"/>
  <c r="Q115" i="3"/>
  <c r="O116" i="3"/>
  <c r="M117" i="3"/>
  <c r="J118" i="3"/>
  <c r="S118" i="3"/>
  <c r="P119" i="3"/>
  <c r="L120" i="3"/>
  <c r="U120" i="3"/>
  <c r="Q121" i="3"/>
  <c r="M122" i="3"/>
  <c r="V122" i="3"/>
  <c r="R123" i="3"/>
  <c r="O124" i="3"/>
  <c r="K125" i="3"/>
  <c r="T125" i="3"/>
  <c r="P126" i="3"/>
  <c r="L127" i="3"/>
  <c r="U127" i="3"/>
  <c r="P128" i="3"/>
  <c r="K129" i="3"/>
  <c r="S129" i="3"/>
  <c r="N130" i="3"/>
  <c r="V130" i="3"/>
  <c r="Q131" i="3"/>
  <c r="L132" i="3"/>
  <c r="T132" i="3"/>
  <c r="O133" i="3"/>
  <c r="J134" i="3"/>
  <c r="R134" i="3"/>
  <c r="M135" i="3"/>
  <c r="U135" i="3"/>
  <c r="P136" i="3"/>
  <c r="K137" i="3"/>
  <c r="S137" i="3"/>
  <c r="N138" i="3"/>
  <c r="V138" i="3"/>
  <c r="Q139" i="3"/>
  <c r="L140" i="3"/>
  <c r="T140" i="3"/>
  <c r="O141" i="3"/>
  <c r="J142" i="3"/>
  <c r="R142" i="3"/>
  <c r="M143" i="3"/>
  <c r="U143" i="3"/>
  <c r="P144" i="3"/>
  <c r="K145" i="3"/>
  <c r="S145" i="3"/>
  <c r="N146" i="3"/>
  <c r="V146" i="3"/>
  <c r="Q147" i="3"/>
  <c r="L148" i="3"/>
  <c r="T148" i="3"/>
  <c r="O149" i="3"/>
  <c r="J150" i="3"/>
  <c r="R150" i="3"/>
  <c r="M151" i="3"/>
  <c r="U151" i="3"/>
  <c r="P152" i="3"/>
  <c r="K153" i="3"/>
  <c r="S153" i="3"/>
  <c r="N154" i="3"/>
  <c r="V154" i="3"/>
  <c r="Q155" i="3"/>
  <c r="L156" i="3"/>
  <c r="T156" i="3"/>
  <c r="O157" i="3"/>
  <c r="J158" i="3"/>
  <c r="R158" i="3"/>
  <c r="M159" i="3"/>
  <c r="U159" i="3"/>
  <c r="P160" i="3"/>
  <c r="L13" i="3"/>
  <c r="U32" i="3"/>
  <c r="J52" i="3"/>
  <c r="U58" i="3"/>
  <c r="N61" i="3"/>
  <c r="T63" i="3"/>
  <c r="M66" i="3"/>
  <c r="S68" i="3"/>
  <c r="L71" i="3"/>
  <c r="R73" i="3"/>
  <c r="K76" i="3"/>
  <c r="Q78" i="3"/>
  <c r="J81" i="3"/>
  <c r="P83" i="3"/>
  <c r="O85" i="3"/>
  <c r="S86" i="3"/>
  <c r="V87" i="3"/>
  <c r="L89" i="3"/>
  <c r="O90" i="3"/>
  <c r="R91" i="3"/>
  <c r="U92" i="3"/>
  <c r="K94" i="3"/>
  <c r="N95" i="3"/>
  <c r="Q96" i="3"/>
  <c r="S97" i="3"/>
  <c r="Q98" i="3"/>
  <c r="O99" i="3"/>
  <c r="L100" i="3"/>
  <c r="J101" i="3"/>
  <c r="U101" i="3"/>
  <c r="R102" i="3"/>
  <c r="P103" i="3"/>
  <c r="N104" i="3"/>
  <c r="K105" i="3"/>
  <c r="V105" i="3"/>
  <c r="T106" i="3"/>
  <c r="Q107" i="3"/>
  <c r="O108" i="3"/>
  <c r="M109" i="3"/>
  <c r="J110" i="3"/>
  <c r="U110" i="3"/>
  <c r="S111" i="3"/>
  <c r="P112" i="3"/>
  <c r="N113" i="3"/>
  <c r="L114" i="3"/>
  <c r="V114" i="3"/>
  <c r="T115" i="3"/>
  <c r="R116" i="3"/>
  <c r="O117" i="3"/>
  <c r="M118" i="3"/>
  <c r="V118" i="3"/>
  <c r="R119" i="3"/>
  <c r="N120" i="3"/>
  <c r="J121" i="3"/>
  <c r="S121" i="3"/>
  <c r="O122" i="3"/>
  <c r="L123" i="3"/>
  <c r="U123" i="3"/>
  <c r="Q124" i="3"/>
  <c r="M125" i="3"/>
  <c r="V125" i="3"/>
  <c r="R126" i="3"/>
  <c r="N127" i="3"/>
  <c r="J128" i="3"/>
  <c r="R128" i="3"/>
  <c r="M129" i="3"/>
  <c r="U129" i="3"/>
  <c r="P130" i="3"/>
  <c r="K131" i="3"/>
  <c r="S131" i="3"/>
  <c r="N132" i="3"/>
  <c r="V132" i="3"/>
  <c r="Q133" i="3"/>
  <c r="L134" i="3"/>
  <c r="T134" i="3"/>
  <c r="O135" i="3"/>
  <c r="J136" i="3"/>
  <c r="R136" i="3"/>
  <c r="M137" i="3"/>
  <c r="U137" i="3"/>
  <c r="P138" i="3"/>
  <c r="K139" i="3"/>
  <c r="S139" i="3"/>
  <c r="N140" i="3"/>
  <c r="V140" i="3"/>
  <c r="Q141" i="3"/>
  <c r="L142" i="3"/>
  <c r="T142" i="3"/>
  <c r="O143" i="3"/>
  <c r="J144" i="3"/>
  <c r="R144" i="3"/>
  <c r="M145" i="3"/>
  <c r="U145" i="3"/>
  <c r="P146" i="3"/>
  <c r="K147" i="3"/>
  <c r="S147" i="3"/>
  <c r="N148" i="3"/>
  <c r="V148" i="3"/>
  <c r="Q149" i="3"/>
  <c r="L150" i="3"/>
  <c r="T150" i="3"/>
  <c r="O151" i="3"/>
  <c r="J152" i="3"/>
  <c r="R152" i="3"/>
  <c r="M153" i="3"/>
  <c r="U153" i="3"/>
  <c r="P154" i="3"/>
  <c r="K155" i="3"/>
  <c r="S155" i="3"/>
  <c r="N156" i="3"/>
  <c r="V156" i="3"/>
  <c r="Q157" i="3"/>
  <c r="L158" i="3"/>
  <c r="T158" i="3"/>
  <c r="O159" i="3"/>
  <c r="J160" i="3"/>
  <c r="R160" i="3"/>
  <c r="M161" i="3"/>
  <c r="R15" i="3"/>
  <c r="N35" i="3"/>
  <c r="Q52" i="3"/>
  <c r="V58" i="3"/>
  <c r="O61" i="3"/>
  <c r="U63" i="3"/>
  <c r="N66" i="3"/>
  <c r="T68" i="3"/>
  <c r="M71" i="3"/>
  <c r="S73" i="3"/>
  <c r="L76" i="3"/>
  <c r="R78" i="3"/>
  <c r="K81" i="3"/>
  <c r="Q83" i="3"/>
  <c r="P85" i="3"/>
  <c r="J87" i="3"/>
  <c r="M88" i="3"/>
  <c r="P89" i="3"/>
  <c r="S90" i="3"/>
  <c r="V91" i="3"/>
  <c r="L93" i="3"/>
  <c r="O94" i="3"/>
  <c r="R95" i="3"/>
  <c r="U96" i="3"/>
  <c r="T97" i="3"/>
  <c r="S98" i="3"/>
  <c r="P99" i="3"/>
  <c r="M100" i="3"/>
  <c r="L101" i="3"/>
  <c r="V101" i="3"/>
  <c r="S102" i="3"/>
  <c r="R103" i="3"/>
  <c r="O104" i="3"/>
  <c r="L105" i="3"/>
  <c r="K106" i="3"/>
  <c r="U106" i="3"/>
  <c r="R107" i="3"/>
  <c r="Q108" i="3"/>
  <c r="N109" i="3"/>
  <c r="K110" i="3"/>
  <c r="J111" i="3"/>
  <c r="T111" i="3"/>
  <c r="Q112" i="3"/>
  <c r="P113" i="3"/>
  <c r="M114" i="3"/>
  <c r="J115" i="3"/>
  <c r="V115" i="3"/>
  <c r="S116" i="3"/>
  <c r="P117" i="3"/>
  <c r="N118" i="3"/>
  <c r="J119" i="3"/>
  <c r="S119" i="3"/>
  <c r="O120" i="3"/>
  <c r="K121" i="3"/>
  <c r="T121" i="3"/>
  <c r="Q122" i="3"/>
  <c r="M123" i="3"/>
  <c r="V123" i="3"/>
  <c r="R124" i="3"/>
  <c r="N125" i="3"/>
  <c r="J126" i="3"/>
  <c r="S126" i="3"/>
  <c r="P127" i="3"/>
  <c r="K128" i="3"/>
  <c r="S128" i="3"/>
  <c r="N129" i="3"/>
  <c r="V129" i="3"/>
  <c r="Q130" i="3"/>
  <c r="L131" i="3"/>
  <c r="T131" i="3"/>
  <c r="O132" i="3"/>
  <c r="J133" i="3"/>
  <c r="R133" i="3"/>
  <c r="M134" i="3"/>
  <c r="U134" i="3"/>
  <c r="P135" i="3"/>
  <c r="K136" i="3"/>
  <c r="S136" i="3"/>
  <c r="N137" i="3"/>
  <c r="V137" i="3"/>
  <c r="Q138" i="3"/>
  <c r="L139" i="3"/>
  <c r="T139" i="3"/>
  <c r="O140" i="3"/>
  <c r="J141" i="3"/>
  <c r="R141" i="3"/>
  <c r="M142" i="3"/>
  <c r="U142" i="3"/>
  <c r="P143" i="3"/>
  <c r="K144" i="3"/>
  <c r="S144" i="3"/>
  <c r="N145" i="3"/>
  <c r="V145" i="3"/>
  <c r="Q146" i="3"/>
  <c r="L147" i="3"/>
  <c r="T147" i="3"/>
  <c r="O148" i="3"/>
  <c r="J149" i="3"/>
  <c r="R149" i="3"/>
  <c r="M150" i="3"/>
  <c r="U150" i="3"/>
  <c r="P151" i="3"/>
  <c r="K152" i="3"/>
  <c r="S152" i="3"/>
  <c r="N153" i="3"/>
  <c r="V153" i="3"/>
  <c r="Q154" i="3"/>
  <c r="L155" i="3"/>
  <c r="Q20" i="3"/>
  <c r="M40" i="3"/>
  <c r="J55" i="3"/>
  <c r="Q59" i="3"/>
  <c r="J62" i="3"/>
  <c r="P64" i="3"/>
  <c r="V66" i="3"/>
  <c r="O69" i="3"/>
  <c r="U71" i="3"/>
  <c r="N74" i="3"/>
  <c r="T76" i="3"/>
  <c r="M79" i="3"/>
  <c r="S81" i="3"/>
  <c r="L84" i="3"/>
  <c r="J86" i="3"/>
  <c r="M87" i="3"/>
  <c r="P88" i="3"/>
  <c r="S89" i="3"/>
  <c r="V90" i="3"/>
  <c r="L92" i="3"/>
  <c r="O93" i="3"/>
  <c r="R94" i="3"/>
  <c r="U95" i="3"/>
  <c r="K97" i="3"/>
  <c r="K98" i="3"/>
  <c r="U98" i="3"/>
  <c r="R99" i="3"/>
  <c r="Q100" i="3"/>
  <c r="N101" i="3"/>
  <c r="K102" i="3"/>
  <c r="J103" i="3"/>
  <c r="T103" i="3"/>
  <c r="Q104" i="3"/>
  <c r="P105" i="3"/>
  <c r="M106" i="3"/>
  <c r="J107" i="3"/>
  <c r="V107" i="3"/>
  <c r="S108" i="3"/>
  <c r="P109" i="3"/>
  <c r="O110" i="3"/>
  <c r="L111" i="3"/>
  <c r="V111" i="3"/>
  <c r="U112" i="3"/>
  <c r="R113" i="3"/>
  <c r="O114" i="3"/>
  <c r="N115" i="3"/>
  <c r="K116" i="3"/>
  <c r="U116" i="3"/>
  <c r="T117" i="3"/>
  <c r="P118" i="3"/>
  <c r="L119" i="3"/>
  <c r="U119" i="3"/>
  <c r="Q120" i="3"/>
  <c r="N121" i="3"/>
  <c r="J122" i="3"/>
  <c r="S122" i="3"/>
  <c r="O123" i="3"/>
  <c r="K124" i="3"/>
  <c r="T124" i="3"/>
  <c r="P125" i="3"/>
  <c r="M126" i="3"/>
  <c r="V126" i="3"/>
  <c r="R127" i="3"/>
  <c r="M128" i="3"/>
  <c r="U128" i="3"/>
  <c r="P129" i="3"/>
  <c r="K130" i="3"/>
  <c r="S130" i="3"/>
  <c r="N131" i="3"/>
  <c r="V131" i="3"/>
  <c r="Q132" i="3"/>
  <c r="L133" i="3"/>
  <c r="T133" i="3"/>
  <c r="O134" i="3"/>
  <c r="J135" i="3"/>
  <c r="R135" i="3"/>
  <c r="M136" i="3"/>
  <c r="U136" i="3"/>
  <c r="P137" i="3"/>
  <c r="K138" i="3"/>
  <c r="S138" i="3"/>
  <c r="N139" i="3"/>
  <c r="V139" i="3"/>
  <c r="Q140" i="3"/>
  <c r="L141" i="3"/>
  <c r="T141" i="3"/>
  <c r="O142" i="3"/>
  <c r="J143" i="3"/>
  <c r="R143" i="3"/>
  <c r="M144" i="3"/>
  <c r="U144" i="3"/>
  <c r="P145" i="3"/>
  <c r="K146" i="3"/>
  <c r="S146" i="3"/>
  <c r="N147" i="3"/>
  <c r="V147" i="3"/>
  <c r="Q148" i="3"/>
  <c r="L149" i="3"/>
  <c r="T149" i="3"/>
  <c r="P25" i="3"/>
  <c r="L45" i="3"/>
  <c r="V56" i="3"/>
  <c r="L60" i="3"/>
  <c r="R62" i="3"/>
  <c r="K65" i="3"/>
  <c r="Q67" i="3"/>
  <c r="J70" i="3"/>
  <c r="P72" i="3"/>
  <c r="V74" i="3"/>
  <c r="O77" i="3"/>
  <c r="U79" i="3"/>
  <c r="N82" i="3"/>
  <c r="T84" i="3"/>
  <c r="O86" i="3"/>
  <c r="R87" i="3"/>
  <c r="U88" i="3"/>
  <c r="K90" i="3"/>
  <c r="N91" i="3"/>
  <c r="Q92" i="3"/>
  <c r="T93" i="3"/>
  <c r="J95" i="3"/>
  <c r="M96" i="3"/>
  <c r="P97" i="3"/>
  <c r="M98" i="3"/>
  <c r="J99" i="3"/>
  <c r="V99" i="3"/>
  <c r="S100" i="3"/>
  <c r="P101" i="3"/>
  <c r="O102" i="3"/>
  <c r="L103" i="3"/>
  <c r="V103" i="3"/>
  <c r="U104" i="3"/>
  <c r="R105" i="3"/>
  <c r="O106" i="3"/>
  <c r="N107" i="3"/>
  <c r="K108" i="3"/>
  <c r="U108" i="3"/>
  <c r="T109" i="3"/>
  <c r="Q110" i="3"/>
  <c r="N111" i="3"/>
  <c r="M112" i="3"/>
  <c r="J113" i="3"/>
  <c r="T113" i="3"/>
  <c r="S114" i="3"/>
  <c r="P115" i="3"/>
  <c r="M116" i="3"/>
  <c r="L117" i="3"/>
  <c r="V117" i="3"/>
  <c r="R118" i="3"/>
  <c r="N119" i="3"/>
  <c r="K120" i="3"/>
  <c r="T120" i="3"/>
  <c r="P121" i="3"/>
  <c r="L122" i="3"/>
  <c r="U122" i="3"/>
  <c r="Q123" i="3"/>
  <c r="M124" i="3"/>
  <c r="J125" i="3"/>
  <c r="S125" i="3"/>
  <c r="O126" i="3"/>
  <c r="K127" i="3"/>
  <c r="T127" i="3"/>
  <c r="O128" i="3"/>
  <c r="J129" i="3"/>
  <c r="R129" i="3"/>
  <c r="M130" i="3"/>
  <c r="U130" i="3"/>
  <c r="P131" i="3"/>
  <c r="K132" i="3"/>
  <c r="S132" i="3"/>
  <c r="N133" i="3"/>
  <c r="V133" i="3"/>
  <c r="Q134" i="3"/>
  <c r="L135" i="3"/>
  <c r="T135" i="3"/>
  <c r="O136" i="3"/>
  <c r="J137" i="3"/>
  <c r="R137" i="3"/>
  <c r="M138" i="3"/>
  <c r="U138" i="3"/>
  <c r="P139" i="3"/>
  <c r="K140" i="3"/>
  <c r="S140" i="3"/>
  <c r="N141" i="3"/>
  <c r="K18" i="3"/>
  <c r="N58" i="3"/>
  <c r="J65" i="3"/>
  <c r="T71" i="3"/>
  <c r="J78" i="3"/>
  <c r="S84" i="3"/>
  <c r="O88" i="3"/>
  <c r="Q91" i="3"/>
  <c r="S94" i="3"/>
  <c r="V97" i="3"/>
  <c r="K100" i="3"/>
  <c r="M102" i="3"/>
  <c r="P104" i="3"/>
  <c r="S106" i="3"/>
  <c r="T108" i="3"/>
  <c r="K111" i="3"/>
  <c r="L113" i="3"/>
  <c r="O115" i="3"/>
  <c r="R117" i="3"/>
  <c r="Q119" i="3"/>
  <c r="O121" i="3"/>
  <c r="N123" i="3"/>
  <c r="L125" i="3"/>
  <c r="J127" i="3"/>
  <c r="T128" i="3"/>
  <c r="O130" i="3"/>
  <c r="J132" i="3"/>
  <c r="S133" i="3"/>
  <c r="N135" i="3"/>
  <c r="V136" i="3"/>
  <c r="R138" i="3"/>
  <c r="M140" i="3"/>
  <c r="U141" i="3"/>
  <c r="K143" i="3"/>
  <c r="N144" i="3"/>
  <c r="Q145" i="3"/>
  <c r="T146" i="3"/>
  <c r="J148" i="3"/>
  <c r="M149" i="3"/>
  <c r="O150" i="3"/>
  <c r="N151" i="3"/>
  <c r="N152" i="3"/>
  <c r="O153" i="3"/>
  <c r="M154" i="3"/>
  <c r="N155" i="3"/>
  <c r="K156" i="3"/>
  <c r="J157" i="3"/>
  <c r="T157" i="3"/>
  <c r="Q158" i="3"/>
  <c r="P159" i="3"/>
  <c r="M160" i="3"/>
  <c r="J161" i="3"/>
  <c r="S161" i="3"/>
  <c r="N162" i="3"/>
  <c r="V162" i="3"/>
  <c r="Q163" i="3"/>
  <c r="L164" i="3"/>
  <c r="T164" i="3"/>
  <c r="O165" i="3"/>
  <c r="J166" i="3"/>
  <c r="R166" i="3"/>
  <c r="M167" i="3"/>
  <c r="U167" i="3"/>
  <c r="P168" i="3"/>
  <c r="K169" i="3"/>
  <c r="S169" i="3"/>
  <c r="N170" i="3"/>
  <c r="V170" i="3"/>
  <c r="Q171" i="3"/>
  <c r="L172" i="3"/>
  <c r="T172" i="3"/>
  <c r="O173" i="3"/>
  <c r="J174" i="3"/>
  <c r="R174" i="3"/>
  <c r="M175" i="3"/>
  <c r="U175" i="3"/>
  <c r="P176" i="3"/>
  <c r="K177" i="3"/>
  <c r="S177" i="3"/>
  <c r="N178" i="3"/>
  <c r="V178" i="3"/>
  <c r="Q179" i="3"/>
  <c r="L180" i="3"/>
  <c r="T180" i="3"/>
  <c r="O181" i="3"/>
  <c r="J182" i="3"/>
  <c r="R182" i="3"/>
  <c r="M183" i="3"/>
  <c r="U183" i="3"/>
  <c r="P184" i="3"/>
  <c r="K185" i="3"/>
  <c r="S185" i="3"/>
  <c r="N186" i="3"/>
  <c r="V186" i="3"/>
  <c r="Q187" i="3"/>
  <c r="L188" i="3"/>
  <c r="T188" i="3"/>
  <c r="O189" i="3"/>
  <c r="J190" i="3"/>
  <c r="R190" i="3"/>
  <c r="M191" i="3"/>
  <c r="U191" i="3"/>
  <c r="P192" i="3"/>
  <c r="K193" i="3"/>
  <c r="S193" i="3"/>
  <c r="N194" i="3"/>
  <c r="V194" i="3"/>
  <c r="Q195" i="3"/>
  <c r="L196" i="3"/>
  <c r="T196" i="3"/>
  <c r="O197" i="3"/>
  <c r="J198" i="3"/>
  <c r="R198" i="3"/>
  <c r="M199" i="3"/>
  <c r="U199" i="3"/>
  <c r="P200" i="3"/>
  <c r="K201" i="3"/>
  <c r="S201" i="3"/>
  <c r="N202" i="3"/>
  <c r="V202" i="3"/>
  <c r="Q203" i="3"/>
  <c r="L204" i="3"/>
  <c r="T204" i="3"/>
  <c r="O205" i="3"/>
  <c r="J206" i="3"/>
  <c r="R206" i="3"/>
  <c r="M207" i="3"/>
  <c r="U207" i="3"/>
  <c r="P208" i="3"/>
  <c r="K209" i="3"/>
  <c r="S209" i="3"/>
  <c r="N210" i="3"/>
  <c r="V210" i="3"/>
  <c r="Q211" i="3"/>
  <c r="L212" i="3"/>
  <c r="T212" i="3"/>
  <c r="O213" i="3"/>
  <c r="J214" i="3"/>
  <c r="R214" i="3"/>
  <c r="M215" i="3"/>
  <c r="U215" i="3"/>
  <c r="P216" i="3"/>
  <c r="K217" i="3"/>
  <c r="S217" i="3"/>
  <c r="N218" i="3"/>
  <c r="V218" i="3"/>
  <c r="Q219" i="3"/>
  <c r="L220" i="3"/>
  <c r="T220" i="3"/>
  <c r="O221" i="3"/>
  <c r="J222" i="3"/>
  <c r="R222" i="3"/>
  <c r="M223" i="3"/>
  <c r="U223" i="3"/>
  <c r="P224" i="3"/>
  <c r="K225" i="3"/>
  <c r="S225" i="3"/>
  <c r="N226" i="3"/>
  <c r="V226" i="3"/>
  <c r="Q227" i="3"/>
  <c r="L228" i="3"/>
  <c r="T228" i="3"/>
  <c r="O229" i="3"/>
  <c r="J230" i="3"/>
  <c r="R230" i="3"/>
  <c r="M231" i="3"/>
  <c r="U231" i="3"/>
  <c r="P232" i="3"/>
  <c r="K233" i="3"/>
  <c r="S233" i="3"/>
  <c r="J23" i="3"/>
  <c r="P59" i="3"/>
  <c r="S65" i="3"/>
  <c r="O72" i="3"/>
  <c r="L79" i="3"/>
  <c r="N85" i="3"/>
  <c r="Q88" i="3"/>
  <c r="K92" i="3"/>
  <c r="M95" i="3"/>
  <c r="L98" i="3"/>
  <c r="O100" i="3"/>
  <c r="Q102" i="3"/>
  <c r="S104" i="3"/>
  <c r="V106" i="3"/>
  <c r="L109" i="3"/>
  <c r="M111" i="3"/>
  <c r="Q113" i="3"/>
  <c r="R115" i="3"/>
  <c r="U117" i="3"/>
  <c r="T119" i="3"/>
  <c r="R121" i="3"/>
  <c r="P123" i="3"/>
  <c r="O125" i="3"/>
  <c r="M127" i="3"/>
  <c r="V128" i="3"/>
  <c r="R130" i="3"/>
  <c r="M132" i="3"/>
  <c r="U133" i="3"/>
  <c r="Q135" i="3"/>
  <c r="L137" i="3"/>
  <c r="T138" i="3"/>
  <c r="P140" i="3"/>
  <c r="V141" i="3"/>
  <c r="L143" i="3"/>
  <c r="O144" i="3"/>
  <c r="R145" i="3"/>
  <c r="U146" i="3"/>
  <c r="K148" i="3"/>
  <c r="N149" i="3"/>
  <c r="P150" i="3"/>
  <c r="Q151" i="3"/>
  <c r="O152" i="3"/>
  <c r="P153" i="3"/>
  <c r="O154" i="3"/>
  <c r="O155" i="3"/>
  <c r="M156" i="3"/>
  <c r="K157" i="3"/>
  <c r="U157" i="3"/>
  <c r="S158" i="3"/>
  <c r="Q159" i="3"/>
  <c r="N160" i="3"/>
  <c r="K161" i="3"/>
  <c r="T161" i="3"/>
  <c r="O162" i="3"/>
  <c r="J163" i="3"/>
  <c r="R163" i="3"/>
  <c r="M164" i="3"/>
  <c r="U164" i="3"/>
  <c r="P165" i="3"/>
  <c r="K166" i="3"/>
  <c r="S166" i="3"/>
  <c r="N167" i="3"/>
  <c r="V167" i="3"/>
  <c r="Q168" i="3"/>
  <c r="L169" i="3"/>
  <c r="T169" i="3"/>
  <c r="O170" i="3"/>
  <c r="J171" i="3"/>
  <c r="R171" i="3"/>
  <c r="M172" i="3"/>
  <c r="U172" i="3"/>
  <c r="P173" i="3"/>
  <c r="K174" i="3"/>
  <c r="S174" i="3"/>
  <c r="N175" i="3"/>
  <c r="V175" i="3"/>
  <c r="Q176" i="3"/>
  <c r="L177" i="3"/>
  <c r="T177" i="3"/>
  <c r="O178" i="3"/>
  <c r="J179" i="3"/>
  <c r="R179" i="3"/>
  <c r="M180" i="3"/>
  <c r="U180" i="3"/>
  <c r="P181" i="3"/>
  <c r="K182" i="3"/>
  <c r="S182" i="3"/>
  <c r="N183" i="3"/>
  <c r="V183" i="3"/>
  <c r="Q184" i="3"/>
  <c r="L185" i="3"/>
  <c r="T185" i="3"/>
  <c r="O186" i="3"/>
  <c r="J187" i="3"/>
  <c r="R187" i="3"/>
  <c r="M188" i="3"/>
  <c r="U188" i="3"/>
  <c r="P189" i="3"/>
  <c r="K190" i="3"/>
  <c r="S190" i="3"/>
  <c r="N191" i="3"/>
  <c r="V191" i="3"/>
  <c r="Q192" i="3"/>
  <c r="L193" i="3"/>
  <c r="T193" i="3"/>
  <c r="O194" i="3"/>
  <c r="J195" i="3"/>
  <c r="R195" i="3"/>
  <c r="M196" i="3"/>
  <c r="U196" i="3"/>
  <c r="P197" i="3"/>
  <c r="K198" i="3"/>
  <c r="S198" i="3"/>
  <c r="N199" i="3"/>
  <c r="V199" i="3"/>
  <c r="Q200" i="3"/>
  <c r="L201" i="3"/>
  <c r="T201" i="3"/>
  <c r="O202" i="3"/>
  <c r="J203" i="3"/>
  <c r="R203" i="3"/>
  <c r="M204" i="3"/>
  <c r="U204" i="3"/>
  <c r="P205" i="3"/>
  <c r="K206" i="3"/>
  <c r="S206" i="3"/>
  <c r="N207" i="3"/>
  <c r="V207" i="3"/>
  <c r="Q208" i="3"/>
  <c r="L209" i="3"/>
  <c r="T209" i="3"/>
  <c r="O210" i="3"/>
  <c r="J211" i="3"/>
  <c r="R211" i="3"/>
  <c r="M212" i="3"/>
  <c r="U212" i="3"/>
  <c r="P213" i="3"/>
  <c r="K214" i="3"/>
  <c r="S214" i="3"/>
  <c r="N215" i="3"/>
  <c r="V215" i="3"/>
  <c r="Q216" i="3"/>
  <c r="L217" i="3"/>
  <c r="T217" i="3"/>
  <c r="O218" i="3"/>
  <c r="J219" i="3"/>
  <c r="R219" i="3"/>
  <c r="M220" i="3"/>
  <c r="U220" i="3"/>
  <c r="P221" i="3"/>
  <c r="K222" i="3"/>
  <c r="S222" i="3"/>
  <c r="N223" i="3"/>
  <c r="V223" i="3"/>
  <c r="Q224" i="3"/>
  <c r="L225" i="3"/>
  <c r="T225" i="3"/>
  <c r="O226" i="3"/>
  <c r="J227" i="3"/>
  <c r="R227" i="3"/>
  <c r="M228" i="3"/>
  <c r="U228" i="3"/>
  <c r="P229" i="3"/>
  <c r="K230" i="3"/>
  <c r="S230" i="3"/>
  <c r="N231" i="3"/>
  <c r="V231" i="3"/>
  <c r="Q232" i="3"/>
  <c r="L233" i="3"/>
  <c r="T233" i="3"/>
  <c r="O30" i="3"/>
  <c r="K60" i="3"/>
  <c r="U66" i="3"/>
  <c r="K73" i="3"/>
  <c r="T79" i="3"/>
  <c r="V85" i="3"/>
  <c r="K89" i="3"/>
  <c r="M92" i="3"/>
  <c r="T95" i="3"/>
  <c r="O98" i="3"/>
  <c r="R100" i="3"/>
  <c r="U102" i="3"/>
  <c r="J105" i="3"/>
  <c r="L107" i="3"/>
  <c r="O109" i="3"/>
  <c r="R111" i="3"/>
  <c r="S113" i="3"/>
  <c r="J116" i="3"/>
  <c r="K118" i="3"/>
  <c r="V119" i="3"/>
  <c r="V121" i="3"/>
  <c r="T123" i="3"/>
  <c r="R125" i="3"/>
  <c r="Q127" i="3"/>
  <c r="L129" i="3"/>
  <c r="T130" i="3"/>
  <c r="P132" i="3"/>
  <c r="K134" i="3"/>
  <c r="S135" i="3"/>
  <c r="O137" i="3"/>
  <c r="J139" i="3"/>
  <c r="R140" i="3"/>
  <c r="K142" i="3"/>
  <c r="N143" i="3"/>
  <c r="Q144" i="3"/>
  <c r="T145" i="3"/>
  <c r="J147" i="3"/>
  <c r="M148" i="3"/>
  <c r="P149" i="3"/>
  <c r="Q150" i="3"/>
  <c r="R151" i="3"/>
  <c r="Q152" i="3"/>
  <c r="Q153" i="3"/>
  <c r="R154" i="3"/>
  <c r="P155" i="3"/>
  <c r="O156" i="3"/>
  <c r="L157" i="3"/>
  <c r="V157" i="3"/>
  <c r="U158" i="3"/>
  <c r="R159" i="3"/>
  <c r="O160" i="3"/>
  <c r="L161" i="3"/>
  <c r="U161" i="3"/>
  <c r="P162" i="3"/>
  <c r="K163" i="3"/>
  <c r="S163" i="3"/>
  <c r="N164" i="3"/>
  <c r="V164" i="3"/>
  <c r="Q165" i="3"/>
  <c r="L166" i="3"/>
  <c r="T166" i="3"/>
  <c r="O167" i="3"/>
  <c r="J168" i="3"/>
  <c r="R168" i="3"/>
  <c r="M169" i="3"/>
  <c r="U169" i="3"/>
  <c r="P170" i="3"/>
  <c r="K171" i="3"/>
  <c r="S171" i="3"/>
  <c r="N172" i="3"/>
  <c r="V172" i="3"/>
  <c r="Q173" i="3"/>
  <c r="L174" i="3"/>
  <c r="T174" i="3"/>
  <c r="O175" i="3"/>
  <c r="J176" i="3"/>
  <c r="R176" i="3"/>
  <c r="M177" i="3"/>
  <c r="U177" i="3"/>
  <c r="P178" i="3"/>
  <c r="K179" i="3"/>
  <c r="S179" i="3"/>
  <c r="N180" i="3"/>
  <c r="V180" i="3"/>
  <c r="Q181" i="3"/>
  <c r="L182" i="3"/>
  <c r="T182" i="3"/>
  <c r="O183" i="3"/>
  <c r="J184" i="3"/>
  <c r="R184" i="3"/>
  <c r="M185" i="3"/>
  <c r="U185" i="3"/>
  <c r="P186" i="3"/>
  <c r="K187" i="3"/>
  <c r="S187" i="3"/>
  <c r="N188" i="3"/>
  <c r="V188" i="3"/>
  <c r="Q189" i="3"/>
  <c r="L190" i="3"/>
  <c r="T190" i="3"/>
  <c r="O191" i="3"/>
  <c r="J192" i="3"/>
  <c r="R192" i="3"/>
  <c r="M193" i="3"/>
  <c r="U193" i="3"/>
  <c r="P194" i="3"/>
  <c r="K195" i="3"/>
  <c r="S195" i="3"/>
  <c r="N196" i="3"/>
  <c r="V196" i="3"/>
  <c r="Q197" i="3"/>
  <c r="L198" i="3"/>
  <c r="T198" i="3"/>
  <c r="O199" i="3"/>
  <c r="J200" i="3"/>
  <c r="R200" i="3"/>
  <c r="M201" i="3"/>
  <c r="U201" i="3"/>
  <c r="P202" i="3"/>
  <c r="K203" i="3"/>
  <c r="S203" i="3"/>
  <c r="N204" i="3"/>
  <c r="V204" i="3"/>
  <c r="Q205" i="3"/>
  <c r="L206" i="3"/>
  <c r="T206" i="3"/>
  <c r="O207" i="3"/>
  <c r="J208" i="3"/>
  <c r="R208" i="3"/>
  <c r="M209" i="3"/>
  <c r="U209" i="3"/>
  <c r="P210" i="3"/>
  <c r="K211" i="3"/>
  <c r="S211" i="3"/>
  <c r="N212" i="3"/>
  <c r="V212" i="3"/>
  <c r="Q213" i="3"/>
  <c r="L214" i="3"/>
  <c r="T214" i="3"/>
  <c r="O215" i="3"/>
  <c r="J216" i="3"/>
  <c r="R216" i="3"/>
  <c r="M217" i="3"/>
  <c r="U217" i="3"/>
  <c r="P218" i="3"/>
  <c r="K219" i="3"/>
  <c r="S219" i="3"/>
  <c r="N220" i="3"/>
  <c r="V220" i="3"/>
  <c r="Q221" i="3"/>
  <c r="L222" i="3"/>
  <c r="T222" i="3"/>
  <c r="O223" i="3"/>
  <c r="J224" i="3"/>
  <c r="R224" i="3"/>
  <c r="M225" i="3"/>
  <c r="U225" i="3"/>
  <c r="P226" i="3"/>
  <c r="K227" i="3"/>
  <c r="S227" i="3"/>
  <c r="N228" i="3"/>
  <c r="V228" i="3"/>
  <c r="Q229" i="3"/>
  <c r="L230" i="3"/>
  <c r="T230" i="3"/>
  <c r="O231" i="3"/>
  <c r="J232" i="3"/>
  <c r="R232" i="3"/>
  <c r="M233" i="3"/>
  <c r="U233" i="3"/>
  <c r="T37" i="3"/>
  <c r="T60" i="3"/>
  <c r="P67" i="3"/>
  <c r="M74" i="3"/>
  <c r="P80" i="3"/>
  <c r="K86" i="3"/>
  <c r="R89" i="3"/>
  <c r="T92" i="3"/>
  <c r="V95" i="3"/>
  <c r="T98" i="3"/>
  <c r="U100" i="3"/>
  <c r="K103" i="3"/>
  <c r="N105" i="3"/>
  <c r="P107" i="3"/>
  <c r="R109" i="3"/>
  <c r="U111" i="3"/>
  <c r="K114" i="3"/>
  <c r="L116" i="3"/>
  <c r="O118" i="3"/>
  <c r="M120" i="3"/>
  <c r="K122" i="3"/>
  <c r="J124" i="3"/>
  <c r="U125" i="3"/>
  <c r="S127" i="3"/>
  <c r="O129" i="3"/>
  <c r="J131" i="3"/>
  <c r="R132" i="3"/>
  <c r="N134" i="3"/>
  <c r="V135" i="3"/>
  <c r="Q137" i="3"/>
  <c r="M139" i="3"/>
  <c r="U140" i="3"/>
  <c r="N142" i="3"/>
  <c r="Q143" i="3"/>
  <c r="T144" i="3"/>
  <c r="J146" i="3"/>
  <c r="M147" i="3"/>
  <c r="P148" i="3"/>
  <c r="S149" i="3"/>
  <c r="S150" i="3"/>
  <c r="S151" i="3"/>
  <c r="T152" i="3"/>
  <c r="R153" i="3"/>
  <c r="S154" i="3"/>
  <c r="R155" i="3"/>
  <c r="P156" i="3"/>
  <c r="M157" i="3"/>
  <c r="K158" i="3"/>
  <c r="V158" i="3"/>
  <c r="S159" i="3"/>
  <c r="Q160" i="3"/>
  <c r="N161" i="3"/>
  <c r="V161" i="3"/>
  <c r="Q162" i="3"/>
  <c r="L163" i="3"/>
  <c r="T163" i="3"/>
  <c r="O164" i="3"/>
  <c r="J165" i="3"/>
  <c r="R165" i="3"/>
  <c r="M166" i="3"/>
  <c r="U166" i="3"/>
  <c r="P167" i="3"/>
  <c r="K168" i="3"/>
  <c r="S168" i="3"/>
  <c r="N169" i="3"/>
  <c r="V169" i="3"/>
  <c r="Q170" i="3"/>
  <c r="L171" i="3"/>
  <c r="T171" i="3"/>
  <c r="O172" i="3"/>
  <c r="J173" i="3"/>
  <c r="R173" i="3"/>
  <c r="M174" i="3"/>
  <c r="U174" i="3"/>
  <c r="P175" i="3"/>
  <c r="K176" i="3"/>
  <c r="S176" i="3"/>
  <c r="N177" i="3"/>
  <c r="V177" i="3"/>
  <c r="Q178" i="3"/>
  <c r="L179" i="3"/>
  <c r="T179" i="3"/>
  <c r="O180" i="3"/>
  <c r="J181" i="3"/>
  <c r="R181" i="3"/>
  <c r="M182" i="3"/>
  <c r="U182" i="3"/>
  <c r="P183" i="3"/>
  <c r="K184" i="3"/>
  <c r="S184" i="3"/>
  <c r="N185" i="3"/>
  <c r="V185" i="3"/>
  <c r="Q186" i="3"/>
  <c r="L187" i="3"/>
  <c r="T187" i="3"/>
  <c r="O188" i="3"/>
  <c r="J189" i="3"/>
  <c r="R189" i="3"/>
  <c r="M190" i="3"/>
  <c r="U190" i="3"/>
  <c r="P191" i="3"/>
  <c r="K192" i="3"/>
  <c r="S192" i="3"/>
  <c r="N193" i="3"/>
  <c r="V193" i="3"/>
  <c r="Q194" i="3"/>
  <c r="L195" i="3"/>
  <c r="T195" i="3"/>
  <c r="O196" i="3"/>
  <c r="J197" i="3"/>
  <c r="R197" i="3"/>
  <c r="M198" i="3"/>
  <c r="U198" i="3"/>
  <c r="P199" i="3"/>
  <c r="K200" i="3"/>
  <c r="S200" i="3"/>
  <c r="N201" i="3"/>
  <c r="V201" i="3"/>
  <c r="Q202" i="3"/>
  <c r="L203" i="3"/>
  <c r="T203" i="3"/>
  <c r="O204" i="3"/>
  <c r="J205" i="3"/>
  <c r="R205" i="3"/>
  <c r="M206" i="3"/>
  <c r="U206" i="3"/>
  <c r="P207" i="3"/>
  <c r="K208" i="3"/>
  <c r="S208" i="3"/>
  <c r="N209" i="3"/>
  <c r="V209" i="3"/>
  <c r="Q210" i="3"/>
  <c r="L211" i="3"/>
  <c r="T211" i="3"/>
  <c r="O212" i="3"/>
  <c r="J213" i="3"/>
  <c r="R213" i="3"/>
  <c r="M214" i="3"/>
  <c r="U214" i="3"/>
  <c r="P215" i="3"/>
  <c r="K216" i="3"/>
  <c r="S216" i="3"/>
  <c r="N217" i="3"/>
  <c r="V217" i="3"/>
  <c r="Q218" i="3"/>
  <c r="L219" i="3"/>
  <c r="T219" i="3"/>
  <c r="O220" i="3"/>
  <c r="J221" i="3"/>
  <c r="R221" i="3"/>
  <c r="M222" i="3"/>
  <c r="U222" i="3"/>
  <c r="P223" i="3"/>
  <c r="K224" i="3"/>
  <c r="S224" i="3"/>
  <c r="N225" i="3"/>
  <c r="V225" i="3"/>
  <c r="Q226" i="3"/>
  <c r="L227" i="3"/>
  <c r="T227" i="3"/>
  <c r="O228" i="3"/>
  <c r="J229" i="3"/>
  <c r="R229" i="3"/>
  <c r="M230" i="3"/>
  <c r="U230" i="3"/>
  <c r="P231" i="3"/>
  <c r="K232" i="3"/>
  <c r="S232" i="3"/>
  <c r="N233" i="3"/>
  <c r="V233" i="3"/>
  <c r="P54" i="3"/>
  <c r="M63" i="3"/>
  <c r="V69" i="3"/>
  <c r="S76" i="3"/>
  <c r="V82" i="3"/>
  <c r="N87" i="3"/>
  <c r="U90" i="3"/>
  <c r="J94" i="3"/>
  <c r="L97" i="3"/>
  <c r="Q99" i="3"/>
  <c r="T101" i="3"/>
  <c r="U103" i="3"/>
  <c r="L106" i="3"/>
  <c r="M108" i="3"/>
  <c r="P110" i="3"/>
  <c r="S112" i="3"/>
  <c r="U114" i="3"/>
  <c r="J117" i="3"/>
  <c r="K119" i="3"/>
  <c r="V120" i="3"/>
  <c r="T122" i="3"/>
  <c r="S124" i="3"/>
  <c r="Q126" i="3"/>
  <c r="N128" i="3"/>
  <c r="J130" i="3"/>
  <c r="R131" i="3"/>
  <c r="M133" i="3"/>
  <c r="V134" i="3"/>
  <c r="Q136" i="3"/>
  <c r="L138" i="3"/>
  <c r="U139" i="3"/>
  <c r="P141" i="3"/>
  <c r="S142" i="3"/>
  <c r="V143" i="3"/>
  <c r="L145" i="3"/>
  <c r="O146" i="3"/>
  <c r="R147" i="3"/>
  <c r="U148" i="3"/>
  <c r="K150" i="3"/>
  <c r="K151" i="3"/>
  <c r="L152" i="3"/>
  <c r="J153" i="3"/>
  <c r="K154" i="3"/>
  <c r="J155" i="3"/>
  <c r="V155" i="3"/>
  <c r="S156" i="3"/>
  <c r="R157" i="3"/>
  <c r="O158" i="3"/>
  <c r="L159" i="3"/>
  <c r="K160" i="3"/>
  <c r="U160" i="3"/>
  <c r="Q161" i="3"/>
  <c r="L162" i="3"/>
  <c r="T162" i="3"/>
  <c r="O163" i="3"/>
  <c r="J164" i="3"/>
  <c r="R164" i="3"/>
  <c r="M165" i="3"/>
  <c r="U165" i="3"/>
  <c r="P166" i="3"/>
  <c r="K167" i="3"/>
  <c r="S167" i="3"/>
  <c r="N168" i="3"/>
  <c r="V168" i="3"/>
  <c r="Q169" i="3"/>
  <c r="L170" i="3"/>
  <c r="T170" i="3"/>
  <c r="O171" i="3"/>
  <c r="J172" i="3"/>
  <c r="R172" i="3"/>
  <c r="M173" i="3"/>
  <c r="U173" i="3"/>
  <c r="P174" i="3"/>
  <c r="K175" i="3"/>
  <c r="S175" i="3"/>
  <c r="N176" i="3"/>
  <c r="V176" i="3"/>
  <c r="Q177" i="3"/>
  <c r="L178" i="3"/>
  <c r="T178" i="3"/>
  <c r="O179" i="3"/>
  <c r="J180" i="3"/>
  <c r="R180" i="3"/>
  <c r="M181" i="3"/>
  <c r="U181" i="3"/>
  <c r="P182" i="3"/>
  <c r="K183" i="3"/>
  <c r="S183" i="3"/>
  <c r="N184" i="3"/>
  <c r="V184" i="3"/>
  <c r="Q185" i="3"/>
  <c r="L186" i="3"/>
  <c r="T186" i="3"/>
  <c r="O187" i="3"/>
  <c r="J188" i="3"/>
  <c r="R188" i="3"/>
  <c r="M189" i="3"/>
  <c r="U189" i="3"/>
  <c r="P190" i="3"/>
  <c r="K191" i="3"/>
  <c r="S191" i="3"/>
  <c r="N192" i="3"/>
  <c r="V192" i="3"/>
  <c r="Q193" i="3"/>
  <c r="L194" i="3"/>
  <c r="T194" i="3"/>
  <c r="O195" i="3"/>
  <c r="J196" i="3"/>
  <c r="R196" i="3"/>
  <c r="M197" i="3"/>
  <c r="U197" i="3"/>
  <c r="P198" i="3"/>
  <c r="K199" i="3"/>
  <c r="S199" i="3"/>
  <c r="N200" i="3"/>
  <c r="V200" i="3"/>
  <c r="Q201" i="3"/>
  <c r="L202" i="3"/>
  <c r="T202" i="3"/>
  <c r="O203" i="3"/>
  <c r="J204" i="3"/>
  <c r="R204" i="3"/>
  <c r="M205" i="3"/>
  <c r="U205" i="3"/>
  <c r="P206" i="3"/>
  <c r="K207" i="3"/>
  <c r="S207" i="3"/>
  <c r="N208" i="3"/>
  <c r="V208" i="3"/>
  <c r="Q209" i="3"/>
  <c r="L210" i="3"/>
  <c r="T210" i="3"/>
  <c r="O211" i="3"/>
  <c r="J212" i="3"/>
  <c r="R212" i="3"/>
  <c r="M213" i="3"/>
  <c r="U213" i="3"/>
  <c r="P214" i="3"/>
  <c r="K215" i="3"/>
  <c r="S215" i="3"/>
  <c r="N216" i="3"/>
  <c r="V216" i="3"/>
  <c r="Q217" i="3"/>
  <c r="L218" i="3"/>
  <c r="T218" i="3"/>
  <c r="O219" i="3"/>
  <c r="J220" i="3"/>
  <c r="R220" i="3"/>
  <c r="M221" i="3"/>
  <c r="U221" i="3"/>
  <c r="P222" i="3"/>
  <c r="K223" i="3"/>
  <c r="S223" i="3"/>
  <c r="N224" i="3"/>
  <c r="V224" i="3"/>
  <c r="Q225" i="3"/>
  <c r="L226" i="3"/>
  <c r="T226" i="3"/>
  <c r="O227" i="3"/>
  <c r="J228" i="3"/>
  <c r="R228" i="3"/>
  <c r="M229" i="3"/>
  <c r="U229" i="3"/>
  <c r="P230" i="3"/>
  <c r="K231" i="3"/>
  <c r="S231" i="3"/>
  <c r="N232" i="3"/>
  <c r="V232" i="3"/>
  <c r="Q233" i="3"/>
  <c r="L234" i="3"/>
  <c r="S10" i="3"/>
  <c r="N69" i="3"/>
  <c r="R86" i="3"/>
  <c r="Q94" i="3"/>
  <c r="O101" i="3"/>
  <c r="T107" i="3"/>
  <c r="V112" i="3"/>
  <c r="U118" i="3"/>
  <c r="L124" i="3"/>
  <c r="Q128" i="3"/>
  <c r="K133" i="3"/>
  <c r="T137" i="3"/>
  <c r="S141" i="3"/>
  <c r="J145" i="3"/>
  <c r="R148" i="3"/>
  <c r="L151" i="3"/>
  <c r="J154" i="3"/>
  <c r="Q156" i="3"/>
  <c r="P158" i="3"/>
  <c r="T160" i="3"/>
  <c r="R162" i="3"/>
  <c r="K164" i="3"/>
  <c r="T165" i="3"/>
  <c r="Q167" i="3"/>
  <c r="J169" i="3"/>
  <c r="S170" i="3"/>
  <c r="P172" i="3"/>
  <c r="V173" i="3"/>
  <c r="R175" i="3"/>
  <c r="O177" i="3"/>
  <c r="U178" i="3"/>
  <c r="Q180" i="3"/>
  <c r="N182" i="3"/>
  <c r="T183" i="3"/>
  <c r="P185" i="3"/>
  <c r="M187" i="3"/>
  <c r="S188" i="3"/>
  <c r="O190" i="3"/>
  <c r="L192" i="3"/>
  <c r="R193" i="3"/>
  <c r="N195" i="3"/>
  <c r="K197" i="3"/>
  <c r="Q198" i="3"/>
  <c r="M200" i="3"/>
  <c r="J202" i="3"/>
  <c r="P203" i="3"/>
  <c r="L205" i="3"/>
  <c r="V206" i="3"/>
  <c r="O208" i="3"/>
  <c r="K210" i="3"/>
  <c r="U211" i="3"/>
  <c r="N213" i="3"/>
  <c r="J215" i="3"/>
  <c r="T216" i="3"/>
  <c r="M218" i="3"/>
  <c r="V219" i="3"/>
  <c r="S221" i="3"/>
  <c r="L223" i="3"/>
  <c r="U224" i="3"/>
  <c r="R226" i="3"/>
  <c r="K228" i="3"/>
  <c r="T229" i="3"/>
  <c r="Q231" i="3"/>
  <c r="J233" i="3"/>
  <c r="O234" i="3"/>
  <c r="J235" i="3"/>
  <c r="R235" i="3"/>
  <c r="M236" i="3"/>
  <c r="U236" i="3"/>
  <c r="P237" i="3"/>
  <c r="K238" i="3"/>
  <c r="S238" i="3"/>
  <c r="N239" i="3"/>
  <c r="V239" i="3"/>
  <c r="Q240" i="3"/>
  <c r="L241" i="3"/>
  <c r="T241" i="3"/>
  <c r="O242" i="3"/>
  <c r="J243" i="3"/>
  <c r="R243" i="3"/>
  <c r="M244" i="3"/>
  <c r="U244" i="3"/>
  <c r="P245" i="3"/>
  <c r="K246" i="3"/>
  <c r="S246" i="3"/>
  <c r="N247" i="3"/>
  <c r="V247" i="3"/>
  <c r="Q248" i="3"/>
  <c r="L249" i="3"/>
  <c r="T249" i="3"/>
  <c r="O250" i="3"/>
  <c r="J251" i="3"/>
  <c r="R251" i="3"/>
  <c r="M252" i="3"/>
  <c r="U252" i="3"/>
  <c r="P253" i="3"/>
  <c r="K254" i="3"/>
  <c r="S254" i="3"/>
  <c r="N255" i="3"/>
  <c r="V255" i="3"/>
  <c r="Q256" i="3"/>
  <c r="L257" i="3"/>
  <c r="T257" i="3"/>
  <c r="O258" i="3"/>
  <c r="J259" i="3"/>
  <c r="R259" i="3"/>
  <c r="M260" i="3"/>
  <c r="U260" i="3"/>
  <c r="P261" i="3"/>
  <c r="K262" i="3"/>
  <c r="S262" i="3"/>
  <c r="N263" i="3"/>
  <c r="V263" i="3"/>
  <c r="Q264" i="3"/>
  <c r="L265" i="3"/>
  <c r="T265" i="3"/>
  <c r="O266" i="3"/>
  <c r="J267" i="3"/>
  <c r="R267" i="3"/>
  <c r="M268" i="3"/>
  <c r="U268" i="3"/>
  <c r="P269" i="3"/>
  <c r="K270" i="3"/>
  <c r="S270" i="3"/>
  <c r="N271" i="3"/>
  <c r="V271" i="3"/>
  <c r="Q272" i="3"/>
  <c r="L273" i="3"/>
  <c r="T273" i="3"/>
  <c r="O274" i="3"/>
  <c r="J275" i="3"/>
  <c r="R275" i="3"/>
  <c r="M276" i="3"/>
  <c r="U276" i="3"/>
  <c r="P277" i="3"/>
  <c r="K278" i="3"/>
  <c r="S278" i="3"/>
  <c r="N279" i="3"/>
  <c r="V279" i="3"/>
  <c r="Q280" i="3"/>
  <c r="L281" i="3"/>
  <c r="T281" i="3"/>
  <c r="O282" i="3"/>
  <c r="J283" i="3"/>
  <c r="R283" i="3"/>
  <c r="M284" i="3"/>
  <c r="U284" i="3"/>
  <c r="P285" i="3"/>
  <c r="K286" i="3"/>
  <c r="S286" i="3"/>
  <c r="N287" i="3"/>
  <c r="V287" i="3"/>
  <c r="Q288" i="3"/>
  <c r="L289" i="3"/>
  <c r="T289" i="3"/>
  <c r="O290" i="3"/>
  <c r="J291" i="3"/>
  <c r="R291" i="3"/>
  <c r="M292" i="3"/>
  <c r="U292" i="3"/>
  <c r="P293" i="3"/>
  <c r="K294" i="3"/>
  <c r="S294" i="3"/>
  <c r="N295" i="3"/>
  <c r="V295" i="3"/>
  <c r="Q296" i="3"/>
  <c r="L297" i="3"/>
  <c r="T297" i="3"/>
  <c r="O298" i="3"/>
  <c r="J299" i="3"/>
  <c r="S42" i="3"/>
  <c r="R70" i="3"/>
  <c r="L87" i="3"/>
  <c r="P96" i="3"/>
  <c r="J102" i="3"/>
  <c r="J108" i="3"/>
  <c r="N114" i="3"/>
  <c r="M119" i="3"/>
  <c r="P124" i="3"/>
  <c r="Q129" i="3"/>
  <c r="P133" i="3"/>
  <c r="J138" i="3"/>
  <c r="P142" i="3"/>
  <c r="O145" i="3"/>
  <c r="S148" i="3"/>
  <c r="T151" i="3"/>
  <c r="L154" i="3"/>
  <c r="R156" i="3"/>
  <c r="J159" i="3"/>
  <c r="V160" i="3"/>
  <c r="S162" i="3"/>
  <c r="P164" i="3"/>
  <c r="V165" i="3"/>
  <c r="R167" i="3"/>
  <c r="O169" i="3"/>
  <c r="U170" i="3"/>
  <c r="Q172" i="3"/>
  <c r="N174" i="3"/>
  <c r="T175" i="3"/>
  <c r="P177" i="3"/>
  <c r="M179" i="3"/>
  <c r="S180" i="3"/>
  <c r="O182" i="3"/>
  <c r="L184" i="3"/>
  <c r="R185" i="3"/>
  <c r="N187" i="3"/>
  <c r="K189" i="3"/>
  <c r="Q190" i="3"/>
  <c r="M192" i="3"/>
  <c r="J194" i="3"/>
  <c r="P195" i="3"/>
  <c r="L197" i="3"/>
  <c r="V198" i="3"/>
  <c r="O200" i="3"/>
  <c r="K202" i="3"/>
  <c r="U203" i="3"/>
  <c r="N205" i="3"/>
  <c r="J207" i="3"/>
  <c r="T208" i="3"/>
  <c r="M210" i="3"/>
  <c r="V211" i="3"/>
  <c r="S213" i="3"/>
  <c r="L215" i="3"/>
  <c r="U216" i="3"/>
  <c r="R218" i="3"/>
  <c r="K220" i="3"/>
  <c r="T221" i="3"/>
  <c r="Q223" i="3"/>
  <c r="J225" i="3"/>
  <c r="S226" i="3"/>
  <c r="P228" i="3"/>
  <c r="V229" i="3"/>
  <c r="R231" i="3"/>
  <c r="O233" i="3"/>
  <c r="P234" i="3"/>
  <c r="K235" i="3"/>
  <c r="S235" i="3"/>
  <c r="N236" i="3"/>
  <c r="V236" i="3"/>
  <c r="Q237" i="3"/>
  <c r="L238" i="3"/>
  <c r="T238" i="3"/>
  <c r="O239" i="3"/>
  <c r="J240" i="3"/>
  <c r="R240" i="3"/>
  <c r="M241" i="3"/>
  <c r="U241" i="3"/>
  <c r="P242" i="3"/>
  <c r="K243" i="3"/>
  <c r="S243" i="3"/>
  <c r="N244" i="3"/>
  <c r="V244" i="3"/>
  <c r="Q245" i="3"/>
  <c r="L246" i="3"/>
  <c r="T246" i="3"/>
  <c r="O247" i="3"/>
  <c r="J248" i="3"/>
  <c r="R248" i="3"/>
  <c r="M249" i="3"/>
  <c r="U249" i="3"/>
  <c r="P250" i="3"/>
  <c r="K251" i="3"/>
  <c r="S251" i="3"/>
  <c r="N252" i="3"/>
  <c r="V252" i="3"/>
  <c r="Q253" i="3"/>
  <c r="L254" i="3"/>
  <c r="T254" i="3"/>
  <c r="O255" i="3"/>
  <c r="J256" i="3"/>
  <c r="R256" i="3"/>
  <c r="M257" i="3"/>
  <c r="U257" i="3"/>
  <c r="P258" i="3"/>
  <c r="K259" i="3"/>
  <c r="S259" i="3"/>
  <c r="N260" i="3"/>
  <c r="V260" i="3"/>
  <c r="Q261" i="3"/>
  <c r="L262" i="3"/>
  <c r="T262" i="3"/>
  <c r="O263" i="3"/>
  <c r="J264" i="3"/>
  <c r="R264" i="3"/>
  <c r="M265" i="3"/>
  <c r="U265" i="3"/>
  <c r="P266" i="3"/>
  <c r="K267" i="3"/>
  <c r="S267" i="3"/>
  <c r="N268" i="3"/>
  <c r="V268" i="3"/>
  <c r="Q269" i="3"/>
  <c r="L270" i="3"/>
  <c r="T270" i="3"/>
  <c r="O271" i="3"/>
  <c r="J272" i="3"/>
  <c r="R272" i="3"/>
  <c r="M273" i="3"/>
  <c r="U273" i="3"/>
  <c r="P274" i="3"/>
  <c r="K275" i="3"/>
  <c r="S275" i="3"/>
  <c r="N276" i="3"/>
  <c r="V276" i="3"/>
  <c r="Q277" i="3"/>
  <c r="L278" i="3"/>
  <c r="T278" i="3"/>
  <c r="O279" i="3"/>
  <c r="J280" i="3"/>
  <c r="R280" i="3"/>
  <c r="M281" i="3"/>
  <c r="U281" i="3"/>
  <c r="P282" i="3"/>
  <c r="K283" i="3"/>
  <c r="S283" i="3"/>
  <c r="N284" i="3"/>
  <c r="V284" i="3"/>
  <c r="Q285" i="3"/>
  <c r="L286" i="3"/>
  <c r="T286" i="3"/>
  <c r="O287" i="3"/>
  <c r="J288" i="3"/>
  <c r="R288" i="3"/>
  <c r="M289" i="3"/>
  <c r="U289" i="3"/>
  <c r="P290" i="3"/>
  <c r="K291" i="3"/>
  <c r="S291" i="3"/>
  <c r="N292" i="3"/>
  <c r="V292" i="3"/>
  <c r="Q293" i="3"/>
  <c r="L294" i="3"/>
  <c r="T294" i="3"/>
  <c r="O295" i="3"/>
  <c r="J296" i="3"/>
  <c r="R296" i="3"/>
  <c r="M297" i="3"/>
  <c r="U297" i="3"/>
  <c r="P298" i="3"/>
  <c r="K299" i="3"/>
  <c r="S299" i="3"/>
  <c r="N300" i="3"/>
  <c r="K50" i="3"/>
  <c r="U74" i="3"/>
  <c r="U87" i="3"/>
  <c r="J97" i="3"/>
  <c r="N103" i="3"/>
  <c r="R108" i="3"/>
  <c r="Q114" i="3"/>
  <c r="P120" i="3"/>
  <c r="U124" i="3"/>
  <c r="T129" i="3"/>
  <c r="P134" i="3"/>
  <c r="O138" i="3"/>
  <c r="Q142" i="3"/>
  <c r="L146" i="3"/>
  <c r="K149" i="3"/>
  <c r="V151" i="3"/>
  <c r="T154" i="3"/>
  <c r="U156" i="3"/>
  <c r="K159" i="3"/>
  <c r="O161" i="3"/>
  <c r="U162" i="3"/>
  <c r="Q164" i="3"/>
  <c r="N166" i="3"/>
  <c r="T167" i="3"/>
  <c r="P169" i="3"/>
  <c r="M171" i="3"/>
  <c r="S172" i="3"/>
  <c r="O174" i="3"/>
  <c r="L176" i="3"/>
  <c r="R177" i="3"/>
  <c r="N179" i="3"/>
  <c r="K181" i="3"/>
  <c r="Q182" i="3"/>
  <c r="M184" i="3"/>
  <c r="J186" i="3"/>
  <c r="P187" i="3"/>
  <c r="L189" i="3"/>
  <c r="V190" i="3"/>
  <c r="O192" i="3"/>
  <c r="K194" i="3"/>
  <c r="U195" i="3"/>
  <c r="N197" i="3"/>
  <c r="J199" i="3"/>
  <c r="T200" i="3"/>
  <c r="M202" i="3"/>
  <c r="V203" i="3"/>
  <c r="S205" i="3"/>
  <c r="L207" i="3"/>
  <c r="U208" i="3"/>
  <c r="R210" i="3"/>
  <c r="K212" i="3"/>
  <c r="T213" i="3"/>
  <c r="Q215" i="3"/>
  <c r="J217" i="3"/>
  <c r="S218" i="3"/>
  <c r="P220" i="3"/>
  <c r="V221" i="3"/>
  <c r="R223" i="3"/>
  <c r="O225" i="3"/>
  <c r="U226" i="3"/>
  <c r="Q228" i="3"/>
  <c r="N230" i="3"/>
  <c r="T231" i="3"/>
  <c r="P233" i="3"/>
  <c r="Q234" i="3"/>
  <c r="L235" i="3"/>
  <c r="T235" i="3"/>
  <c r="O236" i="3"/>
  <c r="J237" i="3"/>
  <c r="R237" i="3"/>
  <c r="M238" i="3"/>
  <c r="U238" i="3"/>
  <c r="P239" i="3"/>
  <c r="K240" i="3"/>
  <c r="S240" i="3"/>
  <c r="N241" i="3"/>
  <c r="V241" i="3"/>
  <c r="Q242" i="3"/>
  <c r="L243" i="3"/>
  <c r="T243" i="3"/>
  <c r="O244" i="3"/>
  <c r="J245" i="3"/>
  <c r="R245" i="3"/>
  <c r="M246" i="3"/>
  <c r="U246" i="3"/>
  <c r="P247" i="3"/>
  <c r="K248" i="3"/>
  <c r="S248" i="3"/>
  <c r="N249" i="3"/>
  <c r="V249" i="3"/>
  <c r="Q250" i="3"/>
  <c r="L251" i="3"/>
  <c r="T251" i="3"/>
  <c r="O252" i="3"/>
  <c r="J253" i="3"/>
  <c r="R253" i="3"/>
  <c r="M254" i="3"/>
  <c r="U254" i="3"/>
  <c r="P255" i="3"/>
  <c r="K256" i="3"/>
  <c r="S256" i="3"/>
  <c r="N257" i="3"/>
  <c r="V257" i="3"/>
  <c r="Q258" i="3"/>
  <c r="L259" i="3"/>
  <c r="T259" i="3"/>
  <c r="O260" i="3"/>
  <c r="J261" i="3"/>
  <c r="R261" i="3"/>
  <c r="M262" i="3"/>
  <c r="U262" i="3"/>
  <c r="P263" i="3"/>
  <c r="K264" i="3"/>
  <c r="S264" i="3"/>
  <c r="N265" i="3"/>
  <c r="V265" i="3"/>
  <c r="Q266" i="3"/>
  <c r="L267" i="3"/>
  <c r="T267" i="3"/>
  <c r="O268" i="3"/>
  <c r="J269" i="3"/>
  <c r="R269" i="3"/>
  <c r="M270" i="3"/>
  <c r="U270" i="3"/>
  <c r="P271" i="3"/>
  <c r="K272" i="3"/>
  <c r="S272" i="3"/>
  <c r="N273" i="3"/>
  <c r="V273" i="3"/>
  <c r="Q274" i="3"/>
  <c r="L275" i="3"/>
  <c r="T275" i="3"/>
  <c r="O276" i="3"/>
  <c r="J277" i="3"/>
  <c r="R277" i="3"/>
  <c r="M278" i="3"/>
  <c r="U278" i="3"/>
  <c r="P279" i="3"/>
  <c r="K280" i="3"/>
  <c r="S280" i="3"/>
  <c r="N281" i="3"/>
  <c r="V281" i="3"/>
  <c r="Q282" i="3"/>
  <c r="L283" i="3"/>
  <c r="T283" i="3"/>
  <c r="O284" i="3"/>
  <c r="J285" i="3"/>
  <c r="R285" i="3"/>
  <c r="M286" i="3"/>
  <c r="U286" i="3"/>
  <c r="P287" i="3"/>
  <c r="K288" i="3"/>
  <c r="S288" i="3"/>
  <c r="N289" i="3"/>
  <c r="V289" i="3"/>
  <c r="Q290" i="3"/>
  <c r="L291" i="3"/>
  <c r="T291" i="3"/>
  <c r="O292" i="3"/>
  <c r="J293" i="3"/>
  <c r="R293" i="3"/>
  <c r="M294" i="3"/>
  <c r="U294" i="3"/>
  <c r="P295" i="3"/>
  <c r="K296" i="3"/>
  <c r="S296" i="3"/>
  <c r="N297" i="3"/>
  <c r="V297" i="3"/>
  <c r="Q298" i="3"/>
  <c r="L299" i="3"/>
  <c r="T299" i="3"/>
  <c r="O300" i="3"/>
  <c r="J301" i="3"/>
  <c r="U56" i="3"/>
  <c r="Q75" i="3"/>
  <c r="T89" i="3"/>
  <c r="R97" i="3"/>
  <c r="S103" i="3"/>
  <c r="V109" i="3"/>
  <c r="L115" i="3"/>
  <c r="S120" i="3"/>
  <c r="K126" i="3"/>
  <c r="L130" i="3"/>
  <c r="S134" i="3"/>
  <c r="O139" i="3"/>
  <c r="V142" i="3"/>
  <c r="M146" i="3"/>
  <c r="U149" i="3"/>
  <c r="M152" i="3"/>
  <c r="U154" i="3"/>
  <c r="N157" i="3"/>
  <c r="N159" i="3"/>
  <c r="P161" i="3"/>
  <c r="M163" i="3"/>
  <c r="S164" i="3"/>
  <c r="O166" i="3"/>
  <c r="L168" i="3"/>
  <c r="R169" i="3"/>
  <c r="N171" i="3"/>
  <c r="K173" i="3"/>
  <c r="Q174" i="3"/>
  <c r="M176" i="3"/>
  <c r="J178" i="3"/>
  <c r="P179" i="3"/>
  <c r="L181" i="3"/>
  <c r="V182" i="3"/>
  <c r="O184" i="3"/>
  <c r="K186" i="3"/>
  <c r="U187" i="3"/>
  <c r="N189" i="3"/>
  <c r="J191" i="3"/>
  <c r="T192" i="3"/>
  <c r="M194" i="3"/>
  <c r="V195" i="3"/>
  <c r="S197" i="3"/>
  <c r="L199" i="3"/>
  <c r="U200" i="3"/>
  <c r="R202" i="3"/>
  <c r="K204" i="3"/>
  <c r="T205" i="3"/>
  <c r="Q207" i="3"/>
  <c r="J209" i="3"/>
  <c r="S210" i="3"/>
  <c r="P212" i="3"/>
  <c r="V213" i="3"/>
  <c r="R215" i="3"/>
  <c r="O217" i="3"/>
  <c r="U218" i="3"/>
  <c r="Q220" i="3"/>
  <c r="N222" i="3"/>
  <c r="T223" i="3"/>
  <c r="P225" i="3"/>
  <c r="M227" i="3"/>
  <c r="S228" i="3"/>
  <c r="O230" i="3"/>
  <c r="L232" i="3"/>
  <c r="R233" i="3"/>
  <c r="R234" i="3"/>
  <c r="M235" i="3"/>
  <c r="U235" i="3"/>
  <c r="P236" i="3"/>
  <c r="K237" i="3"/>
  <c r="S237" i="3"/>
  <c r="N238" i="3"/>
  <c r="V238" i="3"/>
  <c r="Q239" i="3"/>
  <c r="L240" i="3"/>
  <c r="T240" i="3"/>
  <c r="O241" i="3"/>
  <c r="J242" i="3"/>
  <c r="R242" i="3"/>
  <c r="M243" i="3"/>
  <c r="U243" i="3"/>
  <c r="P244" i="3"/>
  <c r="K245" i="3"/>
  <c r="S245" i="3"/>
  <c r="N246" i="3"/>
  <c r="V246" i="3"/>
  <c r="Q247" i="3"/>
  <c r="L248" i="3"/>
  <c r="T248" i="3"/>
  <c r="O249" i="3"/>
  <c r="J250" i="3"/>
  <c r="R250" i="3"/>
  <c r="M251" i="3"/>
  <c r="U251" i="3"/>
  <c r="P252" i="3"/>
  <c r="K253" i="3"/>
  <c r="S253" i="3"/>
  <c r="N254" i="3"/>
  <c r="V254" i="3"/>
  <c r="Q255" i="3"/>
  <c r="L256" i="3"/>
  <c r="T256" i="3"/>
  <c r="O257" i="3"/>
  <c r="J258" i="3"/>
  <c r="R258" i="3"/>
  <c r="M259" i="3"/>
  <c r="U259" i="3"/>
  <c r="P260" i="3"/>
  <c r="K261" i="3"/>
  <c r="S261" i="3"/>
  <c r="N262" i="3"/>
  <c r="V262" i="3"/>
  <c r="Q263" i="3"/>
  <c r="L264" i="3"/>
  <c r="T264" i="3"/>
  <c r="O265" i="3"/>
  <c r="J266" i="3"/>
  <c r="R266" i="3"/>
  <c r="M267" i="3"/>
  <c r="U267" i="3"/>
  <c r="P268" i="3"/>
  <c r="K269" i="3"/>
  <c r="S269" i="3"/>
  <c r="N270" i="3"/>
  <c r="V270" i="3"/>
  <c r="Q271" i="3"/>
  <c r="L272" i="3"/>
  <c r="T272" i="3"/>
  <c r="O273" i="3"/>
  <c r="J274" i="3"/>
  <c r="R274" i="3"/>
  <c r="M275" i="3"/>
  <c r="U275" i="3"/>
  <c r="P276" i="3"/>
  <c r="K277" i="3"/>
  <c r="S277" i="3"/>
  <c r="N278" i="3"/>
  <c r="V278" i="3"/>
  <c r="Q279" i="3"/>
  <c r="L280" i="3"/>
  <c r="T280" i="3"/>
  <c r="O281" i="3"/>
  <c r="J282" i="3"/>
  <c r="R282" i="3"/>
  <c r="M283" i="3"/>
  <c r="U283" i="3"/>
  <c r="P284" i="3"/>
  <c r="K285" i="3"/>
  <c r="S285" i="3"/>
  <c r="N286" i="3"/>
  <c r="V286" i="3"/>
  <c r="Q287" i="3"/>
  <c r="L288" i="3"/>
  <c r="T288" i="3"/>
  <c r="O289" i="3"/>
  <c r="J290" i="3"/>
  <c r="R290" i="3"/>
  <c r="M291" i="3"/>
  <c r="U291" i="3"/>
  <c r="P292" i="3"/>
  <c r="K293" i="3"/>
  <c r="S293" i="3"/>
  <c r="N294" i="3"/>
  <c r="V294" i="3"/>
  <c r="Q295" i="3"/>
  <c r="L296" i="3"/>
  <c r="T296" i="3"/>
  <c r="O297" i="3"/>
  <c r="J298" i="3"/>
  <c r="R298" i="3"/>
  <c r="V61" i="3"/>
  <c r="N77" i="3"/>
  <c r="N90" i="3"/>
  <c r="V98" i="3"/>
  <c r="M104" i="3"/>
  <c r="M110" i="3"/>
  <c r="Q116" i="3"/>
  <c r="L121" i="3"/>
  <c r="N126" i="3"/>
  <c r="M131" i="3"/>
  <c r="K135" i="3"/>
  <c r="R139" i="3"/>
  <c r="S143" i="3"/>
  <c r="R146" i="3"/>
  <c r="V149" i="3"/>
  <c r="U152" i="3"/>
  <c r="M155" i="3"/>
  <c r="P157" i="3"/>
  <c r="T159" i="3"/>
  <c r="R161" i="3"/>
  <c r="N163" i="3"/>
  <c r="K165" i="3"/>
  <c r="Q166" i="3"/>
  <c r="M168" i="3"/>
  <c r="J170" i="3"/>
  <c r="P171" i="3"/>
  <c r="L173" i="3"/>
  <c r="V174" i="3"/>
  <c r="O176" i="3"/>
  <c r="K178" i="3"/>
  <c r="U179" i="3"/>
  <c r="N181" i="3"/>
  <c r="J183" i="3"/>
  <c r="T184" i="3"/>
  <c r="M186" i="3"/>
  <c r="V187" i="3"/>
  <c r="S189" i="3"/>
  <c r="L191" i="3"/>
  <c r="U192" i="3"/>
  <c r="R194" i="3"/>
  <c r="K196" i="3"/>
  <c r="T197" i="3"/>
  <c r="Q199" i="3"/>
  <c r="J201" i="3"/>
  <c r="S202" i="3"/>
  <c r="P204" i="3"/>
  <c r="V205" i="3"/>
  <c r="R207" i="3"/>
  <c r="O209" i="3"/>
  <c r="U210" i="3"/>
  <c r="Q212" i="3"/>
  <c r="N214" i="3"/>
  <c r="T215" i="3"/>
  <c r="P217" i="3"/>
  <c r="M219" i="3"/>
  <c r="S220" i="3"/>
  <c r="O222" i="3"/>
  <c r="L224" i="3"/>
  <c r="R225" i="3"/>
  <c r="N227" i="3"/>
  <c r="K229" i="3"/>
  <c r="Q230" i="3"/>
  <c r="M232" i="3"/>
  <c r="J234" i="3"/>
  <c r="S234" i="3"/>
  <c r="N235" i="3"/>
  <c r="V235" i="3"/>
  <c r="Q236" i="3"/>
  <c r="L237" i="3"/>
  <c r="T237" i="3"/>
  <c r="O238" i="3"/>
  <c r="J239" i="3"/>
  <c r="R239" i="3"/>
  <c r="M240" i="3"/>
  <c r="U240" i="3"/>
  <c r="P241" i="3"/>
  <c r="K242" i="3"/>
  <c r="S242" i="3"/>
  <c r="N243" i="3"/>
  <c r="V243" i="3"/>
  <c r="Q244" i="3"/>
  <c r="L245" i="3"/>
  <c r="T245" i="3"/>
  <c r="O246" i="3"/>
  <c r="J247" i="3"/>
  <c r="R247" i="3"/>
  <c r="M248" i="3"/>
  <c r="U248" i="3"/>
  <c r="P249" i="3"/>
  <c r="K250" i="3"/>
  <c r="S250" i="3"/>
  <c r="N251" i="3"/>
  <c r="V251" i="3"/>
  <c r="Q252" i="3"/>
  <c r="L253" i="3"/>
  <c r="T253" i="3"/>
  <c r="O254" i="3"/>
  <c r="J255" i="3"/>
  <c r="R255" i="3"/>
  <c r="M256" i="3"/>
  <c r="U256" i="3"/>
  <c r="P257" i="3"/>
  <c r="K258" i="3"/>
  <c r="S258" i="3"/>
  <c r="N259" i="3"/>
  <c r="V259" i="3"/>
  <c r="Q260" i="3"/>
  <c r="L261" i="3"/>
  <c r="T261" i="3"/>
  <c r="O262" i="3"/>
  <c r="J263" i="3"/>
  <c r="R263" i="3"/>
  <c r="M264" i="3"/>
  <c r="U264" i="3"/>
  <c r="P265" i="3"/>
  <c r="K266" i="3"/>
  <c r="S266" i="3"/>
  <c r="N267" i="3"/>
  <c r="V267" i="3"/>
  <c r="Q268" i="3"/>
  <c r="L269" i="3"/>
  <c r="T269" i="3"/>
  <c r="O270" i="3"/>
  <c r="J271" i="3"/>
  <c r="R271" i="3"/>
  <c r="M272" i="3"/>
  <c r="U272" i="3"/>
  <c r="P273" i="3"/>
  <c r="K274" i="3"/>
  <c r="S274" i="3"/>
  <c r="N275" i="3"/>
  <c r="V275" i="3"/>
  <c r="Q276" i="3"/>
  <c r="L277" i="3"/>
  <c r="T277" i="3"/>
  <c r="O278" i="3"/>
  <c r="J279" i="3"/>
  <c r="R279" i="3"/>
  <c r="M280" i="3"/>
  <c r="U280" i="3"/>
  <c r="P281" i="3"/>
  <c r="K282" i="3"/>
  <c r="S282" i="3"/>
  <c r="N283" i="3"/>
  <c r="V283" i="3"/>
  <c r="Q284" i="3"/>
  <c r="L285" i="3"/>
  <c r="T285" i="3"/>
  <c r="O286" i="3"/>
  <c r="J287" i="3"/>
  <c r="R287" i="3"/>
  <c r="M288" i="3"/>
  <c r="U288" i="3"/>
  <c r="P289" i="3"/>
  <c r="K290" i="3"/>
  <c r="S290" i="3"/>
  <c r="N291" i="3"/>
  <c r="V291" i="3"/>
  <c r="Q292" i="3"/>
  <c r="L293" i="3"/>
  <c r="T293" i="3"/>
  <c r="O294" i="3"/>
  <c r="J295" i="3"/>
  <c r="R295" i="3"/>
  <c r="M296" i="3"/>
  <c r="U296" i="3"/>
  <c r="P297" i="3"/>
  <c r="K298" i="3"/>
  <c r="S298" i="3"/>
  <c r="N299" i="3"/>
  <c r="V299" i="3"/>
  <c r="Q300" i="3"/>
  <c r="L301" i="3"/>
  <c r="Q62" i="3"/>
  <c r="R81" i="3"/>
  <c r="J91" i="3"/>
  <c r="N99" i="3"/>
  <c r="Q105" i="3"/>
  <c r="S110" i="3"/>
  <c r="T116" i="3"/>
  <c r="N122" i="3"/>
  <c r="U126" i="3"/>
  <c r="O131" i="3"/>
  <c r="L136" i="3"/>
  <c r="J140" i="3"/>
  <c r="T143" i="3"/>
  <c r="O147" i="3"/>
  <c r="N150" i="3"/>
  <c r="V152" i="3"/>
  <c r="T155" i="3"/>
  <c r="S157" i="3"/>
  <c r="V159" i="3"/>
  <c r="J162" i="3"/>
  <c r="P163" i="3"/>
  <c r="L165" i="3"/>
  <c r="V166" i="3"/>
  <c r="O168" i="3"/>
  <c r="K170" i="3"/>
  <c r="U171" i="3"/>
  <c r="N173" i="3"/>
  <c r="J175" i="3"/>
  <c r="T176" i="3"/>
  <c r="M178" i="3"/>
  <c r="V179" i="3"/>
  <c r="S181" i="3"/>
  <c r="L183" i="3"/>
  <c r="U184" i="3"/>
  <c r="R186" i="3"/>
  <c r="K188" i="3"/>
  <c r="T189" i="3"/>
  <c r="Q191" i="3"/>
  <c r="J193" i="3"/>
  <c r="S194" i="3"/>
  <c r="P196" i="3"/>
  <c r="V197" i="3"/>
  <c r="R199" i="3"/>
  <c r="O201" i="3"/>
  <c r="U202" i="3"/>
  <c r="Q204" i="3"/>
  <c r="N206" i="3"/>
  <c r="T207" i="3"/>
  <c r="P209" i="3"/>
  <c r="M211" i="3"/>
  <c r="S212" i="3"/>
  <c r="O214" i="3"/>
  <c r="L216" i="3"/>
  <c r="R217" i="3"/>
  <c r="N219" i="3"/>
  <c r="K221" i="3"/>
  <c r="Q222" i="3"/>
  <c r="M224" i="3"/>
  <c r="J226" i="3"/>
  <c r="P227" i="3"/>
  <c r="L229" i="3"/>
  <c r="V230" i="3"/>
  <c r="O232" i="3"/>
  <c r="K234" i="3"/>
  <c r="T234" i="3"/>
  <c r="O235" i="3"/>
  <c r="J236" i="3"/>
  <c r="R236" i="3"/>
  <c r="M237" i="3"/>
  <c r="U237" i="3"/>
  <c r="P238" i="3"/>
  <c r="K239" i="3"/>
  <c r="S239" i="3"/>
  <c r="N240" i="3"/>
  <c r="V240" i="3"/>
  <c r="Q241" i="3"/>
  <c r="L242" i="3"/>
  <c r="T242" i="3"/>
  <c r="O243" i="3"/>
  <c r="J244" i="3"/>
  <c r="R244" i="3"/>
  <c r="M245" i="3"/>
  <c r="U245" i="3"/>
  <c r="P246" i="3"/>
  <c r="K247" i="3"/>
  <c r="S247" i="3"/>
  <c r="N248" i="3"/>
  <c r="V248" i="3"/>
  <c r="Q249" i="3"/>
  <c r="L250" i="3"/>
  <c r="T250" i="3"/>
  <c r="O251" i="3"/>
  <c r="J252" i="3"/>
  <c r="R252" i="3"/>
  <c r="M253" i="3"/>
  <c r="U253" i="3"/>
  <c r="P254" i="3"/>
  <c r="K255" i="3"/>
  <c r="S255" i="3"/>
  <c r="N256" i="3"/>
  <c r="V256" i="3"/>
  <c r="Q257" i="3"/>
  <c r="L258" i="3"/>
  <c r="T258" i="3"/>
  <c r="O259" i="3"/>
  <c r="J260" i="3"/>
  <c r="R260" i="3"/>
  <c r="M261" i="3"/>
  <c r="U261" i="3"/>
  <c r="P262" i="3"/>
  <c r="K263" i="3"/>
  <c r="S263" i="3"/>
  <c r="N264" i="3"/>
  <c r="V264" i="3"/>
  <c r="Q265" i="3"/>
  <c r="L266" i="3"/>
  <c r="T266" i="3"/>
  <c r="O267" i="3"/>
  <c r="J268" i="3"/>
  <c r="R268" i="3"/>
  <c r="M269" i="3"/>
  <c r="U269" i="3"/>
  <c r="P270" i="3"/>
  <c r="K271" i="3"/>
  <c r="S271" i="3"/>
  <c r="N272" i="3"/>
  <c r="V272" i="3"/>
  <c r="Q273" i="3"/>
  <c r="L274" i="3"/>
  <c r="T274" i="3"/>
  <c r="O275" i="3"/>
  <c r="J276" i="3"/>
  <c r="R276" i="3"/>
  <c r="M277" i="3"/>
  <c r="U277" i="3"/>
  <c r="P278" i="3"/>
  <c r="K279" i="3"/>
  <c r="S279" i="3"/>
  <c r="N280" i="3"/>
  <c r="V280" i="3"/>
  <c r="Q281" i="3"/>
  <c r="L282" i="3"/>
  <c r="T282" i="3"/>
  <c r="O283" i="3"/>
  <c r="J284" i="3"/>
  <c r="R284" i="3"/>
  <c r="M285" i="3"/>
  <c r="U285" i="3"/>
  <c r="P286" i="3"/>
  <c r="K287" i="3"/>
  <c r="S287" i="3"/>
  <c r="N288" i="3"/>
  <c r="V288" i="3"/>
  <c r="Q289" i="3"/>
  <c r="L290" i="3"/>
  <c r="T290" i="3"/>
  <c r="O291" i="3"/>
  <c r="J292" i="3"/>
  <c r="R292" i="3"/>
  <c r="L68" i="3"/>
  <c r="K84" i="3"/>
  <c r="P93" i="3"/>
  <c r="M101" i="3"/>
  <c r="N106" i="3"/>
  <c r="O112" i="3"/>
  <c r="Q118" i="3"/>
  <c r="J123" i="3"/>
  <c r="L128" i="3"/>
  <c r="U132" i="3"/>
  <c r="T136" i="3"/>
  <c r="M141" i="3"/>
  <c r="V144" i="3"/>
  <c r="U147" i="3"/>
  <c r="J151" i="3"/>
  <c r="T153" i="3"/>
  <c r="J156" i="3"/>
  <c r="N158" i="3"/>
  <c r="S160" i="3"/>
  <c r="M162" i="3"/>
  <c r="V163" i="3"/>
  <c r="S165" i="3"/>
  <c r="L167" i="3"/>
  <c r="U168" i="3"/>
  <c r="R170" i="3"/>
  <c r="K172" i="3"/>
  <c r="T173" i="3"/>
  <c r="Q175" i="3"/>
  <c r="J177" i="3"/>
  <c r="S178" i="3"/>
  <c r="P180" i="3"/>
  <c r="V181" i="3"/>
  <c r="R183" i="3"/>
  <c r="O185" i="3"/>
  <c r="U186" i="3"/>
  <c r="Q188" i="3"/>
  <c r="N190" i="3"/>
  <c r="T191" i="3"/>
  <c r="P193" i="3"/>
  <c r="M195" i="3"/>
  <c r="S196" i="3"/>
  <c r="O198" i="3"/>
  <c r="L200" i="3"/>
  <c r="R201" i="3"/>
  <c r="N203" i="3"/>
  <c r="K205" i="3"/>
  <c r="Q206" i="3"/>
  <c r="M208" i="3"/>
  <c r="J210" i="3"/>
  <c r="P211" i="3"/>
  <c r="L213" i="3"/>
  <c r="V214" i="3"/>
  <c r="O216" i="3"/>
  <c r="K218" i="3"/>
  <c r="U219" i="3"/>
  <c r="N221" i="3"/>
  <c r="J223" i="3"/>
  <c r="T224" i="3"/>
  <c r="M226" i="3"/>
  <c r="V227" i="3"/>
  <c r="S229" i="3"/>
  <c r="L231" i="3"/>
  <c r="U232" i="3"/>
  <c r="N234" i="3"/>
  <c r="V234" i="3"/>
  <c r="Q235" i="3"/>
  <c r="L236" i="3"/>
  <c r="T236" i="3"/>
  <c r="O237" i="3"/>
  <c r="J238" i="3"/>
  <c r="R238" i="3"/>
  <c r="M239" i="3"/>
  <c r="U239" i="3"/>
  <c r="P240" i="3"/>
  <c r="K241" i="3"/>
  <c r="S241" i="3"/>
  <c r="N242" i="3"/>
  <c r="V242" i="3"/>
  <c r="Q243" i="3"/>
  <c r="L244" i="3"/>
  <c r="T244" i="3"/>
  <c r="O245" i="3"/>
  <c r="J246" i="3"/>
  <c r="R246" i="3"/>
  <c r="M247" i="3"/>
  <c r="U247" i="3"/>
  <c r="P248" i="3"/>
  <c r="K249" i="3"/>
  <c r="S249" i="3"/>
  <c r="N250" i="3"/>
  <c r="V250" i="3"/>
  <c r="Q251" i="3"/>
  <c r="L252" i="3"/>
  <c r="T252" i="3"/>
  <c r="O253" i="3"/>
  <c r="J254" i="3"/>
  <c r="R254" i="3"/>
  <c r="M255" i="3"/>
  <c r="U255" i="3"/>
  <c r="P256" i="3"/>
  <c r="K257" i="3"/>
  <c r="S257" i="3"/>
  <c r="N258" i="3"/>
  <c r="V258" i="3"/>
  <c r="Q259" i="3"/>
  <c r="L260" i="3"/>
  <c r="T260" i="3"/>
  <c r="O261" i="3"/>
  <c r="J262" i="3"/>
  <c r="R262" i="3"/>
  <c r="M263" i="3"/>
  <c r="U263" i="3"/>
  <c r="P264" i="3"/>
  <c r="K265" i="3"/>
  <c r="S265" i="3"/>
  <c r="N266" i="3"/>
  <c r="V266" i="3"/>
  <c r="Q267" i="3"/>
  <c r="L268" i="3"/>
  <c r="T268" i="3"/>
  <c r="O269" i="3"/>
  <c r="J270" i="3"/>
  <c r="R270" i="3"/>
  <c r="M271" i="3"/>
  <c r="U271" i="3"/>
  <c r="P272" i="3"/>
  <c r="K273" i="3"/>
  <c r="S273" i="3"/>
  <c r="N274" i="3"/>
  <c r="V274" i="3"/>
  <c r="Q275" i="3"/>
  <c r="L276" i="3"/>
  <c r="T276" i="3"/>
  <c r="O277" i="3"/>
  <c r="J278" i="3"/>
  <c r="R278" i="3"/>
  <c r="M279" i="3"/>
  <c r="U279" i="3"/>
  <c r="P280" i="3"/>
  <c r="K281" i="3"/>
  <c r="S281" i="3"/>
  <c r="N282" i="3"/>
  <c r="V282" i="3"/>
  <c r="Q283" i="3"/>
  <c r="L284" i="3"/>
  <c r="T284" i="3"/>
  <c r="O285" i="3"/>
  <c r="J286" i="3"/>
  <c r="R286" i="3"/>
  <c r="M287" i="3"/>
  <c r="U287" i="3"/>
  <c r="P288" i="3"/>
  <c r="K289" i="3"/>
  <c r="S289" i="3"/>
  <c r="N290" i="3"/>
  <c r="V290" i="3"/>
  <c r="Q291" i="3"/>
  <c r="L292" i="3"/>
  <c r="T292" i="3"/>
  <c r="O293" i="3"/>
  <c r="J294" i="3"/>
  <c r="R294" i="3"/>
  <c r="M295" i="3"/>
  <c r="U295" i="3"/>
  <c r="P296" i="3"/>
  <c r="K297" i="3"/>
  <c r="S297" i="3"/>
  <c r="N298" i="3"/>
  <c r="V298" i="3"/>
  <c r="Q299" i="3"/>
  <c r="L300" i="3"/>
  <c r="T300" i="3"/>
  <c r="O64" i="3"/>
  <c r="V127" i="3"/>
  <c r="U155" i="3"/>
  <c r="M170" i="3"/>
  <c r="Q183" i="3"/>
  <c r="Q196" i="3"/>
  <c r="R209" i="3"/>
  <c r="V222" i="3"/>
  <c r="U234" i="3"/>
  <c r="T239" i="3"/>
  <c r="S244" i="3"/>
  <c r="R249" i="3"/>
  <c r="Q254" i="3"/>
  <c r="P259" i="3"/>
  <c r="O264" i="3"/>
  <c r="N269" i="3"/>
  <c r="M274" i="3"/>
  <c r="L279" i="3"/>
  <c r="K284" i="3"/>
  <c r="J289" i="3"/>
  <c r="N293" i="3"/>
  <c r="T295" i="3"/>
  <c r="M298" i="3"/>
  <c r="J300" i="3"/>
  <c r="K301" i="3"/>
  <c r="T301" i="3"/>
  <c r="O302" i="3"/>
  <c r="J303" i="3"/>
  <c r="R303" i="3"/>
  <c r="M304" i="3"/>
  <c r="U304" i="3"/>
  <c r="P305" i="3"/>
  <c r="K306" i="3"/>
  <c r="S306" i="3"/>
  <c r="N307" i="3"/>
  <c r="V307" i="3"/>
  <c r="Q308" i="3"/>
  <c r="L309" i="3"/>
  <c r="T309" i="3"/>
  <c r="O310" i="3"/>
  <c r="J311" i="3"/>
  <c r="R311" i="3"/>
  <c r="M312" i="3"/>
  <c r="U312" i="3"/>
  <c r="P313" i="3"/>
  <c r="K314" i="3"/>
  <c r="S314" i="3"/>
  <c r="N315" i="3"/>
  <c r="V315" i="3"/>
  <c r="Q316" i="3"/>
  <c r="L317" i="3"/>
  <c r="T317" i="3"/>
  <c r="O318" i="3"/>
  <c r="J319" i="3"/>
  <c r="R319" i="3"/>
  <c r="M320" i="3"/>
  <c r="U320" i="3"/>
  <c r="P321" i="3"/>
  <c r="K322" i="3"/>
  <c r="S322" i="3"/>
  <c r="N323" i="3"/>
  <c r="V323" i="3"/>
  <c r="Q324" i="3"/>
  <c r="L325" i="3"/>
  <c r="T325" i="3"/>
  <c r="O326" i="3"/>
  <c r="J327" i="3"/>
  <c r="R327" i="3"/>
  <c r="M328" i="3"/>
  <c r="U328" i="3"/>
  <c r="P329" i="3"/>
  <c r="K330" i="3"/>
  <c r="S330" i="3"/>
  <c r="N331" i="3"/>
  <c r="V331" i="3"/>
  <c r="Q332" i="3"/>
  <c r="L333" i="3"/>
  <c r="T333" i="3"/>
  <c r="O334" i="3"/>
  <c r="J335" i="3"/>
  <c r="R335" i="3"/>
  <c r="M336" i="3"/>
  <c r="U336" i="3"/>
  <c r="P337" i="3"/>
  <c r="K338" i="3"/>
  <c r="S338" i="3"/>
  <c r="N339" i="3"/>
  <c r="V339" i="3"/>
  <c r="Q340" i="3"/>
  <c r="L341" i="3"/>
  <c r="T341" i="3"/>
  <c r="O342" i="3"/>
  <c r="J343" i="3"/>
  <c r="R343" i="3"/>
  <c r="M344" i="3"/>
  <c r="U344" i="3"/>
  <c r="P345" i="3"/>
  <c r="K346" i="3"/>
  <c r="S346" i="3"/>
  <c r="N347" i="3"/>
  <c r="V347" i="3"/>
  <c r="Q348" i="3"/>
  <c r="L349" i="3"/>
  <c r="T349" i="3"/>
  <c r="O350" i="3"/>
  <c r="J351" i="3"/>
  <c r="R351" i="3"/>
  <c r="M352" i="3"/>
  <c r="U352" i="3"/>
  <c r="P353" i="3"/>
  <c r="K354" i="3"/>
  <c r="S354" i="3"/>
  <c r="N355" i="3"/>
  <c r="V355" i="3"/>
  <c r="Q356" i="3"/>
  <c r="L357" i="3"/>
  <c r="T357" i="3"/>
  <c r="O358" i="3"/>
  <c r="J359" i="3"/>
  <c r="R359" i="3"/>
  <c r="M360" i="3"/>
  <c r="U360" i="3"/>
  <c r="P361" i="3"/>
  <c r="K362" i="3"/>
  <c r="S362" i="3"/>
  <c r="N363" i="3"/>
  <c r="V363" i="3"/>
  <c r="Q364" i="3"/>
  <c r="L365" i="3"/>
  <c r="T365" i="3"/>
  <c r="O366" i="3"/>
  <c r="J367" i="3"/>
  <c r="R367" i="3"/>
  <c r="M368" i="3"/>
  <c r="U368" i="3"/>
  <c r="P369" i="3"/>
  <c r="K370" i="3"/>
  <c r="S370" i="3"/>
  <c r="N93" i="3"/>
  <c r="N136" i="3"/>
  <c r="L160" i="3"/>
  <c r="S173" i="3"/>
  <c r="S186" i="3"/>
  <c r="T199" i="3"/>
  <c r="K213" i="3"/>
  <c r="K226" i="3"/>
  <c r="K236" i="3"/>
  <c r="J241" i="3"/>
  <c r="V245" i="3"/>
  <c r="U250" i="3"/>
  <c r="T255" i="3"/>
  <c r="S260" i="3"/>
  <c r="R265" i="3"/>
  <c r="Q270" i="3"/>
  <c r="P275" i="3"/>
  <c r="O280" i="3"/>
  <c r="N285" i="3"/>
  <c r="M290" i="3"/>
  <c r="V293" i="3"/>
  <c r="O296" i="3"/>
  <c r="U298" i="3"/>
  <c r="M300" i="3"/>
  <c r="N301" i="3"/>
  <c r="V301" i="3"/>
  <c r="Q302" i="3"/>
  <c r="L303" i="3"/>
  <c r="T303" i="3"/>
  <c r="O304" i="3"/>
  <c r="J305" i="3"/>
  <c r="R305" i="3"/>
  <c r="M306" i="3"/>
  <c r="U306" i="3"/>
  <c r="P307" i="3"/>
  <c r="K308" i="3"/>
  <c r="S308" i="3"/>
  <c r="N309" i="3"/>
  <c r="V309" i="3"/>
  <c r="Q310" i="3"/>
  <c r="L311" i="3"/>
  <c r="T311" i="3"/>
  <c r="O312" i="3"/>
  <c r="J313" i="3"/>
  <c r="R313" i="3"/>
  <c r="M314" i="3"/>
  <c r="U314" i="3"/>
  <c r="P315" i="3"/>
  <c r="K316" i="3"/>
  <c r="S316" i="3"/>
  <c r="N317" i="3"/>
  <c r="V317" i="3"/>
  <c r="Q318" i="3"/>
  <c r="L319" i="3"/>
  <c r="T319" i="3"/>
  <c r="O320" i="3"/>
  <c r="J321" i="3"/>
  <c r="R321" i="3"/>
  <c r="M322" i="3"/>
  <c r="U322" i="3"/>
  <c r="P323" i="3"/>
  <c r="K324" i="3"/>
  <c r="S324" i="3"/>
  <c r="N325" i="3"/>
  <c r="V325" i="3"/>
  <c r="Q326" i="3"/>
  <c r="L327" i="3"/>
  <c r="T327" i="3"/>
  <c r="O328" i="3"/>
  <c r="J329" i="3"/>
  <c r="R329" i="3"/>
  <c r="M330" i="3"/>
  <c r="U330" i="3"/>
  <c r="P331" i="3"/>
  <c r="K332" i="3"/>
  <c r="S332" i="3"/>
  <c r="N333" i="3"/>
  <c r="V333" i="3"/>
  <c r="Q334" i="3"/>
  <c r="L335" i="3"/>
  <c r="T335" i="3"/>
  <c r="O336" i="3"/>
  <c r="J337" i="3"/>
  <c r="R337" i="3"/>
  <c r="M338" i="3"/>
  <c r="U338" i="3"/>
  <c r="P339" i="3"/>
  <c r="K340" i="3"/>
  <c r="S340" i="3"/>
  <c r="N341" i="3"/>
  <c r="V341" i="3"/>
  <c r="Q342" i="3"/>
  <c r="L343" i="3"/>
  <c r="T343" i="3"/>
  <c r="O344" i="3"/>
  <c r="J345" i="3"/>
  <c r="R345" i="3"/>
  <c r="M346" i="3"/>
  <c r="U346" i="3"/>
  <c r="P347" i="3"/>
  <c r="K348" i="3"/>
  <c r="S348" i="3"/>
  <c r="N349" i="3"/>
  <c r="V349" i="3"/>
  <c r="Q350" i="3"/>
  <c r="L351" i="3"/>
  <c r="T351" i="3"/>
  <c r="O352" i="3"/>
  <c r="J353" i="3"/>
  <c r="R353" i="3"/>
  <c r="M354" i="3"/>
  <c r="U354" i="3"/>
  <c r="P355" i="3"/>
  <c r="K356" i="3"/>
  <c r="S356" i="3"/>
  <c r="N357" i="3"/>
  <c r="V357" i="3"/>
  <c r="Q358" i="3"/>
  <c r="L359" i="3"/>
  <c r="T359" i="3"/>
  <c r="O360" i="3"/>
  <c r="J361" i="3"/>
  <c r="R361" i="3"/>
  <c r="M362" i="3"/>
  <c r="U362" i="3"/>
  <c r="P363" i="3"/>
  <c r="K364" i="3"/>
  <c r="S364" i="3"/>
  <c r="N365" i="3"/>
  <c r="V365" i="3"/>
  <c r="Q366" i="3"/>
  <c r="L367" i="3"/>
  <c r="T367" i="3"/>
  <c r="O368" i="3"/>
  <c r="J369" i="3"/>
  <c r="R369" i="3"/>
  <c r="M370" i="3"/>
  <c r="T99" i="3"/>
  <c r="K141" i="3"/>
  <c r="K162" i="3"/>
  <c r="L175" i="3"/>
  <c r="P188" i="3"/>
  <c r="P201" i="3"/>
  <c r="Q214" i="3"/>
  <c r="U227" i="3"/>
  <c r="S236" i="3"/>
  <c r="R241" i="3"/>
  <c r="Q246" i="3"/>
  <c r="P251" i="3"/>
  <c r="O256" i="3"/>
  <c r="N261" i="3"/>
  <c r="M266" i="3"/>
  <c r="L271" i="3"/>
  <c r="K276" i="3"/>
  <c r="J281" i="3"/>
  <c r="V285" i="3"/>
  <c r="U290" i="3"/>
  <c r="P294" i="3"/>
  <c r="V296" i="3"/>
  <c r="M299" i="3"/>
  <c r="P300" i="3"/>
  <c r="O301" i="3"/>
  <c r="J302" i="3"/>
  <c r="R302" i="3"/>
  <c r="M303" i="3"/>
  <c r="U303" i="3"/>
  <c r="P304" i="3"/>
  <c r="K305" i="3"/>
  <c r="S305" i="3"/>
  <c r="N306" i="3"/>
  <c r="V306" i="3"/>
  <c r="Q307" i="3"/>
  <c r="L308" i="3"/>
  <c r="T308" i="3"/>
  <c r="O309" i="3"/>
  <c r="J310" i="3"/>
  <c r="R310" i="3"/>
  <c r="M311" i="3"/>
  <c r="U311" i="3"/>
  <c r="P312" i="3"/>
  <c r="K313" i="3"/>
  <c r="S313" i="3"/>
  <c r="N314" i="3"/>
  <c r="V314" i="3"/>
  <c r="Q315" i="3"/>
  <c r="L316" i="3"/>
  <c r="T316" i="3"/>
  <c r="O317" i="3"/>
  <c r="J318" i="3"/>
  <c r="R318" i="3"/>
  <c r="M319" i="3"/>
  <c r="U319" i="3"/>
  <c r="P320" i="3"/>
  <c r="K321" i="3"/>
  <c r="S321" i="3"/>
  <c r="N322" i="3"/>
  <c r="V322" i="3"/>
  <c r="Q323" i="3"/>
  <c r="L324" i="3"/>
  <c r="T324" i="3"/>
  <c r="O325" i="3"/>
  <c r="J326" i="3"/>
  <c r="R326" i="3"/>
  <c r="M327" i="3"/>
  <c r="U327" i="3"/>
  <c r="P328" i="3"/>
  <c r="K329" i="3"/>
  <c r="S329" i="3"/>
  <c r="N330" i="3"/>
  <c r="V330" i="3"/>
  <c r="Q331" i="3"/>
  <c r="L332" i="3"/>
  <c r="T332" i="3"/>
  <c r="O333" i="3"/>
  <c r="J334" i="3"/>
  <c r="R334" i="3"/>
  <c r="M335" i="3"/>
  <c r="U335" i="3"/>
  <c r="P336" i="3"/>
  <c r="K337" i="3"/>
  <c r="S337" i="3"/>
  <c r="N338" i="3"/>
  <c r="V338" i="3"/>
  <c r="Q339" i="3"/>
  <c r="L340" i="3"/>
  <c r="T340" i="3"/>
  <c r="O341" i="3"/>
  <c r="J342" i="3"/>
  <c r="R342" i="3"/>
  <c r="M343" i="3"/>
  <c r="U343" i="3"/>
  <c r="P344" i="3"/>
  <c r="K345" i="3"/>
  <c r="S345" i="3"/>
  <c r="N346" i="3"/>
  <c r="V346" i="3"/>
  <c r="Q347" i="3"/>
  <c r="L348" i="3"/>
  <c r="T348" i="3"/>
  <c r="O349" i="3"/>
  <c r="J350" i="3"/>
  <c r="R350" i="3"/>
  <c r="M351" i="3"/>
  <c r="U351" i="3"/>
  <c r="P352" i="3"/>
  <c r="K353" i="3"/>
  <c r="S353" i="3"/>
  <c r="N354" i="3"/>
  <c r="V354" i="3"/>
  <c r="Q355" i="3"/>
  <c r="T105" i="3"/>
  <c r="L144" i="3"/>
  <c r="U163" i="3"/>
  <c r="U176" i="3"/>
  <c r="V189" i="3"/>
  <c r="M203" i="3"/>
  <c r="M216" i="3"/>
  <c r="N229" i="3"/>
  <c r="N237" i="3"/>
  <c r="M242" i="3"/>
  <c r="L247" i="3"/>
  <c r="K252" i="3"/>
  <c r="J257" i="3"/>
  <c r="V261" i="3"/>
  <c r="U266" i="3"/>
  <c r="T271" i="3"/>
  <c r="S276" i="3"/>
  <c r="R281" i="3"/>
  <c r="Q286" i="3"/>
  <c r="P291" i="3"/>
  <c r="Q294" i="3"/>
  <c r="J297" i="3"/>
  <c r="O299" i="3"/>
  <c r="R300" i="3"/>
  <c r="P301" i="3"/>
  <c r="K302" i="3"/>
  <c r="S302" i="3"/>
  <c r="N303" i="3"/>
  <c r="V303" i="3"/>
  <c r="Q304" i="3"/>
  <c r="L305" i="3"/>
  <c r="T305" i="3"/>
  <c r="O306" i="3"/>
  <c r="J307" i="3"/>
  <c r="R307" i="3"/>
  <c r="M308" i="3"/>
  <c r="U308" i="3"/>
  <c r="P309" i="3"/>
  <c r="K310" i="3"/>
  <c r="S310" i="3"/>
  <c r="N311" i="3"/>
  <c r="V311" i="3"/>
  <c r="Q312" i="3"/>
  <c r="L313" i="3"/>
  <c r="T313" i="3"/>
  <c r="O314" i="3"/>
  <c r="J315" i="3"/>
  <c r="R315" i="3"/>
  <c r="M316" i="3"/>
  <c r="U316" i="3"/>
  <c r="P317" i="3"/>
  <c r="K318" i="3"/>
  <c r="S318" i="3"/>
  <c r="N319" i="3"/>
  <c r="V319" i="3"/>
  <c r="Q320" i="3"/>
  <c r="L321" i="3"/>
  <c r="T321" i="3"/>
  <c r="O322" i="3"/>
  <c r="J323" i="3"/>
  <c r="R323" i="3"/>
  <c r="M324" i="3"/>
  <c r="U324" i="3"/>
  <c r="P325" i="3"/>
  <c r="K326" i="3"/>
  <c r="S326" i="3"/>
  <c r="N327" i="3"/>
  <c r="V327" i="3"/>
  <c r="Q328" i="3"/>
  <c r="L329" i="3"/>
  <c r="T329" i="3"/>
  <c r="O330" i="3"/>
  <c r="J331" i="3"/>
  <c r="R331" i="3"/>
  <c r="M332" i="3"/>
  <c r="U332" i="3"/>
  <c r="P333" i="3"/>
  <c r="K334" i="3"/>
  <c r="S334" i="3"/>
  <c r="N335" i="3"/>
  <c r="V335" i="3"/>
  <c r="Q336" i="3"/>
  <c r="L337" i="3"/>
  <c r="T337" i="3"/>
  <c r="O338" i="3"/>
  <c r="J339" i="3"/>
  <c r="R339" i="3"/>
  <c r="M340" i="3"/>
  <c r="U340" i="3"/>
  <c r="N117" i="3"/>
  <c r="V150" i="3"/>
  <c r="J167" i="3"/>
  <c r="K180" i="3"/>
  <c r="O193" i="3"/>
  <c r="O206" i="3"/>
  <c r="P219" i="3"/>
  <c r="T232" i="3"/>
  <c r="Q238" i="3"/>
  <c r="P243" i="3"/>
  <c r="O248" i="3"/>
  <c r="N253" i="3"/>
  <c r="M258" i="3"/>
  <c r="L263" i="3"/>
  <c r="K268" i="3"/>
  <c r="J273" i="3"/>
  <c r="V277" i="3"/>
  <c r="U282" i="3"/>
  <c r="T287" i="3"/>
  <c r="S292" i="3"/>
  <c r="L295" i="3"/>
  <c r="R297" i="3"/>
  <c r="R299" i="3"/>
  <c r="U300" i="3"/>
  <c r="R301" i="3"/>
  <c r="M302" i="3"/>
  <c r="U302" i="3"/>
  <c r="P303" i="3"/>
  <c r="K304" i="3"/>
  <c r="S304" i="3"/>
  <c r="N305" i="3"/>
  <c r="V305" i="3"/>
  <c r="Q306" i="3"/>
  <c r="L307" i="3"/>
  <c r="T307" i="3"/>
  <c r="O308" i="3"/>
  <c r="J309" i="3"/>
  <c r="R309" i="3"/>
  <c r="M310" i="3"/>
  <c r="U310" i="3"/>
  <c r="P311" i="3"/>
  <c r="K312" i="3"/>
  <c r="S312" i="3"/>
  <c r="N313" i="3"/>
  <c r="V313" i="3"/>
  <c r="Q314" i="3"/>
  <c r="L315" i="3"/>
  <c r="T315" i="3"/>
  <c r="O316" i="3"/>
  <c r="J317" i="3"/>
  <c r="R317" i="3"/>
  <c r="M318" i="3"/>
  <c r="U318" i="3"/>
  <c r="P319" i="3"/>
  <c r="K320" i="3"/>
  <c r="S320" i="3"/>
  <c r="N321" i="3"/>
  <c r="V321" i="3"/>
  <c r="Q322" i="3"/>
  <c r="L323" i="3"/>
  <c r="T323" i="3"/>
  <c r="O324" i="3"/>
  <c r="J325" i="3"/>
  <c r="R325" i="3"/>
  <c r="M326" i="3"/>
  <c r="U326" i="3"/>
  <c r="P327" i="3"/>
  <c r="K328" i="3"/>
  <c r="S328" i="3"/>
  <c r="N329" i="3"/>
  <c r="V329" i="3"/>
  <c r="Q330" i="3"/>
  <c r="L331" i="3"/>
  <c r="T331" i="3"/>
  <c r="O332" i="3"/>
  <c r="J333" i="3"/>
  <c r="R333" i="3"/>
  <c r="M334" i="3"/>
  <c r="U334" i="3"/>
  <c r="P335" i="3"/>
  <c r="K336" i="3"/>
  <c r="S336" i="3"/>
  <c r="N337" i="3"/>
  <c r="V337" i="3"/>
  <c r="Q338" i="3"/>
  <c r="M82" i="3"/>
  <c r="T168" i="3"/>
  <c r="S204" i="3"/>
  <c r="P235" i="3"/>
  <c r="J249" i="3"/>
  <c r="Q262" i="3"/>
  <c r="U274" i="3"/>
  <c r="O288" i="3"/>
  <c r="Q297" i="3"/>
  <c r="M301" i="3"/>
  <c r="V302" i="3"/>
  <c r="R304" i="3"/>
  <c r="L306" i="3"/>
  <c r="U307" i="3"/>
  <c r="Q309" i="3"/>
  <c r="K311" i="3"/>
  <c r="T312" i="3"/>
  <c r="P314" i="3"/>
  <c r="J316" i="3"/>
  <c r="S317" i="3"/>
  <c r="O319" i="3"/>
  <c r="V320" i="3"/>
  <c r="R322" i="3"/>
  <c r="N324" i="3"/>
  <c r="U325" i="3"/>
  <c r="Q327" i="3"/>
  <c r="M329" i="3"/>
  <c r="T330" i="3"/>
  <c r="P332" i="3"/>
  <c r="L334" i="3"/>
  <c r="S335" i="3"/>
  <c r="O337" i="3"/>
  <c r="K339" i="3"/>
  <c r="N340" i="3"/>
  <c r="P341" i="3"/>
  <c r="N342" i="3"/>
  <c r="O343" i="3"/>
  <c r="N344" i="3"/>
  <c r="N345" i="3"/>
  <c r="O346" i="3"/>
  <c r="M347" i="3"/>
  <c r="N348" i="3"/>
  <c r="M349" i="3"/>
  <c r="M350" i="3"/>
  <c r="N351" i="3"/>
  <c r="L352" i="3"/>
  <c r="M353" i="3"/>
  <c r="L354" i="3"/>
  <c r="L355" i="3"/>
  <c r="L356" i="3"/>
  <c r="V356" i="3"/>
  <c r="S357" i="3"/>
  <c r="R358" i="3"/>
  <c r="O359" i="3"/>
  <c r="L360" i="3"/>
  <c r="K361" i="3"/>
  <c r="U361" i="3"/>
  <c r="R362" i="3"/>
  <c r="Q363" i="3"/>
  <c r="N364" i="3"/>
  <c r="K365" i="3"/>
  <c r="J366" i="3"/>
  <c r="T366" i="3"/>
  <c r="Q367" i="3"/>
  <c r="P368" i="3"/>
  <c r="M369" i="3"/>
  <c r="J370" i="3"/>
  <c r="U370" i="3"/>
  <c r="P371" i="3"/>
  <c r="K372" i="3"/>
  <c r="S372" i="3"/>
  <c r="N373" i="3"/>
  <c r="V373" i="3"/>
  <c r="Q374" i="3"/>
  <c r="L375" i="3"/>
  <c r="T375" i="3"/>
  <c r="O376" i="3"/>
  <c r="J377" i="3"/>
  <c r="R377" i="3"/>
  <c r="M378" i="3"/>
  <c r="U378" i="3"/>
  <c r="P379" i="3"/>
  <c r="K380" i="3"/>
  <c r="S380" i="3"/>
  <c r="N381" i="3"/>
  <c r="V381" i="3"/>
  <c r="Q382" i="3"/>
  <c r="L383" i="3"/>
  <c r="T383" i="3"/>
  <c r="O384" i="3"/>
  <c r="J385" i="3"/>
  <c r="R385" i="3"/>
  <c r="M386" i="3"/>
  <c r="U386" i="3"/>
  <c r="P387" i="3"/>
  <c r="K388" i="3"/>
  <c r="S388" i="3"/>
  <c r="N389" i="3"/>
  <c r="V389" i="3"/>
  <c r="Q390" i="3"/>
  <c r="L391" i="3"/>
  <c r="T391" i="3"/>
  <c r="O392" i="3"/>
  <c r="J393" i="3"/>
  <c r="R393" i="3"/>
  <c r="M394" i="3"/>
  <c r="U394" i="3"/>
  <c r="P395" i="3"/>
  <c r="K396" i="3"/>
  <c r="S396" i="3"/>
  <c r="N397" i="3"/>
  <c r="V397" i="3"/>
  <c r="Q398" i="3"/>
  <c r="L399" i="3"/>
  <c r="T399" i="3"/>
  <c r="O400" i="3"/>
  <c r="J401" i="3"/>
  <c r="R401" i="3"/>
  <c r="M402" i="3"/>
  <c r="U402" i="3"/>
  <c r="P403" i="3"/>
  <c r="K404" i="3"/>
  <c r="S404" i="3"/>
  <c r="N405" i="3"/>
  <c r="V405" i="3"/>
  <c r="Q406" i="3"/>
  <c r="L407" i="3"/>
  <c r="T407" i="3"/>
  <c r="O408" i="3"/>
  <c r="J409" i="3"/>
  <c r="R409" i="3"/>
  <c r="M410" i="3"/>
  <c r="U410" i="3"/>
  <c r="P411" i="3"/>
  <c r="K412" i="3"/>
  <c r="S412" i="3"/>
  <c r="N413" i="3"/>
  <c r="V413" i="3"/>
  <c r="Q414" i="3"/>
  <c r="L415" i="3"/>
  <c r="T415" i="3"/>
  <c r="O416" i="3"/>
  <c r="J417" i="3"/>
  <c r="R417" i="3"/>
  <c r="M418" i="3"/>
  <c r="U418" i="3"/>
  <c r="P419" i="3"/>
  <c r="K420" i="3"/>
  <c r="S420" i="3"/>
  <c r="N421" i="3"/>
  <c r="V421" i="3"/>
  <c r="Q422" i="3"/>
  <c r="L423" i="3"/>
  <c r="T423" i="3"/>
  <c r="O424" i="3"/>
  <c r="J425" i="3"/>
  <c r="R425" i="3"/>
  <c r="M426" i="3"/>
  <c r="U426" i="3"/>
  <c r="P427" i="3"/>
  <c r="K428" i="3"/>
  <c r="S428" i="3"/>
  <c r="N429" i="3"/>
  <c r="V429" i="3"/>
  <c r="Q430" i="3"/>
  <c r="L431" i="3"/>
  <c r="T431" i="3"/>
  <c r="O432" i="3"/>
  <c r="J433" i="3"/>
  <c r="R433" i="3"/>
  <c r="M434" i="3"/>
  <c r="U434" i="3"/>
  <c r="P435" i="3"/>
  <c r="K436" i="3"/>
  <c r="S436" i="3"/>
  <c r="N437" i="3"/>
  <c r="V437" i="3"/>
  <c r="Q438" i="3"/>
  <c r="L439" i="3"/>
  <c r="T439" i="3"/>
  <c r="O440" i="3"/>
  <c r="J441" i="3"/>
  <c r="R441" i="3"/>
  <c r="M442" i="3"/>
  <c r="U442" i="3"/>
  <c r="P443" i="3"/>
  <c r="K444" i="3"/>
  <c r="S444" i="3"/>
  <c r="N445" i="3"/>
  <c r="V445" i="3"/>
  <c r="Q446" i="3"/>
  <c r="L447" i="3"/>
  <c r="T447" i="3"/>
  <c r="O448" i="3"/>
  <c r="J449" i="3"/>
  <c r="R449" i="3"/>
  <c r="M450" i="3"/>
  <c r="U450" i="3"/>
  <c r="P451" i="3"/>
  <c r="K452" i="3"/>
  <c r="S452" i="3"/>
  <c r="N453" i="3"/>
  <c r="V453" i="3"/>
  <c r="Q454" i="3"/>
  <c r="L455" i="3"/>
  <c r="T455" i="3"/>
  <c r="O456" i="3"/>
  <c r="J457" i="3"/>
  <c r="R457" i="3"/>
  <c r="M458" i="3"/>
  <c r="U458" i="3"/>
  <c r="P459" i="3"/>
  <c r="K460" i="3"/>
  <c r="S460" i="3"/>
  <c r="N461" i="3"/>
  <c r="V461" i="3"/>
  <c r="Q462" i="3"/>
  <c r="L463" i="3"/>
  <c r="T463" i="3"/>
  <c r="O464" i="3"/>
  <c r="J465" i="3"/>
  <c r="R465" i="3"/>
  <c r="M466" i="3"/>
  <c r="U466" i="3"/>
  <c r="P467" i="3"/>
  <c r="K468" i="3"/>
  <c r="S468" i="3"/>
  <c r="N469" i="3"/>
  <c r="V469" i="3"/>
  <c r="Q470" i="3"/>
  <c r="L471" i="3"/>
  <c r="T471" i="3"/>
  <c r="O472" i="3"/>
  <c r="J473" i="3"/>
  <c r="R473" i="3"/>
  <c r="M474" i="3"/>
  <c r="U474" i="3"/>
  <c r="P475" i="3"/>
  <c r="K476" i="3"/>
  <c r="S476" i="3"/>
  <c r="N477" i="3"/>
  <c r="V477" i="3"/>
  <c r="Q478" i="3"/>
  <c r="L479" i="3"/>
  <c r="T479" i="3"/>
  <c r="O480" i="3"/>
  <c r="J481" i="3"/>
  <c r="R481" i="3"/>
  <c r="M482" i="3"/>
  <c r="U482" i="3"/>
  <c r="P483" i="3"/>
  <c r="K484" i="3"/>
  <c r="S484" i="3"/>
  <c r="N485" i="3"/>
  <c r="V485" i="3"/>
  <c r="Q486" i="3"/>
  <c r="L487" i="3"/>
  <c r="T487" i="3"/>
  <c r="O488" i="3"/>
  <c r="J489" i="3"/>
  <c r="R489" i="3"/>
  <c r="M490" i="3"/>
  <c r="U490" i="3"/>
  <c r="P491" i="3"/>
  <c r="K492" i="3"/>
  <c r="S492" i="3"/>
  <c r="N493" i="3"/>
  <c r="V493" i="3"/>
  <c r="Q494" i="3"/>
  <c r="L495" i="3"/>
  <c r="T495" i="3"/>
  <c r="O496" i="3"/>
  <c r="J497" i="3"/>
  <c r="R497" i="3"/>
  <c r="M498" i="3"/>
  <c r="U498" i="3"/>
  <c r="P499" i="3"/>
  <c r="K500" i="3"/>
  <c r="S500" i="3"/>
  <c r="N501" i="3"/>
  <c r="V501" i="3"/>
  <c r="Q502" i="3"/>
  <c r="L503" i="3"/>
  <c r="T503" i="3"/>
  <c r="O504" i="3"/>
  <c r="J505" i="3"/>
  <c r="R505" i="3"/>
  <c r="M506" i="3"/>
  <c r="U506" i="3"/>
  <c r="P507" i="3"/>
  <c r="K508" i="3"/>
  <c r="S508" i="3"/>
  <c r="N509" i="3"/>
  <c r="V509" i="3"/>
  <c r="Q510" i="3"/>
  <c r="L511" i="3"/>
  <c r="T511" i="3"/>
  <c r="O512" i="3"/>
  <c r="J513" i="3"/>
  <c r="R513" i="3"/>
  <c r="M514" i="3"/>
  <c r="U514" i="3"/>
  <c r="P515" i="3"/>
  <c r="K516" i="3"/>
  <c r="S516" i="3"/>
  <c r="N517" i="3"/>
  <c r="V517" i="3"/>
  <c r="Q518" i="3"/>
  <c r="L519" i="3"/>
  <c r="T519" i="3"/>
  <c r="O520" i="3"/>
  <c r="J521" i="3"/>
  <c r="R521" i="3"/>
  <c r="M522" i="3"/>
  <c r="U522" i="3"/>
  <c r="P523" i="3"/>
  <c r="K524" i="3"/>
  <c r="S524" i="3"/>
  <c r="N525" i="3"/>
  <c r="V525" i="3"/>
  <c r="Q526" i="3"/>
  <c r="L527" i="3"/>
  <c r="T527" i="3"/>
  <c r="O528" i="3"/>
  <c r="J529" i="3"/>
  <c r="R529" i="3"/>
  <c r="M530" i="3"/>
  <c r="U530" i="3"/>
  <c r="P531" i="3"/>
  <c r="K532" i="3"/>
  <c r="S532" i="3"/>
  <c r="N533" i="3"/>
  <c r="V533" i="3"/>
  <c r="Q534" i="3"/>
  <c r="L535" i="3"/>
  <c r="T535" i="3"/>
  <c r="O536" i="3"/>
  <c r="J537" i="3"/>
  <c r="R537" i="3"/>
  <c r="M538" i="3"/>
  <c r="U538" i="3"/>
  <c r="K112" i="3"/>
  <c r="V171" i="3"/>
  <c r="L208" i="3"/>
  <c r="V237" i="3"/>
  <c r="M250" i="3"/>
  <c r="T263" i="3"/>
  <c r="N277" i="3"/>
  <c r="R289" i="3"/>
  <c r="L298" i="3"/>
  <c r="Q301" i="3"/>
  <c r="K303" i="3"/>
  <c r="T304" i="3"/>
  <c r="P306" i="3"/>
  <c r="J308" i="3"/>
  <c r="S309" i="3"/>
  <c r="O311" i="3"/>
  <c r="V312" i="3"/>
  <c r="R314" i="3"/>
  <c r="N316" i="3"/>
  <c r="U317" i="3"/>
  <c r="Q319" i="3"/>
  <c r="M321" i="3"/>
  <c r="T322" i="3"/>
  <c r="P324" i="3"/>
  <c r="L326" i="3"/>
  <c r="S327" i="3"/>
  <c r="O329" i="3"/>
  <c r="K331" i="3"/>
  <c r="R332" i="3"/>
  <c r="N334" i="3"/>
  <c r="J336" i="3"/>
  <c r="Q337" i="3"/>
  <c r="L339" i="3"/>
  <c r="O340" i="3"/>
  <c r="Q341" i="3"/>
  <c r="P342" i="3"/>
  <c r="P343" i="3"/>
  <c r="Q344" i="3"/>
  <c r="O345" i="3"/>
  <c r="P346" i="3"/>
  <c r="O347" i="3"/>
  <c r="O348" i="3"/>
  <c r="P349" i="3"/>
  <c r="N350" i="3"/>
  <c r="O351" i="3"/>
  <c r="N352" i="3"/>
  <c r="N353" i="3"/>
  <c r="O354" i="3"/>
  <c r="M355" i="3"/>
  <c r="R122" i="3"/>
  <c r="R178" i="3"/>
  <c r="N211" i="3"/>
  <c r="L239" i="3"/>
  <c r="S252" i="3"/>
  <c r="J265" i="3"/>
  <c r="Q278" i="3"/>
  <c r="K292" i="3"/>
  <c r="T298" i="3"/>
  <c r="S301" i="3"/>
  <c r="O303" i="3"/>
  <c r="V304" i="3"/>
  <c r="R306" i="3"/>
  <c r="N308" i="3"/>
  <c r="U309" i="3"/>
  <c r="Q311" i="3"/>
  <c r="M313" i="3"/>
  <c r="T314" i="3"/>
  <c r="P316" i="3"/>
  <c r="L318" i="3"/>
  <c r="S319" i="3"/>
  <c r="O321" i="3"/>
  <c r="K323" i="3"/>
  <c r="R324" i="3"/>
  <c r="N326" i="3"/>
  <c r="J328" i="3"/>
  <c r="Q329" i="3"/>
  <c r="M331" i="3"/>
  <c r="V332" i="3"/>
  <c r="P334" i="3"/>
  <c r="L336" i="3"/>
  <c r="U337" i="3"/>
  <c r="M339" i="3"/>
  <c r="P340" i="3"/>
  <c r="R341" i="3"/>
  <c r="S342" i="3"/>
  <c r="Q343" i="3"/>
  <c r="R344" i="3"/>
  <c r="Q345" i="3"/>
  <c r="Q346" i="3"/>
  <c r="R347" i="3"/>
  <c r="P348" i="3"/>
  <c r="Q349" i="3"/>
  <c r="P350" i="3"/>
  <c r="P351" i="3"/>
  <c r="Q352" i="3"/>
  <c r="O353" i="3"/>
  <c r="P354" i="3"/>
  <c r="O355" i="3"/>
  <c r="N356" i="3"/>
  <c r="K357" i="3"/>
  <c r="J358" i="3"/>
  <c r="T358" i="3"/>
  <c r="Q359" i="3"/>
  <c r="P360" i="3"/>
  <c r="M361" i="3"/>
  <c r="J362" i="3"/>
  <c r="V362" i="3"/>
  <c r="S363" i="3"/>
  <c r="P364" i="3"/>
  <c r="O365" i="3"/>
  <c r="L366" i="3"/>
  <c r="V366" i="3"/>
  <c r="U367" i="3"/>
  <c r="R368" i="3"/>
  <c r="O369" i="3"/>
  <c r="N370" i="3"/>
  <c r="J371" i="3"/>
  <c r="R371" i="3"/>
  <c r="M372" i="3"/>
  <c r="U372" i="3"/>
  <c r="P373" i="3"/>
  <c r="K374" i="3"/>
  <c r="S374" i="3"/>
  <c r="N375" i="3"/>
  <c r="V375" i="3"/>
  <c r="Q376" i="3"/>
  <c r="L377" i="3"/>
  <c r="T377" i="3"/>
  <c r="O378" i="3"/>
  <c r="J379" i="3"/>
  <c r="R379" i="3"/>
  <c r="M380" i="3"/>
  <c r="U380" i="3"/>
  <c r="P381" i="3"/>
  <c r="K382" i="3"/>
  <c r="S382" i="3"/>
  <c r="N383" i="3"/>
  <c r="V383" i="3"/>
  <c r="Q384" i="3"/>
  <c r="L385" i="3"/>
  <c r="T385" i="3"/>
  <c r="O386" i="3"/>
  <c r="J387" i="3"/>
  <c r="R387" i="3"/>
  <c r="M388" i="3"/>
  <c r="U388" i="3"/>
  <c r="P389" i="3"/>
  <c r="K390" i="3"/>
  <c r="S390" i="3"/>
  <c r="N391" i="3"/>
  <c r="V391" i="3"/>
  <c r="Q392" i="3"/>
  <c r="L393" i="3"/>
  <c r="T393" i="3"/>
  <c r="O394" i="3"/>
  <c r="J395" i="3"/>
  <c r="R395" i="3"/>
  <c r="M396" i="3"/>
  <c r="U396" i="3"/>
  <c r="P397" i="3"/>
  <c r="K398" i="3"/>
  <c r="S398" i="3"/>
  <c r="N399" i="3"/>
  <c r="V399" i="3"/>
  <c r="Q400" i="3"/>
  <c r="L401" i="3"/>
  <c r="T401" i="3"/>
  <c r="O402" i="3"/>
  <c r="J403" i="3"/>
  <c r="R403" i="3"/>
  <c r="M404" i="3"/>
  <c r="U404" i="3"/>
  <c r="P405" i="3"/>
  <c r="K406" i="3"/>
  <c r="S406" i="3"/>
  <c r="N407" i="3"/>
  <c r="V407" i="3"/>
  <c r="Q408" i="3"/>
  <c r="L409" i="3"/>
  <c r="T409" i="3"/>
  <c r="O410" i="3"/>
  <c r="J411" i="3"/>
  <c r="R411" i="3"/>
  <c r="M412" i="3"/>
  <c r="U412" i="3"/>
  <c r="P413" i="3"/>
  <c r="K414" i="3"/>
  <c r="S414" i="3"/>
  <c r="N415" i="3"/>
  <c r="V415" i="3"/>
  <c r="Q416" i="3"/>
  <c r="L417" i="3"/>
  <c r="T417" i="3"/>
  <c r="O418" i="3"/>
  <c r="J419" i="3"/>
  <c r="R419" i="3"/>
  <c r="M420" i="3"/>
  <c r="U420" i="3"/>
  <c r="P421" i="3"/>
  <c r="K422" i="3"/>
  <c r="S422" i="3"/>
  <c r="N423" i="3"/>
  <c r="V423" i="3"/>
  <c r="Q424" i="3"/>
  <c r="L425" i="3"/>
  <c r="T425" i="3"/>
  <c r="O426" i="3"/>
  <c r="J427" i="3"/>
  <c r="R427" i="3"/>
  <c r="M428" i="3"/>
  <c r="U428" i="3"/>
  <c r="P429" i="3"/>
  <c r="K430" i="3"/>
  <c r="S430" i="3"/>
  <c r="N431" i="3"/>
  <c r="V431" i="3"/>
  <c r="Q432" i="3"/>
  <c r="L433" i="3"/>
  <c r="T433" i="3"/>
  <c r="O434" i="3"/>
  <c r="J435" i="3"/>
  <c r="R435" i="3"/>
  <c r="M436" i="3"/>
  <c r="U436" i="3"/>
  <c r="P437" i="3"/>
  <c r="K438" i="3"/>
  <c r="S438" i="3"/>
  <c r="N439" i="3"/>
  <c r="V439" i="3"/>
  <c r="Q440" i="3"/>
  <c r="L441" i="3"/>
  <c r="T441" i="3"/>
  <c r="O442" i="3"/>
  <c r="J443" i="3"/>
  <c r="R443" i="3"/>
  <c r="M444" i="3"/>
  <c r="U444" i="3"/>
  <c r="P445" i="3"/>
  <c r="K446" i="3"/>
  <c r="S446" i="3"/>
  <c r="N447" i="3"/>
  <c r="V447" i="3"/>
  <c r="Q448" i="3"/>
  <c r="L449" i="3"/>
  <c r="T449" i="3"/>
  <c r="O450" i="3"/>
  <c r="J451" i="3"/>
  <c r="R451" i="3"/>
  <c r="M452" i="3"/>
  <c r="U452" i="3"/>
  <c r="P453" i="3"/>
  <c r="K454" i="3"/>
  <c r="S454" i="3"/>
  <c r="N455" i="3"/>
  <c r="V455" i="3"/>
  <c r="Q456" i="3"/>
  <c r="L457" i="3"/>
  <c r="T457" i="3"/>
  <c r="O458" i="3"/>
  <c r="J459" i="3"/>
  <c r="R459" i="3"/>
  <c r="M460" i="3"/>
  <c r="U460" i="3"/>
  <c r="P461" i="3"/>
  <c r="K462" i="3"/>
  <c r="S462" i="3"/>
  <c r="N463" i="3"/>
  <c r="V463" i="3"/>
  <c r="Q464" i="3"/>
  <c r="L465" i="3"/>
  <c r="T465" i="3"/>
  <c r="O466" i="3"/>
  <c r="J467" i="3"/>
  <c r="R467" i="3"/>
  <c r="M468" i="3"/>
  <c r="U468" i="3"/>
  <c r="P469" i="3"/>
  <c r="K470" i="3"/>
  <c r="S470" i="3"/>
  <c r="N471" i="3"/>
  <c r="V471" i="3"/>
  <c r="Q472" i="3"/>
  <c r="L473" i="3"/>
  <c r="T473" i="3"/>
  <c r="O474" i="3"/>
  <c r="J475" i="3"/>
  <c r="R475" i="3"/>
  <c r="M476" i="3"/>
  <c r="U476" i="3"/>
  <c r="P477" i="3"/>
  <c r="K478" i="3"/>
  <c r="S478" i="3"/>
  <c r="N479" i="3"/>
  <c r="V479" i="3"/>
  <c r="Q480" i="3"/>
  <c r="L481" i="3"/>
  <c r="T481" i="3"/>
  <c r="O482" i="3"/>
  <c r="J483" i="3"/>
  <c r="R483" i="3"/>
  <c r="M484" i="3"/>
  <c r="U484" i="3"/>
  <c r="P485" i="3"/>
  <c r="K486" i="3"/>
  <c r="S486" i="3"/>
  <c r="N487" i="3"/>
  <c r="V487" i="3"/>
  <c r="Q488" i="3"/>
  <c r="L489" i="3"/>
  <c r="T489" i="3"/>
  <c r="O490" i="3"/>
  <c r="J491" i="3"/>
  <c r="R491" i="3"/>
  <c r="M492" i="3"/>
  <c r="U492" i="3"/>
  <c r="P493" i="3"/>
  <c r="K494" i="3"/>
  <c r="S494" i="3"/>
  <c r="N495" i="3"/>
  <c r="V495" i="3"/>
  <c r="Q496" i="3"/>
  <c r="L497" i="3"/>
  <c r="T497" i="3"/>
  <c r="O498" i="3"/>
  <c r="J499" i="3"/>
  <c r="R499" i="3"/>
  <c r="M500" i="3"/>
  <c r="U500" i="3"/>
  <c r="P501" i="3"/>
  <c r="K502" i="3"/>
  <c r="S502" i="3"/>
  <c r="N503" i="3"/>
  <c r="V503" i="3"/>
  <c r="Q504" i="3"/>
  <c r="L505" i="3"/>
  <c r="T505" i="3"/>
  <c r="O506" i="3"/>
  <c r="J507" i="3"/>
  <c r="R507" i="3"/>
  <c r="M508" i="3"/>
  <c r="U508" i="3"/>
  <c r="P509" i="3"/>
  <c r="K510" i="3"/>
  <c r="S510" i="3"/>
  <c r="N511" i="3"/>
  <c r="V511" i="3"/>
  <c r="Q512" i="3"/>
  <c r="L513" i="3"/>
  <c r="T513" i="3"/>
  <c r="O514" i="3"/>
  <c r="J515" i="3"/>
  <c r="R515" i="3"/>
  <c r="M516" i="3"/>
  <c r="U516" i="3"/>
  <c r="P517" i="3"/>
  <c r="K518" i="3"/>
  <c r="S518" i="3"/>
  <c r="N519" i="3"/>
  <c r="V519" i="3"/>
  <c r="Q520" i="3"/>
  <c r="L521" i="3"/>
  <c r="T521" i="3"/>
  <c r="O522" i="3"/>
  <c r="J523" i="3"/>
  <c r="R523" i="3"/>
  <c r="M524" i="3"/>
  <c r="U524" i="3"/>
  <c r="P525" i="3"/>
  <c r="K526" i="3"/>
  <c r="S526" i="3"/>
  <c r="N527" i="3"/>
  <c r="V527" i="3"/>
  <c r="Q528" i="3"/>
  <c r="L529" i="3"/>
  <c r="T529" i="3"/>
  <c r="O530" i="3"/>
  <c r="J531" i="3"/>
  <c r="R531" i="3"/>
  <c r="M532" i="3"/>
  <c r="U532" i="3"/>
  <c r="P533" i="3"/>
  <c r="K534" i="3"/>
  <c r="S534" i="3"/>
  <c r="N535" i="3"/>
  <c r="V535" i="3"/>
  <c r="Q536" i="3"/>
  <c r="L537" i="3"/>
  <c r="T537" i="3"/>
  <c r="O538" i="3"/>
  <c r="J539" i="3"/>
  <c r="U131" i="3"/>
  <c r="T181" i="3"/>
  <c r="J218" i="3"/>
  <c r="O240" i="3"/>
  <c r="V253" i="3"/>
  <c r="P267" i="3"/>
  <c r="T279" i="3"/>
  <c r="M293" i="3"/>
  <c r="P299" i="3"/>
  <c r="U301" i="3"/>
  <c r="Q303" i="3"/>
  <c r="M305" i="3"/>
  <c r="T306" i="3"/>
  <c r="P308" i="3"/>
  <c r="L310" i="3"/>
  <c r="S311" i="3"/>
  <c r="O313" i="3"/>
  <c r="K315" i="3"/>
  <c r="R316" i="3"/>
  <c r="N318" i="3"/>
  <c r="J320" i="3"/>
  <c r="Q321" i="3"/>
  <c r="M323" i="3"/>
  <c r="V324" i="3"/>
  <c r="P326" i="3"/>
  <c r="L328" i="3"/>
  <c r="U329" i="3"/>
  <c r="O331" i="3"/>
  <c r="K333" i="3"/>
  <c r="T334" i="3"/>
  <c r="N336" i="3"/>
  <c r="J338" i="3"/>
  <c r="O339" i="3"/>
  <c r="R340" i="3"/>
  <c r="S341" i="3"/>
  <c r="T342" i="3"/>
  <c r="S343" i="3"/>
  <c r="S344" i="3"/>
  <c r="T345" i="3"/>
  <c r="R346" i="3"/>
  <c r="S347" i="3"/>
  <c r="R348" i="3"/>
  <c r="R349" i="3"/>
  <c r="S350" i="3"/>
  <c r="Q351" i="3"/>
  <c r="R352" i="3"/>
  <c r="Q353" i="3"/>
  <c r="Q354" i="3"/>
  <c r="R355" i="3"/>
  <c r="O356" i="3"/>
  <c r="M357" i="3"/>
  <c r="K358" i="3"/>
  <c r="U358" i="3"/>
  <c r="S359" i="3"/>
  <c r="Q360" i="3"/>
  <c r="N361" i="3"/>
  <c r="L362" i="3"/>
  <c r="J363" i="3"/>
  <c r="T363" i="3"/>
  <c r="R364" i="3"/>
  <c r="P365" i="3"/>
  <c r="M366" i="3"/>
  <c r="K367" i="3"/>
  <c r="V367" i="3"/>
  <c r="S368" i="3"/>
  <c r="Q369" i="3"/>
  <c r="O370" i="3"/>
  <c r="K371" i="3"/>
  <c r="S371" i="3"/>
  <c r="N372" i="3"/>
  <c r="V372" i="3"/>
  <c r="Q373" i="3"/>
  <c r="L374" i="3"/>
  <c r="T374" i="3"/>
  <c r="O375" i="3"/>
  <c r="J376" i="3"/>
  <c r="R376" i="3"/>
  <c r="M377" i="3"/>
  <c r="U377" i="3"/>
  <c r="P378" i="3"/>
  <c r="K379" i="3"/>
  <c r="S379" i="3"/>
  <c r="N380" i="3"/>
  <c r="V380" i="3"/>
  <c r="Q381" i="3"/>
  <c r="L382" i="3"/>
  <c r="T382" i="3"/>
  <c r="O383" i="3"/>
  <c r="J384" i="3"/>
  <c r="R384" i="3"/>
  <c r="M385" i="3"/>
  <c r="U385" i="3"/>
  <c r="P386" i="3"/>
  <c r="K387" i="3"/>
  <c r="S387" i="3"/>
  <c r="N388" i="3"/>
  <c r="V388" i="3"/>
  <c r="Q389" i="3"/>
  <c r="L390" i="3"/>
  <c r="T390" i="3"/>
  <c r="O391" i="3"/>
  <c r="J392" i="3"/>
  <c r="R392" i="3"/>
  <c r="M393" i="3"/>
  <c r="U393" i="3"/>
  <c r="P394" i="3"/>
  <c r="K395" i="3"/>
  <c r="S395" i="3"/>
  <c r="N396" i="3"/>
  <c r="V396" i="3"/>
  <c r="Q397" i="3"/>
  <c r="L398" i="3"/>
  <c r="T398" i="3"/>
  <c r="O399" i="3"/>
  <c r="J400" i="3"/>
  <c r="R400" i="3"/>
  <c r="M401" i="3"/>
  <c r="U401" i="3"/>
  <c r="P402" i="3"/>
  <c r="K403" i="3"/>
  <c r="S403" i="3"/>
  <c r="N404" i="3"/>
  <c r="V404" i="3"/>
  <c r="Q405" i="3"/>
  <c r="L406" i="3"/>
  <c r="T406" i="3"/>
  <c r="O407" i="3"/>
  <c r="J408" i="3"/>
  <c r="R408" i="3"/>
  <c r="M409" i="3"/>
  <c r="U409" i="3"/>
  <c r="P410" i="3"/>
  <c r="K411" i="3"/>
  <c r="S411" i="3"/>
  <c r="N412" i="3"/>
  <c r="V412" i="3"/>
  <c r="Q413" i="3"/>
  <c r="L414" i="3"/>
  <c r="T414" i="3"/>
  <c r="O415" i="3"/>
  <c r="J416" i="3"/>
  <c r="R416" i="3"/>
  <c r="M417" i="3"/>
  <c r="U417" i="3"/>
  <c r="P418" i="3"/>
  <c r="K419" i="3"/>
  <c r="S419" i="3"/>
  <c r="N420" i="3"/>
  <c r="V420" i="3"/>
  <c r="Q421" i="3"/>
  <c r="L422" i="3"/>
  <c r="T422" i="3"/>
  <c r="O423" i="3"/>
  <c r="J424" i="3"/>
  <c r="R424" i="3"/>
  <c r="M425" i="3"/>
  <c r="U425" i="3"/>
  <c r="P426" i="3"/>
  <c r="K427" i="3"/>
  <c r="S427" i="3"/>
  <c r="N428" i="3"/>
  <c r="V428" i="3"/>
  <c r="Q429" i="3"/>
  <c r="L430" i="3"/>
  <c r="T430" i="3"/>
  <c r="O431" i="3"/>
  <c r="J432" i="3"/>
  <c r="R432" i="3"/>
  <c r="M433" i="3"/>
  <c r="U433" i="3"/>
  <c r="P434" i="3"/>
  <c r="K435" i="3"/>
  <c r="S435" i="3"/>
  <c r="N436" i="3"/>
  <c r="V436" i="3"/>
  <c r="Q437" i="3"/>
  <c r="L438" i="3"/>
  <c r="T438" i="3"/>
  <c r="O439" i="3"/>
  <c r="J440" i="3"/>
  <c r="R440" i="3"/>
  <c r="M441" i="3"/>
  <c r="U441" i="3"/>
  <c r="P442" i="3"/>
  <c r="K443" i="3"/>
  <c r="S443" i="3"/>
  <c r="N444" i="3"/>
  <c r="V444" i="3"/>
  <c r="Q445" i="3"/>
  <c r="L446" i="3"/>
  <c r="T446" i="3"/>
  <c r="O447" i="3"/>
  <c r="J448" i="3"/>
  <c r="R448" i="3"/>
  <c r="M449" i="3"/>
  <c r="U449" i="3"/>
  <c r="P450" i="3"/>
  <c r="K451" i="3"/>
  <c r="S451" i="3"/>
  <c r="N452" i="3"/>
  <c r="V452" i="3"/>
  <c r="Q453" i="3"/>
  <c r="L454" i="3"/>
  <c r="T454" i="3"/>
  <c r="O455" i="3"/>
  <c r="J456" i="3"/>
  <c r="R456" i="3"/>
  <c r="M457" i="3"/>
  <c r="U457" i="3"/>
  <c r="P458" i="3"/>
  <c r="K459" i="3"/>
  <c r="S459" i="3"/>
  <c r="N460" i="3"/>
  <c r="V460" i="3"/>
  <c r="Q461" i="3"/>
  <c r="L462" i="3"/>
  <c r="T462" i="3"/>
  <c r="O463" i="3"/>
  <c r="J464" i="3"/>
  <c r="R464" i="3"/>
  <c r="M465" i="3"/>
  <c r="U465" i="3"/>
  <c r="P466" i="3"/>
  <c r="K467" i="3"/>
  <c r="S467" i="3"/>
  <c r="N468" i="3"/>
  <c r="V468" i="3"/>
  <c r="Q469" i="3"/>
  <c r="L470" i="3"/>
  <c r="T470" i="3"/>
  <c r="O471" i="3"/>
  <c r="J472" i="3"/>
  <c r="R472" i="3"/>
  <c r="M473" i="3"/>
  <c r="U473" i="3"/>
  <c r="P474" i="3"/>
  <c r="K475" i="3"/>
  <c r="S475" i="3"/>
  <c r="N476" i="3"/>
  <c r="V476" i="3"/>
  <c r="Q477" i="3"/>
  <c r="L478" i="3"/>
  <c r="T478" i="3"/>
  <c r="O479" i="3"/>
  <c r="J480" i="3"/>
  <c r="R480" i="3"/>
  <c r="M481" i="3"/>
  <c r="U481" i="3"/>
  <c r="P482" i="3"/>
  <c r="K483" i="3"/>
  <c r="S483" i="3"/>
  <c r="N484" i="3"/>
  <c r="V484" i="3"/>
  <c r="Q485" i="3"/>
  <c r="L486" i="3"/>
  <c r="T486" i="3"/>
  <c r="O487" i="3"/>
  <c r="J488" i="3"/>
  <c r="R488" i="3"/>
  <c r="M489" i="3"/>
  <c r="U489" i="3"/>
  <c r="P490" i="3"/>
  <c r="K491" i="3"/>
  <c r="S491" i="3"/>
  <c r="N492" i="3"/>
  <c r="V492" i="3"/>
  <c r="Q493" i="3"/>
  <c r="L494" i="3"/>
  <c r="T494" i="3"/>
  <c r="O495" i="3"/>
  <c r="J496" i="3"/>
  <c r="R496" i="3"/>
  <c r="M497" i="3"/>
  <c r="U497" i="3"/>
  <c r="P498" i="3"/>
  <c r="K499" i="3"/>
  <c r="S499" i="3"/>
  <c r="N500" i="3"/>
  <c r="V500" i="3"/>
  <c r="Q501" i="3"/>
  <c r="L502" i="3"/>
  <c r="T502" i="3"/>
  <c r="O503" i="3"/>
  <c r="J504" i="3"/>
  <c r="R504" i="3"/>
  <c r="M505" i="3"/>
  <c r="U505" i="3"/>
  <c r="P506" i="3"/>
  <c r="K507" i="3"/>
  <c r="S507" i="3"/>
  <c r="N508" i="3"/>
  <c r="V508" i="3"/>
  <c r="Q509" i="3"/>
  <c r="L510" i="3"/>
  <c r="T510" i="3"/>
  <c r="O511" i="3"/>
  <c r="J512" i="3"/>
  <c r="R512" i="3"/>
  <c r="M513" i="3"/>
  <c r="U513" i="3"/>
  <c r="P514" i="3"/>
  <c r="K515" i="3"/>
  <c r="S515" i="3"/>
  <c r="N516" i="3"/>
  <c r="V516" i="3"/>
  <c r="Q517" i="3"/>
  <c r="L518" i="3"/>
  <c r="T518" i="3"/>
  <c r="O519" i="3"/>
  <c r="J520" i="3"/>
  <c r="R520" i="3"/>
  <c r="M521" i="3"/>
  <c r="U521" i="3"/>
  <c r="P522" i="3"/>
  <c r="K523" i="3"/>
  <c r="S523" i="3"/>
  <c r="N524" i="3"/>
  <c r="V524" i="3"/>
  <c r="Q525" i="3"/>
  <c r="L526" i="3"/>
  <c r="T526" i="3"/>
  <c r="O527" i="3"/>
  <c r="J528" i="3"/>
  <c r="R528" i="3"/>
  <c r="M529" i="3"/>
  <c r="U529" i="3"/>
  <c r="P530" i="3"/>
  <c r="K531" i="3"/>
  <c r="S531" i="3"/>
  <c r="N532" i="3"/>
  <c r="V532" i="3"/>
  <c r="Q533" i="3"/>
  <c r="L534" i="3"/>
  <c r="T534" i="3"/>
  <c r="O535" i="3"/>
  <c r="J536" i="3"/>
  <c r="R536" i="3"/>
  <c r="M537" i="3"/>
  <c r="U537" i="3"/>
  <c r="P538" i="3"/>
  <c r="P147" i="3"/>
  <c r="J185" i="3"/>
  <c r="L221" i="3"/>
  <c r="U242" i="3"/>
  <c r="L255" i="3"/>
  <c r="S268" i="3"/>
  <c r="M282" i="3"/>
  <c r="U293" i="3"/>
  <c r="U299" i="3"/>
  <c r="L302" i="3"/>
  <c r="S303" i="3"/>
  <c r="O305" i="3"/>
  <c r="K307" i="3"/>
  <c r="R308" i="3"/>
  <c r="N310" i="3"/>
  <c r="J312" i="3"/>
  <c r="Q313" i="3"/>
  <c r="M315" i="3"/>
  <c r="V316" i="3"/>
  <c r="P318" i="3"/>
  <c r="L320" i="3"/>
  <c r="U321" i="3"/>
  <c r="O323" i="3"/>
  <c r="K325" i="3"/>
  <c r="T326" i="3"/>
  <c r="N328" i="3"/>
  <c r="J330" i="3"/>
  <c r="S331" i="3"/>
  <c r="M333" i="3"/>
  <c r="V334" i="3"/>
  <c r="R336" i="3"/>
  <c r="L338" i="3"/>
  <c r="S339" i="3"/>
  <c r="V340" i="3"/>
  <c r="U341" i="3"/>
  <c r="U342" i="3"/>
  <c r="V343" i="3"/>
  <c r="T344" i="3"/>
  <c r="U345" i="3"/>
  <c r="T346" i="3"/>
  <c r="T347" i="3"/>
  <c r="U348" i="3"/>
  <c r="S349" i="3"/>
  <c r="T350" i="3"/>
  <c r="S351" i="3"/>
  <c r="S352" i="3"/>
  <c r="T353" i="3"/>
  <c r="R354" i="3"/>
  <c r="S355" i="3"/>
  <c r="P356" i="3"/>
  <c r="O357" i="3"/>
  <c r="L358" i="3"/>
  <c r="V358" i="3"/>
  <c r="U359" i="3"/>
  <c r="R360" i="3"/>
  <c r="O361" i="3"/>
  <c r="N362" i="3"/>
  <c r="K363" i="3"/>
  <c r="U363" i="3"/>
  <c r="T364" i="3"/>
  <c r="Q365" i="3"/>
  <c r="N366" i="3"/>
  <c r="M367" i="3"/>
  <c r="J368" i="3"/>
  <c r="T368" i="3"/>
  <c r="S369" i="3"/>
  <c r="P370" i="3"/>
  <c r="L371" i="3"/>
  <c r="T371" i="3"/>
  <c r="O372" i="3"/>
  <c r="J373" i="3"/>
  <c r="R373" i="3"/>
  <c r="M374" i="3"/>
  <c r="U374" i="3"/>
  <c r="P375" i="3"/>
  <c r="K376" i="3"/>
  <c r="S376" i="3"/>
  <c r="N377" i="3"/>
  <c r="V377" i="3"/>
  <c r="Q378" i="3"/>
  <c r="L379" i="3"/>
  <c r="T379" i="3"/>
  <c r="O380" i="3"/>
  <c r="J381" i="3"/>
  <c r="R381" i="3"/>
  <c r="M382" i="3"/>
  <c r="U382" i="3"/>
  <c r="P383" i="3"/>
  <c r="K384" i="3"/>
  <c r="S384" i="3"/>
  <c r="N385" i="3"/>
  <c r="V385" i="3"/>
  <c r="Q386" i="3"/>
  <c r="L387" i="3"/>
  <c r="T387" i="3"/>
  <c r="O388" i="3"/>
  <c r="J389" i="3"/>
  <c r="R389" i="3"/>
  <c r="M390" i="3"/>
  <c r="U390" i="3"/>
  <c r="P391" i="3"/>
  <c r="K392" i="3"/>
  <c r="S392" i="3"/>
  <c r="N393" i="3"/>
  <c r="V393" i="3"/>
  <c r="Q394" i="3"/>
  <c r="L395" i="3"/>
  <c r="T395" i="3"/>
  <c r="O396" i="3"/>
  <c r="J397" i="3"/>
  <c r="R397" i="3"/>
  <c r="M398" i="3"/>
  <c r="U398" i="3"/>
  <c r="P399" i="3"/>
  <c r="K400" i="3"/>
  <c r="S400" i="3"/>
  <c r="N401" i="3"/>
  <c r="V401" i="3"/>
  <c r="Q402" i="3"/>
  <c r="L403" i="3"/>
  <c r="T403" i="3"/>
  <c r="O404" i="3"/>
  <c r="J405" i="3"/>
  <c r="R405" i="3"/>
  <c r="M406" i="3"/>
  <c r="U406" i="3"/>
  <c r="P407" i="3"/>
  <c r="K408" i="3"/>
  <c r="S408" i="3"/>
  <c r="N409" i="3"/>
  <c r="V409" i="3"/>
  <c r="Q410" i="3"/>
  <c r="L411" i="3"/>
  <c r="T411" i="3"/>
  <c r="O412" i="3"/>
  <c r="J413" i="3"/>
  <c r="R413" i="3"/>
  <c r="M414" i="3"/>
  <c r="U414" i="3"/>
  <c r="P415" i="3"/>
  <c r="K416" i="3"/>
  <c r="S416" i="3"/>
  <c r="N417" i="3"/>
  <c r="V417" i="3"/>
  <c r="Q418" i="3"/>
  <c r="L419" i="3"/>
  <c r="T419" i="3"/>
  <c r="O420" i="3"/>
  <c r="J421" i="3"/>
  <c r="R421" i="3"/>
  <c r="M422" i="3"/>
  <c r="U422" i="3"/>
  <c r="P423" i="3"/>
  <c r="K424" i="3"/>
  <c r="S424" i="3"/>
  <c r="N425" i="3"/>
  <c r="V425" i="3"/>
  <c r="Q426" i="3"/>
  <c r="L427" i="3"/>
  <c r="T427" i="3"/>
  <c r="O428" i="3"/>
  <c r="J429" i="3"/>
  <c r="R429" i="3"/>
  <c r="M430" i="3"/>
  <c r="U430" i="3"/>
  <c r="P431" i="3"/>
  <c r="K432" i="3"/>
  <c r="S432" i="3"/>
  <c r="N433" i="3"/>
  <c r="V433" i="3"/>
  <c r="Q434" i="3"/>
  <c r="L435" i="3"/>
  <c r="T435" i="3"/>
  <c r="O436" i="3"/>
  <c r="J437" i="3"/>
  <c r="R437" i="3"/>
  <c r="M438" i="3"/>
  <c r="U438" i="3"/>
  <c r="P439" i="3"/>
  <c r="K440" i="3"/>
  <c r="S440" i="3"/>
  <c r="N441" i="3"/>
  <c r="V441" i="3"/>
  <c r="Q442" i="3"/>
  <c r="L443" i="3"/>
  <c r="T443" i="3"/>
  <c r="O444" i="3"/>
  <c r="J445" i="3"/>
  <c r="R445" i="3"/>
  <c r="M446" i="3"/>
  <c r="U446" i="3"/>
  <c r="P447" i="3"/>
  <c r="K448" i="3"/>
  <c r="S448" i="3"/>
  <c r="N449" i="3"/>
  <c r="V449" i="3"/>
  <c r="Q450" i="3"/>
  <c r="L451" i="3"/>
  <c r="T451" i="3"/>
  <c r="O452" i="3"/>
  <c r="J453" i="3"/>
  <c r="R453" i="3"/>
  <c r="M454" i="3"/>
  <c r="U454" i="3"/>
  <c r="P455" i="3"/>
  <c r="K456" i="3"/>
  <c r="S456" i="3"/>
  <c r="N457" i="3"/>
  <c r="V457" i="3"/>
  <c r="Q458" i="3"/>
  <c r="L459" i="3"/>
  <c r="T459" i="3"/>
  <c r="O460" i="3"/>
  <c r="J461" i="3"/>
  <c r="R461" i="3"/>
  <c r="M462" i="3"/>
  <c r="U462" i="3"/>
  <c r="P463" i="3"/>
  <c r="K464" i="3"/>
  <c r="S464" i="3"/>
  <c r="N465" i="3"/>
  <c r="V465" i="3"/>
  <c r="Q466" i="3"/>
  <c r="L467" i="3"/>
  <c r="T467" i="3"/>
  <c r="O468" i="3"/>
  <c r="J469" i="3"/>
  <c r="R469" i="3"/>
  <c r="M470" i="3"/>
  <c r="U470" i="3"/>
  <c r="P471" i="3"/>
  <c r="K472" i="3"/>
  <c r="S472" i="3"/>
  <c r="N473" i="3"/>
  <c r="V473" i="3"/>
  <c r="Q474" i="3"/>
  <c r="L475" i="3"/>
  <c r="T475" i="3"/>
  <c r="O476" i="3"/>
  <c r="J477" i="3"/>
  <c r="R477" i="3"/>
  <c r="M478" i="3"/>
  <c r="U478" i="3"/>
  <c r="P479" i="3"/>
  <c r="K480" i="3"/>
  <c r="S480" i="3"/>
  <c r="N481" i="3"/>
  <c r="V481" i="3"/>
  <c r="Q482" i="3"/>
  <c r="L483" i="3"/>
  <c r="T483" i="3"/>
  <c r="O484" i="3"/>
  <c r="J485" i="3"/>
  <c r="R485" i="3"/>
  <c r="M486" i="3"/>
  <c r="U486" i="3"/>
  <c r="P487" i="3"/>
  <c r="K488" i="3"/>
  <c r="S488" i="3"/>
  <c r="N489" i="3"/>
  <c r="V489" i="3"/>
  <c r="Q490" i="3"/>
  <c r="L491" i="3"/>
  <c r="T491" i="3"/>
  <c r="O492" i="3"/>
  <c r="J493" i="3"/>
  <c r="R493" i="3"/>
  <c r="M494" i="3"/>
  <c r="U494" i="3"/>
  <c r="P495" i="3"/>
  <c r="K496" i="3"/>
  <c r="S496" i="3"/>
  <c r="N497" i="3"/>
  <c r="V497" i="3"/>
  <c r="Q498" i="3"/>
  <c r="L499" i="3"/>
  <c r="T499" i="3"/>
  <c r="O500" i="3"/>
  <c r="J501" i="3"/>
  <c r="R501" i="3"/>
  <c r="M502" i="3"/>
  <c r="U502" i="3"/>
  <c r="P503" i="3"/>
  <c r="K504" i="3"/>
  <c r="S504" i="3"/>
  <c r="N505" i="3"/>
  <c r="V505" i="3"/>
  <c r="Q506" i="3"/>
  <c r="L507" i="3"/>
  <c r="T507" i="3"/>
  <c r="O508" i="3"/>
  <c r="J509" i="3"/>
  <c r="R509" i="3"/>
  <c r="M510" i="3"/>
  <c r="U510" i="3"/>
  <c r="P511" i="3"/>
  <c r="K512" i="3"/>
  <c r="S512" i="3"/>
  <c r="N513" i="3"/>
  <c r="V513" i="3"/>
  <c r="Q514" i="3"/>
  <c r="L515" i="3"/>
  <c r="T515" i="3"/>
  <c r="O516" i="3"/>
  <c r="J517" i="3"/>
  <c r="R517" i="3"/>
  <c r="M518" i="3"/>
  <c r="U518" i="3"/>
  <c r="P519" i="3"/>
  <c r="K520" i="3"/>
  <c r="S520" i="3"/>
  <c r="N521" i="3"/>
  <c r="V521" i="3"/>
  <c r="Q522" i="3"/>
  <c r="L523" i="3"/>
  <c r="T523" i="3"/>
  <c r="O524" i="3"/>
  <c r="J525" i="3"/>
  <c r="R525" i="3"/>
  <c r="M526" i="3"/>
  <c r="U526" i="3"/>
  <c r="P527" i="3"/>
  <c r="K528" i="3"/>
  <c r="S528" i="3"/>
  <c r="N529" i="3"/>
  <c r="V529" i="3"/>
  <c r="Q530" i="3"/>
  <c r="L531" i="3"/>
  <c r="T531" i="3"/>
  <c r="O532" i="3"/>
  <c r="J533" i="3"/>
  <c r="R533" i="3"/>
  <c r="M534" i="3"/>
  <c r="U534" i="3"/>
  <c r="P535" i="3"/>
  <c r="K536" i="3"/>
  <c r="S536" i="3"/>
  <c r="N537" i="3"/>
  <c r="V537" i="3"/>
  <c r="Q538" i="3"/>
  <c r="L539" i="3"/>
  <c r="L153" i="3"/>
  <c r="M234" i="3"/>
  <c r="O272" i="3"/>
  <c r="K300" i="3"/>
  <c r="N304" i="3"/>
  <c r="K309" i="3"/>
  <c r="U313" i="3"/>
  <c r="Q317" i="3"/>
  <c r="L322" i="3"/>
  <c r="V326" i="3"/>
  <c r="R330" i="3"/>
  <c r="O335" i="3"/>
  <c r="T339" i="3"/>
  <c r="M342" i="3"/>
  <c r="L345" i="3"/>
  <c r="U347" i="3"/>
  <c r="L350" i="3"/>
  <c r="V352" i="3"/>
  <c r="T355" i="3"/>
  <c r="P357" i="3"/>
  <c r="K359" i="3"/>
  <c r="S360" i="3"/>
  <c r="O362" i="3"/>
  <c r="J364" i="3"/>
  <c r="R365" i="3"/>
  <c r="N367" i="3"/>
  <c r="V368" i="3"/>
  <c r="Q370" i="3"/>
  <c r="U371" i="3"/>
  <c r="K373" i="3"/>
  <c r="N374" i="3"/>
  <c r="Q375" i="3"/>
  <c r="T376" i="3"/>
  <c r="J378" i="3"/>
  <c r="M379" i="3"/>
  <c r="P380" i="3"/>
  <c r="S381" i="3"/>
  <c r="V382" i="3"/>
  <c r="L384" i="3"/>
  <c r="O385" i="3"/>
  <c r="R386" i="3"/>
  <c r="U387" i="3"/>
  <c r="K389" i="3"/>
  <c r="N390" i="3"/>
  <c r="Q391" i="3"/>
  <c r="T392" i="3"/>
  <c r="J394" i="3"/>
  <c r="M395" i="3"/>
  <c r="P396" i="3"/>
  <c r="S397" i="3"/>
  <c r="V398" i="3"/>
  <c r="L400" i="3"/>
  <c r="O401" i="3"/>
  <c r="R402" i="3"/>
  <c r="U403" i="3"/>
  <c r="K405" i="3"/>
  <c r="N406" i="3"/>
  <c r="Q407" i="3"/>
  <c r="T408" i="3"/>
  <c r="J410" i="3"/>
  <c r="M411" i="3"/>
  <c r="P412" i="3"/>
  <c r="S413" i="3"/>
  <c r="V414" i="3"/>
  <c r="L416" i="3"/>
  <c r="O417" i="3"/>
  <c r="R418" i="3"/>
  <c r="U419" i="3"/>
  <c r="K421" i="3"/>
  <c r="N422" i="3"/>
  <c r="Q423" i="3"/>
  <c r="T424" i="3"/>
  <c r="J426" i="3"/>
  <c r="M427" i="3"/>
  <c r="P428" i="3"/>
  <c r="S429" i="3"/>
  <c r="V430" i="3"/>
  <c r="L432" i="3"/>
  <c r="O433" i="3"/>
  <c r="R434" i="3"/>
  <c r="U435" i="3"/>
  <c r="K437" i="3"/>
  <c r="N438" i="3"/>
  <c r="Q439" i="3"/>
  <c r="T440" i="3"/>
  <c r="J442" i="3"/>
  <c r="M443" i="3"/>
  <c r="P444" i="3"/>
  <c r="S445" i="3"/>
  <c r="V446" i="3"/>
  <c r="L448" i="3"/>
  <c r="O449" i="3"/>
  <c r="R450" i="3"/>
  <c r="U451" i="3"/>
  <c r="K453" i="3"/>
  <c r="N454" i="3"/>
  <c r="Q455" i="3"/>
  <c r="T456" i="3"/>
  <c r="J458" i="3"/>
  <c r="M459" i="3"/>
  <c r="P460" i="3"/>
  <c r="S461" i="3"/>
  <c r="V462" i="3"/>
  <c r="L464" i="3"/>
  <c r="O465" i="3"/>
  <c r="R466" i="3"/>
  <c r="U467" i="3"/>
  <c r="K469" i="3"/>
  <c r="N470" i="3"/>
  <c r="Q471" i="3"/>
  <c r="T472" i="3"/>
  <c r="J474" i="3"/>
  <c r="M475" i="3"/>
  <c r="P476" i="3"/>
  <c r="S477" i="3"/>
  <c r="V478" i="3"/>
  <c r="L480" i="3"/>
  <c r="O481" i="3"/>
  <c r="R482" i="3"/>
  <c r="U483" i="3"/>
  <c r="K485" i="3"/>
  <c r="N486" i="3"/>
  <c r="Q487" i="3"/>
  <c r="T488" i="3"/>
  <c r="J490" i="3"/>
  <c r="M491" i="3"/>
  <c r="P492" i="3"/>
  <c r="S493" i="3"/>
  <c r="V494" i="3"/>
  <c r="L496" i="3"/>
  <c r="O497" i="3"/>
  <c r="R498" i="3"/>
  <c r="U499" i="3"/>
  <c r="K501" i="3"/>
  <c r="N502" i="3"/>
  <c r="Q503" i="3"/>
  <c r="T504" i="3"/>
  <c r="J506" i="3"/>
  <c r="M507" i="3"/>
  <c r="P508" i="3"/>
  <c r="S509" i="3"/>
  <c r="V510" i="3"/>
  <c r="L512" i="3"/>
  <c r="O513" i="3"/>
  <c r="R514" i="3"/>
  <c r="U515" i="3"/>
  <c r="K517" i="3"/>
  <c r="N518" i="3"/>
  <c r="Q519" i="3"/>
  <c r="T520" i="3"/>
  <c r="J522" i="3"/>
  <c r="M523" i="3"/>
  <c r="P524" i="3"/>
  <c r="S525" i="3"/>
  <c r="V526" i="3"/>
  <c r="L528" i="3"/>
  <c r="O529" i="3"/>
  <c r="R530" i="3"/>
  <c r="U531" i="3"/>
  <c r="K533" i="3"/>
  <c r="N534" i="3"/>
  <c r="Q535" i="3"/>
  <c r="T536" i="3"/>
  <c r="J538" i="3"/>
  <c r="K539" i="3"/>
  <c r="T539" i="3"/>
  <c r="O540" i="3"/>
  <c r="M158" i="3"/>
  <c r="K244" i="3"/>
  <c r="R273" i="3"/>
  <c r="S300" i="3"/>
  <c r="Q305" i="3"/>
  <c r="M309" i="3"/>
  <c r="J314" i="3"/>
  <c r="T318" i="3"/>
  <c r="P322" i="3"/>
  <c r="K327" i="3"/>
  <c r="U331" i="3"/>
  <c r="Q335" i="3"/>
  <c r="U339" i="3"/>
  <c r="V342" i="3"/>
  <c r="M345" i="3"/>
  <c r="J348" i="3"/>
  <c r="U350" i="3"/>
  <c r="L353" i="3"/>
  <c r="U355" i="3"/>
  <c r="Q357" i="3"/>
  <c r="M359" i="3"/>
  <c r="T360" i="3"/>
  <c r="P362" i="3"/>
  <c r="L364" i="3"/>
  <c r="S365" i="3"/>
  <c r="O367" i="3"/>
  <c r="K369" i="3"/>
  <c r="R370" i="3"/>
  <c r="V371" i="3"/>
  <c r="L373" i="3"/>
  <c r="O374" i="3"/>
  <c r="R375" i="3"/>
  <c r="U376" i="3"/>
  <c r="K378" i="3"/>
  <c r="N379" i="3"/>
  <c r="Q380" i="3"/>
  <c r="T381" i="3"/>
  <c r="J383" i="3"/>
  <c r="M384" i="3"/>
  <c r="P385" i="3"/>
  <c r="S386" i="3"/>
  <c r="V387" i="3"/>
  <c r="L389" i="3"/>
  <c r="O390" i="3"/>
  <c r="R391" i="3"/>
  <c r="U392" i="3"/>
  <c r="K394" i="3"/>
  <c r="N395" i="3"/>
  <c r="Q396" i="3"/>
  <c r="T397" i="3"/>
  <c r="J399" i="3"/>
  <c r="M400" i="3"/>
  <c r="P401" i="3"/>
  <c r="S402" i="3"/>
  <c r="V403" i="3"/>
  <c r="L405" i="3"/>
  <c r="O406" i="3"/>
  <c r="R407" i="3"/>
  <c r="U408" i="3"/>
  <c r="K410" i="3"/>
  <c r="N411" i="3"/>
  <c r="Q412" i="3"/>
  <c r="T413" i="3"/>
  <c r="J415" i="3"/>
  <c r="M416" i="3"/>
  <c r="P417" i="3"/>
  <c r="S418" i="3"/>
  <c r="V419" i="3"/>
  <c r="L421" i="3"/>
  <c r="O422" i="3"/>
  <c r="R423" i="3"/>
  <c r="U424" i="3"/>
  <c r="K426" i="3"/>
  <c r="N427" i="3"/>
  <c r="Q428" i="3"/>
  <c r="T429" i="3"/>
  <c r="J431" i="3"/>
  <c r="M432" i="3"/>
  <c r="P433" i="3"/>
  <c r="S434" i="3"/>
  <c r="V435" i="3"/>
  <c r="L437" i="3"/>
  <c r="O438" i="3"/>
  <c r="R439" i="3"/>
  <c r="U440" i="3"/>
  <c r="K442" i="3"/>
  <c r="N443" i="3"/>
  <c r="Q444" i="3"/>
  <c r="T445" i="3"/>
  <c r="J447" i="3"/>
  <c r="M448" i="3"/>
  <c r="P449" i="3"/>
  <c r="S450" i="3"/>
  <c r="V451" i="3"/>
  <c r="L453" i="3"/>
  <c r="O454" i="3"/>
  <c r="R455" i="3"/>
  <c r="U456" i="3"/>
  <c r="K458" i="3"/>
  <c r="N459" i="3"/>
  <c r="Q460" i="3"/>
  <c r="T461" i="3"/>
  <c r="J463" i="3"/>
  <c r="M464" i="3"/>
  <c r="P465" i="3"/>
  <c r="S466" i="3"/>
  <c r="V467" i="3"/>
  <c r="L469" i="3"/>
  <c r="O470" i="3"/>
  <c r="R471" i="3"/>
  <c r="U472" i="3"/>
  <c r="K474" i="3"/>
  <c r="N475" i="3"/>
  <c r="Q476" i="3"/>
  <c r="T477" i="3"/>
  <c r="J479" i="3"/>
  <c r="M480" i="3"/>
  <c r="P481" i="3"/>
  <c r="S482" i="3"/>
  <c r="V483" i="3"/>
  <c r="L485" i="3"/>
  <c r="O486" i="3"/>
  <c r="R487" i="3"/>
  <c r="U488" i="3"/>
  <c r="K490" i="3"/>
  <c r="N491" i="3"/>
  <c r="Q492" i="3"/>
  <c r="T493" i="3"/>
  <c r="J495" i="3"/>
  <c r="M496" i="3"/>
  <c r="P497" i="3"/>
  <c r="S498" i="3"/>
  <c r="V499" i="3"/>
  <c r="L501" i="3"/>
  <c r="O502" i="3"/>
  <c r="R503" i="3"/>
  <c r="U504" i="3"/>
  <c r="K506" i="3"/>
  <c r="N507" i="3"/>
  <c r="Q508" i="3"/>
  <c r="T509" i="3"/>
  <c r="J511" i="3"/>
  <c r="M512" i="3"/>
  <c r="P513" i="3"/>
  <c r="S514" i="3"/>
  <c r="V515" i="3"/>
  <c r="L517" i="3"/>
  <c r="O518" i="3"/>
  <c r="R519" i="3"/>
  <c r="U520" i="3"/>
  <c r="K522" i="3"/>
  <c r="N523" i="3"/>
  <c r="Q524" i="3"/>
  <c r="T525" i="3"/>
  <c r="J527" i="3"/>
  <c r="M528" i="3"/>
  <c r="P529" i="3"/>
  <c r="S530" i="3"/>
  <c r="V531" i="3"/>
  <c r="L533" i="3"/>
  <c r="O534" i="3"/>
  <c r="R535" i="3"/>
  <c r="U536" i="3"/>
  <c r="K538" i="3"/>
  <c r="M539" i="3"/>
  <c r="U539" i="3"/>
  <c r="P540" i="3"/>
  <c r="K541" i="3"/>
  <c r="S541" i="3"/>
  <c r="N542" i="3"/>
  <c r="V542" i="3"/>
  <c r="Q543" i="3"/>
  <c r="L544" i="3"/>
  <c r="T544" i="3"/>
  <c r="O545" i="3"/>
  <c r="J546" i="3"/>
  <c r="R546" i="3"/>
  <c r="M547" i="3"/>
  <c r="U547" i="3"/>
  <c r="P548" i="3"/>
  <c r="K549" i="3"/>
  <c r="S549" i="3"/>
  <c r="N550" i="3"/>
  <c r="V550" i="3"/>
  <c r="Q551" i="3"/>
  <c r="L552" i="3"/>
  <c r="T552" i="3"/>
  <c r="O553" i="3"/>
  <c r="J554" i="3"/>
  <c r="R554" i="3"/>
  <c r="M555" i="3"/>
  <c r="U555" i="3"/>
  <c r="P556" i="3"/>
  <c r="K557" i="3"/>
  <c r="S557" i="3"/>
  <c r="N558" i="3"/>
  <c r="V558" i="3"/>
  <c r="Q559" i="3"/>
  <c r="L560" i="3"/>
  <c r="T560" i="3"/>
  <c r="O561" i="3"/>
  <c r="J562" i="3"/>
  <c r="R562" i="3"/>
  <c r="M563" i="3"/>
  <c r="U563" i="3"/>
  <c r="P564" i="3"/>
  <c r="K565" i="3"/>
  <c r="S565" i="3"/>
  <c r="N566" i="3"/>
  <c r="V566" i="3"/>
  <c r="Q567" i="3"/>
  <c r="L568" i="3"/>
  <c r="T568" i="3"/>
  <c r="O569" i="3"/>
  <c r="J570" i="3"/>
  <c r="R570" i="3"/>
  <c r="M571" i="3"/>
  <c r="U571" i="3"/>
  <c r="P572" i="3"/>
  <c r="K573" i="3"/>
  <c r="S573" i="3"/>
  <c r="N574" i="3"/>
  <c r="V574" i="3"/>
  <c r="Q575" i="3"/>
  <c r="L576" i="3"/>
  <c r="T576" i="3"/>
  <c r="O577" i="3"/>
  <c r="J578" i="3"/>
  <c r="R578" i="3"/>
  <c r="M579" i="3"/>
  <c r="U579" i="3"/>
  <c r="P580" i="3"/>
  <c r="K581" i="3"/>
  <c r="S581" i="3"/>
  <c r="N582" i="3"/>
  <c r="V582" i="3"/>
  <c r="Q583" i="3"/>
  <c r="L584" i="3"/>
  <c r="T584" i="3"/>
  <c r="O585" i="3"/>
  <c r="J586" i="3"/>
  <c r="R586" i="3"/>
  <c r="M587" i="3"/>
  <c r="U587" i="3"/>
  <c r="P588" i="3"/>
  <c r="K589" i="3"/>
  <c r="S589" i="3"/>
  <c r="N590" i="3"/>
  <c r="V590" i="3"/>
  <c r="Q591" i="3"/>
  <c r="L592" i="3"/>
  <c r="T592" i="3"/>
  <c r="O593" i="3"/>
  <c r="J594" i="3"/>
  <c r="R594" i="3"/>
  <c r="M595" i="3"/>
  <c r="U595" i="3"/>
  <c r="P596" i="3"/>
  <c r="K597" i="3"/>
  <c r="S597" i="3"/>
  <c r="N598" i="3"/>
  <c r="V598" i="3"/>
  <c r="Q599" i="3"/>
  <c r="L600" i="3"/>
  <c r="T600" i="3"/>
  <c r="O601" i="3"/>
  <c r="J602" i="3"/>
  <c r="R602" i="3"/>
  <c r="M603" i="3"/>
  <c r="U603" i="3"/>
  <c r="P604" i="3"/>
  <c r="K605" i="3"/>
  <c r="S605" i="3"/>
  <c r="N606" i="3"/>
  <c r="V606" i="3"/>
  <c r="Q607" i="3"/>
  <c r="L608" i="3"/>
  <c r="T608" i="3"/>
  <c r="O609" i="3"/>
  <c r="J610" i="3"/>
  <c r="R610" i="3"/>
  <c r="M611" i="3"/>
  <c r="U611" i="3"/>
  <c r="P612" i="3"/>
  <c r="K613" i="3"/>
  <c r="S613" i="3"/>
  <c r="N614" i="3"/>
  <c r="V614" i="3"/>
  <c r="Q615" i="3"/>
  <c r="L616" i="3"/>
  <c r="T616" i="3"/>
  <c r="O617" i="3"/>
  <c r="J618" i="3"/>
  <c r="R618" i="3"/>
  <c r="M619" i="3"/>
  <c r="U619" i="3"/>
  <c r="P620" i="3"/>
  <c r="K621" i="3"/>
  <c r="S621" i="3"/>
  <c r="N622" i="3"/>
  <c r="V622" i="3"/>
  <c r="Q623" i="3"/>
  <c r="L624" i="3"/>
  <c r="T624" i="3"/>
  <c r="O625" i="3"/>
  <c r="J626" i="3"/>
  <c r="R626" i="3"/>
  <c r="M627" i="3"/>
  <c r="U627" i="3"/>
  <c r="P628" i="3"/>
  <c r="K629" i="3"/>
  <c r="S629" i="3"/>
  <c r="N630" i="3"/>
  <c r="V630" i="3"/>
  <c r="Q631" i="3"/>
  <c r="L632" i="3"/>
  <c r="T632" i="3"/>
  <c r="O633" i="3"/>
  <c r="J634" i="3"/>
  <c r="R634" i="3"/>
  <c r="M635" i="3"/>
  <c r="U635" i="3"/>
  <c r="P636" i="3"/>
  <c r="K637" i="3"/>
  <c r="S637" i="3"/>
  <c r="N638" i="3"/>
  <c r="V638" i="3"/>
  <c r="Q639" i="3"/>
  <c r="L640" i="3"/>
  <c r="T640" i="3"/>
  <c r="O641" i="3"/>
  <c r="J642" i="3"/>
  <c r="R642" i="3"/>
  <c r="M643" i="3"/>
  <c r="U643" i="3"/>
  <c r="P644" i="3"/>
  <c r="K645" i="3"/>
  <c r="S645" i="3"/>
  <c r="N646" i="3"/>
  <c r="V646" i="3"/>
  <c r="Q647" i="3"/>
  <c r="N165" i="3"/>
  <c r="N245" i="3"/>
  <c r="P283" i="3"/>
  <c r="V300" i="3"/>
  <c r="U305" i="3"/>
  <c r="P310" i="3"/>
  <c r="L314" i="3"/>
  <c r="V318" i="3"/>
  <c r="S323" i="3"/>
  <c r="O327" i="3"/>
  <c r="J332" i="3"/>
  <c r="T336" i="3"/>
  <c r="J340" i="3"/>
  <c r="K343" i="3"/>
  <c r="V345" i="3"/>
  <c r="M348" i="3"/>
  <c r="V350" i="3"/>
  <c r="U353" i="3"/>
  <c r="J356" i="3"/>
  <c r="R357" i="3"/>
  <c r="N359" i="3"/>
  <c r="V360" i="3"/>
  <c r="Q362" i="3"/>
  <c r="M364" i="3"/>
  <c r="U365" i="3"/>
  <c r="P367" i="3"/>
  <c r="L369" i="3"/>
  <c r="T370" i="3"/>
  <c r="J372" i="3"/>
  <c r="M373" i="3"/>
  <c r="P374" i="3"/>
  <c r="S375" i="3"/>
  <c r="V376" i="3"/>
  <c r="L378" i="3"/>
  <c r="O379" i="3"/>
  <c r="R380" i="3"/>
  <c r="U381" i="3"/>
  <c r="K383" i="3"/>
  <c r="N384" i="3"/>
  <c r="Q385" i="3"/>
  <c r="T386" i="3"/>
  <c r="J388" i="3"/>
  <c r="M389" i="3"/>
  <c r="P390" i="3"/>
  <c r="S391" i="3"/>
  <c r="V392" i="3"/>
  <c r="L394" i="3"/>
  <c r="O395" i="3"/>
  <c r="R396" i="3"/>
  <c r="U397" i="3"/>
  <c r="K399" i="3"/>
  <c r="N400" i="3"/>
  <c r="Q401" i="3"/>
  <c r="T402" i="3"/>
  <c r="J404" i="3"/>
  <c r="M405" i="3"/>
  <c r="P406" i="3"/>
  <c r="S407" i="3"/>
  <c r="V408" i="3"/>
  <c r="L410" i="3"/>
  <c r="O411" i="3"/>
  <c r="R412" i="3"/>
  <c r="U413" i="3"/>
  <c r="K415" i="3"/>
  <c r="N416" i="3"/>
  <c r="Q417" i="3"/>
  <c r="T418" i="3"/>
  <c r="J420" i="3"/>
  <c r="M421" i="3"/>
  <c r="P422" i="3"/>
  <c r="S423" i="3"/>
  <c r="V424" i="3"/>
  <c r="L426" i="3"/>
  <c r="O427" i="3"/>
  <c r="R428" i="3"/>
  <c r="U429" i="3"/>
  <c r="K431" i="3"/>
  <c r="N432" i="3"/>
  <c r="Q433" i="3"/>
  <c r="T434" i="3"/>
  <c r="J436" i="3"/>
  <c r="M437" i="3"/>
  <c r="P438" i="3"/>
  <c r="S439" i="3"/>
  <c r="V440" i="3"/>
  <c r="L442" i="3"/>
  <c r="O443" i="3"/>
  <c r="R444" i="3"/>
  <c r="U445" i="3"/>
  <c r="K447" i="3"/>
  <c r="N448" i="3"/>
  <c r="Q449" i="3"/>
  <c r="T450" i="3"/>
  <c r="J452" i="3"/>
  <c r="M453" i="3"/>
  <c r="P454" i="3"/>
  <c r="S455" i="3"/>
  <c r="V456" i="3"/>
  <c r="L458" i="3"/>
  <c r="O459" i="3"/>
  <c r="R460" i="3"/>
  <c r="U461" i="3"/>
  <c r="K463" i="3"/>
  <c r="N464" i="3"/>
  <c r="Q465" i="3"/>
  <c r="T466" i="3"/>
  <c r="J468" i="3"/>
  <c r="M469" i="3"/>
  <c r="P470" i="3"/>
  <c r="S471" i="3"/>
  <c r="V472" i="3"/>
  <c r="L474" i="3"/>
  <c r="O475" i="3"/>
  <c r="R476" i="3"/>
  <c r="U477" i="3"/>
  <c r="K479" i="3"/>
  <c r="N480" i="3"/>
  <c r="Q481" i="3"/>
  <c r="T482" i="3"/>
  <c r="J484" i="3"/>
  <c r="M485" i="3"/>
  <c r="P486" i="3"/>
  <c r="S487" i="3"/>
  <c r="V488" i="3"/>
  <c r="L490" i="3"/>
  <c r="O491" i="3"/>
  <c r="R492" i="3"/>
  <c r="U493" i="3"/>
  <c r="K495" i="3"/>
  <c r="N496" i="3"/>
  <c r="Q497" i="3"/>
  <c r="T498" i="3"/>
  <c r="J500" i="3"/>
  <c r="M501" i="3"/>
  <c r="P502" i="3"/>
  <c r="S503" i="3"/>
  <c r="V504" i="3"/>
  <c r="L506" i="3"/>
  <c r="O507" i="3"/>
  <c r="R508" i="3"/>
  <c r="U509" i="3"/>
  <c r="K511" i="3"/>
  <c r="N512" i="3"/>
  <c r="Q513" i="3"/>
  <c r="T514" i="3"/>
  <c r="J516" i="3"/>
  <c r="M517" i="3"/>
  <c r="P518" i="3"/>
  <c r="S519" i="3"/>
  <c r="V520" i="3"/>
  <c r="L522" i="3"/>
  <c r="O523" i="3"/>
  <c r="R524" i="3"/>
  <c r="U525" i="3"/>
  <c r="K527" i="3"/>
  <c r="N528" i="3"/>
  <c r="Q529" i="3"/>
  <c r="T530" i="3"/>
  <c r="J532" i="3"/>
  <c r="M533" i="3"/>
  <c r="P534" i="3"/>
  <c r="S535" i="3"/>
  <c r="V536" i="3"/>
  <c r="L538" i="3"/>
  <c r="N539" i="3"/>
  <c r="V539" i="3"/>
  <c r="Q540" i="3"/>
  <c r="L541" i="3"/>
  <c r="T541" i="3"/>
  <c r="O542" i="3"/>
  <c r="J543" i="3"/>
  <c r="R543" i="3"/>
  <c r="M544" i="3"/>
  <c r="U544" i="3"/>
  <c r="P545" i="3"/>
  <c r="K546" i="3"/>
  <c r="S546" i="3"/>
  <c r="N547" i="3"/>
  <c r="V547" i="3"/>
  <c r="Q548" i="3"/>
  <c r="L549" i="3"/>
  <c r="T549" i="3"/>
  <c r="O550" i="3"/>
  <c r="J551" i="3"/>
  <c r="R551" i="3"/>
  <c r="M552" i="3"/>
  <c r="U552" i="3"/>
  <c r="P553" i="3"/>
  <c r="K554" i="3"/>
  <c r="S554" i="3"/>
  <c r="N555" i="3"/>
  <c r="V555" i="3"/>
  <c r="Q556" i="3"/>
  <c r="L557" i="3"/>
  <c r="T557" i="3"/>
  <c r="O558" i="3"/>
  <c r="J559" i="3"/>
  <c r="R559" i="3"/>
  <c r="M560" i="3"/>
  <c r="U560" i="3"/>
  <c r="P561" i="3"/>
  <c r="K562" i="3"/>
  <c r="S562" i="3"/>
  <c r="N563" i="3"/>
  <c r="V563" i="3"/>
  <c r="Q564" i="3"/>
  <c r="L565" i="3"/>
  <c r="T565" i="3"/>
  <c r="O566" i="3"/>
  <c r="J567" i="3"/>
  <c r="R567" i="3"/>
  <c r="M568" i="3"/>
  <c r="U568" i="3"/>
  <c r="P569" i="3"/>
  <c r="K570" i="3"/>
  <c r="S570" i="3"/>
  <c r="N571" i="3"/>
  <c r="V571" i="3"/>
  <c r="Q572" i="3"/>
  <c r="L573" i="3"/>
  <c r="T573" i="3"/>
  <c r="O574" i="3"/>
  <c r="J575" i="3"/>
  <c r="R575" i="3"/>
  <c r="M576" i="3"/>
  <c r="U576" i="3"/>
  <c r="P577" i="3"/>
  <c r="K578" i="3"/>
  <c r="S578" i="3"/>
  <c r="N579" i="3"/>
  <c r="V579" i="3"/>
  <c r="Q580" i="3"/>
  <c r="L581" i="3"/>
  <c r="T581" i="3"/>
  <c r="O582" i="3"/>
  <c r="J583" i="3"/>
  <c r="R583" i="3"/>
  <c r="M584" i="3"/>
  <c r="U584" i="3"/>
  <c r="P585" i="3"/>
  <c r="K586" i="3"/>
  <c r="S586" i="3"/>
  <c r="N587" i="3"/>
  <c r="V587" i="3"/>
  <c r="Q588" i="3"/>
  <c r="L589" i="3"/>
  <c r="T589" i="3"/>
  <c r="O590" i="3"/>
  <c r="J591" i="3"/>
  <c r="R591" i="3"/>
  <c r="M592" i="3"/>
  <c r="U592" i="3"/>
  <c r="P593" i="3"/>
  <c r="K594" i="3"/>
  <c r="S594" i="3"/>
  <c r="N595" i="3"/>
  <c r="V595" i="3"/>
  <c r="Q596" i="3"/>
  <c r="L597" i="3"/>
  <c r="T597" i="3"/>
  <c r="O598" i="3"/>
  <c r="J599" i="3"/>
  <c r="R599" i="3"/>
  <c r="M600" i="3"/>
  <c r="U600" i="3"/>
  <c r="P601" i="3"/>
  <c r="K602" i="3"/>
  <c r="S602" i="3"/>
  <c r="N603" i="3"/>
  <c r="V603" i="3"/>
  <c r="Q604" i="3"/>
  <c r="L605" i="3"/>
  <c r="T605" i="3"/>
  <c r="O606" i="3"/>
  <c r="J607" i="3"/>
  <c r="R607" i="3"/>
  <c r="M608" i="3"/>
  <c r="U608" i="3"/>
  <c r="P609" i="3"/>
  <c r="K610" i="3"/>
  <c r="S610" i="3"/>
  <c r="N611" i="3"/>
  <c r="V611" i="3"/>
  <c r="Q612" i="3"/>
  <c r="L613" i="3"/>
  <c r="T613" i="3"/>
  <c r="O614" i="3"/>
  <c r="J615" i="3"/>
  <c r="R615" i="3"/>
  <c r="M616" i="3"/>
  <c r="U616" i="3"/>
  <c r="P617" i="3"/>
  <c r="K618" i="3"/>
  <c r="S618" i="3"/>
  <c r="N619" i="3"/>
  <c r="V619" i="3"/>
  <c r="R191" i="3"/>
  <c r="T247" i="3"/>
  <c r="S284" i="3"/>
  <c r="N302" i="3"/>
  <c r="J306" i="3"/>
  <c r="T310" i="3"/>
  <c r="O315" i="3"/>
  <c r="K319" i="3"/>
  <c r="U323" i="3"/>
  <c r="R328" i="3"/>
  <c r="N332" i="3"/>
  <c r="V336" i="3"/>
  <c r="J341" i="3"/>
  <c r="N343" i="3"/>
  <c r="J346" i="3"/>
  <c r="V348" i="3"/>
  <c r="K351" i="3"/>
  <c r="V353" i="3"/>
  <c r="M356" i="3"/>
  <c r="U357" i="3"/>
  <c r="P359" i="3"/>
  <c r="L361" i="3"/>
  <c r="T362" i="3"/>
  <c r="O364" i="3"/>
  <c r="K366" i="3"/>
  <c r="S367" i="3"/>
  <c r="N369" i="3"/>
  <c r="V370" i="3"/>
  <c r="L372" i="3"/>
  <c r="O373" i="3"/>
  <c r="R374" i="3"/>
  <c r="U375" i="3"/>
  <c r="K377" i="3"/>
  <c r="N378" i="3"/>
  <c r="Q379" i="3"/>
  <c r="T380" i="3"/>
  <c r="J382" i="3"/>
  <c r="M383" i="3"/>
  <c r="P384" i="3"/>
  <c r="S385" i="3"/>
  <c r="V386" i="3"/>
  <c r="L388" i="3"/>
  <c r="O389" i="3"/>
  <c r="R390" i="3"/>
  <c r="U391" i="3"/>
  <c r="K393" i="3"/>
  <c r="N394" i="3"/>
  <c r="Q395" i="3"/>
  <c r="T396" i="3"/>
  <c r="J398" i="3"/>
  <c r="M399" i="3"/>
  <c r="P400" i="3"/>
  <c r="S401" i="3"/>
  <c r="V402" i="3"/>
  <c r="L404" i="3"/>
  <c r="O405" i="3"/>
  <c r="R406" i="3"/>
  <c r="U407" i="3"/>
  <c r="K409" i="3"/>
  <c r="N410" i="3"/>
  <c r="Q411" i="3"/>
  <c r="T412" i="3"/>
  <c r="J414" i="3"/>
  <c r="M415" i="3"/>
  <c r="P416" i="3"/>
  <c r="S417" i="3"/>
  <c r="V418" i="3"/>
  <c r="L420" i="3"/>
  <c r="O421" i="3"/>
  <c r="R422" i="3"/>
  <c r="U423" i="3"/>
  <c r="K425" i="3"/>
  <c r="N426" i="3"/>
  <c r="Q427" i="3"/>
  <c r="T428" i="3"/>
  <c r="J430" i="3"/>
  <c r="M431" i="3"/>
  <c r="P432" i="3"/>
  <c r="S433" i="3"/>
  <c r="V434" i="3"/>
  <c r="L436" i="3"/>
  <c r="O437" i="3"/>
  <c r="R438" i="3"/>
  <c r="U439" i="3"/>
  <c r="K441" i="3"/>
  <c r="N442" i="3"/>
  <c r="Q443" i="3"/>
  <c r="T444" i="3"/>
  <c r="J446" i="3"/>
  <c r="M447" i="3"/>
  <c r="P448" i="3"/>
  <c r="S449" i="3"/>
  <c r="V450" i="3"/>
  <c r="L452" i="3"/>
  <c r="O453" i="3"/>
  <c r="R454" i="3"/>
  <c r="U455" i="3"/>
  <c r="K457" i="3"/>
  <c r="N458" i="3"/>
  <c r="Q459" i="3"/>
  <c r="T460" i="3"/>
  <c r="J462" i="3"/>
  <c r="M463" i="3"/>
  <c r="P464" i="3"/>
  <c r="S465" i="3"/>
  <c r="V466" i="3"/>
  <c r="L468" i="3"/>
  <c r="O469" i="3"/>
  <c r="R470" i="3"/>
  <c r="U471" i="3"/>
  <c r="K473" i="3"/>
  <c r="N474" i="3"/>
  <c r="Q475" i="3"/>
  <c r="T476" i="3"/>
  <c r="J478" i="3"/>
  <c r="M479" i="3"/>
  <c r="P480" i="3"/>
  <c r="S481" i="3"/>
  <c r="V482" i="3"/>
  <c r="L484" i="3"/>
  <c r="O485" i="3"/>
  <c r="R486" i="3"/>
  <c r="U487" i="3"/>
  <c r="K489" i="3"/>
  <c r="N490" i="3"/>
  <c r="Q491" i="3"/>
  <c r="T492" i="3"/>
  <c r="J494" i="3"/>
  <c r="M495" i="3"/>
  <c r="P496" i="3"/>
  <c r="S497" i="3"/>
  <c r="V498" i="3"/>
  <c r="L500" i="3"/>
  <c r="O501" i="3"/>
  <c r="R502" i="3"/>
  <c r="U503" i="3"/>
  <c r="K505" i="3"/>
  <c r="N506" i="3"/>
  <c r="Q507" i="3"/>
  <c r="T508" i="3"/>
  <c r="J510" i="3"/>
  <c r="M511" i="3"/>
  <c r="P512" i="3"/>
  <c r="S513" i="3"/>
  <c r="V514" i="3"/>
  <c r="L516" i="3"/>
  <c r="O517" i="3"/>
  <c r="R518" i="3"/>
  <c r="U519" i="3"/>
  <c r="K521" i="3"/>
  <c r="N522" i="3"/>
  <c r="Q523" i="3"/>
  <c r="T524" i="3"/>
  <c r="J526" i="3"/>
  <c r="M527" i="3"/>
  <c r="P528" i="3"/>
  <c r="S529" i="3"/>
  <c r="V530" i="3"/>
  <c r="L532" i="3"/>
  <c r="O533" i="3"/>
  <c r="R534" i="3"/>
  <c r="U535" i="3"/>
  <c r="K537" i="3"/>
  <c r="N538" i="3"/>
  <c r="O539" i="3"/>
  <c r="J540" i="3"/>
  <c r="R540" i="3"/>
  <c r="M541" i="3"/>
  <c r="U541" i="3"/>
  <c r="P542" i="3"/>
  <c r="K543" i="3"/>
  <c r="S543" i="3"/>
  <c r="N544" i="3"/>
  <c r="V544" i="3"/>
  <c r="Q545" i="3"/>
  <c r="L546" i="3"/>
  <c r="T546" i="3"/>
  <c r="O547" i="3"/>
  <c r="J548" i="3"/>
  <c r="R548" i="3"/>
  <c r="M549" i="3"/>
  <c r="U549" i="3"/>
  <c r="P550" i="3"/>
  <c r="K551" i="3"/>
  <c r="S551" i="3"/>
  <c r="N552" i="3"/>
  <c r="V552" i="3"/>
  <c r="Q553" i="3"/>
  <c r="L554" i="3"/>
  <c r="T554" i="3"/>
  <c r="O555" i="3"/>
  <c r="J556" i="3"/>
  <c r="R556" i="3"/>
  <c r="M557" i="3"/>
  <c r="U557" i="3"/>
  <c r="P558" i="3"/>
  <c r="K559" i="3"/>
  <c r="S559" i="3"/>
  <c r="N560" i="3"/>
  <c r="V560" i="3"/>
  <c r="Q561" i="3"/>
  <c r="L562" i="3"/>
  <c r="T562" i="3"/>
  <c r="O563" i="3"/>
  <c r="J564" i="3"/>
  <c r="R564" i="3"/>
  <c r="M565" i="3"/>
  <c r="U565" i="3"/>
  <c r="P566" i="3"/>
  <c r="K567" i="3"/>
  <c r="S567" i="3"/>
  <c r="N568" i="3"/>
  <c r="V568" i="3"/>
  <c r="Q569" i="3"/>
  <c r="L570" i="3"/>
  <c r="T570" i="3"/>
  <c r="O571" i="3"/>
  <c r="J572" i="3"/>
  <c r="R572" i="3"/>
  <c r="M573" i="3"/>
  <c r="U573" i="3"/>
  <c r="P574" i="3"/>
  <c r="K575" i="3"/>
  <c r="S575" i="3"/>
  <c r="N576" i="3"/>
  <c r="V576" i="3"/>
  <c r="Q577" i="3"/>
  <c r="L578" i="3"/>
  <c r="T578" i="3"/>
  <c r="O579" i="3"/>
  <c r="J580" i="3"/>
  <c r="R580" i="3"/>
  <c r="M581" i="3"/>
  <c r="U581" i="3"/>
  <c r="P582" i="3"/>
  <c r="K583" i="3"/>
  <c r="S583" i="3"/>
  <c r="N584" i="3"/>
  <c r="V584" i="3"/>
  <c r="Q585" i="3"/>
  <c r="L586" i="3"/>
  <c r="T586" i="3"/>
  <c r="O587" i="3"/>
  <c r="J588" i="3"/>
  <c r="R588" i="3"/>
  <c r="M589" i="3"/>
  <c r="U589" i="3"/>
  <c r="P590" i="3"/>
  <c r="K591" i="3"/>
  <c r="S591" i="3"/>
  <c r="N592" i="3"/>
  <c r="V592" i="3"/>
  <c r="Q593" i="3"/>
  <c r="L594" i="3"/>
  <c r="T594" i="3"/>
  <c r="O595" i="3"/>
  <c r="J596" i="3"/>
  <c r="R596" i="3"/>
  <c r="M597" i="3"/>
  <c r="U597" i="3"/>
  <c r="P598" i="3"/>
  <c r="K599" i="3"/>
  <c r="S599" i="3"/>
  <c r="N600" i="3"/>
  <c r="V600" i="3"/>
  <c r="Q601" i="3"/>
  <c r="L602" i="3"/>
  <c r="T602" i="3"/>
  <c r="O603" i="3"/>
  <c r="J604" i="3"/>
  <c r="R604" i="3"/>
  <c r="M605" i="3"/>
  <c r="U605" i="3"/>
  <c r="P606" i="3"/>
  <c r="K607" i="3"/>
  <c r="S607" i="3"/>
  <c r="N608" i="3"/>
  <c r="V608" i="3"/>
  <c r="Q609" i="3"/>
  <c r="L610" i="3"/>
  <c r="T610" i="3"/>
  <c r="O611" i="3"/>
  <c r="J612" i="3"/>
  <c r="R612" i="3"/>
  <c r="M613" i="3"/>
  <c r="U613" i="3"/>
  <c r="P614" i="3"/>
  <c r="K615" i="3"/>
  <c r="S615" i="3"/>
  <c r="N616" i="3"/>
  <c r="V616" i="3"/>
  <c r="Q617" i="3"/>
  <c r="L618" i="3"/>
  <c r="T618" i="3"/>
  <c r="O619" i="3"/>
  <c r="J620" i="3"/>
  <c r="R620" i="3"/>
  <c r="M621" i="3"/>
  <c r="U621" i="3"/>
  <c r="P622" i="3"/>
  <c r="K623" i="3"/>
  <c r="S623" i="3"/>
  <c r="N624" i="3"/>
  <c r="V624" i="3"/>
  <c r="Q625" i="3"/>
  <c r="L626" i="3"/>
  <c r="T626" i="3"/>
  <c r="O627" i="3"/>
  <c r="J628" i="3"/>
  <c r="R628" i="3"/>
  <c r="M629" i="3"/>
  <c r="U629" i="3"/>
  <c r="P630" i="3"/>
  <c r="K631" i="3"/>
  <c r="S631" i="3"/>
  <c r="N632" i="3"/>
  <c r="V632" i="3"/>
  <c r="Q633" i="3"/>
  <c r="L634" i="3"/>
  <c r="T634" i="3"/>
  <c r="O635" i="3"/>
  <c r="J636" i="3"/>
  <c r="R636" i="3"/>
  <c r="M637" i="3"/>
  <c r="U637" i="3"/>
  <c r="P638" i="3"/>
  <c r="K639" i="3"/>
  <c r="S639" i="3"/>
  <c r="N640" i="3"/>
  <c r="V640" i="3"/>
  <c r="Q641" i="3"/>
  <c r="L642" i="3"/>
  <c r="T642" i="3"/>
  <c r="O643" i="3"/>
  <c r="J644" i="3"/>
  <c r="R644" i="3"/>
  <c r="M645" i="3"/>
  <c r="U645" i="3"/>
  <c r="P646" i="3"/>
  <c r="K647" i="3"/>
  <c r="S647" i="3"/>
  <c r="U194" i="3"/>
  <c r="R257" i="3"/>
  <c r="L287" i="3"/>
  <c r="P302" i="3"/>
  <c r="M307" i="3"/>
  <c r="V310" i="3"/>
  <c r="S315" i="3"/>
  <c r="N320" i="3"/>
  <c r="J324" i="3"/>
  <c r="T328" i="3"/>
  <c r="Q333" i="3"/>
  <c r="M337" i="3"/>
  <c r="K341" i="3"/>
  <c r="J344" i="3"/>
  <c r="L346" i="3"/>
  <c r="J349" i="3"/>
  <c r="V351" i="3"/>
  <c r="J354" i="3"/>
  <c r="R356" i="3"/>
  <c r="M358" i="3"/>
  <c r="V359" i="3"/>
  <c r="Q361" i="3"/>
  <c r="L363" i="3"/>
  <c r="U364" i="3"/>
  <c r="P366" i="3"/>
  <c r="K368" i="3"/>
  <c r="T369" i="3"/>
  <c r="M371" i="3"/>
  <c r="P372" i="3"/>
  <c r="S373" i="3"/>
  <c r="V374" i="3"/>
  <c r="L376" i="3"/>
  <c r="O377" i="3"/>
  <c r="R378" i="3"/>
  <c r="U379" i="3"/>
  <c r="K381" i="3"/>
  <c r="N382" i="3"/>
  <c r="Q383" i="3"/>
  <c r="T384" i="3"/>
  <c r="J386" i="3"/>
  <c r="M387" i="3"/>
  <c r="P388" i="3"/>
  <c r="S389" i="3"/>
  <c r="V390" i="3"/>
  <c r="L392" i="3"/>
  <c r="O393" i="3"/>
  <c r="R394" i="3"/>
  <c r="U395" i="3"/>
  <c r="K397" i="3"/>
  <c r="N398" i="3"/>
  <c r="Q399" i="3"/>
  <c r="T400" i="3"/>
  <c r="J402" i="3"/>
  <c r="M403" i="3"/>
  <c r="P404" i="3"/>
  <c r="S405" i="3"/>
  <c r="V406" i="3"/>
  <c r="L408" i="3"/>
  <c r="O409" i="3"/>
  <c r="R410" i="3"/>
  <c r="U411" i="3"/>
  <c r="K413" i="3"/>
  <c r="N414" i="3"/>
  <c r="Q415" i="3"/>
  <c r="T416" i="3"/>
  <c r="J418" i="3"/>
  <c r="M419" i="3"/>
  <c r="P420" i="3"/>
  <c r="S421" i="3"/>
  <c r="V422" i="3"/>
  <c r="L424" i="3"/>
  <c r="O425" i="3"/>
  <c r="R426" i="3"/>
  <c r="U427" i="3"/>
  <c r="K429" i="3"/>
  <c r="N430" i="3"/>
  <c r="Q431" i="3"/>
  <c r="T432" i="3"/>
  <c r="J434" i="3"/>
  <c r="M435" i="3"/>
  <c r="P436" i="3"/>
  <c r="S437" i="3"/>
  <c r="V438" i="3"/>
  <c r="L440" i="3"/>
  <c r="O441" i="3"/>
  <c r="R442" i="3"/>
  <c r="U443" i="3"/>
  <c r="K445" i="3"/>
  <c r="N446" i="3"/>
  <c r="Q447" i="3"/>
  <c r="T448" i="3"/>
  <c r="J450" i="3"/>
  <c r="M451" i="3"/>
  <c r="P452" i="3"/>
  <c r="S453" i="3"/>
  <c r="V454" i="3"/>
  <c r="L456" i="3"/>
  <c r="O457" i="3"/>
  <c r="R458" i="3"/>
  <c r="U459" i="3"/>
  <c r="K461" i="3"/>
  <c r="N462" i="3"/>
  <c r="Q463" i="3"/>
  <c r="T464" i="3"/>
  <c r="J466" i="3"/>
  <c r="M467" i="3"/>
  <c r="P468" i="3"/>
  <c r="S469" i="3"/>
  <c r="V470" i="3"/>
  <c r="L472" i="3"/>
  <c r="O473" i="3"/>
  <c r="R474" i="3"/>
  <c r="U475" i="3"/>
  <c r="K477" i="3"/>
  <c r="N478" i="3"/>
  <c r="Q479" i="3"/>
  <c r="T480" i="3"/>
  <c r="J482" i="3"/>
  <c r="M483" i="3"/>
  <c r="P484" i="3"/>
  <c r="S485" i="3"/>
  <c r="V486" i="3"/>
  <c r="L488" i="3"/>
  <c r="O489" i="3"/>
  <c r="R490" i="3"/>
  <c r="U491" i="3"/>
  <c r="K493" i="3"/>
  <c r="N494" i="3"/>
  <c r="Q495" i="3"/>
  <c r="T496" i="3"/>
  <c r="J498" i="3"/>
  <c r="M499" i="3"/>
  <c r="P500" i="3"/>
  <c r="S501" i="3"/>
  <c r="V502" i="3"/>
  <c r="L504" i="3"/>
  <c r="O505" i="3"/>
  <c r="R506" i="3"/>
  <c r="U507" i="3"/>
  <c r="K509" i="3"/>
  <c r="N510" i="3"/>
  <c r="Q511" i="3"/>
  <c r="T512" i="3"/>
  <c r="J514" i="3"/>
  <c r="M515" i="3"/>
  <c r="P516" i="3"/>
  <c r="S517" i="3"/>
  <c r="V518" i="3"/>
  <c r="L520" i="3"/>
  <c r="O521" i="3"/>
  <c r="R522" i="3"/>
  <c r="U523" i="3"/>
  <c r="K525" i="3"/>
  <c r="N526" i="3"/>
  <c r="Q527" i="3"/>
  <c r="T528" i="3"/>
  <c r="J530" i="3"/>
  <c r="M531" i="3"/>
  <c r="P532" i="3"/>
  <c r="S533" i="3"/>
  <c r="V534" i="3"/>
  <c r="L536" i="3"/>
  <c r="O537" i="3"/>
  <c r="R538" i="3"/>
  <c r="P539" i="3"/>
  <c r="K540" i="3"/>
  <c r="N198" i="3"/>
  <c r="U258" i="3"/>
  <c r="K295" i="3"/>
  <c r="T302" i="3"/>
  <c r="O307" i="3"/>
  <c r="L312" i="3"/>
  <c r="U315" i="3"/>
  <c r="R320" i="3"/>
  <c r="M325" i="3"/>
  <c r="V328" i="3"/>
  <c r="S333" i="3"/>
  <c r="P338" i="3"/>
  <c r="M341" i="3"/>
  <c r="K344" i="3"/>
  <c r="J347" i="3"/>
  <c r="K349" i="3"/>
  <c r="J352" i="3"/>
  <c r="T354" i="3"/>
  <c r="T356" i="3"/>
  <c r="N358" i="3"/>
  <c r="J360" i="3"/>
  <c r="S361" i="3"/>
  <c r="M363" i="3"/>
  <c r="V364" i="3"/>
  <c r="R366" i="3"/>
  <c r="L368" i="3"/>
  <c r="U369" i="3"/>
  <c r="N371" i="3"/>
  <c r="Q372" i="3"/>
  <c r="T373" i="3"/>
  <c r="J375" i="3"/>
  <c r="M376" i="3"/>
  <c r="P377" i="3"/>
  <c r="S378" i="3"/>
  <c r="V379" i="3"/>
  <c r="L381" i="3"/>
  <c r="O382" i="3"/>
  <c r="R383" i="3"/>
  <c r="U384" i="3"/>
  <c r="K386" i="3"/>
  <c r="N387" i="3"/>
  <c r="Q388" i="3"/>
  <c r="T389" i="3"/>
  <c r="J391" i="3"/>
  <c r="M392" i="3"/>
  <c r="J231" i="3"/>
  <c r="V269" i="3"/>
  <c r="N296" i="3"/>
  <c r="L304" i="3"/>
  <c r="V308" i="3"/>
  <c r="R312" i="3"/>
  <c r="M317" i="3"/>
  <c r="J322" i="3"/>
  <c r="S325" i="3"/>
  <c r="P330" i="3"/>
  <c r="K335" i="3"/>
  <c r="T338" i="3"/>
  <c r="L342" i="3"/>
  <c r="V344" i="3"/>
  <c r="L347" i="3"/>
  <c r="K350" i="3"/>
  <c r="T352" i="3"/>
  <c r="K355" i="3"/>
  <c r="J357" i="3"/>
  <c r="S358" i="3"/>
  <c r="N360" i="3"/>
  <c r="V361" i="3"/>
  <c r="R363" i="3"/>
  <c r="M365" i="3"/>
  <c r="U366" i="3"/>
  <c r="Q368" i="3"/>
  <c r="L370" i="3"/>
  <c r="Q371" i="3"/>
  <c r="T372" i="3"/>
  <c r="J374" i="3"/>
  <c r="M375" i="3"/>
  <c r="P376" i="3"/>
  <c r="S377" i="3"/>
  <c r="V378" i="3"/>
  <c r="L380" i="3"/>
  <c r="O381" i="3"/>
  <c r="R382" i="3"/>
  <c r="U383" i="3"/>
  <c r="K385" i="3"/>
  <c r="N386" i="3"/>
  <c r="Q387" i="3"/>
  <c r="T388" i="3"/>
  <c r="J390" i="3"/>
  <c r="M391" i="3"/>
  <c r="P392" i="3"/>
  <c r="S393" i="3"/>
  <c r="V394" i="3"/>
  <c r="L396" i="3"/>
  <c r="O397" i="3"/>
  <c r="R398" i="3"/>
  <c r="U399" i="3"/>
  <c r="K401" i="3"/>
  <c r="N402" i="3"/>
  <c r="Q403" i="3"/>
  <c r="T404" i="3"/>
  <c r="J406" i="3"/>
  <c r="M407" i="3"/>
  <c r="P408" i="3"/>
  <c r="S409" i="3"/>
  <c r="V410" i="3"/>
  <c r="L412" i="3"/>
  <c r="O413" i="3"/>
  <c r="R414" i="3"/>
  <c r="U415" i="3"/>
  <c r="K417" i="3"/>
  <c r="N418" i="3"/>
  <c r="Q419" i="3"/>
  <c r="T420" i="3"/>
  <c r="J422" i="3"/>
  <c r="M423" i="3"/>
  <c r="P424" i="3"/>
  <c r="S425" i="3"/>
  <c r="V426" i="3"/>
  <c r="L428" i="3"/>
  <c r="O429" i="3"/>
  <c r="R430" i="3"/>
  <c r="U431" i="3"/>
  <c r="K433" i="3"/>
  <c r="N434" i="3"/>
  <c r="Q435" i="3"/>
  <c r="T436" i="3"/>
  <c r="J438" i="3"/>
  <c r="M439" i="3"/>
  <c r="P440" i="3"/>
  <c r="S441" i="3"/>
  <c r="V442" i="3"/>
  <c r="L444" i="3"/>
  <c r="O445" i="3"/>
  <c r="R446" i="3"/>
  <c r="U447" i="3"/>
  <c r="K449" i="3"/>
  <c r="N450" i="3"/>
  <c r="Q451" i="3"/>
  <c r="T452" i="3"/>
  <c r="J454" i="3"/>
  <c r="M455" i="3"/>
  <c r="P456" i="3"/>
  <c r="S457" i="3"/>
  <c r="V458" i="3"/>
  <c r="L460" i="3"/>
  <c r="O461" i="3"/>
  <c r="R462" i="3"/>
  <c r="U463" i="3"/>
  <c r="K465" i="3"/>
  <c r="N466" i="3"/>
  <c r="Q467" i="3"/>
  <c r="T468" i="3"/>
  <c r="J470" i="3"/>
  <c r="M471" i="3"/>
  <c r="P472" i="3"/>
  <c r="S473" i="3"/>
  <c r="V474" i="3"/>
  <c r="L476" i="3"/>
  <c r="O477" i="3"/>
  <c r="R478" i="3"/>
  <c r="U479" i="3"/>
  <c r="K481" i="3"/>
  <c r="N482" i="3"/>
  <c r="Q483" i="3"/>
  <c r="T484" i="3"/>
  <c r="J486" i="3"/>
  <c r="M487" i="3"/>
  <c r="P488" i="3"/>
  <c r="S489" i="3"/>
  <c r="V490" i="3"/>
  <c r="L492" i="3"/>
  <c r="O493" i="3"/>
  <c r="R494" i="3"/>
  <c r="U495" i="3"/>
  <c r="K497" i="3"/>
  <c r="N498" i="3"/>
  <c r="Q499" i="3"/>
  <c r="T500" i="3"/>
  <c r="J502" i="3"/>
  <c r="M503" i="3"/>
  <c r="P504" i="3"/>
  <c r="S505" i="3"/>
  <c r="V506" i="3"/>
  <c r="L508" i="3"/>
  <c r="O509" i="3"/>
  <c r="R510" i="3"/>
  <c r="U511" i="3"/>
  <c r="K513" i="3"/>
  <c r="N514" i="3"/>
  <c r="Q515" i="3"/>
  <c r="T516" i="3"/>
  <c r="J518" i="3"/>
  <c r="M519" i="3"/>
  <c r="P520" i="3"/>
  <c r="S521" i="3"/>
  <c r="V522" i="3"/>
  <c r="L524" i="3"/>
  <c r="O525" i="3"/>
  <c r="R526" i="3"/>
  <c r="U527" i="3"/>
  <c r="K529" i="3"/>
  <c r="N530" i="3"/>
  <c r="Q531" i="3"/>
  <c r="T532" i="3"/>
  <c r="J534" i="3"/>
  <c r="M535" i="3"/>
  <c r="P536" i="3"/>
  <c r="S537" i="3"/>
  <c r="V538" i="3"/>
  <c r="S539" i="3"/>
  <c r="N540" i="3"/>
  <c r="V540" i="3"/>
  <c r="Q541" i="3"/>
  <c r="L542" i="3"/>
  <c r="T542" i="3"/>
  <c r="O543" i="3"/>
  <c r="J544" i="3"/>
  <c r="R544" i="3"/>
  <c r="M545" i="3"/>
  <c r="U545" i="3"/>
  <c r="P546" i="3"/>
  <c r="K547" i="3"/>
  <c r="S547" i="3"/>
  <c r="N548" i="3"/>
  <c r="V548" i="3"/>
  <c r="Q549" i="3"/>
  <c r="L550" i="3"/>
  <c r="T550" i="3"/>
  <c r="O551" i="3"/>
  <c r="J552" i="3"/>
  <c r="R552" i="3"/>
  <c r="M553" i="3"/>
  <c r="U553" i="3"/>
  <c r="P554" i="3"/>
  <c r="K555" i="3"/>
  <c r="S555" i="3"/>
  <c r="N556" i="3"/>
  <c r="V556" i="3"/>
  <c r="Q557" i="3"/>
  <c r="L558" i="3"/>
  <c r="T558" i="3"/>
  <c r="O559" i="3"/>
  <c r="J560" i="3"/>
  <c r="R560" i="3"/>
  <c r="M561" i="3"/>
  <c r="U561" i="3"/>
  <c r="P562" i="3"/>
  <c r="K563" i="3"/>
  <c r="S563" i="3"/>
  <c r="N564" i="3"/>
  <c r="V564" i="3"/>
  <c r="Q565" i="3"/>
  <c r="L566" i="3"/>
  <c r="T566" i="3"/>
  <c r="O567" i="3"/>
  <c r="J568" i="3"/>
  <c r="R568" i="3"/>
  <c r="M569" i="3"/>
  <c r="U569" i="3"/>
  <c r="P570" i="3"/>
  <c r="K571" i="3"/>
  <c r="S571" i="3"/>
  <c r="N572" i="3"/>
  <c r="V572" i="3"/>
  <c r="Q573" i="3"/>
  <c r="L574" i="3"/>
  <c r="T574" i="3"/>
  <c r="O575" i="3"/>
  <c r="J576" i="3"/>
  <c r="R576" i="3"/>
  <c r="M577" i="3"/>
  <c r="U577" i="3"/>
  <c r="P578" i="3"/>
  <c r="K579" i="3"/>
  <c r="S579" i="3"/>
  <c r="N580" i="3"/>
  <c r="V580" i="3"/>
  <c r="Q581" i="3"/>
  <c r="L582" i="3"/>
  <c r="T582" i="3"/>
  <c r="O583" i="3"/>
  <c r="J584" i="3"/>
  <c r="R584" i="3"/>
  <c r="M585" i="3"/>
  <c r="U585" i="3"/>
  <c r="P586" i="3"/>
  <c r="K587" i="3"/>
  <c r="S587" i="3"/>
  <c r="N588" i="3"/>
  <c r="V588" i="3"/>
  <c r="Q589" i="3"/>
  <c r="L590" i="3"/>
  <c r="T590" i="3"/>
  <c r="O591" i="3"/>
  <c r="J592" i="3"/>
  <c r="R592" i="3"/>
  <c r="M593" i="3"/>
  <c r="U593" i="3"/>
  <c r="P594" i="3"/>
  <c r="K595" i="3"/>
  <c r="S595" i="3"/>
  <c r="N596" i="3"/>
  <c r="V596" i="3"/>
  <c r="Q597" i="3"/>
  <c r="L598" i="3"/>
  <c r="T598" i="3"/>
  <c r="O599" i="3"/>
  <c r="J600" i="3"/>
  <c r="R600" i="3"/>
  <c r="M601" i="3"/>
  <c r="U601" i="3"/>
  <c r="P602" i="3"/>
  <c r="K603" i="3"/>
  <c r="S603" i="3"/>
  <c r="N604" i="3"/>
  <c r="V604" i="3"/>
  <c r="Q605" i="3"/>
  <c r="L606" i="3"/>
  <c r="T606" i="3"/>
  <c r="O607" i="3"/>
  <c r="J608" i="3"/>
  <c r="R608" i="3"/>
  <c r="M609" i="3"/>
  <c r="U609" i="3"/>
  <c r="P610" i="3"/>
  <c r="K611" i="3"/>
  <c r="S611" i="3"/>
  <c r="N612" i="3"/>
  <c r="V612" i="3"/>
  <c r="Q613" i="3"/>
  <c r="L614" i="3"/>
  <c r="T614" i="3"/>
  <c r="O615" i="3"/>
  <c r="J616" i="3"/>
  <c r="R616" i="3"/>
  <c r="M617" i="3"/>
  <c r="U617" i="3"/>
  <c r="P618" i="3"/>
  <c r="K619" i="3"/>
  <c r="S619" i="3"/>
  <c r="N620" i="3"/>
  <c r="V620" i="3"/>
  <c r="Q621" i="3"/>
  <c r="L622" i="3"/>
  <c r="T622" i="3"/>
  <c r="O623" i="3"/>
  <c r="J624" i="3"/>
  <c r="R624" i="3"/>
  <c r="M625" i="3"/>
  <c r="U625" i="3"/>
  <c r="P626" i="3"/>
  <c r="K627" i="3"/>
  <c r="S627" i="3"/>
  <c r="N628" i="3"/>
  <c r="V628" i="3"/>
  <c r="Q629" i="3"/>
  <c r="L630" i="3"/>
  <c r="T630" i="3"/>
  <c r="O631" i="3"/>
  <c r="J632" i="3"/>
  <c r="R632" i="3"/>
  <c r="M633" i="3"/>
  <c r="U633" i="3"/>
  <c r="P634" i="3"/>
  <c r="K635" i="3"/>
  <c r="S635" i="3"/>
  <c r="N636" i="3"/>
  <c r="V636" i="3"/>
  <c r="Q637" i="3"/>
  <c r="L638" i="3"/>
  <c r="T638" i="3"/>
  <c r="O639" i="3"/>
  <c r="J640" i="3"/>
  <c r="O224" i="3"/>
  <c r="Q325" i="3"/>
  <c r="K352" i="3"/>
  <c r="S366" i="3"/>
  <c r="Q377" i="3"/>
  <c r="O387" i="3"/>
  <c r="T394" i="3"/>
  <c r="S399" i="3"/>
  <c r="R404" i="3"/>
  <c r="Q409" i="3"/>
  <c r="P414" i="3"/>
  <c r="O419" i="3"/>
  <c r="N424" i="3"/>
  <c r="M429" i="3"/>
  <c r="L434" i="3"/>
  <c r="K439" i="3"/>
  <c r="J444" i="3"/>
  <c r="V448" i="3"/>
  <c r="U453" i="3"/>
  <c r="T458" i="3"/>
  <c r="S463" i="3"/>
  <c r="R468" i="3"/>
  <c r="Q473" i="3"/>
  <c r="P478" i="3"/>
  <c r="O483" i="3"/>
  <c r="N488" i="3"/>
  <c r="M493" i="3"/>
  <c r="L498" i="3"/>
  <c r="K503" i="3"/>
  <c r="J508" i="3"/>
  <c r="V512" i="3"/>
  <c r="U517" i="3"/>
  <c r="T522" i="3"/>
  <c r="S527" i="3"/>
  <c r="R532" i="3"/>
  <c r="Q537" i="3"/>
  <c r="T540" i="3"/>
  <c r="J542" i="3"/>
  <c r="M543" i="3"/>
  <c r="P544" i="3"/>
  <c r="S545" i="3"/>
  <c r="V546" i="3"/>
  <c r="L548" i="3"/>
  <c r="O549" i="3"/>
  <c r="R550" i="3"/>
  <c r="U551" i="3"/>
  <c r="K553" i="3"/>
  <c r="N554" i="3"/>
  <c r="Q555" i="3"/>
  <c r="T556" i="3"/>
  <c r="J558" i="3"/>
  <c r="M559" i="3"/>
  <c r="P560" i="3"/>
  <c r="S561" i="3"/>
  <c r="V562" i="3"/>
  <c r="L564" i="3"/>
  <c r="O565" i="3"/>
  <c r="R566" i="3"/>
  <c r="U567" i="3"/>
  <c r="K569" i="3"/>
  <c r="N570" i="3"/>
  <c r="Q571" i="3"/>
  <c r="T572" i="3"/>
  <c r="J574" i="3"/>
  <c r="M575" i="3"/>
  <c r="P576" i="3"/>
  <c r="S577" i="3"/>
  <c r="V578" i="3"/>
  <c r="L580" i="3"/>
  <c r="O581" i="3"/>
  <c r="R582" i="3"/>
  <c r="U583" i="3"/>
  <c r="K585" i="3"/>
  <c r="N586" i="3"/>
  <c r="Q587" i="3"/>
  <c r="T588" i="3"/>
  <c r="J590" i="3"/>
  <c r="M591" i="3"/>
  <c r="P592" i="3"/>
  <c r="S593" i="3"/>
  <c r="V594" i="3"/>
  <c r="L596" i="3"/>
  <c r="O597" i="3"/>
  <c r="R598" i="3"/>
  <c r="U599" i="3"/>
  <c r="K601" i="3"/>
  <c r="N602" i="3"/>
  <c r="Q603" i="3"/>
  <c r="T604" i="3"/>
  <c r="J606" i="3"/>
  <c r="M607" i="3"/>
  <c r="P608" i="3"/>
  <c r="S609" i="3"/>
  <c r="V610" i="3"/>
  <c r="L612" i="3"/>
  <c r="O613" i="3"/>
  <c r="R614" i="3"/>
  <c r="U615" i="3"/>
  <c r="K617" i="3"/>
  <c r="N618" i="3"/>
  <c r="Q619" i="3"/>
  <c r="S620" i="3"/>
  <c r="R621" i="3"/>
  <c r="R622" i="3"/>
  <c r="R623" i="3"/>
  <c r="Q624" i="3"/>
  <c r="R625" i="3"/>
  <c r="Q626" i="3"/>
  <c r="Q627" i="3"/>
  <c r="Q628" i="3"/>
  <c r="P629" i="3"/>
  <c r="Q630" i="3"/>
  <c r="P631" i="3"/>
  <c r="P632" i="3"/>
  <c r="P633" i="3"/>
  <c r="O634" i="3"/>
  <c r="P635" i="3"/>
  <c r="O636" i="3"/>
  <c r="O637" i="3"/>
  <c r="O638" i="3"/>
  <c r="N639" i="3"/>
  <c r="O640" i="3"/>
  <c r="L641" i="3"/>
  <c r="V641" i="3"/>
  <c r="U642" i="3"/>
  <c r="R643" i="3"/>
  <c r="O644" i="3"/>
  <c r="N645" i="3"/>
  <c r="K646" i="3"/>
  <c r="U646" i="3"/>
  <c r="T647" i="3"/>
  <c r="O648" i="3"/>
  <c r="J649" i="3"/>
  <c r="R649" i="3"/>
  <c r="M650" i="3"/>
  <c r="U650" i="3"/>
  <c r="P651" i="3"/>
  <c r="K652" i="3"/>
  <c r="S652" i="3"/>
  <c r="N653" i="3"/>
  <c r="V653" i="3"/>
  <c r="Q654" i="3"/>
  <c r="L655" i="3"/>
  <c r="T655" i="3"/>
  <c r="O656" i="3"/>
  <c r="J657" i="3"/>
  <c r="R657" i="3"/>
  <c r="M658" i="3"/>
  <c r="U658" i="3"/>
  <c r="P659" i="3"/>
  <c r="K660" i="3"/>
  <c r="S660" i="3"/>
  <c r="N661" i="3"/>
  <c r="V661" i="3"/>
  <c r="Q662" i="3"/>
  <c r="L663" i="3"/>
  <c r="T663" i="3"/>
  <c r="O664" i="3"/>
  <c r="J665" i="3"/>
  <c r="R665" i="3"/>
  <c r="M666" i="3"/>
  <c r="U666" i="3"/>
  <c r="P667" i="3"/>
  <c r="K668" i="3"/>
  <c r="S668" i="3"/>
  <c r="N669" i="3"/>
  <c r="V669" i="3"/>
  <c r="Q670" i="3"/>
  <c r="L671" i="3"/>
  <c r="T671" i="3"/>
  <c r="O672" i="3"/>
  <c r="J673" i="3"/>
  <c r="R673" i="3"/>
  <c r="M674" i="3"/>
  <c r="U674" i="3"/>
  <c r="P675" i="3"/>
  <c r="K676" i="3"/>
  <c r="S676" i="3"/>
  <c r="N677" i="3"/>
  <c r="V677" i="3"/>
  <c r="Q678" i="3"/>
  <c r="L679" i="3"/>
  <c r="T679" i="3"/>
  <c r="O680" i="3"/>
  <c r="J681" i="3"/>
  <c r="R681" i="3"/>
  <c r="M682" i="3"/>
  <c r="U682" i="3"/>
  <c r="P683" i="3"/>
  <c r="K684" i="3"/>
  <c r="S684" i="3"/>
  <c r="S295" i="3"/>
  <c r="U333" i="3"/>
  <c r="U356" i="3"/>
  <c r="V369" i="3"/>
  <c r="J380" i="3"/>
  <c r="U389" i="3"/>
  <c r="J396" i="3"/>
  <c r="V400" i="3"/>
  <c r="U405" i="3"/>
  <c r="T410" i="3"/>
  <c r="S415" i="3"/>
  <c r="R420" i="3"/>
  <c r="Q425" i="3"/>
  <c r="P430" i="3"/>
  <c r="O435" i="3"/>
  <c r="N440" i="3"/>
  <c r="M445" i="3"/>
  <c r="L450" i="3"/>
  <c r="K455" i="3"/>
  <c r="J460" i="3"/>
  <c r="V464" i="3"/>
  <c r="U469" i="3"/>
  <c r="T474" i="3"/>
  <c r="S479" i="3"/>
  <c r="R484" i="3"/>
  <c r="Q489" i="3"/>
  <c r="P494" i="3"/>
  <c r="O499" i="3"/>
  <c r="N504" i="3"/>
  <c r="M509" i="3"/>
  <c r="L514" i="3"/>
  <c r="K519" i="3"/>
  <c r="J524" i="3"/>
  <c r="V528" i="3"/>
  <c r="U533" i="3"/>
  <c r="T538" i="3"/>
  <c r="J541" i="3"/>
  <c r="M542" i="3"/>
  <c r="P543" i="3"/>
  <c r="S544" i="3"/>
  <c r="V545" i="3"/>
  <c r="L547" i="3"/>
  <c r="O548" i="3"/>
  <c r="R549" i="3"/>
  <c r="U550" i="3"/>
  <c r="K552" i="3"/>
  <c r="N553" i="3"/>
  <c r="Q554" i="3"/>
  <c r="T555" i="3"/>
  <c r="J557" i="3"/>
  <c r="M558" i="3"/>
  <c r="P559" i="3"/>
  <c r="S560" i="3"/>
  <c r="V561" i="3"/>
  <c r="L563" i="3"/>
  <c r="O564" i="3"/>
  <c r="R565" i="3"/>
  <c r="U566" i="3"/>
  <c r="K568" i="3"/>
  <c r="N569" i="3"/>
  <c r="Q570" i="3"/>
  <c r="T571" i="3"/>
  <c r="J573" i="3"/>
  <c r="M574" i="3"/>
  <c r="P575" i="3"/>
  <c r="S576" i="3"/>
  <c r="V577" i="3"/>
  <c r="L579" i="3"/>
  <c r="O580" i="3"/>
  <c r="R581" i="3"/>
  <c r="U582" i="3"/>
  <c r="K584" i="3"/>
  <c r="N585" i="3"/>
  <c r="Q586" i="3"/>
  <c r="T587" i="3"/>
  <c r="J589" i="3"/>
  <c r="M590" i="3"/>
  <c r="P591" i="3"/>
  <c r="S592" i="3"/>
  <c r="V593" i="3"/>
  <c r="L595" i="3"/>
  <c r="O596" i="3"/>
  <c r="R597" i="3"/>
  <c r="U598" i="3"/>
  <c r="K600" i="3"/>
  <c r="N601" i="3"/>
  <c r="Q602" i="3"/>
  <c r="T603" i="3"/>
  <c r="J605" i="3"/>
  <c r="M606" i="3"/>
  <c r="P607" i="3"/>
  <c r="S608" i="3"/>
  <c r="V609" i="3"/>
  <c r="L611" i="3"/>
  <c r="O612" i="3"/>
  <c r="R613" i="3"/>
  <c r="U614" i="3"/>
  <c r="K616" i="3"/>
  <c r="N617" i="3"/>
  <c r="Q618" i="3"/>
  <c r="T619" i="3"/>
  <c r="U620" i="3"/>
  <c r="V621" i="3"/>
  <c r="U622" i="3"/>
  <c r="U623" i="3"/>
  <c r="U624" i="3"/>
  <c r="T625" i="3"/>
  <c r="U626" i="3"/>
  <c r="T627" i="3"/>
  <c r="T628" i="3"/>
  <c r="T629" i="3"/>
  <c r="S630" i="3"/>
  <c r="T631" i="3"/>
  <c r="S632" i="3"/>
  <c r="S633" i="3"/>
  <c r="S634" i="3"/>
  <c r="R635" i="3"/>
  <c r="S636" i="3"/>
  <c r="R637" i="3"/>
  <c r="R638" i="3"/>
  <c r="R639" i="3"/>
  <c r="Q640" i="3"/>
  <c r="N641" i="3"/>
  <c r="M642" i="3"/>
  <c r="J643" i="3"/>
  <c r="T643" i="3"/>
  <c r="S644" i="3"/>
  <c r="P645" i="3"/>
  <c r="M646" i="3"/>
  <c r="L647" i="3"/>
  <c r="V647" i="3"/>
  <c r="Q648" i="3"/>
  <c r="L649" i="3"/>
  <c r="T649" i="3"/>
  <c r="O650" i="3"/>
  <c r="J651" i="3"/>
  <c r="R651" i="3"/>
  <c r="M652" i="3"/>
  <c r="U652" i="3"/>
  <c r="P653" i="3"/>
  <c r="K654" i="3"/>
  <c r="S654" i="3"/>
  <c r="N655" i="3"/>
  <c r="V655" i="3"/>
  <c r="Q656" i="3"/>
  <c r="L657" i="3"/>
  <c r="T657" i="3"/>
  <c r="O658" i="3"/>
  <c r="J659" i="3"/>
  <c r="R659" i="3"/>
  <c r="M660" i="3"/>
  <c r="U660" i="3"/>
  <c r="P661" i="3"/>
  <c r="K662" i="3"/>
  <c r="S662" i="3"/>
  <c r="N663" i="3"/>
  <c r="V663" i="3"/>
  <c r="Q664" i="3"/>
  <c r="L665" i="3"/>
  <c r="T665" i="3"/>
  <c r="O666" i="3"/>
  <c r="J667" i="3"/>
  <c r="R667" i="3"/>
  <c r="M668" i="3"/>
  <c r="U668" i="3"/>
  <c r="P669" i="3"/>
  <c r="K670" i="3"/>
  <c r="S670" i="3"/>
  <c r="N671" i="3"/>
  <c r="V671" i="3"/>
  <c r="Q672" i="3"/>
  <c r="L673" i="3"/>
  <c r="T673" i="3"/>
  <c r="O674" i="3"/>
  <c r="J675" i="3"/>
  <c r="R675" i="3"/>
  <c r="M676" i="3"/>
  <c r="U676" i="3"/>
  <c r="P677" i="3"/>
  <c r="K678" i="3"/>
  <c r="S678" i="3"/>
  <c r="N679" i="3"/>
  <c r="V679" i="3"/>
  <c r="Q680" i="3"/>
  <c r="L681" i="3"/>
  <c r="T681" i="3"/>
  <c r="O682" i="3"/>
  <c r="J683" i="3"/>
  <c r="R683" i="3"/>
  <c r="M684" i="3"/>
  <c r="U684" i="3"/>
  <c r="J304" i="3"/>
  <c r="R338" i="3"/>
  <c r="P358" i="3"/>
  <c r="O371" i="3"/>
  <c r="M381" i="3"/>
  <c r="K391" i="3"/>
  <c r="L397" i="3"/>
  <c r="K402" i="3"/>
  <c r="J407" i="3"/>
  <c r="V411" i="3"/>
  <c r="U416" i="3"/>
  <c r="T421" i="3"/>
  <c r="S426" i="3"/>
  <c r="R431" i="3"/>
  <c r="Q436" i="3"/>
  <c r="P441" i="3"/>
  <c r="O446" i="3"/>
  <c r="N451" i="3"/>
  <c r="M456" i="3"/>
  <c r="L461" i="3"/>
  <c r="K466" i="3"/>
  <c r="J471" i="3"/>
  <c r="V475" i="3"/>
  <c r="U480" i="3"/>
  <c r="T485" i="3"/>
  <c r="S490" i="3"/>
  <c r="R495" i="3"/>
  <c r="Q500" i="3"/>
  <c r="P505" i="3"/>
  <c r="O510" i="3"/>
  <c r="N515" i="3"/>
  <c r="M520" i="3"/>
  <c r="L525" i="3"/>
  <c r="K530" i="3"/>
  <c r="J535" i="3"/>
  <c r="Q539" i="3"/>
  <c r="N541" i="3"/>
  <c r="Q542" i="3"/>
  <c r="T543" i="3"/>
  <c r="J545" i="3"/>
  <c r="M546" i="3"/>
  <c r="P547" i="3"/>
  <c r="S548" i="3"/>
  <c r="V549" i="3"/>
  <c r="L551" i="3"/>
  <c r="O552" i="3"/>
  <c r="R553" i="3"/>
  <c r="U554" i="3"/>
  <c r="K556" i="3"/>
  <c r="N557" i="3"/>
  <c r="Q558" i="3"/>
  <c r="T559" i="3"/>
  <c r="J561" i="3"/>
  <c r="M562" i="3"/>
  <c r="P563" i="3"/>
  <c r="S564" i="3"/>
  <c r="V565" i="3"/>
  <c r="L567" i="3"/>
  <c r="O568" i="3"/>
  <c r="R569" i="3"/>
  <c r="U570" i="3"/>
  <c r="K572" i="3"/>
  <c r="N573" i="3"/>
  <c r="Q574" i="3"/>
  <c r="T575" i="3"/>
  <c r="J577" i="3"/>
  <c r="M578" i="3"/>
  <c r="P579" i="3"/>
  <c r="S580" i="3"/>
  <c r="V581" i="3"/>
  <c r="L583" i="3"/>
  <c r="O584" i="3"/>
  <c r="R585" i="3"/>
  <c r="U586" i="3"/>
  <c r="K588" i="3"/>
  <c r="N589" i="3"/>
  <c r="Q590" i="3"/>
  <c r="T591" i="3"/>
  <c r="J593" i="3"/>
  <c r="M594" i="3"/>
  <c r="P595" i="3"/>
  <c r="S596" i="3"/>
  <c r="V597" i="3"/>
  <c r="L599" i="3"/>
  <c r="O600" i="3"/>
  <c r="R601" i="3"/>
  <c r="U602" i="3"/>
  <c r="K604" i="3"/>
  <c r="N605" i="3"/>
  <c r="Q606" i="3"/>
  <c r="T607" i="3"/>
  <c r="J609" i="3"/>
  <c r="M610" i="3"/>
  <c r="P611" i="3"/>
  <c r="S612" i="3"/>
  <c r="V613" i="3"/>
  <c r="L615" i="3"/>
  <c r="O616" i="3"/>
  <c r="R617" i="3"/>
  <c r="U618" i="3"/>
  <c r="K620" i="3"/>
  <c r="J621" i="3"/>
  <c r="J622" i="3"/>
  <c r="J623" i="3"/>
  <c r="V623" i="3"/>
  <c r="J625" i="3"/>
  <c r="V625" i="3"/>
  <c r="V626" i="3"/>
  <c r="V627" i="3"/>
  <c r="U628" i="3"/>
  <c r="V629" i="3"/>
  <c r="U630" i="3"/>
  <c r="U631" i="3"/>
  <c r="U632" i="3"/>
  <c r="T633" i="3"/>
  <c r="U634" i="3"/>
  <c r="T635" i="3"/>
  <c r="T636" i="3"/>
  <c r="T637" i="3"/>
  <c r="S638" i="3"/>
  <c r="T639" i="3"/>
  <c r="R640" i="3"/>
  <c r="P641" i="3"/>
  <c r="N642" i="3"/>
  <c r="K643" i="3"/>
  <c r="V643" i="3"/>
  <c r="T644" i="3"/>
  <c r="Q645" i="3"/>
  <c r="O646" i="3"/>
  <c r="M647" i="3"/>
  <c r="J648" i="3"/>
  <c r="R648" i="3"/>
  <c r="M649" i="3"/>
  <c r="U649" i="3"/>
  <c r="P650" i="3"/>
  <c r="K651" i="3"/>
  <c r="S651" i="3"/>
  <c r="N652" i="3"/>
  <c r="V652" i="3"/>
  <c r="Q653" i="3"/>
  <c r="L654" i="3"/>
  <c r="T654" i="3"/>
  <c r="O655" i="3"/>
  <c r="J656" i="3"/>
  <c r="R656" i="3"/>
  <c r="M657" i="3"/>
  <c r="U657" i="3"/>
  <c r="P658" i="3"/>
  <c r="K659" i="3"/>
  <c r="S659" i="3"/>
  <c r="N660" i="3"/>
  <c r="V660" i="3"/>
  <c r="Q661" i="3"/>
  <c r="L662" i="3"/>
  <c r="T662" i="3"/>
  <c r="O663" i="3"/>
  <c r="J664" i="3"/>
  <c r="R664" i="3"/>
  <c r="M665" i="3"/>
  <c r="U665" i="3"/>
  <c r="P666" i="3"/>
  <c r="S307" i="3"/>
  <c r="K342" i="3"/>
  <c r="K360" i="3"/>
  <c r="R372" i="3"/>
  <c r="P382" i="3"/>
  <c r="N392" i="3"/>
  <c r="M397" i="3"/>
  <c r="L402" i="3"/>
  <c r="K407" i="3"/>
  <c r="J412" i="3"/>
  <c r="V416" i="3"/>
  <c r="U421" i="3"/>
  <c r="T426" i="3"/>
  <c r="S431" i="3"/>
  <c r="R436" i="3"/>
  <c r="Q441" i="3"/>
  <c r="P446" i="3"/>
  <c r="O451" i="3"/>
  <c r="N456" i="3"/>
  <c r="M461" i="3"/>
  <c r="L466" i="3"/>
  <c r="K471" i="3"/>
  <c r="J476" i="3"/>
  <c r="V480" i="3"/>
  <c r="U485" i="3"/>
  <c r="T490" i="3"/>
  <c r="S495" i="3"/>
  <c r="R500" i="3"/>
  <c r="Q505" i="3"/>
  <c r="P510" i="3"/>
  <c r="O515" i="3"/>
  <c r="N520" i="3"/>
  <c r="M525" i="3"/>
  <c r="L530" i="3"/>
  <c r="K535" i="3"/>
  <c r="R539" i="3"/>
  <c r="O541" i="3"/>
  <c r="R542" i="3"/>
  <c r="U543" i="3"/>
  <c r="K545" i="3"/>
  <c r="N546" i="3"/>
  <c r="Q547" i="3"/>
  <c r="T548" i="3"/>
  <c r="J550" i="3"/>
  <c r="M551" i="3"/>
  <c r="P552" i="3"/>
  <c r="S553" i="3"/>
  <c r="V554" i="3"/>
  <c r="L556" i="3"/>
  <c r="O557" i="3"/>
  <c r="R558" i="3"/>
  <c r="U559" i="3"/>
  <c r="K561" i="3"/>
  <c r="N562" i="3"/>
  <c r="Q563" i="3"/>
  <c r="T564" i="3"/>
  <c r="J566" i="3"/>
  <c r="M567" i="3"/>
  <c r="P568" i="3"/>
  <c r="S569" i="3"/>
  <c r="V570" i="3"/>
  <c r="L572" i="3"/>
  <c r="O573" i="3"/>
  <c r="R574" i="3"/>
  <c r="U575" i="3"/>
  <c r="K577" i="3"/>
  <c r="N578" i="3"/>
  <c r="Q579" i="3"/>
  <c r="T580" i="3"/>
  <c r="J582" i="3"/>
  <c r="M583" i="3"/>
  <c r="P584" i="3"/>
  <c r="S585" i="3"/>
  <c r="V586" i="3"/>
  <c r="L588" i="3"/>
  <c r="O589" i="3"/>
  <c r="R590" i="3"/>
  <c r="U591" i="3"/>
  <c r="K593" i="3"/>
  <c r="N594" i="3"/>
  <c r="Q595" i="3"/>
  <c r="T596" i="3"/>
  <c r="J598" i="3"/>
  <c r="M599" i="3"/>
  <c r="P600" i="3"/>
  <c r="S601" i="3"/>
  <c r="V602" i="3"/>
  <c r="L604" i="3"/>
  <c r="O605" i="3"/>
  <c r="R606" i="3"/>
  <c r="U607" i="3"/>
  <c r="K609" i="3"/>
  <c r="N610" i="3"/>
  <c r="Q611" i="3"/>
  <c r="T612" i="3"/>
  <c r="J614" i="3"/>
  <c r="M615" i="3"/>
  <c r="P616" i="3"/>
  <c r="S617" i="3"/>
  <c r="V618" i="3"/>
  <c r="L620" i="3"/>
  <c r="L621" i="3"/>
  <c r="K622" i="3"/>
  <c r="L623" i="3"/>
  <c r="K624" i="3"/>
  <c r="K625" i="3"/>
  <c r="K626" i="3"/>
  <c r="J627" i="3"/>
  <c r="K628" i="3"/>
  <c r="J629" i="3"/>
  <c r="J630" i="3"/>
  <c r="J631" i="3"/>
  <c r="V631" i="3"/>
  <c r="J633" i="3"/>
  <c r="V633" i="3"/>
  <c r="V634" i="3"/>
  <c r="V635" i="3"/>
  <c r="U636" i="3"/>
  <c r="V637" i="3"/>
  <c r="U638" i="3"/>
  <c r="U639" i="3"/>
  <c r="S640" i="3"/>
  <c r="R641" i="3"/>
  <c r="O642" i="3"/>
  <c r="L643" i="3"/>
  <c r="K644" i="3"/>
  <c r="U644" i="3"/>
  <c r="R645" i="3"/>
  <c r="Q646" i="3"/>
  <c r="N647" i="3"/>
  <c r="K648" i="3"/>
  <c r="S648" i="3"/>
  <c r="N649" i="3"/>
  <c r="V649" i="3"/>
  <c r="Q650" i="3"/>
  <c r="L651" i="3"/>
  <c r="T651" i="3"/>
  <c r="O652" i="3"/>
  <c r="J653" i="3"/>
  <c r="R653" i="3"/>
  <c r="M654" i="3"/>
  <c r="U654" i="3"/>
  <c r="P655" i="3"/>
  <c r="K656" i="3"/>
  <c r="S656" i="3"/>
  <c r="N657" i="3"/>
  <c r="V657" i="3"/>
  <c r="Q658" i="3"/>
  <c r="L659" i="3"/>
  <c r="T659" i="3"/>
  <c r="O660" i="3"/>
  <c r="J661" i="3"/>
  <c r="R661" i="3"/>
  <c r="M662" i="3"/>
  <c r="U662" i="3"/>
  <c r="P663" i="3"/>
  <c r="K664" i="3"/>
  <c r="S664" i="3"/>
  <c r="N665" i="3"/>
  <c r="V665" i="3"/>
  <c r="Q666" i="3"/>
  <c r="L667" i="3"/>
  <c r="T667" i="3"/>
  <c r="O668" i="3"/>
  <c r="J669" i="3"/>
  <c r="R669" i="3"/>
  <c r="M670" i="3"/>
  <c r="U670" i="3"/>
  <c r="P671" i="3"/>
  <c r="K672" i="3"/>
  <c r="S672" i="3"/>
  <c r="N673" i="3"/>
  <c r="V673" i="3"/>
  <c r="Q674" i="3"/>
  <c r="L675" i="3"/>
  <c r="T675" i="3"/>
  <c r="O676" i="3"/>
  <c r="J677" i="3"/>
  <c r="R677" i="3"/>
  <c r="M678" i="3"/>
  <c r="U678" i="3"/>
  <c r="N312" i="3"/>
  <c r="L344" i="3"/>
  <c r="T361" i="3"/>
  <c r="U373" i="3"/>
  <c r="S383" i="3"/>
  <c r="P393" i="3"/>
  <c r="O398" i="3"/>
  <c r="N403" i="3"/>
  <c r="M408" i="3"/>
  <c r="L413" i="3"/>
  <c r="K418" i="3"/>
  <c r="J423" i="3"/>
  <c r="V427" i="3"/>
  <c r="U432" i="3"/>
  <c r="T437" i="3"/>
  <c r="S442" i="3"/>
  <c r="R447" i="3"/>
  <c r="Q452" i="3"/>
  <c r="P457" i="3"/>
  <c r="O462" i="3"/>
  <c r="N467" i="3"/>
  <c r="M472" i="3"/>
  <c r="L477" i="3"/>
  <c r="K482" i="3"/>
  <c r="J487" i="3"/>
  <c r="V491" i="3"/>
  <c r="U496" i="3"/>
  <c r="T501" i="3"/>
  <c r="S506" i="3"/>
  <c r="R511" i="3"/>
  <c r="Q516" i="3"/>
  <c r="P521" i="3"/>
  <c r="O526" i="3"/>
  <c r="N531" i="3"/>
  <c r="M536" i="3"/>
  <c r="L540" i="3"/>
  <c r="P541" i="3"/>
  <c r="S542" i="3"/>
  <c r="V543" i="3"/>
  <c r="L545" i="3"/>
  <c r="O546" i="3"/>
  <c r="R547" i="3"/>
  <c r="U548" i="3"/>
  <c r="K550" i="3"/>
  <c r="N551" i="3"/>
  <c r="Q552" i="3"/>
  <c r="T553" i="3"/>
  <c r="J555" i="3"/>
  <c r="M556" i="3"/>
  <c r="P557" i="3"/>
  <c r="S558" i="3"/>
  <c r="V559" i="3"/>
  <c r="L561" i="3"/>
  <c r="O562" i="3"/>
  <c r="R563" i="3"/>
  <c r="U564" i="3"/>
  <c r="K566" i="3"/>
  <c r="N567" i="3"/>
  <c r="Q568" i="3"/>
  <c r="T569" i="3"/>
  <c r="J571" i="3"/>
  <c r="M572" i="3"/>
  <c r="P573" i="3"/>
  <c r="S574" i="3"/>
  <c r="V575" i="3"/>
  <c r="L577" i="3"/>
  <c r="O578" i="3"/>
  <c r="R579" i="3"/>
  <c r="U580" i="3"/>
  <c r="K582" i="3"/>
  <c r="N583" i="3"/>
  <c r="Q584" i="3"/>
  <c r="T585" i="3"/>
  <c r="J587" i="3"/>
  <c r="M588" i="3"/>
  <c r="P589" i="3"/>
  <c r="S590" i="3"/>
  <c r="V591" i="3"/>
  <c r="L593" i="3"/>
  <c r="O594" i="3"/>
  <c r="R595" i="3"/>
  <c r="U596" i="3"/>
  <c r="K598" i="3"/>
  <c r="N599" i="3"/>
  <c r="Q600" i="3"/>
  <c r="T601" i="3"/>
  <c r="J603" i="3"/>
  <c r="M604" i="3"/>
  <c r="P605" i="3"/>
  <c r="S606" i="3"/>
  <c r="V607" i="3"/>
  <c r="L609" i="3"/>
  <c r="O610" i="3"/>
  <c r="R611" i="3"/>
  <c r="U612" i="3"/>
  <c r="K614" i="3"/>
  <c r="N615" i="3"/>
  <c r="Q616" i="3"/>
  <c r="T617" i="3"/>
  <c r="J619" i="3"/>
  <c r="M620" i="3"/>
  <c r="N621" i="3"/>
  <c r="M622" i="3"/>
  <c r="M623" i="3"/>
  <c r="M624" i="3"/>
  <c r="L625" i="3"/>
  <c r="M626" i="3"/>
  <c r="L627" i="3"/>
  <c r="L628" i="3"/>
  <c r="L629" i="3"/>
  <c r="K630" i="3"/>
  <c r="L631" i="3"/>
  <c r="K632" i="3"/>
  <c r="K633" i="3"/>
  <c r="K634" i="3"/>
  <c r="J635" i="3"/>
  <c r="K636" i="3"/>
  <c r="J637" i="3"/>
  <c r="J638" i="3"/>
  <c r="J639" i="3"/>
  <c r="V639" i="3"/>
  <c r="U640" i="3"/>
  <c r="S641" i="3"/>
  <c r="P642" i="3"/>
  <c r="N643" i="3"/>
  <c r="L644" i="3"/>
  <c r="V644" i="3"/>
  <c r="T645" i="3"/>
  <c r="R646" i="3"/>
  <c r="O647" i="3"/>
  <c r="L648" i="3"/>
  <c r="T648" i="3"/>
  <c r="O649" i="3"/>
  <c r="J650" i="3"/>
  <c r="R650" i="3"/>
  <c r="M651" i="3"/>
  <c r="U651" i="3"/>
  <c r="P652" i="3"/>
  <c r="K653" i="3"/>
  <c r="S653" i="3"/>
  <c r="N654" i="3"/>
  <c r="V654" i="3"/>
  <c r="Q655" i="3"/>
  <c r="L656" i="3"/>
  <c r="T656" i="3"/>
  <c r="O657" i="3"/>
  <c r="J658" i="3"/>
  <c r="R658" i="3"/>
  <c r="M659" i="3"/>
  <c r="U659" i="3"/>
  <c r="P660" i="3"/>
  <c r="K661" i="3"/>
  <c r="S661" i="3"/>
  <c r="N662" i="3"/>
  <c r="V662" i="3"/>
  <c r="Q663" i="3"/>
  <c r="L664" i="3"/>
  <c r="T664" i="3"/>
  <c r="O665" i="3"/>
  <c r="J666" i="3"/>
  <c r="R666" i="3"/>
  <c r="M667" i="3"/>
  <c r="U667" i="3"/>
  <c r="P668" i="3"/>
  <c r="K669" i="3"/>
  <c r="S669" i="3"/>
  <c r="N670" i="3"/>
  <c r="V670" i="3"/>
  <c r="Q671" i="3"/>
  <c r="L672" i="3"/>
  <c r="K260" i="3"/>
  <c r="J365" i="3"/>
  <c r="Q393" i="3"/>
  <c r="T405" i="3"/>
  <c r="N419" i="3"/>
  <c r="V432" i="3"/>
  <c r="L445" i="3"/>
  <c r="S458" i="3"/>
  <c r="N472" i="3"/>
  <c r="Q484" i="3"/>
  <c r="K498" i="3"/>
  <c r="S511" i="3"/>
  <c r="V523" i="3"/>
  <c r="P537" i="3"/>
  <c r="U542" i="3"/>
  <c r="T545" i="3"/>
  <c r="N549" i="3"/>
  <c r="S552" i="3"/>
  <c r="R555" i="3"/>
  <c r="L559" i="3"/>
  <c r="Q562" i="3"/>
  <c r="P565" i="3"/>
  <c r="J569" i="3"/>
  <c r="O572" i="3"/>
  <c r="N575" i="3"/>
  <c r="U578" i="3"/>
  <c r="M582" i="3"/>
  <c r="L585" i="3"/>
  <c r="S588" i="3"/>
  <c r="K592" i="3"/>
  <c r="J595" i="3"/>
  <c r="Q598" i="3"/>
  <c r="V601" i="3"/>
  <c r="U604" i="3"/>
  <c r="O608" i="3"/>
  <c r="T611" i="3"/>
  <c r="S614" i="3"/>
  <c r="M618" i="3"/>
  <c r="O621" i="3"/>
  <c r="T623" i="3"/>
  <c r="O626" i="3"/>
  <c r="N629" i="3"/>
  <c r="R631" i="3"/>
  <c r="N634" i="3"/>
  <c r="L637" i="3"/>
  <c r="P639" i="3"/>
  <c r="U641" i="3"/>
  <c r="M644" i="3"/>
  <c r="L646" i="3"/>
  <c r="N648" i="3"/>
  <c r="K650" i="3"/>
  <c r="Q651" i="3"/>
  <c r="M653" i="3"/>
  <c r="J655" i="3"/>
  <c r="P656" i="3"/>
  <c r="L658" i="3"/>
  <c r="V659" i="3"/>
  <c r="O661" i="3"/>
  <c r="K663" i="3"/>
  <c r="U664" i="3"/>
  <c r="N666" i="3"/>
  <c r="S667" i="3"/>
  <c r="V668" i="3"/>
  <c r="L670" i="3"/>
  <c r="O671" i="3"/>
  <c r="R672" i="3"/>
  <c r="Q673" i="3"/>
  <c r="R674" i="3"/>
  <c r="Q675" i="3"/>
  <c r="Q676" i="3"/>
  <c r="Q677" i="3"/>
  <c r="P678" i="3"/>
  <c r="P679" i="3"/>
  <c r="M680" i="3"/>
  <c r="K681" i="3"/>
  <c r="V681" i="3"/>
  <c r="S682" i="3"/>
  <c r="Q683" i="3"/>
  <c r="O684" i="3"/>
  <c r="L685" i="3"/>
  <c r="T685" i="3"/>
  <c r="O686" i="3"/>
  <c r="J687" i="3"/>
  <c r="R687" i="3"/>
  <c r="M688" i="3"/>
  <c r="U688" i="3"/>
  <c r="P689" i="3"/>
  <c r="K690" i="3"/>
  <c r="S690" i="3"/>
  <c r="N691" i="3"/>
  <c r="V691" i="3"/>
  <c r="Q692" i="3"/>
  <c r="L693" i="3"/>
  <c r="T693" i="3"/>
  <c r="O694" i="3"/>
  <c r="K317" i="3"/>
  <c r="N368" i="3"/>
  <c r="S394" i="3"/>
  <c r="N408" i="3"/>
  <c r="Q420" i="3"/>
  <c r="K434" i="3"/>
  <c r="S447" i="3"/>
  <c r="V459" i="3"/>
  <c r="P473" i="3"/>
  <c r="K487" i="3"/>
  <c r="N499" i="3"/>
  <c r="U512" i="3"/>
  <c r="P526" i="3"/>
  <c r="S538" i="3"/>
  <c r="L543" i="3"/>
  <c r="Q546" i="3"/>
  <c r="P549" i="3"/>
  <c r="J553" i="3"/>
  <c r="O556" i="3"/>
  <c r="N559" i="3"/>
  <c r="U562" i="3"/>
  <c r="M566" i="3"/>
  <c r="L569" i="3"/>
  <c r="S572" i="3"/>
  <c r="K576" i="3"/>
  <c r="J579" i="3"/>
  <c r="Q582" i="3"/>
  <c r="V585" i="3"/>
  <c r="U588" i="3"/>
  <c r="O592" i="3"/>
  <c r="T595" i="3"/>
  <c r="S598" i="3"/>
  <c r="M602" i="3"/>
  <c r="R605" i="3"/>
  <c r="Q608" i="3"/>
  <c r="K612" i="3"/>
  <c r="P615" i="3"/>
  <c r="O618" i="3"/>
  <c r="P621" i="3"/>
  <c r="O624" i="3"/>
  <c r="S626" i="3"/>
  <c r="O629" i="3"/>
  <c r="M632" i="3"/>
  <c r="Q634" i="3"/>
  <c r="N637" i="3"/>
  <c r="K640" i="3"/>
  <c r="K642" i="3"/>
  <c r="N644" i="3"/>
  <c r="S646" i="3"/>
  <c r="P648" i="3"/>
  <c r="L650" i="3"/>
  <c r="V651" i="3"/>
  <c r="O653" i="3"/>
  <c r="K655" i="3"/>
  <c r="U656" i="3"/>
  <c r="N658" i="3"/>
  <c r="J660" i="3"/>
  <c r="T661" i="3"/>
  <c r="M663" i="3"/>
  <c r="V664" i="3"/>
  <c r="S666" i="3"/>
  <c r="V667" i="3"/>
  <c r="L669" i="3"/>
  <c r="O670" i="3"/>
  <c r="R671" i="3"/>
  <c r="T672" i="3"/>
  <c r="S673" i="3"/>
  <c r="S674" i="3"/>
  <c r="S675" i="3"/>
  <c r="R676" i="3"/>
  <c r="S677" i="3"/>
  <c r="R678" i="3"/>
  <c r="Q679" i="3"/>
  <c r="N680" i="3"/>
  <c r="M681" i="3"/>
  <c r="J682" i="3"/>
  <c r="T682" i="3"/>
  <c r="S683" i="3"/>
  <c r="P684" i="3"/>
  <c r="M685" i="3"/>
  <c r="U685" i="3"/>
  <c r="P686" i="3"/>
  <c r="K687" i="3"/>
  <c r="S687" i="3"/>
  <c r="N688" i="3"/>
  <c r="V688" i="3"/>
  <c r="Q689" i="3"/>
  <c r="L690" i="3"/>
  <c r="T690" i="3"/>
  <c r="O691" i="3"/>
  <c r="J692" i="3"/>
  <c r="R692" i="3"/>
  <c r="M693" i="3"/>
  <c r="U693" i="3"/>
  <c r="P694" i="3"/>
  <c r="K695" i="3"/>
  <c r="S695" i="3"/>
  <c r="N696" i="3"/>
  <c r="V696" i="3"/>
  <c r="Q697" i="3"/>
  <c r="L698" i="3"/>
  <c r="T698" i="3"/>
  <c r="O699" i="3"/>
  <c r="J700" i="3"/>
  <c r="R700" i="3"/>
  <c r="M701" i="3"/>
  <c r="U701" i="3"/>
  <c r="P702" i="3"/>
  <c r="K703" i="3"/>
  <c r="S703" i="3"/>
  <c r="N704" i="3"/>
  <c r="V704" i="3"/>
  <c r="Q705" i="3"/>
  <c r="L706" i="3"/>
  <c r="T706" i="3"/>
  <c r="O707" i="3"/>
  <c r="J708" i="3"/>
  <c r="R708" i="3"/>
  <c r="M709" i="3"/>
  <c r="U709" i="3"/>
  <c r="P710" i="3"/>
  <c r="K711" i="3"/>
  <c r="S711" i="3"/>
  <c r="N712" i="3"/>
  <c r="V712" i="3"/>
  <c r="Q713" i="3"/>
  <c r="L714" i="3"/>
  <c r="T714" i="3"/>
  <c r="O715" i="3"/>
  <c r="J716" i="3"/>
  <c r="R716" i="3"/>
  <c r="M717" i="3"/>
  <c r="U717" i="3"/>
  <c r="P718" i="3"/>
  <c r="K719" i="3"/>
  <c r="S719" i="3"/>
  <c r="N720" i="3"/>
  <c r="V720" i="3"/>
  <c r="Q721" i="3"/>
  <c r="L722" i="3"/>
  <c r="T722" i="3"/>
  <c r="O723" i="3"/>
  <c r="J724" i="3"/>
  <c r="R724" i="3"/>
  <c r="M725" i="3"/>
  <c r="U725" i="3"/>
  <c r="P726" i="3"/>
  <c r="K727" i="3"/>
  <c r="S727" i="3"/>
  <c r="N728" i="3"/>
  <c r="V728" i="3"/>
  <c r="Q729" i="3"/>
  <c r="L730" i="3"/>
  <c r="T730" i="3"/>
  <c r="O731" i="3"/>
  <c r="J732" i="3"/>
  <c r="R732" i="3"/>
  <c r="M733" i="3"/>
  <c r="U733" i="3"/>
  <c r="P734" i="3"/>
  <c r="K735" i="3"/>
  <c r="S735" i="3"/>
  <c r="N736" i="3"/>
  <c r="V736" i="3"/>
  <c r="Q737" i="3"/>
  <c r="L738" i="3"/>
  <c r="T738" i="3"/>
  <c r="O739" i="3"/>
  <c r="J740" i="3"/>
  <c r="R740" i="3"/>
  <c r="M741" i="3"/>
  <c r="U741" i="3"/>
  <c r="P742" i="3"/>
  <c r="K743" i="3"/>
  <c r="S743" i="3"/>
  <c r="N744" i="3"/>
  <c r="V744" i="3"/>
  <c r="Q745" i="3"/>
  <c r="L746" i="3"/>
  <c r="T746" i="3"/>
  <c r="O747" i="3"/>
  <c r="J748" i="3"/>
  <c r="R748" i="3"/>
  <c r="M749" i="3"/>
  <c r="U749" i="3"/>
  <c r="P750" i="3"/>
  <c r="K751" i="3"/>
  <c r="S751" i="3"/>
  <c r="N752" i="3"/>
  <c r="V752" i="3"/>
  <c r="Q753" i="3"/>
  <c r="L754" i="3"/>
  <c r="T754" i="3"/>
  <c r="O755" i="3"/>
  <c r="J756" i="3"/>
  <c r="R756" i="3"/>
  <c r="M757" i="3"/>
  <c r="U757" i="3"/>
  <c r="P758" i="3"/>
  <c r="K759" i="3"/>
  <c r="S759" i="3"/>
  <c r="N760" i="3"/>
  <c r="V760" i="3"/>
  <c r="Q761" i="3"/>
  <c r="L762" i="3"/>
  <c r="T762" i="3"/>
  <c r="O763" i="3"/>
  <c r="J764" i="3"/>
  <c r="R764" i="3"/>
  <c r="M765" i="3"/>
  <c r="U765" i="3"/>
  <c r="P766" i="3"/>
  <c r="K767" i="3"/>
  <c r="S767" i="3"/>
  <c r="N768" i="3"/>
  <c r="V768" i="3"/>
  <c r="Q769" i="3"/>
  <c r="L770" i="3"/>
  <c r="T770" i="3"/>
  <c r="O771" i="3"/>
  <c r="J772" i="3"/>
  <c r="R772" i="3"/>
  <c r="M773" i="3"/>
  <c r="U773" i="3"/>
  <c r="P774" i="3"/>
  <c r="K775" i="3"/>
  <c r="S775" i="3"/>
  <c r="N776" i="3"/>
  <c r="V776" i="3"/>
  <c r="Q777" i="3"/>
  <c r="L778" i="3"/>
  <c r="T778" i="3"/>
  <c r="O779" i="3"/>
  <c r="J780" i="3"/>
  <c r="R780" i="3"/>
  <c r="M781" i="3"/>
  <c r="U781" i="3"/>
  <c r="P782" i="3"/>
  <c r="K783" i="3"/>
  <c r="S783" i="3"/>
  <c r="N784" i="3"/>
  <c r="V784" i="3"/>
  <c r="Q785" i="3"/>
  <c r="L786" i="3"/>
  <c r="T786" i="3"/>
  <c r="O787" i="3"/>
  <c r="J788" i="3"/>
  <c r="R788" i="3"/>
  <c r="M789" i="3"/>
  <c r="U789" i="3"/>
  <c r="P790" i="3"/>
  <c r="K791" i="3"/>
  <c r="S791" i="3"/>
  <c r="N792" i="3"/>
  <c r="V792" i="3"/>
  <c r="Q793" i="3"/>
  <c r="L794" i="3"/>
  <c r="T794" i="3"/>
  <c r="O795" i="3"/>
  <c r="J796" i="3"/>
  <c r="R796" i="3"/>
  <c r="M797" i="3"/>
  <c r="U797" i="3"/>
  <c r="P798" i="3"/>
  <c r="K799" i="3"/>
  <c r="S799" i="3"/>
  <c r="N800" i="3"/>
  <c r="V800" i="3"/>
  <c r="Q801" i="3"/>
  <c r="L802" i="3"/>
  <c r="T802" i="3"/>
  <c r="O803" i="3"/>
  <c r="J804" i="3"/>
  <c r="R804" i="3"/>
  <c r="M805" i="3"/>
  <c r="U805" i="3"/>
  <c r="P806" i="3"/>
  <c r="K807" i="3"/>
  <c r="S807" i="3"/>
  <c r="N808" i="3"/>
  <c r="V808" i="3"/>
  <c r="Q809" i="3"/>
  <c r="L810" i="3"/>
  <c r="T810" i="3"/>
  <c r="O811" i="3"/>
  <c r="J812" i="3"/>
  <c r="R812" i="3"/>
  <c r="M813" i="3"/>
  <c r="U813" i="3"/>
  <c r="P814" i="3"/>
  <c r="K815" i="3"/>
  <c r="S815" i="3"/>
  <c r="N816" i="3"/>
  <c r="V816" i="3"/>
  <c r="Q817" i="3"/>
  <c r="L818" i="3"/>
  <c r="T818" i="3"/>
  <c r="O819" i="3"/>
  <c r="J820" i="3"/>
  <c r="R820" i="3"/>
  <c r="M821" i="3"/>
  <c r="U821" i="3"/>
  <c r="P822" i="3"/>
  <c r="K823" i="3"/>
  <c r="S823" i="3"/>
  <c r="N824" i="3"/>
  <c r="V824" i="3"/>
  <c r="Q825" i="3"/>
  <c r="L826" i="3"/>
  <c r="T826" i="3"/>
  <c r="O827" i="3"/>
  <c r="J828" i="3"/>
  <c r="R828" i="3"/>
  <c r="M829" i="3"/>
  <c r="U829" i="3"/>
  <c r="P830" i="3"/>
  <c r="K831" i="3"/>
  <c r="S831" i="3"/>
  <c r="N832" i="3"/>
  <c r="V832" i="3"/>
  <c r="Q833" i="3"/>
  <c r="L834" i="3"/>
  <c r="T834" i="3"/>
  <c r="O835" i="3"/>
  <c r="J836" i="3"/>
  <c r="R836" i="3"/>
  <c r="M837" i="3"/>
  <c r="U837" i="3"/>
  <c r="P838" i="3"/>
  <c r="K839" i="3"/>
  <c r="S839" i="3"/>
  <c r="N840" i="3"/>
  <c r="V840" i="3"/>
  <c r="T320" i="3"/>
  <c r="K375" i="3"/>
  <c r="V395" i="3"/>
  <c r="P409" i="3"/>
  <c r="K423" i="3"/>
  <c r="N435" i="3"/>
  <c r="U448" i="3"/>
  <c r="P462" i="3"/>
  <c r="S474" i="3"/>
  <c r="M488" i="3"/>
  <c r="U501" i="3"/>
  <c r="K514" i="3"/>
  <c r="R527" i="3"/>
  <c r="M540" i="3"/>
  <c r="N543" i="3"/>
  <c r="U546" i="3"/>
  <c r="M550" i="3"/>
  <c r="L553" i="3"/>
  <c r="S556" i="3"/>
  <c r="K560" i="3"/>
  <c r="J563" i="3"/>
  <c r="Q566" i="3"/>
  <c r="V569" i="3"/>
  <c r="U572" i="3"/>
  <c r="O576" i="3"/>
  <c r="T579" i="3"/>
  <c r="S582" i="3"/>
  <c r="M586" i="3"/>
  <c r="R589" i="3"/>
  <c r="Q592" i="3"/>
  <c r="K596" i="3"/>
  <c r="P599" i="3"/>
  <c r="O602" i="3"/>
  <c r="V605" i="3"/>
  <c r="N609" i="3"/>
  <c r="M612" i="3"/>
  <c r="T615" i="3"/>
  <c r="L619" i="3"/>
  <c r="T621" i="3"/>
  <c r="P624" i="3"/>
  <c r="N627" i="3"/>
  <c r="R629" i="3"/>
  <c r="O632" i="3"/>
  <c r="L635" i="3"/>
  <c r="P637" i="3"/>
  <c r="M640" i="3"/>
  <c r="Q642" i="3"/>
  <c r="Q644" i="3"/>
  <c r="T646" i="3"/>
  <c r="U648" i="3"/>
  <c r="N650" i="3"/>
  <c r="J652" i="3"/>
  <c r="T653" i="3"/>
  <c r="M655" i="3"/>
  <c r="V656" i="3"/>
  <c r="S658" i="3"/>
  <c r="L660" i="3"/>
  <c r="U661" i="3"/>
  <c r="R663" i="3"/>
  <c r="K665" i="3"/>
  <c r="T666" i="3"/>
  <c r="J668" i="3"/>
  <c r="M669" i="3"/>
  <c r="P670" i="3"/>
  <c r="S671" i="3"/>
  <c r="U672" i="3"/>
  <c r="U673" i="3"/>
  <c r="T674" i="3"/>
  <c r="U675" i="3"/>
  <c r="T676" i="3"/>
  <c r="T677" i="3"/>
  <c r="T678" i="3"/>
  <c r="R679" i="3"/>
  <c r="P680" i="3"/>
  <c r="N681" i="3"/>
  <c r="K682" i="3"/>
  <c r="V682" i="3"/>
  <c r="T683" i="3"/>
  <c r="Q684" i="3"/>
  <c r="N685" i="3"/>
  <c r="V685" i="3"/>
  <c r="Q686" i="3"/>
  <c r="L687" i="3"/>
  <c r="T687" i="3"/>
  <c r="O688" i="3"/>
  <c r="J689" i="3"/>
  <c r="R689" i="3"/>
  <c r="M690" i="3"/>
  <c r="U690" i="3"/>
  <c r="P691" i="3"/>
  <c r="K692" i="3"/>
  <c r="S692" i="3"/>
  <c r="N693" i="3"/>
  <c r="V693" i="3"/>
  <c r="Q694" i="3"/>
  <c r="L695" i="3"/>
  <c r="T695" i="3"/>
  <c r="O696" i="3"/>
  <c r="J697" i="3"/>
  <c r="R697" i="3"/>
  <c r="M698" i="3"/>
  <c r="U698" i="3"/>
  <c r="P699" i="3"/>
  <c r="K700" i="3"/>
  <c r="S700" i="3"/>
  <c r="N701" i="3"/>
  <c r="V701" i="3"/>
  <c r="Q702" i="3"/>
  <c r="L703" i="3"/>
  <c r="T703" i="3"/>
  <c r="O704" i="3"/>
  <c r="J705" i="3"/>
  <c r="R705" i="3"/>
  <c r="M706" i="3"/>
  <c r="U706" i="3"/>
  <c r="P707" i="3"/>
  <c r="K708" i="3"/>
  <c r="S708" i="3"/>
  <c r="N709" i="3"/>
  <c r="V709" i="3"/>
  <c r="Q710" i="3"/>
  <c r="L711" i="3"/>
  <c r="T711" i="3"/>
  <c r="O712" i="3"/>
  <c r="J713" i="3"/>
  <c r="R713" i="3"/>
  <c r="M714" i="3"/>
  <c r="U714" i="3"/>
  <c r="P715" i="3"/>
  <c r="K716" i="3"/>
  <c r="S716" i="3"/>
  <c r="N717" i="3"/>
  <c r="V717" i="3"/>
  <c r="Q718" i="3"/>
  <c r="L719" i="3"/>
  <c r="T719" i="3"/>
  <c r="O720" i="3"/>
  <c r="J721" i="3"/>
  <c r="R721" i="3"/>
  <c r="M722" i="3"/>
  <c r="U722" i="3"/>
  <c r="P723" i="3"/>
  <c r="K724" i="3"/>
  <c r="S724" i="3"/>
  <c r="N725" i="3"/>
  <c r="V725" i="3"/>
  <c r="Q726" i="3"/>
  <c r="L727" i="3"/>
  <c r="T727" i="3"/>
  <c r="O728" i="3"/>
  <c r="J729" i="3"/>
  <c r="R729" i="3"/>
  <c r="M730" i="3"/>
  <c r="U730" i="3"/>
  <c r="P731" i="3"/>
  <c r="K732" i="3"/>
  <c r="S732" i="3"/>
  <c r="N733" i="3"/>
  <c r="V733" i="3"/>
  <c r="Q734" i="3"/>
  <c r="L735" i="3"/>
  <c r="T735" i="3"/>
  <c r="O736" i="3"/>
  <c r="J737" i="3"/>
  <c r="R737" i="3"/>
  <c r="M738" i="3"/>
  <c r="U738" i="3"/>
  <c r="P739" i="3"/>
  <c r="K740" i="3"/>
  <c r="S740" i="3"/>
  <c r="N741" i="3"/>
  <c r="V741" i="3"/>
  <c r="Q742" i="3"/>
  <c r="L743" i="3"/>
  <c r="T743" i="3"/>
  <c r="O744" i="3"/>
  <c r="J745" i="3"/>
  <c r="R745" i="3"/>
  <c r="M746" i="3"/>
  <c r="U746" i="3"/>
  <c r="P747" i="3"/>
  <c r="K748" i="3"/>
  <c r="S748" i="3"/>
  <c r="N749" i="3"/>
  <c r="V749" i="3"/>
  <c r="Q750" i="3"/>
  <c r="L751" i="3"/>
  <c r="T751" i="3"/>
  <c r="O752" i="3"/>
  <c r="J753" i="3"/>
  <c r="R753" i="3"/>
  <c r="M754" i="3"/>
  <c r="U754" i="3"/>
  <c r="P755" i="3"/>
  <c r="K756" i="3"/>
  <c r="S756" i="3"/>
  <c r="N757" i="3"/>
  <c r="V757" i="3"/>
  <c r="Q758" i="3"/>
  <c r="L759" i="3"/>
  <c r="T759" i="3"/>
  <c r="O760" i="3"/>
  <c r="J761" i="3"/>
  <c r="R761" i="3"/>
  <c r="M762" i="3"/>
  <c r="U762" i="3"/>
  <c r="P763" i="3"/>
  <c r="K764" i="3"/>
  <c r="S764" i="3"/>
  <c r="N765" i="3"/>
  <c r="V765" i="3"/>
  <c r="Q766" i="3"/>
  <c r="L767" i="3"/>
  <c r="T767" i="3"/>
  <c r="O768" i="3"/>
  <c r="J769" i="3"/>
  <c r="R769" i="3"/>
  <c r="M770" i="3"/>
  <c r="U770" i="3"/>
  <c r="P771" i="3"/>
  <c r="K772" i="3"/>
  <c r="S772" i="3"/>
  <c r="N773" i="3"/>
  <c r="V773" i="3"/>
  <c r="Q774" i="3"/>
  <c r="L775" i="3"/>
  <c r="T775" i="3"/>
  <c r="O776" i="3"/>
  <c r="J777" i="3"/>
  <c r="R777" i="3"/>
  <c r="M778" i="3"/>
  <c r="U778" i="3"/>
  <c r="P779" i="3"/>
  <c r="K780" i="3"/>
  <c r="S780" i="3"/>
  <c r="N781" i="3"/>
  <c r="V781" i="3"/>
  <c r="Q782" i="3"/>
  <c r="L783" i="3"/>
  <c r="T783" i="3"/>
  <c r="O784" i="3"/>
  <c r="J785" i="3"/>
  <c r="R785" i="3"/>
  <c r="M786" i="3"/>
  <c r="U786" i="3"/>
  <c r="P787" i="3"/>
  <c r="K788" i="3"/>
  <c r="S788" i="3"/>
  <c r="N789" i="3"/>
  <c r="V789" i="3"/>
  <c r="Q790" i="3"/>
  <c r="L791" i="3"/>
  <c r="T791" i="3"/>
  <c r="O792" i="3"/>
  <c r="J793" i="3"/>
  <c r="R793" i="3"/>
  <c r="M794" i="3"/>
  <c r="U794" i="3"/>
  <c r="P795" i="3"/>
  <c r="K796" i="3"/>
  <c r="S796" i="3"/>
  <c r="N797" i="3"/>
  <c r="V797" i="3"/>
  <c r="Q798" i="3"/>
  <c r="L799" i="3"/>
  <c r="T799" i="3"/>
  <c r="O800" i="3"/>
  <c r="J801" i="3"/>
  <c r="R801" i="3"/>
  <c r="M802" i="3"/>
  <c r="U802" i="3"/>
  <c r="P803" i="3"/>
  <c r="K804" i="3"/>
  <c r="S804" i="3"/>
  <c r="N805" i="3"/>
  <c r="V805" i="3"/>
  <c r="Q806" i="3"/>
  <c r="L807" i="3"/>
  <c r="T807" i="3"/>
  <c r="O808" i="3"/>
  <c r="J809" i="3"/>
  <c r="R809" i="3"/>
  <c r="M810" i="3"/>
  <c r="U810" i="3"/>
  <c r="P811" i="3"/>
  <c r="K812" i="3"/>
  <c r="S812" i="3"/>
  <c r="N813" i="3"/>
  <c r="V813" i="3"/>
  <c r="Q814" i="3"/>
  <c r="L815" i="3"/>
  <c r="T815" i="3"/>
  <c r="O816" i="3"/>
  <c r="J817" i="3"/>
  <c r="R817" i="3"/>
  <c r="M818" i="3"/>
  <c r="U818" i="3"/>
  <c r="P819" i="3"/>
  <c r="K820" i="3"/>
  <c r="S820" i="3"/>
  <c r="N821" i="3"/>
  <c r="V821" i="3"/>
  <c r="Q822" i="3"/>
  <c r="L823" i="3"/>
  <c r="T823" i="3"/>
  <c r="O824" i="3"/>
  <c r="J825" i="3"/>
  <c r="R825" i="3"/>
  <c r="M826" i="3"/>
  <c r="U826" i="3"/>
  <c r="P827" i="3"/>
  <c r="K828" i="3"/>
  <c r="S828" i="3"/>
  <c r="N829" i="3"/>
  <c r="V829" i="3"/>
  <c r="Q830" i="3"/>
  <c r="L831" i="3"/>
  <c r="T831" i="3"/>
  <c r="O832" i="3"/>
  <c r="J833" i="3"/>
  <c r="R833" i="3"/>
  <c r="M834" i="3"/>
  <c r="U834" i="3"/>
  <c r="P835" i="3"/>
  <c r="K836" i="3"/>
  <c r="S836" i="3"/>
  <c r="N837" i="3"/>
  <c r="V837" i="3"/>
  <c r="Q838" i="3"/>
  <c r="L839" i="3"/>
  <c r="T839" i="3"/>
  <c r="O840" i="3"/>
  <c r="J841" i="3"/>
  <c r="R841" i="3"/>
  <c r="L330" i="3"/>
  <c r="N376" i="3"/>
  <c r="P398" i="3"/>
  <c r="S410" i="3"/>
  <c r="M424" i="3"/>
  <c r="U437" i="3"/>
  <c r="K450" i="3"/>
  <c r="R463" i="3"/>
  <c r="M477" i="3"/>
  <c r="P489" i="3"/>
  <c r="J503" i="3"/>
  <c r="R516" i="3"/>
  <c r="U528" i="3"/>
  <c r="S540" i="3"/>
  <c r="K544" i="3"/>
  <c r="J547" i="3"/>
  <c r="Q550" i="3"/>
  <c r="V553" i="3"/>
  <c r="U556" i="3"/>
  <c r="O560" i="3"/>
  <c r="T563" i="3"/>
  <c r="S566" i="3"/>
  <c r="M570" i="3"/>
  <c r="R573" i="3"/>
  <c r="Q576" i="3"/>
  <c r="K580" i="3"/>
  <c r="P583" i="3"/>
  <c r="O586" i="3"/>
  <c r="V589" i="3"/>
  <c r="N593" i="3"/>
  <c r="M596" i="3"/>
  <c r="T599" i="3"/>
  <c r="L603" i="3"/>
  <c r="K606" i="3"/>
  <c r="R609" i="3"/>
  <c r="J613" i="3"/>
  <c r="V615" i="3"/>
  <c r="P619" i="3"/>
  <c r="O622" i="3"/>
  <c r="S624" i="3"/>
  <c r="P627" i="3"/>
  <c r="M630" i="3"/>
  <c r="Q632" i="3"/>
  <c r="N635" i="3"/>
  <c r="K638" i="3"/>
  <c r="P640" i="3"/>
  <c r="S642" i="3"/>
  <c r="J645" i="3"/>
  <c r="J647" i="3"/>
  <c r="V648" i="3"/>
  <c r="S650" i="3"/>
  <c r="L652" i="3"/>
  <c r="U653" i="3"/>
  <c r="R655" i="3"/>
  <c r="K657" i="3"/>
  <c r="T658" i="3"/>
  <c r="Q660" i="3"/>
  <c r="J662" i="3"/>
  <c r="S663" i="3"/>
  <c r="P665" i="3"/>
  <c r="V666" i="3"/>
  <c r="L668" i="3"/>
  <c r="O669" i="3"/>
  <c r="R670" i="3"/>
  <c r="U671" i="3"/>
  <c r="V672" i="3"/>
  <c r="J674" i="3"/>
  <c r="V674" i="3"/>
  <c r="V675" i="3"/>
  <c r="V676" i="3"/>
  <c r="U677" i="3"/>
  <c r="V678" i="3"/>
  <c r="S679" i="3"/>
  <c r="R680" i="3"/>
  <c r="O681" i="3"/>
  <c r="L682" i="3"/>
  <c r="K683" i="3"/>
  <c r="U683" i="3"/>
  <c r="R684" i="3"/>
  <c r="O685" i="3"/>
  <c r="J686" i="3"/>
  <c r="R686" i="3"/>
  <c r="M687" i="3"/>
  <c r="U687" i="3"/>
  <c r="P688" i="3"/>
  <c r="K689" i="3"/>
  <c r="S689" i="3"/>
  <c r="N690" i="3"/>
  <c r="V690" i="3"/>
  <c r="Q691" i="3"/>
  <c r="L692" i="3"/>
  <c r="T692" i="3"/>
  <c r="O693" i="3"/>
  <c r="J694" i="3"/>
  <c r="R694" i="3"/>
  <c r="M695" i="3"/>
  <c r="U695" i="3"/>
  <c r="P696" i="3"/>
  <c r="K697" i="3"/>
  <c r="S697" i="3"/>
  <c r="N698" i="3"/>
  <c r="V698" i="3"/>
  <c r="Q699" i="3"/>
  <c r="L700" i="3"/>
  <c r="T700" i="3"/>
  <c r="O701" i="3"/>
  <c r="J702" i="3"/>
  <c r="R702" i="3"/>
  <c r="M703" i="3"/>
  <c r="U703" i="3"/>
  <c r="P704" i="3"/>
  <c r="K705" i="3"/>
  <c r="S705" i="3"/>
  <c r="N706" i="3"/>
  <c r="V706" i="3"/>
  <c r="Q707" i="3"/>
  <c r="L708" i="3"/>
  <c r="T708" i="3"/>
  <c r="O709" i="3"/>
  <c r="J710" i="3"/>
  <c r="R710" i="3"/>
  <c r="M711" i="3"/>
  <c r="U711" i="3"/>
  <c r="P712" i="3"/>
  <c r="K713" i="3"/>
  <c r="S713" i="3"/>
  <c r="N714" i="3"/>
  <c r="V714" i="3"/>
  <c r="Q715" i="3"/>
  <c r="L716" i="3"/>
  <c r="T716" i="3"/>
  <c r="O717" i="3"/>
  <c r="J718" i="3"/>
  <c r="R718" i="3"/>
  <c r="M719" i="3"/>
  <c r="U719" i="3"/>
  <c r="P720" i="3"/>
  <c r="K721" i="3"/>
  <c r="S721" i="3"/>
  <c r="N722" i="3"/>
  <c r="V722" i="3"/>
  <c r="Q723" i="3"/>
  <c r="L724" i="3"/>
  <c r="T724" i="3"/>
  <c r="O725" i="3"/>
  <c r="J726" i="3"/>
  <c r="R726" i="3"/>
  <c r="M727" i="3"/>
  <c r="U727" i="3"/>
  <c r="P728" i="3"/>
  <c r="K729" i="3"/>
  <c r="S729" i="3"/>
  <c r="N730" i="3"/>
  <c r="V730" i="3"/>
  <c r="Q731" i="3"/>
  <c r="L732" i="3"/>
  <c r="T732" i="3"/>
  <c r="O733" i="3"/>
  <c r="J734" i="3"/>
  <c r="R734" i="3"/>
  <c r="M735" i="3"/>
  <c r="U735" i="3"/>
  <c r="P736" i="3"/>
  <c r="K737" i="3"/>
  <c r="S737" i="3"/>
  <c r="N738" i="3"/>
  <c r="V738" i="3"/>
  <c r="Q739" i="3"/>
  <c r="L740" i="3"/>
  <c r="T740" i="3"/>
  <c r="O741" i="3"/>
  <c r="J742" i="3"/>
  <c r="R742" i="3"/>
  <c r="M743" i="3"/>
  <c r="U743" i="3"/>
  <c r="P744" i="3"/>
  <c r="K745" i="3"/>
  <c r="S745" i="3"/>
  <c r="N746" i="3"/>
  <c r="V746" i="3"/>
  <c r="Q747" i="3"/>
  <c r="L748" i="3"/>
  <c r="T748" i="3"/>
  <c r="O749" i="3"/>
  <c r="J750" i="3"/>
  <c r="R750" i="3"/>
  <c r="M751" i="3"/>
  <c r="U751" i="3"/>
  <c r="P752" i="3"/>
  <c r="K753" i="3"/>
  <c r="S753" i="3"/>
  <c r="N754" i="3"/>
  <c r="V754" i="3"/>
  <c r="Q755" i="3"/>
  <c r="L756" i="3"/>
  <c r="T756" i="3"/>
  <c r="O757" i="3"/>
  <c r="J758" i="3"/>
  <c r="R758" i="3"/>
  <c r="M759" i="3"/>
  <c r="U759" i="3"/>
  <c r="P760" i="3"/>
  <c r="K761" i="3"/>
  <c r="S761" i="3"/>
  <c r="N762" i="3"/>
  <c r="V762" i="3"/>
  <c r="Q763" i="3"/>
  <c r="L764" i="3"/>
  <c r="T764" i="3"/>
  <c r="O765" i="3"/>
  <c r="J766" i="3"/>
  <c r="R766" i="3"/>
  <c r="M767" i="3"/>
  <c r="U767" i="3"/>
  <c r="P768" i="3"/>
  <c r="K769" i="3"/>
  <c r="S769" i="3"/>
  <c r="N770" i="3"/>
  <c r="V770" i="3"/>
  <c r="Q771" i="3"/>
  <c r="L772" i="3"/>
  <c r="T772" i="3"/>
  <c r="O773" i="3"/>
  <c r="J774" i="3"/>
  <c r="R774" i="3"/>
  <c r="M775" i="3"/>
  <c r="U775" i="3"/>
  <c r="P776" i="3"/>
  <c r="K777" i="3"/>
  <c r="S777" i="3"/>
  <c r="N778" i="3"/>
  <c r="V778" i="3"/>
  <c r="Q779" i="3"/>
  <c r="L780" i="3"/>
  <c r="T780" i="3"/>
  <c r="O781" i="3"/>
  <c r="J782" i="3"/>
  <c r="R782" i="3"/>
  <c r="M783" i="3"/>
  <c r="U783" i="3"/>
  <c r="P784" i="3"/>
  <c r="K785" i="3"/>
  <c r="S785" i="3"/>
  <c r="N786" i="3"/>
  <c r="V786" i="3"/>
  <c r="Q787" i="3"/>
  <c r="L788" i="3"/>
  <c r="T788" i="3"/>
  <c r="O789" i="3"/>
  <c r="J790" i="3"/>
  <c r="R790" i="3"/>
  <c r="M791" i="3"/>
  <c r="U791" i="3"/>
  <c r="P792" i="3"/>
  <c r="K793" i="3"/>
  <c r="S793" i="3"/>
  <c r="N794" i="3"/>
  <c r="V794" i="3"/>
  <c r="Q795" i="3"/>
  <c r="L796" i="3"/>
  <c r="T796" i="3"/>
  <c r="O797" i="3"/>
  <c r="J798" i="3"/>
  <c r="R798" i="3"/>
  <c r="M799" i="3"/>
  <c r="U799" i="3"/>
  <c r="P800" i="3"/>
  <c r="K801" i="3"/>
  <c r="S801" i="3"/>
  <c r="N802" i="3"/>
  <c r="V802" i="3"/>
  <c r="Q803" i="3"/>
  <c r="L804" i="3"/>
  <c r="T804" i="3"/>
  <c r="O805" i="3"/>
  <c r="J806" i="3"/>
  <c r="R806" i="3"/>
  <c r="M807" i="3"/>
  <c r="U807" i="3"/>
  <c r="P808" i="3"/>
  <c r="K809" i="3"/>
  <c r="S809" i="3"/>
  <c r="N810" i="3"/>
  <c r="V810" i="3"/>
  <c r="Q811" i="3"/>
  <c r="L812" i="3"/>
  <c r="T812" i="3"/>
  <c r="O813" i="3"/>
  <c r="J814" i="3"/>
  <c r="R814" i="3"/>
  <c r="M815" i="3"/>
  <c r="U815" i="3"/>
  <c r="P816" i="3"/>
  <c r="K817" i="3"/>
  <c r="S817" i="3"/>
  <c r="N818" i="3"/>
  <c r="V818" i="3"/>
  <c r="Q819" i="3"/>
  <c r="L820" i="3"/>
  <c r="T820" i="3"/>
  <c r="O821" i="3"/>
  <c r="J822" i="3"/>
  <c r="R822" i="3"/>
  <c r="M823" i="3"/>
  <c r="U823" i="3"/>
  <c r="P824" i="3"/>
  <c r="K825" i="3"/>
  <c r="S825" i="3"/>
  <c r="N826" i="3"/>
  <c r="V826" i="3"/>
  <c r="Q827" i="3"/>
  <c r="L828" i="3"/>
  <c r="T828" i="3"/>
  <c r="O829" i="3"/>
  <c r="J830" i="3"/>
  <c r="R830" i="3"/>
  <c r="M831" i="3"/>
  <c r="U831" i="3"/>
  <c r="P832" i="3"/>
  <c r="K833" i="3"/>
  <c r="S833" i="3"/>
  <c r="N834" i="3"/>
  <c r="V834" i="3"/>
  <c r="Q835" i="3"/>
  <c r="L836" i="3"/>
  <c r="T836" i="3"/>
  <c r="O837" i="3"/>
  <c r="J838" i="3"/>
  <c r="R838" i="3"/>
  <c r="M839" i="3"/>
  <c r="U839" i="3"/>
  <c r="P840" i="3"/>
  <c r="K347" i="3"/>
  <c r="T378" i="3"/>
  <c r="R399" i="3"/>
  <c r="M413" i="3"/>
  <c r="P425" i="3"/>
  <c r="J439" i="3"/>
  <c r="R452" i="3"/>
  <c r="U464" i="3"/>
  <c r="O478" i="3"/>
  <c r="J492" i="3"/>
  <c r="M504" i="3"/>
  <c r="T517" i="3"/>
  <c r="O531" i="3"/>
  <c r="U540" i="3"/>
  <c r="O544" i="3"/>
  <c r="T547" i="3"/>
  <c r="S550" i="3"/>
  <c r="M554" i="3"/>
  <c r="R557" i="3"/>
  <c r="Q560" i="3"/>
  <c r="K564" i="3"/>
  <c r="P567" i="3"/>
  <c r="O570" i="3"/>
  <c r="V573" i="3"/>
  <c r="N577" i="3"/>
  <c r="M580" i="3"/>
  <c r="T583" i="3"/>
  <c r="L587" i="3"/>
  <c r="K590" i="3"/>
  <c r="R593" i="3"/>
  <c r="J597" i="3"/>
  <c r="V599" i="3"/>
  <c r="P603" i="3"/>
  <c r="U606" i="3"/>
  <c r="T609" i="3"/>
  <c r="N613" i="3"/>
  <c r="S616" i="3"/>
  <c r="R619" i="3"/>
  <c r="Q622" i="3"/>
  <c r="N625" i="3"/>
  <c r="R627" i="3"/>
  <c r="O630" i="3"/>
  <c r="L633" i="3"/>
  <c r="Q635" i="3"/>
  <c r="M638" i="3"/>
  <c r="J641" i="3"/>
  <c r="V642" i="3"/>
  <c r="L645" i="3"/>
  <c r="P647" i="3"/>
  <c r="K649" i="3"/>
  <c r="T650" i="3"/>
  <c r="Q652" i="3"/>
  <c r="J654" i="3"/>
  <c r="S655" i="3"/>
  <c r="P657" i="3"/>
  <c r="V658" i="3"/>
  <c r="R660" i="3"/>
  <c r="O662" i="3"/>
  <c r="U663" i="3"/>
  <c r="Q665" i="3"/>
  <c r="K667" i="3"/>
  <c r="N668" i="3"/>
  <c r="Q669" i="3"/>
  <c r="T670" i="3"/>
  <c r="J672" i="3"/>
  <c r="K673" i="3"/>
  <c r="K674" i="3"/>
  <c r="K675" i="3"/>
  <c r="J676" i="3"/>
  <c r="K677" i="3"/>
  <c r="J678" i="3"/>
  <c r="J679" i="3"/>
  <c r="U679" i="3"/>
  <c r="S680" i="3"/>
  <c r="P681" i="3"/>
  <c r="N682" i="3"/>
  <c r="L683" i="3"/>
  <c r="V683" i="3"/>
  <c r="T684" i="3"/>
  <c r="P685" i="3"/>
  <c r="K686" i="3"/>
  <c r="S686" i="3"/>
  <c r="N687" i="3"/>
  <c r="V687" i="3"/>
  <c r="Q688" i="3"/>
  <c r="L689" i="3"/>
  <c r="T689" i="3"/>
  <c r="O690" i="3"/>
  <c r="J691" i="3"/>
  <c r="R691" i="3"/>
  <c r="M692" i="3"/>
  <c r="U692" i="3"/>
  <c r="P693" i="3"/>
  <c r="K694" i="3"/>
  <c r="S694" i="3"/>
  <c r="N695" i="3"/>
  <c r="V695" i="3"/>
  <c r="Q696" i="3"/>
  <c r="L697" i="3"/>
  <c r="T697" i="3"/>
  <c r="O698" i="3"/>
  <c r="J699" i="3"/>
  <c r="R699" i="3"/>
  <c r="M700" i="3"/>
  <c r="U700" i="3"/>
  <c r="P701" i="3"/>
  <c r="K702" i="3"/>
  <c r="S702" i="3"/>
  <c r="N703" i="3"/>
  <c r="V703" i="3"/>
  <c r="Q704" i="3"/>
  <c r="L705" i="3"/>
  <c r="T705" i="3"/>
  <c r="O706" i="3"/>
  <c r="J707" i="3"/>
  <c r="R707" i="3"/>
  <c r="M708" i="3"/>
  <c r="U708" i="3"/>
  <c r="P709" i="3"/>
  <c r="K710" i="3"/>
  <c r="S710" i="3"/>
  <c r="N711" i="3"/>
  <c r="V711" i="3"/>
  <c r="Q712" i="3"/>
  <c r="L713" i="3"/>
  <c r="T713" i="3"/>
  <c r="O714" i="3"/>
  <c r="J715" i="3"/>
  <c r="R715" i="3"/>
  <c r="M716" i="3"/>
  <c r="U716" i="3"/>
  <c r="P717" i="3"/>
  <c r="K718" i="3"/>
  <c r="S718" i="3"/>
  <c r="N719" i="3"/>
  <c r="V719" i="3"/>
  <c r="Q720" i="3"/>
  <c r="L721" i="3"/>
  <c r="T721" i="3"/>
  <c r="O722" i="3"/>
  <c r="J723" i="3"/>
  <c r="R723" i="3"/>
  <c r="M724" i="3"/>
  <c r="U724" i="3"/>
  <c r="P725" i="3"/>
  <c r="K726" i="3"/>
  <c r="S726" i="3"/>
  <c r="N727" i="3"/>
  <c r="V727" i="3"/>
  <c r="Q728" i="3"/>
  <c r="L729" i="3"/>
  <c r="T729" i="3"/>
  <c r="O730" i="3"/>
  <c r="J731" i="3"/>
  <c r="R731" i="3"/>
  <c r="M732" i="3"/>
  <c r="U732" i="3"/>
  <c r="P733" i="3"/>
  <c r="K734" i="3"/>
  <c r="S734" i="3"/>
  <c r="N735" i="3"/>
  <c r="V735" i="3"/>
  <c r="Q736" i="3"/>
  <c r="L737" i="3"/>
  <c r="T737" i="3"/>
  <c r="O738" i="3"/>
  <c r="J739" i="3"/>
  <c r="R739" i="3"/>
  <c r="M740" i="3"/>
  <c r="U740" i="3"/>
  <c r="P741" i="3"/>
  <c r="K742" i="3"/>
  <c r="S742" i="3"/>
  <c r="N743" i="3"/>
  <c r="V743" i="3"/>
  <c r="Q744" i="3"/>
  <c r="L745" i="3"/>
  <c r="T745" i="3"/>
  <c r="O746" i="3"/>
  <c r="J747" i="3"/>
  <c r="R747" i="3"/>
  <c r="M748" i="3"/>
  <c r="U748" i="3"/>
  <c r="P749" i="3"/>
  <c r="K750" i="3"/>
  <c r="S750" i="3"/>
  <c r="N751" i="3"/>
  <c r="V751" i="3"/>
  <c r="Q752" i="3"/>
  <c r="L753" i="3"/>
  <c r="T753" i="3"/>
  <c r="O754" i="3"/>
  <c r="J755" i="3"/>
  <c r="R755" i="3"/>
  <c r="M756" i="3"/>
  <c r="U756" i="3"/>
  <c r="P757" i="3"/>
  <c r="K758" i="3"/>
  <c r="S758" i="3"/>
  <c r="N759" i="3"/>
  <c r="V759" i="3"/>
  <c r="Q760" i="3"/>
  <c r="L761" i="3"/>
  <c r="T761" i="3"/>
  <c r="O762" i="3"/>
  <c r="J763" i="3"/>
  <c r="R763" i="3"/>
  <c r="M764" i="3"/>
  <c r="U764" i="3"/>
  <c r="P765" i="3"/>
  <c r="K766" i="3"/>
  <c r="S766" i="3"/>
  <c r="N767" i="3"/>
  <c r="V767" i="3"/>
  <c r="Q768" i="3"/>
  <c r="L769" i="3"/>
  <c r="T769" i="3"/>
  <c r="O770" i="3"/>
  <c r="J771" i="3"/>
  <c r="R771" i="3"/>
  <c r="M772" i="3"/>
  <c r="U772" i="3"/>
  <c r="P773" i="3"/>
  <c r="K774" i="3"/>
  <c r="S774" i="3"/>
  <c r="N775" i="3"/>
  <c r="V775" i="3"/>
  <c r="Q776" i="3"/>
  <c r="L777" i="3"/>
  <c r="T777" i="3"/>
  <c r="O778" i="3"/>
  <c r="J779" i="3"/>
  <c r="R779" i="3"/>
  <c r="M780" i="3"/>
  <c r="U780" i="3"/>
  <c r="P781" i="3"/>
  <c r="K782" i="3"/>
  <c r="S782" i="3"/>
  <c r="N783" i="3"/>
  <c r="V783" i="3"/>
  <c r="Q784" i="3"/>
  <c r="L785" i="3"/>
  <c r="T785" i="3"/>
  <c r="O786" i="3"/>
  <c r="J787" i="3"/>
  <c r="R787" i="3"/>
  <c r="M788" i="3"/>
  <c r="U788" i="3"/>
  <c r="P789" i="3"/>
  <c r="K790" i="3"/>
  <c r="S790" i="3"/>
  <c r="N791" i="3"/>
  <c r="V791" i="3"/>
  <c r="Q792" i="3"/>
  <c r="L793" i="3"/>
  <c r="T793" i="3"/>
  <c r="O794" i="3"/>
  <c r="J795" i="3"/>
  <c r="R795" i="3"/>
  <c r="M796" i="3"/>
  <c r="U796" i="3"/>
  <c r="P797" i="3"/>
  <c r="K798" i="3"/>
  <c r="S798" i="3"/>
  <c r="N799" i="3"/>
  <c r="V799" i="3"/>
  <c r="Q800" i="3"/>
  <c r="L801" i="3"/>
  <c r="T801" i="3"/>
  <c r="O802" i="3"/>
  <c r="J803" i="3"/>
  <c r="R803" i="3"/>
  <c r="M804" i="3"/>
  <c r="U804" i="3"/>
  <c r="P805" i="3"/>
  <c r="K806" i="3"/>
  <c r="S806" i="3"/>
  <c r="N807" i="3"/>
  <c r="V807" i="3"/>
  <c r="Q808" i="3"/>
  <c r="L809" i="3"/>
  <c r="T809" i="3"/>
  <c r="O810" i="3"/>
  <c r="J811" i="3"/>
  <c r="R811" i="3"/>
  <c r="M812" i="3"/>
  <c r="U812" i="3"/>
  <c r="P813" i="3"/>
  <c r="K814" i="3"/>
  <c r="S814" i="3"/>
  <c r="N815" i="3"/>
  <c r="V815" i="3"/>
  <c r="Q816" i="3"/>
  <c r="L817" i="3"/>
  <c r="T817" i="3"/>
  <c r="O818" i="3"/>
  <c r="J819" i="3"/>
  <c r="R819" i="3"/>
  <c r="M820" i="3"/>
  <c r="U820" i="3"/>
  <c r="P821" i="3"/>
  <c r="K822" i="3"/>
  <c r="S822" i="3"/>
  <c r="N823" i="3"/>
  <c r="V823" i="3"/>
  <c r="Q824" i="3"/>
  <c r="L825" i="3"/>
  <c r="T825" i="3"/>
  <c r="O826" i="3"/>
  <c r="J827" i="3"/>
  <c r="R827" i="3"/>
  <c r="M828" i="3"/>
  <c r="U828" i="3"/>
  <c r="P829" i="3"/>
  <c r="K830" i="3"/>
  <c r="S830" i="3"/>
  <c r="N831" i="3"/>
  <c r="V831" i="3"/>
  <c r="Q832" i="3"/>
  <c r="L833" i="3"/>
  <c r="T833" i="3"/>
  <c r="O834" i="3"/>
  <c r="J835" i="3"/>
  <c r="R835" i="3"/>
  <c r="M836" i="3"/>
  <c r="U836" i="3"/>
  <c r="P837" i="3"/>
  <c r="K838" i="3"/>
  <c r="S838" i="3"/>
  <c r="N839" i="3"/>
  <c r="V839" i="3"/>
  <c r="Q840" i="3"/>
  <c r="L841" i="3"/>
  <c r="T841" i="3"/>
  <c r="O842" i="3"/>
  <c r="J843" i="3"/>
  <c r="R843" i="3"/>
  <c r="U349" i="3"/>
  <c r="V384" i="3"/>
  <c r="U400" i="3"/>
  <c r="O414" i="3"/>
  <c r="J428" i="3"/>
  <c r="M440" i="3"/>
  <c r="T453" i="3"/>
  <c r="O467" i="3"/>
  <c r="R479" i="3"/>
  <c r="L493" i="3"/>
  <c r="T506" i="3"/>
  <c r="J519" i="3"/>
  <c r="Q532" i="3"/>
  <c r="R541" i="3"/>
  <c r="Q544" i="3"/>
  <c r="K548" i="3"/>
  <c r="P551" i="3"/>
  <c r="O554" i="3"/>
  <c r="V557" i="3"/>
  <c r="N561" i="3"/>
  <c r="M564" i="3"/>
  <c r="T567" i="3"/>
  <c r="L571" i="3"/>
  <c r="K574" i="3"/>
  <c r="R577" i="3"/>
  <c r="J581" i="3"/>
  <c r="V583" i="3"/>
  <c r="P587" i="3"/>
  <c r="U590" i="3"/>
  <c r="T593" i="3"/>
  <c r="N597" i="3"/>
  <c r="S600" i="3"/>
  <c r="R603" i="3"/>
  <c r="L607" i="3"/>
  <c r="Q610" i="3"/>
  <c r="P613" i="3"/>
  <c r="J617" i="3"/>
  <c r="O620" i="3"/>
  <c r="S622" i="3"/>
  <c r="P625" i="3"/>
  <c r="M628" i="3"/>
  <c r="R630" i="3"/>
  <c r="N633" i="3"/>
  <c r="L636" i="3"/>
  <c r="Q638" i="3"/>
  <c r="K641" i="3"/>
  <c r="P643" i="3"/>
  <c r="O645" i="3"/>
  <c r="R647" i="3"/>
  <c r="P649" i="3"/>
  <c r="V650" i="3"/>
  <c r="R652" i="3"/>
  <c r="O654" i="3"/>
  <c r="U655" i="3"/>
  <c r="Q657" i="3"/>
  <c r="N659" i="3"/>
  <c r="T660" i="3"/>
  <c r="P662" i="3"/>
  <c r="M664" i="3"/>
  <c r="S665" i="3"/>
  <c r="N667" i="3"/>
  <c r="Q668" i="3"/>
  <c r="T669" i="3"/>
  <c r="J671" i="3"/>
  <c r="M672" i="3"/>
  <c r="M673" i="3"/>
  <c r="L674" i="3"/>
  <c r="M675" i="3"/>
  <c r="L676" i="3"/>
  <c r="L677" i="3"/>
  <c r="L678" i="3"/>
  <c r="K679" i="3"/>
  <c r="J680" i="3"/>
  <c r="T680" i="3"/>
  <c r="Q681" i="3"/>
  <c r="P682" i="3"/>
  <c r="M683" i="3"/>
  <c r="J684" i="3"/>
  <c r="V684" i="3"/>
  <c r="Q685" i="3"/>
  <c r="L686" i="3"/>
  <c r="T686" i="3"/>
  <c r="O687" i="3"/>
  <c r="J688" i="3"/>
  <c r="R688" i="3"/>
  <c r="M689" i="3"/>
  <c r="U689" i="3"/>
  <c r="P690" i="3"/>
  <c r="K691" i="3"/>
  <c r="S691" i="3"/>
  <c r="N692" i="3"/>
  <c r="V692" i="3"/>
  <c r="Q693" i="3"/>
  <c r="O363" i="3"/>
  <c r="R388" i="3"/>
  <c r="Q404" i="3"/>
  <c r="L418" i="3"/>
  <c r="O430" i="3"/>
  <c r="V443" i="3"/>
  <c r="Q457" i="3"/>
  <c r="T469" i="3"/>
  <c r="N483" i="3"/>
  <c r="V496" i="3"/>
  <c r="L509" i="3"/>
  <c r="S522" i="3"/>
  <c r="N536" i="3"/>
  <c r="K542" i="3"/>
  <c r="R545" i="3"/>
  <c r="J549" i="3"/>
  <c r="V551" i="3"/>
  <c r="P555" i="3"/>
  <c r="U558" i="3"/>
  <c r="T561" i="3"/>
  <c r="N565" i="3"/>
  <c r="S568" i="3"/>
  <c r="R571" i="3"/>
  <c r="L575" i="3"/>
  <c r="Q578" i="3"/>
  <c r="P581" i="3"/>
  <c r="J585" i="3"/>
  <c r="O588" i="3"/>
  <c r="N591" i="3"/>
  <c r="U594" i="3"/>
  <c r="M598" i="3"/>
  <c r="L601" i="3"/>
  <c r="S604" i="3"/>
  <c r="K608" i="3"/>
  <c r="J611" i="3"/>
  <c r="Q614" i="3"/>
  <c r="V617" i="3"/>
  <c r="T620" i="3"/>
  <c r="P623" i="3"/>
  <c r="N626" i="3"/>
  <c r="S628" i="3"/>
  <c r="N631" i="3"/>
  <c r="M634" i="3"/>
  <c r="Q636" i="3"/>
  <c r="M639" i="3"/>
  <c r="T641" i="3"/>
  <c r="S643" i="3"/>
  <c r="J646" i="3"/>
  <c r="M648" i="3"/>
  <c r="S649" i="3"/>
  <c r="O651" i="3"/>
  <c r="L653" i="3"/>
  <c r="R654" i="3"/>
  <c r="N656" i="3"/>
  <c r="K658" i="3"/>
  <c r="Q659" i="3"/>
  <c r="M661" i="3"/>
  <c r="J663" i="3"/>
  <c r="P664" i="3"/>
  <c r="L666" i="3"/>
  <c r="Q667" i="3"/>
  <c r="T668" i="3"/>
  <c r="J670" i="3"/>
  <c r="M671" i="3"/>
  <c r="P672" i="3"/>
  <c r="P673" i="3"/>
  <c r="P674" i="3"/>
  <c r="O675" i="3"/>
  <c r="P676" i="3"/>
  <c r="O677" i="3"/>
  <c r="O678" i="3"/>
  <c r="O679" i="3"/>
  <c r="L680" i="3"/>
  <c r="V680" i="3"/>
  <c r="U681" i="3"/>
  <c r="R682" i="3"/>
  <c r="O683" i="3"/>
  <c r="N684" i="3"/>
  <c r="K685" i="3"/>
  <c r="S685" i="3"/>
  <c r="N686" i="3"/>
  <c r="V686" i="3"/>
  <c r="Q687" i="3"/>
  <c r="L688" i="3"/>
  <c r="T688" i="3"/>
  <c r="O689" i="3"/>
  <c r="J690" i="3"/>
  <c r="R690" i="3"/>
  <c r="M691" i="3"/>
  <c r="U691" i="3"/>
  <c r="P692" i="3"/>
  <c r="K693" i="3"/>
  <c r="S693" i="3"/>
  <c r="N694" i="3"/>
  <c r="V694" i="3"/>
  <c r="Q695" i="3"/>
  <c r="L696" i="3"/>
  <c r="T696" i="3"/>
  <c r="O697" i="3"/>
  <c r="J698" i="3"/>
  <c r="R698" i="3"/>
  <c r="M699" i="3"/>
  <c r="U699" i="3"/>
  <c r="P700" i="3"/>
  <c r="K701" i="3"/>
  <c r="S701" i="3"/>
  <c r="N702" i="3"/>
  <c r="V702" i="3"/>
  <c r="Q703" i="3"/>
  <c r="L704" i="3"/>
  <c r="T704" i="3"/>
  <c r="O705" i="3"/>
  <c r="J706" i="3"/>
  <c r="R706" i="3"/>
  <c r="M707" i="3"/>
  <c r="U707" i="3"/>
  <c r="P708" i="3"/>
  <c r="K709" i="3"/>
  <c r="S709" i="3"/>
  <c r="N710" i="3"/>
  <c r="V710" i="3"/>
  <c r="Q711" i="3"/>
  <c r="L712" i="3"/>
  <c r="T712" i="3"/>
  <c r="O713" i="3"/>
  <c r="J714" i="3"/>
  <c r="R714" i="3"/>
  <c r="M715" i="3"/>
  <c r="U715" i="3"/>
  <c r="P716" i="3"/>
  <c r="K717" i="3"/>
  <c r="S717" i="3"/>
  <c r="N718" i="3"/>
  <c r="V718" i="3"/>
  <c r="Q719" i="3"/>
  <c r="L720" i="3"/>
  <c r="T720" i="3"/>
  <c r="O721" i="3"/>
  <c r="J722" i="3"/>
  <c r="R722" i="3"/>
  <c r="M723" i="3"/>
  <c r="U723" i="3"/>
  <c r="P724" i="3"/>
  <c r="K725" i="3"/>
  <c r="S725" i="3"/>
  <c r="N726" i="3"/>
  <c r="V726" i="3"/>
  <c r="Q727" i="3"/>
  <c r="L728" i="3"/>
  <c r="T728" i="3"/>
  <c r="O729" i="3"/>
  <c r="J730" i="3"/>
  <c r="R730" i="3"/>
  <c r="M731" i="3"/>
  <c r="U731" i="3"/>
  <c r="P732" i="3"/>
  <c r="K733" i="3"/>
  <c r="S733" i="3"/>
  <c r="N734" i="3"/>
  <c r="V734" i="3"/>
  <c r="Q735" i="3"/>
  <c r="L736" i="3"/>
  <c r="T736" i="3"/>
  <c r="O737" i="3"/>
  <c r="J738" i="3"/>
  <c r="R738" i="3"/>
  <c r="M739" i="3"/>
  <c r="U739" i="3"/>
  <c r="P740" i="3"/>
  <c r="K741" i="3"/>
  <c r="S741" i="3"/>
  <c r="N742" i="3"/>
  <c r="V742" i="3"/>
  <c r="Q743" i="3"/>
  <c r="L744" i="3"/>
  <c r="T744" i="3"/>
  <c r="O745" i="3"/>
  <c r="J746" i="3"/>
  <c r="R746" i="3"/>
  <c r="M747" i="3"/>
  <c r="U747" i="3"/>
  <c r="P748" i="3"/>
  <c r="K749" i="3"/>
  <c r="S749" i="3"/>
  <c r="N750" i="3"/>
  <c r="V750" i="3"/>
  <c r="Q751" i="3"/>
  <c r="L752" i="3"/>
  <c r="T752" i="3"/>
  <c r="O753" i="3"/>
  <c r="J754" i="3"/>
  <c r="R754" i="3"/>
  <c r="M755" i="3"/>
  <c r="U755" i="3"/>
  <c r="P756" i="3"/>
  <c r="K757" i="3"/>
  <c r="S757" i="3"/>
  <c r="N758" i="3"/>
  <c r="V758" i="3"/>
  <c r="Q759" i="3"/>
  <c r="L760" i="3"/>
  <c r="T760" i="3"/>
  <c r="O761" i="3"/>
  <c r="J762" i="3"/>
  <c r="R762" i="3"/>
  <c r="M763" i="3"/>
  <c r="U763" i="3"/>
  <c r="P764" i="3"/>
  <c r="K765" i="3"/>
  <c r="S765" i="3"/>
  <c r="N766" i="3"/>
  <c r="V766" i="3"/>
  <c r="Q767" i="3"/>
  <c r="L768" i="3"/>
  <c r="T768" i="3"/>
  <c r="O769" i="3"/>
  <c r="J770" i="3"/>
  <c r="R770" i="3"/>
  <c r="M771" i="3"/>
  <c r="U771" i="3"/>
  <c r="P772" i="3"/>
  <c r="K773" i="3"/>
  <c r="S773" i="3"/>
  <c r="N774" i="3"/>
  <c r="V774" i="3"/>
  <c r="Q775" i="3"/>
  <c r="L776" i="3"/>
  <c r="T776" i="3"/>
  <c r="O777" i="3"/>
  <c r="J778" i="3"/>
  <c r="R778" i="3"/>
  <c r="M779" i="3"/>
  <c r="U779" i="3"/>
  <c r="P780" i="3"/>
  <c r="K781" i="3"/>
  <c r="S781" i="3"/>
  <c r="N782" i="3"/>
  <c r="V782" i="3"/>
  <c r="Q783" i="3"/>
  <c r="L784" i="3"/>
  <c r="T784" i="3"/>
  <c r="O785" i="3"/>
  <c r="J786" i="3"/>
  <c r="R786" i="3"/>
  <c r="M787" i="3"/>
  <c r="U787" i="3"/>
  <c r="P788" i="3"/>
  <c r="K789" i="3"/>
  <c r="S789" i="3"/>
  <c r="N790" i="3"/>
  <c r="V790" i="3"/>
  <c r="Q791" i="3"/>
  <c r="L792" i="3"/>
  <c r="T792" i="3"/>
  <c r="O793" i="3"/>
  <c r="J794" i="3"/>
  <c r="R794" i="3"/>
  <c r="M795" i="3"/>
  <c r="U795" i="3"/>
  <c r="P796" i="3"/>
  <c r="K797" i="3"/>
  <c r="S797" i="3"/>
  <c r="N798" i="3"/>
  <c r="V798" i="3"/>
  <c r="Q799" i="3"/>
  <c r="L800" i="3"/>
  <c r="T800" i="3"/>
  <c r="O801" i="3"/>
  <c r="J802" i="3"/>
  <c r="R802" i="3"/>
  <c r="M803" i="3"/>
  <c r="U803" i="3"/>
  <c r="P804" i="3"/>
  <c r="K805" i="3"/>
  <c r="S805" i="3"/>
  <c r="N806" i="3"/>
  <c r="V806" i="3"/>
  <c r="Q807" i="3"/>
  <c r="L808" i="3"/>
  <c r="T808" i="3"/>
  <c r="O809" i="3"/>
  <c r="J810" i="3"/>
  <c r="R810" i="3"/>
  <c r="M811" i="3"/>
  <c r="U811" i="3"/>
  <c r="P812" i="3"/>
  <c r="K813" i="3"/>
  <c r="S813" i="3"/>
  <c r="N814" i="3"/>
  <c r="V814" i="3"/>
  <c r="Q815" i="3"/>
  <c r="L816" i="3"/>
  <c r="T816" i="3"/>
  <c r="O817" i="3"/>
  <c r="J818" i="3"/>
  <c r="R818" i="3"/>
  <c r="M819" i="3"/>
  <c r="U819" i="3"/>
  <c r="P820" i="3"/>
  <c r="K821" i="3"/>
  <c r="S821" i="3"/>
  <c r="N822" i="3"/>
  <c r="V822" i="3"/>
  <c r="Q823" i="3"/>
  <c r="L824" i="3"/>
  <c r="T824" i="3"/>
  <c r="O825" i="3"/>
  <c r="J826" i="3"/>
  <c r="R826" i="3"/>
  <c r="M827" i="3"/>
  <c r="U827" i="3"/>
  <c r="P828" i="3"/>
  <c r="K829" i="3"/>
  <c r="S829" i="3"/>
  <c r="N830" i="3"/>
  <c r="V830" i="3"/>
  <c r="Q831" i="3"/>
  <c r="L832" i="3"/>
  <c r="T832" i="3"/>
  <c r="O833" i="3"/>
  <c r="J834" i="3"/>
  <c r="R834" i="3"/>
  <c r="M835" i="3"/>
  <c r="U835" i="3"/>
  <c r="P836" i="3"/>
  <c r="K837" i="3"/>
  <c r="S837" i="3"/>
  <c r="N838" i="3"/>
  <c r="V838" i="3"/>
  <c r="Q839" i="3"/>
  <c r="L840" i="3"/>
  <c r="T840" i="3"/>
  <c r="O841" i="3"/>
  <c r="J842" i="3"/>
  <c r="R842" i="3"/>
  <c r="M843" i="3"/>
  <c r="U843" i="3"/>
  <c r="P844" i="3"/>
  <c r="K845" i="3"/>
  <c r="S845" i="3"/>
  <c r="N846" i="3"/>
  <c r="J355" i="3"/>
  <c r="L482" i="3"/>
  <c r="T551" i="3"/>
  <c r="T577" i="3"/>
  <c r="O604" i="3"/>
  <c r="O628" i="3"/>
  <c r="U647" i="3"/>
  <c r="L661" i="3"/>
  <c r="N672" i="3"/>
  <c r="K680" i="3"/>
  <c r="M686" i="3"/>
  <c r="L691" i="3"/>
  <c r="U694" i="3"/>
  <c r="R696" i="3"/>
  <c r="K698" i="3"/>
  <c r="T699" i="3"/>
  <c r="Q701" i="3"/>
  <c r="J703" i="3"/>
  <c r="S704" i="3"/>
  <c r="P706" i="3"/>
  <c r="V707" i="3"/>
  <c r="R709" i="3"/>
  <c r="O711" i="3"/>
  <c r="U712" i="3"/>
  <c r="Q714" i="3"/>
  <c r="N716" i="3"/>
  <c r="T717" i="3"/>
  <c r="P719" i="3"/>
  <c r="M721" i="3"/>
  <c r="S722" i="3"/>
  <c r="O724" i="3"/>
  <c r="L726" i="3"/>
  <c r="R727" i="3"/>
  <c r="N729" i="3"/>
  <c r="K731" i="3"/>
  <c r="Q732" i="3"/>
  <c r="M734" i="3"/>
  <c r="J736" i="3"/>
  <c r="P737" i="3"/>
  <c r="L739" i="3"/>
  <c r="V740" i="3"/>
  <c r="O742" i="3"/>
  <c r="K744" i="3"/>
  <c r="U745" i="3"/>
  <c r="N747" i="3"/>
  <c r="J749" i="3"/>
  <c r="T750" i="3"/>
  <c r="M752" i="3"/>
  <c r="V753" i="3"/>
  <c r="S755" i="3"/>
  <c r="L757" i="3"/>
  <c r="U758" i="3"/>
  <c r="R760" i="3"/>
  <c r="K762" i="3"/>
  <c r="T763" i="3"/>
  <c r="Q765" i="3"/>
  <c r="J767" i="3"/>
  <c r="S768" i="3"/>
  <c r="P770" i="3"/>
  <c r="V771" i="3"/>
  <c r="R773" i="3"/>
  <c r="O775" i="3"/>
  <c r="U776" i="3"/>
  <c r="Q778" i="3"/>
  <c r="N780" i="3"/>
  <c r="T781" i="3"/>
  <c r="P783" i="3"/>
  <c r="M785" i="3"/>
  <c r="S786" i="3"/>
  <c r="O788" i="3"/>
  <c r="L790" i="3"/>
  <c r="R791" i="3"/>
  <c r="N793" i="3"/>
  <c r="K795" i="3"/>
  <c r="Q796" i="3"/>
  <c r="M798" i="3"/>
  <c r="J800" i="3"/>
  <c r="P801" i="3"/>
  <c r="L803" i="3"/>
  <c r="V804" i="3"/>
  <c r="O806" i="3"/>
  <c r="K808" i="3"/>
  <c r="U809" i="3"/>
  <c r="N811" i="3"/>
  <c r="J813" i="3"/>
  <c r="T814" i="3"/>
  <c r="M816" i="3"/>
  <c r="V817" i="3"/>
  <c r="S819" i="3"/>
  <c r="L821" i="3"/>
  <c r="U822" i="3"/>
  <c r="R824" i="3"/>
  <c r="K826" i="3"/>
  <c r="T827" i="3"/>
  <c r="Q829" i="3"/>
  <c r="J831" i="3"/>
  <c r="S832" i="3"/>
  <c r="P834" i="3"/>
  <c r="V835" i="3"/>
  <c r="R837" i="3"/>
  <c r="O839" i="3"/>
  <c r="U840" i="3"/>
  <c r="V841" i="3"/>
  <c r="T842" i="3"/>
  <c r="Q843" i="3"/>
  <c r="N844" i="3"/>
  <c r="J845" i="3"/>
  <c r="T845" i="3"/>
  <c r="P846" i="3"/>
  <c r="K847" i="3"/>
  <c r="S847" i="3"/>
  <c r="N848" i="3"/>
  <c r="V848" i="3"/>
  <c r="Q849" i="3"/>
  <c r="L850" i="3"/>
  <c r="T850" i="3"/>
  <c r="O851" i="3"/>
  <c r="J852" i="3"/>
  <c r="R852" i="3"/>
  <c r="M853" i="3"/>
  <c r="U853" i="3"/>
  <c r="P854" i="3"/>
  <c r="K855" i="3"/>
  <c r="S855" i="3"/>
  <c r="N856" i="3"/>
  <c r="V856" i="3"/>
  <c r="Q857" i="3"/>
  <c r="L858" i="3"/>
  <c r="T858" i="3"/>
  <c r="O859" i="3"/>
  <c r="J860" i="3"/>
  <c r="R860" i="3"/>
  <c r="M861" i="3"/>
  <c r="U861" i="3"/>
  <c r="P862" i="3"/>
  <c r="K863" i="3"/>
  <c r="S863" i="3"/>
  <c r="N864" i="3"/>
  <c r="V864" i="3"/>
  <c r="Q865" i="3"/>
  <c r="L866" i="3"/>
  <c r="T866" i="3"/>
  <c r="O867" i="3"/>
  <c r="J868" i="3"/>
  <c r="R868" i="3"/>
  <c r="M869" i="3"/>
  <c r="U869" i="3"/>
  <c r="P870" i="3"/>
  <c r="K871" i="3"/>
  <c r="S871" i="3"/>
  <c r="N872" i="3"/>
  <c r="V872" i="3"/>
  <c r="Q873" i="3"/>
  <c r="L874" i="3"/>
  <c r="T874" i="3"/>
  <c r="O875" i="3"/>
  <c r="J876" i="3"/>
  <c r="R876" i="3"/>
  <c r="M877" i="3"/>
  <c r="U877" i="3"/>
  <c r="P878" i="3"/>
  <c r="K879" i="3"/>
  <c r="S879" i="3"/>
  <c r="N880" i="3"/>
  <c r="V880" i="3"/>
  <c r="Q881" i="3"/>
  <c r="L882" i="3"/>
  <c r="T882" i="3"/>
  <c r="O883" i="3"/>
  <c r="J884" i="3"/>
  <c r="R884" i="3"/>
  <c r="M885" i="3"/>
  <c r="U885" i="3"/>
  <c r="P886" i="3"/>
  <c r="K887" i="3"/>
  <c r="S887" i="3"/>
  <c r="N888" i="3"/>
  <c r="V888" i="3"/>
  <c r="Q889" i="3"/>
  <c r="L890" i="3"/>
  <c r="T890" i="3"/>
  <c r="O891" i="3"/>
  <c r="J892" i="3"/>
  <c r="R892" i="3"/>
  <c r="M893" i="3"/>
  <c r="U893" i="3"/>
  <c r="P894" i="3"/>
  <c r="K895" i="3"/>
  <c r="S895" i="3"/>
  <c r="N896" i="3"/>
  <c r="V896" i="3"/>
  <c r="Q897" i="3"/>
  <c r="L898" i="3"/>
  <c r="T898" i="3"/>
  <c r="O899" i="3"/>
  <c r="J900" i="3"/>
  <c r="R900" i="3"/>
  <c r="M901" i="3"/>
  <c r="U901" i="3"/>
  <c r="P902" i="3"/>
  <c r="K903" i="3"/>
  <c r="S903" i="3"/>
  <c r="N904" i="3"/>
  <c r="V904" i="3"/>
  <c r="Q905" i="3"/>
  <c r="L906" i="3"/>
  <c r="T906" i="3"/>
  <c r="O907" i="3"/>
  <c r="J908" i="3"/>
  <c r="R908" i="3"/>
  <c r="M909" i="3"/>
  <c r="U909" i="3"/>
  <c r="P910" i="3"/>
  <c r="K911" i="3"/>
  <c r="S911" i="3"/>
  <c r="N912" i="3"/>
  <c r="V912" i="3"/>
  <c r="Q913" i="3"/>
  <c r="L914" i="3"/>
  <c r="T914" i="3"/>
  <c r="O915" i="3"/>
  <c r="J916" i="3"/>
  <c r="R916" i="3"/>
  <c r="M917" i="3"/>
  <c r="U917" i="3"/>
  <c r="P918" i="3"/>
  <c r="K919" i="3"/>
  <c r="S919" i="3"/>
  <c r="N920" i="3"/>
  <c r="V920" i="3"/>
  <c r="Q921" i="3"/>
  <c r="L922" i="3"/>
  <c r="T922" i="3"/>
  <c r="O923" i="3"/>
  <c r="J924" i="3"/>
  <c r="R924" i="3"/>
  <c r="M925" i="3"/>
  <c r="U925" i="3"/>
  <c r="P926" i="3"/>
  <c r="K927" i="3"/>
  <c r="S927" i="3"/>
  <c r="N928" i="3"/>
  <c r="V928" i="3"/>
  <c r="Q929" i="3"/>
  <c r="L930" i="3"/>
  <c r="T930" i="3"/>
  <c r="O931" i="3"/>
  <c r="J932" i="3"/>
  <c r="R932" i="3"/>
  <c r="M933" i="3"/>
  <c r="U933" i="3"/>
  <c r="P934" i="3"/>
  <c r="K935" i="3"/>
  <c r="S935" i="3"/>
  <c r="N936" i="3"/>
  <c r="V936" i="3"/>
  <c r="Q937" i="3"/>
  <c r="L938" i="3"/>
  <c r="T938" i="3"/>
  <c r="O939" i="3"/>
  <c r="J940" i="3"/>
  <c r="R940" i="3"/>
  <c r="M941" i="3"/>
  <c r="U941" i="3"/>
  <c r="P942" i="3"/>
  <c r="K943" i="3"/>
  <c r="S943" i="3"/>
  <c r="N944" i="3"/>
  <c r="V944" i="3"/>
  <c r="Q945" i="3"/>
  <c r="L946" i="3"/>
  <c r="T946" i="3"/>
  <c r="O947" i="3"/>
  <c r="J948" i="3"/>
  <c r="R948" i="3"/>
  <c r="M949" i="3"/>
  <c r="U949" i="3"/>
  <c r="P950" i="3"/>
  <c r="K951" i="3"/>
  <c r="S951" i="3"/>
  <c r="N952" i="3"/>
  <c r="V952" i="3"/>
  <c r="Q953" i="3"/>
  <c r="L954" i="3"/>
  <c r="T954" i="3"/>
  <c r="O955" i="3"/>
  <c r="J956" i="3"/>
  <c r="R956" i="3"/>
  <c r="M957" i="3"/>
  <c r="U957" i="3"/>
  <c r="P958" i="3"/>
  <c r="K959" i="3"/>
  <c r="S959" i="3"/>
  <c r="N960" i="3"/>
  <c r="V960" i="3"/>
  <c r="Q961" i="3"/>
  <c r="L962" i="3"/>
  <c r="T962" i="3"/>
  <c r="O963" i="3"/>
  <c r="J964" i="3"/>
  <c r="R964" i="3"/>
  <c r="M965" i="3"/>
  <c r="U965" i="3"/>
  <c r="P966" i="3"/>
  <c r="K967" i="3"/>
  <c r="S967" i="3"/>
  <c r="N968" i="3"/>
  <c r="V968" i="3"/>
  <c r="Q969" i="3"/>
  <c r="L970" i="3"/>
  <c r="T970" i="3"/>
  <c r="O971" i="3"/>
  <c r="J972" i="3"/>
  <c r="R972" i="3"/>
  <c r="M973" i="3"/>
  <c r="U973" i="3"/>
  <c r="P974" i="3"/>
  <c r="K975" i="3"/>
  <c r="S975" i="3"/>
  <c r="N976" i="3"/>
  <c r="V976" i="3"/>
  <c r="Q977" i="3"/>
  <c r="L978" i="3"/>
  <c r="T978" i="3"/>
  <c r="O979" i="3"/>
  <c r="J980" i="3"/>
  <c r="R980" i="3"/>
  <c r="M981" i="3"/>
  <c r="U981" i="3"/>
  <c r="P982" i="3"/>
  <c r="K983" i="3"/>
  <c r="S983" i="3"/>
  <c r="N984" i="3"/>
  <c r="V984" i="3"/>
  <c r="Q985" i="3"/>
  <c r="O403" i="3"/>
  <c r="V507" i="3"/>
  <c r="K558" i="3"/>
  <c r="S584" i="3"/>
  <c r="U610" i="3"/>
  <c r="R633" i="3"/>
  <c r="N651" i="3"/>
  <c r="N664" i="3"/>
  <c r="N674" i="3"/>
  <c r="S681" i="3"/>
  <c r="P687" i="3"/>
  <c r="O692" i="3"/>
  <c r="O695" i="3"/>
  <c r="U696" i="3"/>
  <c r="Q698" i="3"/>
  <c r="N700" i="3"/>
  <c r="T701" i="3"/>
  <c r="P703" i="3"/>
  <c r="M705" i="3"/>
  <c r="S706" i="3"/>
  <c r="O708" i="3"/>
  <c r="L710" i="3"/>
  <c r="R711" i="3"/>
  <c r="N713" i="3"/>
  <c r="K715" i="3"/>
  <c r="Q716" i="3"/>
  <c r="M718" i="3"/>
  <c r="J720" i="3"/>
  <c r="P721" i="3"/>
  <c r="L723" i="3"/>
  <c r="V724" i="3"/>
  <c r="O726" i="3"/>
  <c r="K728" i="3"/>
  <c r="U729" i="3"/>
  <c r="N731" i="3"/>
  <c r="J733" i="3"/>
  <c r="T734" i="3"/>
  <c r="M736" i="3"/>
  <c r="V737" i="3"/>
  <c r="S739" i="3"/>
  <c r="L741" i="3"/>
  <c r="U742" i="3"/>
  <c r="R744" i="3"/>
  <c r="K746" i="3"/>
  <c r="T747" i="3"/>
  <c r="Q749" i="3"/>
  <c r="J751" i="3"/>
  <c r="S752" i="3"/>
  <c r="P754" i="3"/>
  <c r="V755" i="3"/>
  <c r="R757" i="3"/>
  <c r="O759" i="3"/>
  <c r="U760" i="3"/>
  <c r="Q762" i="3"/>
  <c r="N764" i="3"/>
  <c r="T765" i="3"/>
  <c r="P767" i="3"/>
  <c r="M769" i="3"/>
  <c r="S770" i="3"/>
  <c r="O772" i="3"/>
  <c r="L774" i="3"/>
  <c r="R775" i="3"/>
  <c r="N777" i="3"/>
  <c r="K779" i="3"/>
  <c r="Q780" i="3"/>
  <c r="M782" i="3"/>
  <c r="J784" i="3"/>
  <c r="P785" i="3"/>
  <c r="L787" i="3"/>
  <c r="V788" i="3"/>
  <c r="O790" i="3"/>
  <c r="K792" i="3"/>
  <c r="U793" i="3"/>
  <c r="N795" i="3"/>
  <c r="J797" i="3"/>
  <c r="T798" i="3"/>
  <c r="M800" i="3"/>
  <c r="V801" i="3"/>
  <c r="S803" i="3"/>
  <c r="L805" i="3"/>
  <c r="U806" i="3"/>
  <c r="R808" i="3"/>
  <c r="K810" i="3"/>
  <c r="T811" i="3"/>
  <c r="Q813" i="3"/>
  <c r="J815" i="3"/>
  <c r="S816" i="3"/>
  <c r="P818" i="3"/>
  <c r="V819" i="3"/>
  <c r="R821" i="3"/>
  <c r="O823" i="3"/>
  <c r="U824" i="3"/>
  <c r="Q826" i="3"/>
  <c r="N828" i="3"/>
  <c r="T829" i="3"/>
  <c r="P831" i="3"/>
  <c r="M833" i="3"/>
  <c r="S834" i="3"/>
  <c r="O836" i="3"/>
  <c r="L838" i="3"/>
  <c r="R839" i="3"/>
  <c r="M841" i="3"/>
  <c r="L842" i="3"/>
  <c r="V842" i="3"/>
  <c r="T843" i="3"/>
  <c r="Q844" i="3"/>
  <c r="M845" i="3"/>
  <c r="V845" i="3"/>
  <c r="R846" i="3"/>
  <c r="M847" i="3"/>
  <c r="U847" i="3"/>
  <c r="P848" i="3"/>
  <c r="K849" i="3"/>
  <c r="S849" i="3"/>
  <c r="N850" i="3"/>
  <c r="V850" i="3"/>
  <c r="Q851" i="3"/>
  <c r="L852" i="3"/>
  <c r="T852" i="3"/>
  <c r="O853" i="3"/>
  <c r="J854" i="3"/>
  <c r="R854" i="3"/>
  <c r="M855" i="3"/>
  <c r="U855" i="3"/>
  <c r="P856" i="3"/>
  <c r="K857" i="3"/>
  <c r="S857" i="3"/>
  <c r="N858" i="3"/>
  <c r="V858" i="3"/>
  <c r="Q859" i="3"/>
  <c r="L860" i="3"/>
  <c r="T860" i="3"/>
  <c r="O861" i="3"/>
  <c r="J862" i="3"/>
  <c r="R862" i="3"/>
  <c r="M863" i="3"/>
  <c r="U863" i="3"/>
  <c r="P864" i="3"/>
  <c r="K865" i="3"/>
  <c r="S865" i="3"/>
  <c r="N866" i="3"/>
  <c r="V866" i="3"/>
  <c r="Q867" i="3"/>
  <c r="L868" i="3"/>
  <c r="T868" i="3"/>
  <c r="O869" i="3"/>
  <c r="J870" i="3"/>
  <c r="R870" i="3"/>
  <c r="M871" i="3"/>
  <c r="U871" i="3"/>
  <c r="P872" i="3"/>
  <c r="K873" i="3"/>
  <c r="S873" i="3"/>
  <c r="N874" i="3"/>
  <c r="V874" i="3"/>
  <c r="Q875" i="3"/>
  <c r="L876" i="3"/>
  <c r="T876" i="3"/>
  <c r="O877" i="3"/>
  <c r="J878" i="3"/>
  <c r="R878" i="3"/>
  <c r="M879" i="3"/>
  <c r="U879" i="3"/>
  <c r="P880" i="3"/>
  <c r="K881" i="3"/>
  <c r="S881" i="3"/>
  <c r="N882" i="3"/>
  <c r="V882" i="3"/>
  <c r="Q883" i="3"/>
  <c r="L884" i="3"/>
  <c r="T884" i="3"/>
  <c r="O885" i="3"/>
  <c r="J886" i="3"/>
  <c r="R886" i="3"/>
  <c r="M887" i="3"/>
  <c r="U887" i="3"/>
  <c r="P888" i="3"/>
  <c r="K889" i="3"/>
  <c r="S889" i="3"/>
  <c r="N890" i="3"/>
  <c r="V890" i="3"/>
  <c r="Q891" i="3"/>
  <c r="L892" i="3"/>
  <c r="T892" i="3"/>
  <c r="O893" i="3"/>
  <c r="J894" i="3"/>
  <c r="R894" i="3"/>
  <c r="M895" i="3"/>
  <c r="U895" i="3"/>
  <c r="P896" i="3"/>
  <c r="K897" i="3"/>
  <c r="S897" i="3"/>
  <c r="N898" i="3"/>
  <c r="V898" i="3"/>
  <c r="Q899" i="3"/>
  <c r="L900" i="3"/>
  <c r="T900" i="3"/>
  <c r="O901" i="3"/>
  <c r="J902" i="3"/>
  <c r="R902" i="3"/>
  <c r="M903" i="3"/>
  <c r="U903" i="3"/>
  <c r="P904" i="3"/>
  <c r="K905" i="3"/>
  <c r="S905" i="3"/>
  <c r="N906" i="3"/>
  <c r="V906" i="3"/>
  <c r="Q907" i="3"/>
  <c r="L908" i="3"/>
  <c r="T908" i="3"/>
  <c r="O909" i="3"/>
  <c r="J910" i="3"/>
  <c r="R910" i="3"/>
  <c r="M911" i="3"/>
  <c r="U911" i="3"/>
  <c r="P912" i="3"/>
  <c r="K913" i="3"/>
  <c r="S913" i="3"/>
  <c r="N914" i="3"/>
  <c r="V914" i="3"/>
  <c r="Q915" i="3"/>
  <c r="L916" i="3"/>
  <c r="T916" i="3"/>
  <c r="O917" i="3"/>
  <c r="J918" i="3"/>
  <c r="R918" i="3"/>
  <c r="M919" i="3"/>
  <c r="U919" i="3"/>
  <c r="P920" i="3"/>
  <c r="K921" i="3"/>
  <c r="S921" i="3"/>
  <c r="N922" i="3"/>
  <c r="V922" i="3"/>
  <c r="Q923" i="3"/>
  <c r="L924" i="3"/>
  <c r="T924" i="3"/>
  <c r="O925" i="3"/>
  <c r="J926" i="3"/>
  <c r="R926" i="3"/>
  <c r="M927" i="3"/>
  <c r="U927" i="3"/>
  <c r="P928" i="3"/>
  <c r="K929" i="3"/>
  <c r="S929" i="3"/>
  <c r="N930" i="3"/>
  <c r="V930" i="3"/>
  <c r="Q931" i="3"/>
  <c r="L932" i="3"/>
  <c r="T932" i="3"/>
  <c r="O933" i="3"/>
  <c r="J934" i="3"/>
  <c r="R934" i="3"/>
  <c r="M935" i="3"/>
  <c r="U935" i="3"/>
  <c r="P936" i="3"/>
  <c r="K937" i="3"/>
  <c r="S937" i="3"/>
  <c r="N938" i="3"/>
  <c r="V938" i="3"/>
  <c r="Q939" i="3"/>
  <c r="L940" i="3"/>
  <c r="T940" i="3"/>
  <c r="O941" i="3"/>
  <c r="J942" i="3"/>
  <c r="R942" i="3"/>
  <c r="M943" i="3"/>
  <c r="U943" i="3"/>
  <c r="P944" i="3"/>
  <c r="K945" i="3"/>
  <c r="S945" i="3"/>
  <c r="N946" i="3"/>
  <c r="V946" i="3"/>
  <c r="Q947" i="3"/>
  <c r="L948" i="3"/>
  <c r="T948" i="3"/>
  <c r="O949" i="3"/>
  <c r="J950" i="3"/>
  <c r="R950" i="3"/>
  <c r="M951" i="3"/>
  <c r="U951" i="3"/>
  <c r="P952" i="3"/>
  <c r="K953" i="3"/>
  <c r="S953" i="3"/>
  <c r="N954" i="3"/>
  <c r="V954" i="3"/>
  <c r="Q955" i="3"/>
  <c r="L956" i="3"/>
  <c r="T956" i="3"/>
  <c r="O957" i="3"/>
  <c r="J958" i="3"/>
  <c r="R958" i="3"/>
  <c r="M959" i="3"/>
  <c r="U959" i="3"/>
  <c r="P960" i="3"/>
  <c r="K961" i="3"/>
  <c r="S961" i="3"/>
  <c r="N962" i="3"/>
  <c r="V962" i="3"/>
  <c r="Q963" i="3"/>
  <c r="L964" i="3"/>
  <c r="T964" i="3"/>
  <c r="O965" i="3"/>
  <c r="J966" i="3"/>
  <c r="R966" i="3"/>
  <c r="M967" i="3"/>
  <c r="U967" i="3"/>
  <c r="P968" i="3"/>
  <c r="K969" i="3"/>
  <c r="S969" i="3"/>
  <c r="N970" i="3"/>
  <c r="V970" i="3"/>
  <c r="Q971" i="3"/>
  <c r="L972" i="3"/>
  <c r="T972" i="3"/>
  <c r="O973" i="3"/>
  <c r="J974" i="3"/>
  <c r="R974" i="3"/>
  <c r="M975" i="3"/>
  <c r="U975" i="3"/>
  <c r="P976" i="3"/>
  <c r="K977" i="3"/>
  <c r="S977" i="3"/>
  <c r="N978" i="3"/>
  <c r="V978" i="3"/>
  <c r="Q979" i="3"/>
  <c r="L980" i="3"/>
  <c r="T980" i="3"/>
  <c r="O981" i="3"/>
  <c r="J982" i="3"/>
  <c r="R982" i="3"/>
  <c r="M983" i="3"/>
  <c r="U983" i="3"/>
  <c r="P984" i="3"/>
  <c r="K985" i="3"/>
  <c r="S985" i="3"/>
  <c r="N986" i="3"/>
  <c r="V986" i="3"/>
  <c r="Q987" i="3"/>
  <c r="L988" i="3"/>
  <c r="T988" i="3"/>
  <c r="O989" i="3"/>
  <c r="J990" i="3"/>
  <c r="R990" i="3"/>
  <c r="M991" i="3"/>
  <c r="U991" i="3"/>
  <c r="P992" i="3"/>
  <c r="K993" i="3"/>
  <c r="S993" i="3"/>
  <c r="R415" i="3"/>
  <c r="Q521" i="3"/>
  <c r="R561" i="3"/>
  <c r="R587" i="3"/>
  <c r="M614" i="3"/>
  <c r="M636" i="3"/>
  <c r="T652" i="3"/>
  <c r="K666" i="3"/>
  <c r="N675" i="3"/>
  <c r="Q682" i="3"/>
  <c r="K688" i="3"/>
  <c r="J693" i="3"/>
  <c r="P695" i="3"/>
  <c r="M697" i="3"/>
  <c r="S698" i="3"/>
  <c r="O700" i="3"/>
  <c r="L702" i="3"/>
  <c r="R703" i="3"/>
  <c r="N705" i="3"/>
  <c r="K707" i="3"/>
  <c r="Q708" i="3"/>
  <c r="M710" i="3"/>
  <c r="J712" i="3"/>
  <c r="P713" i="3"/>
  <c r="L715" i="3"/>
  <c r="V716" i="3"/>
  <c r="O718" i="3"/>
  <c r="K720" i="3"/>
  <c r="U721" i="3"/>
  <c r="N723" i="3"/>
  <c r="J725" i="3"/>
  <c r="T726" i="3"/>
  <c r="M728" i="3"/>
  <c r="V729" i="3"/>
  <c r="S731" i="3"/>
  <c r="L733" i="3"/>
  <c r="U734" i="3"/>
  <c r="R736" i="3"/>
  <c r="K738" i="3"/>
  <c r="T739" i="3"/>
  <c r="Q741" i="3"/>
  <c r="J743" i="3"/>
  <c r="S744" i="3"/>
  <c r="P746" i="3"/>
  <c r="V747" i="3"/>
  <c r="R749" i="3"/>
  <c r="O751" i="3"/>
  <c r="U752" i="3"/>
  <c r="Q754" i="3"/>
  <c r="N756" i="3"/>
  <c r="T757" i="3"/>
  <c r="P759" i="3"/>
  <c r="M761" i="3"/>
  <c r="S762" i="3"/>
  <c r="O764" i="3"/>
  <c r="L766" i="3"/>
  <c r="R767" i="3"/>
  <c r="N769" i="3"/>
  <c r="K771" i="3"/>
  <c r="Q772" i="3"/>
  <c r="M774" i="3"/>
  <c r="J776" i="3"/>
  <c r="P777" i="3"/>
  <c r="L779" i="3"/>
  <c r="V780" i="3"/>
  <c r="O782" i="3"/>
  <c r="K784" i="3"/>
  <c r="U785" i="3"/>
  <c r="N787" i="3"/>
  <c r="J789" i="3"/>
  <c r="T790" i="3"/>
  <c r="M792" i="3"/>
  <c r="V793" i="3"/>
  <c r="S795" i="3"/>
  <c r="L797" i="3"/>
  <c r="U798" i="3"/>
  <c r="R800" i="3"/>
  <c r="K802" i="3"/>
  <c r="T803" i="3"/>
  <c r="Q805" i="3"/>
  <c r="J807" i="3"/>
  <c r="S808" i="3"/>
  <c r="P810" i="3"/>
  <c r="V811" i="3"/>
  <c r="R813" i="3"/>
  <c r="O815" i="3"/>
  <c r="U816" i="3"/>
  <c r="Q818" i="3"/>
  <c r="N820" i="3"/>
  <c r="T821" i="3"/>
  <c r="P823" i="3"/>
  <c r="M825" i="3"/>
  <c r="S826" i="3"/>
  <c r="O828" i="3"/>
  <c r="L830" i="3"/>
  <c r="R831" i="3"/>
  <c r="N833" i="3"/>
  <c r="K835" i="3"/>
  <c r="Q836" i="3"/>
  <c r="M838" i="3"/>
  <c r="J840" i="3"/>
  <c r="N841" i="3"/>
  <c r="M842" i="3"/>
  <c r="K843" i="3"/>
  <c r="V843" i="3"/>
  <c r="R844" i="3"/>
  <c r="N845" i="3"/>
  <c r="J846" i="3"/>
  <c r="S846" i="3"/>
  <c r="N847" i="3"/>
  <c r="V847" i="3"/>
  <c r="Q848" i="3"/>
  <c r="L849" i="3"/>
  <c r="T849" i="3"/>
  <c r="O850" i="3"/>
  <c r="J851" i="3"/>
  <c r="R851" i="3"/>
  <c r="M852" i="3"/>
  <c r="U852" i="3"/>
  <c r="P853" i="3"/>
  <c r="K854" i="3"/>
  <c r="S854" i="3"/>
  <c r="N855" i="3"/>
  <c r="V855" i="3"/>
  <c r="Q856" i="3"/>
  <c r="L857" i="3"/>
  <c r="T857" i="3"/>
  <c r="O858" i="3"/>
  <c r="J859" i="3"/>
  <c r="R859" i="3"/>
  <c r="M860" i="3"/>
  <c r="U860" i="3"/>
  <c r="P861" i="3"/>
  <c r="K862" i="3"/>
  <c r="S862" i="3"/>
  <c r="N863" i="3"/>
  <c r="V863" i="3"/>
  <c r="Q864" i="3"/>
  <c r="L865" i="3"/>
  <c r="T865" i="3"/>
  <c r="O866" i="3"/>
  <c r="J867" i="3"/>
  <c r="R867" i="3"/>
  <c r="M868" i="3"/>
  <c r="U868" i="3"/>
  <c r="P869" i="3"/>
  <c r="K870" i="3"/>
  <c r="S870" i="3"/>
  <c r="N871" i="3"/>
  <c r="V871" i="3"/>
  <c r="Q872" i="3"/>
  <c r="L873" i="3"/>
  <c r="T873" i="3"/>
  <c r="O874" i="3"/>
  <c r="J875" i="3"/>
  <c r="R875" i="3"/>
  <c r="M876" i="3"/>
  <c r="U876" i="3"/>
  <c r="P877" i="3"/>
  <c r="K878" i="3"/>
  <c r="S878" i="3"/>
  <c r="N879" i="3"/>
  <c r="V879" i="3"/>
  <c r="Q880" i="3"/>
  <c r="L881" i="3"/>
  <c r="T881" i="3"/>
  <c r="O882" i="3"/>
  <c r="J883" i="3"/>
  <c r="R883" i="3"/>
  <c r="M884" i="3"/>
  <c r="U884" i="3"/>
  <c r="P885" i="3"/>
  <c r="K886" i="3"/>
  <c r="S886" i="3"/>
  <c r="N887" i="3"/>
  <c r="V887" i="3"/>
  <c r="Q888" i="3"/>
  <c r="L889" i="3"/>
  <c r="T889" i="3"/>
  <c r="O890" i="3"/>
  <c r="J891" i="3"/>
  <c r="R891" i="3"/>
  <c r="M892" i="3"/>
  <c r="U892" i="3"/>
  <c r="P893" i="3"/>
  <c r="K894" i="3"/>
  <c r="S894" i="3"/>
  <c r="N895" i="3"/>
  <c r="V895" i="3"/>
  <c r="Q896" i="3"/>
  <c r="L897" i="3"/>
  <c r="T897" i="3"/>
  <c r="O898" i="3"/>
  <c r="J899" i="3"/>
  <c r="R899" i="3"/>
  <c r="M900" i="3"/>
  <c r="U900" i="3"/>
  <c r="P901" i="3"/>
  <c r="K902" i="3"/>
  <c r="S902" i="3"/>
  <c r="N903" i="3"/>
  <c r="V903" i="3"/>
  <c r="Q904" i="3"/>
  <c r="L905" i="3"/>
  <c r="T905" i="3"/>
  <c r="O906" i="3"/>
  <c r="J907" i="3"/>
  <c r="R907" i="3"/>
  <c r="M908" i="3"/>
  <c r="U908" i="3"/>
  <c r="P909" i="3"/>
  <c r="K910" i="3"/>
  <c r="S910" i="3"/>
  <c r="N911" i="3"/>
  <c r="V911" i="3"/>
  <c r="Q912" i="3"/>
  <c r="L913" i="3"/>
  <c r="T913" i="3"/>
  <c r="O914" i="3"/>
  <c r="J915" i="3"/>
  <c r="R915" i="3"/>
  <c r="M916" i="3"/>
  <c r="U916" i="3"/>
  <c r="P917" i="3"/>
  <c r="K918" i="3"/>
  <c r="S918" i="3"/>
  <c r="N919" i="3"/>
  <c r="V919" i="3"/>
  <c r="Q920" i="3"/>
  <c r="L921" i="3"/>
  <c r="T921" i="3"/>
  <c r="O922" i="3"/>
  <c r="J923" i="3"/>
  <c r="R923" i="3"/>
  <c r="M924" i="3"/>
  <c r="U924" i="3"/>
  <c r="P925" i="3"/>
  <c r="K926" i="3"/>
  <c r="S926" i="3"/>
  <c r="N927" i="3"/>
  <c r="V927" i="3"/>
  <c r="Q928" i="3"/>
  <c r="L929" i="3"/>
  <c r="T929" i="3"/>
  <c r="O930" i="3"/>
  <c r="J931" i="3"/>
  <c r="R931" i="3"/>
  <c r="M932" i="3"/>
  <c r="U932" i="3"/>
  <c r="P933" i="3"/>
  <c r="K934" i="3"/>
  <c r="S934" i="3"/>
  <c r="N935" i="3"/>
  <c r="V935" i="3"/>
  <c r="Q936" i="3"/>
  <c r="L937" i="3"/>
  <c r="T937" i="3"/>
  <c r="O938" i="3"/>
  <c r="J939" i="3"/>
  <c r="R939" i="3"/>
  <c r="M940" i="3"/>
  <c r="U940" i="3"/>
  <c r="P941" i="3"/>
  <c r="K942" i="3"/>
  <c r="S942" i="3"/>
  <c r="N943" i="3"/>
  <c r="V943" i="3"/>
  <c r="Q944" i="3"/>
  <c r="L945" i="3"/>
  <c r="T945" i="3"/>
  <c r="O946" i="3"/>
  <c r="J947" i="3"/>
  <c r="R947" i="3"/>
  <c r="M948" i="3"/>
  <c r="U948" i="3"/>
  <c r="P949" i="3"/>
  <c r="K950" i="3"/>
  <c r="S950" i="3"/>
  <c r="N951" i="3"/>
  <c r="V951" i="3"/>
  <c r="Q952" i="3"/>
  <c r="L953" i="3"/>
  <c r="T953" i="3"/>
  <c r="O954" i="3"/>
  <c r="J955" i="3"/>
  <c r="R955" i="3"/>
  <c r="M956" i="3"/>
  <c r="U956" i="3"/>
  <c r="P957" i="3"/>
  <c r="K958" i="3"/>
  <c r="S958" i="3"/>
  <c r="N959" i="3"/>
  <c r="V959" i="3"/>
  <c r="Q960" i="3"/>
  <c r="L961" i="3"/>
  <c r="T961" i="3"/>
  <c r="O962" i="3"/>
  <c r="J963" i="3"/>
  <c r="R963" i="3"/>
  <c r="M964" i="3"/>
  <c r="U964" i="3"/>
  <c r="P965" i="3"/>
  <c r="K966" i="3"/>
  <c r="S966" i="3"/>
  <c r="N967" i="3"/>
  <c r="V967" i="3"/>
  <c r="Q968" i="3"/>
  <c r="L969" i="3"/>
  <c r="T969" i="3"/>
  <c r="O970" i="3"/>
  <c r="J971" i="3"/>
  <c r="R971" i="3"/>
  <c r="M972" i="3"/>
  <c r="U972" i="3"/>
  <c r="P973" i="3"/>
  <c r="K974" i="3"/>
  <c r="S974" i="3"/>
  <c r="N975" i="3"/>
  <c r="V975" i="3"/>
  <c r="Q976" i="3"/>
  <c r="L977" i="3"/>
  <c r="T977" i="3"/>
  <c r="O978" i="3"/>
  <c r="J979" i="3"/>
  <c r="R979" i="3"/>
  <c r="M980" i="3"/>
  <c r="U980" i="3"/>
  <c r="P981" i="3"/>
  <c r="K982" i="3"/>
  <c r="S982" i="3"/>
  <c r="N983" i="3"/>
  <c r="V983" i="3"/>
  <c r="Q984" i="3"/>
  <c r="L985" i="3"/>
  <c r="T985" i="3"/>
  <c r="O986" i="3"/>
  <c r="J987" i="3"/>
  <c r="R987" i="3"/>
  <c r="M988" i="3"/>
  <c r="U988" i="3"/>
  <c r="P989" i="3"/>
  <c r="K990" i="3"/>
  <c r="S990" i="3"/>
  <c r="N991" i="3"/>
  <c r="V991" i="3"/>
  <c r="Q992" i="3"/>
  <c r="L993" i="3"/>
  <c r="T442" i="3"/>
  <c r="V541" i="3"/>
  <c r="V567" i="3"/>
  <c r="Q594" i="3"/>
  <c r="Q620" i="3"/>
  <c r="M641" i="3"/>
  <c r="M656" i="3"/>
  <c r="R668" i="3"/>
  <c r="M677" i="3"/>
  <c r="L684" i="3"/>
  <c r="N689" i="3"/>
  <c r="L694" i="3"/>
  <c r="J696" i="3"/>
  <c r="P697" i="3"/>
  <c r="L699" i="3"/>
  <c r="V700" i="3"/>
  <c r="O702" i="3"/>
  <c r="K704" i="3"/>
  <c r="U705" i="3"/>
  <c r="N707" i="3"/>
  <c r="J709" i="3"/>
  <c r="T710" i="3"/>
  <c r="M712" i="3"/>
  <c r="V713" i="3"/>
  <c r="S715" i="3"/>
  <c r="L717" i="3"/>
  <c r="U718" i="3"/>
  <c r="R720" i="3"/>
  <c r="K722" i="3"/>
  <c r="T723" i="3"/>
  <c r="Q725" i="3"/>
  <c r="J727" i="3"/>
  <c r="S728" i="3"/>
  <c r="P730" i="3"/>
  <c r="V731" i="3"/>
  <c r="R733" i="3"/>
  <c r="O735" i="3"/>
  <c r="U736" i="3"/>
  <c r="Q738" i="3"/>
  <c r="N740" i="3"/>
  <c r="T741" i="3"/>
  <c r="P743" i="3"/>
  <c r="M745" i="3"/>
  <c r="S746" i="3"/>
  <c r="O748" i="3"/>
  <c r="L750" i="3"/>
  <c r="R751" i="3"/>
  <c r="N753" i="3"/>
  <c r="K755" i="3"/>
  <c r="Q756" i="3"/>
  <c r="M758" i="3"/>
  <c r="J760" i="3"/>
  <c r="P761" i="3"/>
  <c r="L763" i="3"/>
  <c r="V764" i="3"/>
  <c r="O766" i="3"/>
  <c r="K768" i="3"/>
  <c r="U769" i="3"/>
  <c r="N771" i="3"/>
  <c r="J773" i="3"/>
  <c r="T774" i="3"/>
  <c r="M776" i="3"/>
  <c r="V777" i="3"/>
  <c r="S779" i="3"/>
  <c r="L781" i="3"/>
  <c r="U782" i="3"/>
  <c r="R784" i="3"/>
  <c r="K786" i="3"/>
  <c r="T787" i="3"/>
  <c r="Q789" i="3"/>
  <c r="J791" i="3"/>
  <c r="S792" i="3"/>
  <c r="P794" i="3"/>
  <c r="V795" i="3"/>
  <c r="R797" i="3"/>
  <c r="O799" i="3"/>
  <c r="U800" i="3"/>
  <c r="Q802" i="3"/>
  <c r="N804" i="3"/>
  <c r="T805" i="3"/>
  <c r="P807" i="3"/>
  <c r="M809" i="3"/>
  <c r="S810" i="3"/>
  <c r="O812" i="3"/>
  <c r="L814" i="3"/>
  <c r="R815" i="3"/>
  <c r="N817" i="3"/>
  <c r="K819" i="3"/>
  <c r="Q820" i="3"/>
  <c r="M822" i="3"/>
  <c r="J824" i="3"/>
  <c r="P825" i="3"/>
  <c r="L827" i="3"/>
  <c r="V828" i="3"/>
  <c r="O830" i="3"/>
  <c r="K832" i="3"/>
  <c r="U833" i="3"/>
  <c r="N835" i="3"/>
  <c r="J837" i="3"/>
  <c r="T838" i="3"/>
  <c r="M840" i="3"/>
  <c r="Q841" i="3"/>
  <c r="P842" i="3"/>
  <c r="N843" i="3"/>
  <c r="K844" i="3"/>
  <c r="T844" i="3"/>
  <c r="P845" i="3"/>
  <c r="L846" i="3"/>
  <c r="U846" i="3"/>
  <c r="P847" i="3"/>
  <c r="K848" i="3"/>
  <c r="S848" i="3"/>
  <c r="N849" i="3"/>
  <c r="V849" i="3"/>
  <c r="Q850" i="3"/>
  <c r="L851" i="3"/>
  <c r="T851" i="3"/>
  <c r="O852" i="3"/>
  <c r="J853" i="3"/>
  <c r="R853" i="3"/>
  <c r="M854" i="3"/>
  <c r="U854" i="3"/>
  <c r="P855" i="3"/>
  <c r="K856" i="3"/>
  <c r="S856" i="3"/>
  <c r="N857" i="3"/>
  <c r="V857" i="3"/>
  <c r="Q858" i="3"/>
  <c r="L859" i="3"/>
  <c r="T859" i="3"/>
  <c r="O860" i="3"/>
  <c r="J861" i="3"/>
  <c r="R861" i="3"/>
  <c r="M862" i="3"/>
  <c r="U862" i="3"/>
  <c r="P863" i="3"/>
  <c r="K864" i="3"/>
  <c r="S864" i="3"/>
  <c r="N865" i="3"/>
  <c r="V865" i="3"/>
  <c r="Q866" i="3"/>
  <c r="L867" i="3"/>
  <c r="T867" i="3"/>
  <c r="O868" i="3"/>
  <c r="J869" i="3"/>
  <c r="R869" i="3"/>
  <c r="M870" i="3"/>
  <c r="U870" i="3"/>
  <c r="P871" i="3"/>
  <c r="K872" i="3"/>
  <c r="S872" i="3"/>
  <c r="N873" i="3"/>
  <c r="V873" i="3"/>
  <c r="Q874" i="3"/>
  <c r="L875" i="3"/>
  <c r="T875" i="3"/>
  <c r="O876" i="3"/>
  <c r="J877" i="3"/>
  <c r="R877" i="3"/>
  <c r="M878" i="3"/>
  <c r="U878" i="3"/>
  <c r="P879" i="3"/>
  <c r="K880" i="3"/>
  <c r="S880" i="3"/>
  <c r="N881" i="3"/>
  <c r="V881" i="3"/>
  <c r="Q882" i="3"/>
  <c r="L883" i="3"/>
  <c r="T883" i="3"/>
  <c r="O884" i="3"/>
  <c r="J885" i="3"/>
  <c r="R885" i="3"/>
  <c r="M886" i="3"/>
  <c r="U886" i="3"/>
  <c r="P887" i="3"/>
  <c r="K888" i="3"/>
  <c r="S888" i="3"/>
  <c r="N889" i="3"/>
  <c r="V889" i="3"/>
  <c r="Q890" i="3"/>
  <c r="L891" i="3"/>
  <c r="T891" i="3"/>
  <c r="O892" i="3"/>
  <c r="J893" i="3"/>
  <c r="R893" i="3"/>
  <c r="M894" i="3"/>
  <c r="U894" i="3"/>
  <c r="P895" i="3"/>
  <c r="K896" i="3"/>
  <c r="S896" i="3"/>
  <c r="N897" i="3"/>
  <c r="V897" i="3"/>
  <c r="Q898" i="3"/>
  <c r="L899" i="3"/>
  <c r="T899" i="3"/>
  <c r="O900" i="3"/>
  <c r="J901" i="3"/>
  <c r="R901" i="3"/>
  <c r="M902" i="3"/>
  <c r="U902" i="3"/>
  <c r="P903" i="3"/>
  <c r="K904" i="3"/>
  <c r="S904" i="3"/>
  <c r="N905" i="3"/>
  <c r="V905" i="3"/>
  <c r="Q906" i="3"/>
  <c r="L907" i="3"/>
  <c r="T907" i="3"/>
  <c r="O908" i="3"/>
  <c r="J909" i="3"/>
  <c r="R909" i="3"/>
  <c r="M910" i="3"/>
  <c r="U910" i="3"/>
  <c r="P911" i="3"/>
  <c r="K912" i="3"/>
  <c r="S912" i="3"/>
  <c r="N913" i="3"/>
  <c r="V913" i="3"/>
  <c r="Q914" i="3"/>
  <c r="L915" i="3"/>
  <c r="T915" i="3"/>
  <c r="O916" i="3"/>
  <c r="J917" i="3"/>
  <c r="R917" i="3"/>
  <c r="M918" i="3"/>
  <c r="U918" i="3"/>
  <c r="P919" i="3"/>
  <c r="K920" i="3"/>
  <c r="S920" i="3"/>
  <c r="N921" i="3"/>
  <c r="V921" i="3"/>
  <c r="Q922" i="3"/>
  <c r="L923" i="3"/>
  <c r="T923" i="3"/>
  <c r="O924" i="3"/>
  <c r="J925" i="3"/>
  <c r="R925" i="3"/>
  <c r="M926" i="3"/>
  <c r="U926" i="3"/>
  <c r="P927" i="3"/>
  <c r="K928" i="3"/>
  <c r="S928" i="3"/>
  <c r="N929" i="3"/>
  <c r="V929" i="3"/>
  <c r="Q930" i="3"/>
  <c r="L931" i="3"/>
  <c r="T931" i="3"/>
  <c r="O932" i="3"/>
  <c r="J933" i="3"/>
  <c r="R933" i="3"/>
  <c r="M934" i="3"/>
  <c r="U934" i="3"/>
  <c r="P935" i="3"/>
  <c r="K936" i="3"/>
  <c r="S936" i="3"/>
  <c r="N937" i="3"/>
  <c r="V937" i="3"/>
  <c r="Q938" i="3"/>
  <c r="L939" i="3"/>
  <c r="T939" i="3"/>
  <c r="O940" i="3"/>
  <c r="J941" i="3"/>
  <c r="R941" i="3"/>
  <c r="M942" i="3"/>
  <c r="U942" i="3"/>
  <c r="P943" i="3"/>
  <c r="K944" i="3"/>
  <c r="S944" i="3"/>
  <c r="N945" i="3"/>
  <c r="V945" i="3"/>
  <c r="Q946" i="3"/>
  <c r="L947" i="3"/>
  <c r="T947" i="3"/>
  <c r="O948" i="3"/>
  <c r="J949" i="3"/>
  <c r="R949" i="3"/>
  <c r="M950" i="3"/>
  <c r="U950" i="3"/>
  <c r="P951" i="3"/>
  <c r="K952" i="3"/>
  <c r="S952" i="3"/>
  <c r="N953" i="3"/>
  <c r="V953" i="3"/>
  <c r="Q954" i="3"/>
  <c r="L955" i="3"/>
  <c r="T955" i="3"/>
  <c r="O956" i="3"/>
  <c r="J957" i="3"/>
  <c r="R957" i="3"/>
  <c r="M958" i="3"/>
  <c r="U958" i="3"/>
  <c r="P959" i="3"/>
  <c r="K960" i="3"/>
  <c r="S960" i="3"/>
  <c r="N961" i="3"/>
  <c r="V961" i="3"/>
  <c r="Q962" i="3"/>
  <c r="L963" i="3"/>
  <c r="T963" i="3"/>
  <c r="O964" i="3"/>
  <c r="J965" i="3"/>
  <c r="R965" i="3"/>
  <c r="M966" i="3"/>
  <c r="U966" i="3"/>
  <c r="P967" i="3"/>
  <c r="K968" i="3"/>
  <c r="S968" i="3"/>
  <c r="N969" i="3"/>
  <c r="V969" i="3"/>
  <c r="Q970" i="3"/>
  <c r="L971" i="3"/>
  <c r="T971" i="3"/>
  <c r="O972" i="3"/>
  <c r="J973" i="3"/>
  <c r="R973" i="3"/>
  <c r="M974" i="3"/>
  <c r="U974" i="3"/>
  <c r="P975" i="3"/>
  <c r="K976" i="3"/>
  <c r="S976" i="3"/>
  <c r="N977" i="3"/>
  <c r="V977" i="3"/>
  <c r="Q978" i="3"/>
  <c r="L979" i="3"/>
  <c r="T979" i="3"/>
  <c r="O980" i="3"/>
  <c r="J981" i="3"/>
  <c r="R981" i="3"/>
  <c r="M982" i="3"/>
  <c r="U982" i="3"/>
  <c r="P983" i="3"/>
  <c r="K984" i="3"/>
  <c r="S984" i="3"/>
  <c r="N985" i="3"/>
  <c r="V985" i="3"/>
  <c r="Q986" i="3"/>
  <c r="L987" i="3"/>
  <c r="T987" i="3"/>
  <c r="O988" i="3"/>
  <c r="J989" i="3"/>
  <c r="R989" i="3"/>
  <c r="Q468" i="3"/>
  <c r="M548" i="3"/>
  <c r="U574" i="3"/>
  <c r="J601" i="3"/>
  <c r="S625" i="3"/>
  <c r="V645" i="3"/>
  <c r="O659" i="3"/>
  <c r="K671" i="3"/>
  <c r="M679" i="3"/>
  <c r="R685" i="3"/>
  <c r="Q690" i="3"/>
  <c r="T694" i="3"/>
  <c r="M696" i="3"/>
  <c r="V697" i="3"/>
  <c r="S699" i="3"/>
  <c r="L701" i="3"/>
  <c r="U702" i="3"/>
  <c r="R704" i="3"/>
  <c r="K706" i="3"/>
  <c r="T707" i="3"/>
  <c r="Q709" i="3"/>
  <c r="J711" i="3"/>
  <c r="S712" i="3"/>
  <c r="P714" i="3"/>
  <c r="V715" i="3"/>
  <c r="R717" i="3"/>
  <c r="O719" i="3"/>
  <c r="U720" i="3"/>
  <c r="Q722" i="3"/>
  <c r="N724" i="3"/>
  <c r="T725" i="3"/>
  <c r="P727" i="3"/>
  <c r="M729" i="3"/>
  <c r="S730" i="3"/>
  <c r="O732" i="3"/>
  <c r="L734" i="3"/>
  <c r="R735" i="3"/>
  <c r="N737" i="3"/>
  <c r="K739" i="3"/>
  <c r="Q740" i="3"/>
  <c r="M742" i="3"/>
  <c r="J744" i="3"/>
  <c r="P745" i="3"/>
  <c r="L747" i="3"/>
  <c r="V748" i="3"/>
  <c r="O750" i="3"/>
  <c r="K752" i="3"/>
  <c r="U753" i="3"/>
  <c r="N755" i="3"/>
  <c r="J757" i="3"/>
  <c r="T758" i="3"/>
  <c r="M760" i="3"/>
  <c r="V761" i="3"/>
  <c r="S763" i="3"/>
  <c r="L765" i="3"/>
  <c r="U766" i="3"/>
  <c r="R768" i="3"/>
  <c r="K770" i="3"/>
  <c r="T771" i="3"/>
  <c r="Q773" i="3"/>
  <c r="J775" i="3"/>
  <c r="S776" i="3"/>
  <c r="P778" i="3"/>
  <c r="V779" i="3"/>
  <c r="R781" i="3"/>
  <c r="O783" i="3"/>
  <c r="U784" i="3"/>
  <c r="Q786" i="3"/>
  <c r="N788" i="3"/>
  <c r="T789" i="3"/>
  <c r="P791" i="3"/>
  <c r="M793" i="3"/>
  <c r="S794" i="3"/>
  <c r="O796" i="3"/>
  <c r="L798" i="3"/>
  <c r="R799" i="3"/>
  <c r="N801" i="3"/>
  <c r="K803" i="3"/>
  <c r="Q804" i="3"/>
  <c r="M806" i="3"/>
  <c r="J808" i="3"/>
  <c r="P809" i="3"/>
  <c r="L811" i="3"/>
  <c r="V812" i="3"/>
  <c r="O814" i="3"/>
  <c r="K816" i="3"/>
  <c r="U817" i="3"/>
  <c r="N819" i="3"/>
  <c r="J821" i="3"/>
  <c r="T822" i="3"/>
  <c r="M824" i="3"/>
  <c r="V825" i="3"/>
  <c r="S827" i="3"/>
  <c r="L829" i="3"/>
  <c r="U830" i="3"/>
  <c r="R832" i="3"/>
  <c r="K834" i="3"/>
  <c r="T835" i="3"/>
  <c r="Q837" i="3"/>
  <c r="J839" i="3"/>
  <c r="S840" i="3"/>
  <c r="U841" i="3"/>
  <c r="S842" i="3"/>
  <c r="P843" i="3"/>
  <c r="M844" i="3"/>
  <c r="V844" i="3"/>
  <c r="R845" i="3"/>
  <c r="O846" i="3"/>
  <c r="J847" i="3"/>
  <c r="R847" i="3"/>
  <c r="M848" i="3"/>
  <c r="U848" i="3"/>
  <c r="P849" i="3"/>
  <c r="K850" i="3"/>
  <c r="S850" i="3"/>
  <c r="N851" i="3"/>
  <c r="V851" i="3"/>
  <c r="Q852" i="3"/>
  <c r="L853" i="3"/>
  <c r="T853" i="3"/>
  <c r="O854" i="3"/>
  <c r="J855" i="3"/>
  <c r="R855" i="3"/>
  <c r="M856" i="3"/>
  <c r="U856" i="3"/>
  <c r="P857" i="3"/>
  <c r="K858" i="3"/>
  <c r="S858" i="3"/>
  <c r="N859" i="3"/>
  <c r="V859" i="3"/>
  <c r="Q860" i="3"/>
  <c r="L861" i="3"/>
  <c r="T861" i="3"/>
  <c r="O862" i="3"/>
  <c r="J863" i="3"/>
  <c r="R863" i="3"/>
  <c r="M864" i="3"/>
  <c r="U864" i="3"/>
  <c r="P865" i="3"/>
  <c r="K866" i="3"/>
  <c r="S866" i="3"/>
  <c r="N867" i="3"/>
  <c r="V867" i="3"/>
  <c r="Q868" i="3"/>
  <c r="L869" i="3"/>
  <c r="T869" i="3"/>
  <c r="O870" i="3"/>
  <c r="J871" i="3"/>
  <c r="R871" i="3"/>
  <c r="M872" i="3"/>
  <c r="U872" i="3"/>
  <c r="P873" i="3"/>
  <c r="K874" i="3"/>
  <c r="S874" i="3"/>
  <c r="N875" i="3"/>
  <c r="V875" i="3"/>
  <c r="Q876" i="3"/>
  <c r="L877" i="3"/>
  <c r="T877" i="3"/>
  <c r="O878" i="3"/>
  <c r="J879" i="3"/>
  <c r="R879" i="3"/>
  <c r="L386" i="3"/>
  <c r="P571" i="3"/>
  <c r="L639" i="3"/>
  <c r="O673" i="3"/>
  <c r="V689" i="3"/>
  <c r="N697" i="3"/>
  <c r="R701" i="3"/>
  <c r="V705" i="3"/>
  <c r="O710" i="3"/>
  <c r="S714" i="3"/>
  <c r="J719" i="3"/>
  <c r="S723" i="3"/>
  <c r="J728" i="3"/>
  <c r="N732" i="3"/>
  <c r="S736" i="3"/>
  <c r="J741" i="3"/>
  <c r="N745" i="3"/>
  <c r="T749" i="3"/>
  <c r="K754" i="3"/>
  <c r="O758" i="3"/>
  <c r="K763" i="3"/>
  <c r="O767" i="3"/>
  <c r="S771" i="3"/>
  <c r="K776" i="3"/>
  <c r="O780" i="3"/>
  <c r="S784" i="3"/>
  <c r="L789" i="3"/>
  <c r="P793" i="3"/>
  <c r="T797" i="3"/>
  <c r="P802" i="3"/>
  <c r="T806" i="3"/>
  <c r="K811" i="3"/>
  <c r="P815" i="3"/>
  <c r="T819" i="3"/>
  <c r="K824" i="3"/>
  <c r="Q828" i="3"/>
  <c r="U832" i="3"/>
  <c r="L837" i="3"/>
  <c r="P841" i="3"/>
  <c r="S843" i="3"/>
  <c r="Q845" i="3"/>
  <c r="O847" i="3"/>
  <c r="J849" i="3"/>
  <c r="R850" i="3"/>
  <c r="N852" i="3"/>
  <c r="V853" i="3"/>
  <c r="Q855" i="3"/>
  <c r="M857" i="3"/>
  <c r="U858" i="3"/>
  <c r="P860" i="3"/>
  <c r="L862" i="3"/>
  <c r="T863" i="3"/>
  <c r="O865" i="3"/>
  <c r="K867" i="3"/>
  <c r="S868" i="3"/>
  <c r="N870" i="3"/>
  <c r="J872" i="3"/>
  <c r="R873" i="3"/>
  <c r="M875" i="3"/>
  <c r="V876" i="3"/>
  <c r="Q878" i="3"/>
  <c r="L880" i="3"/>
  <c r="O881" i="3"/>
  <c r="R882" i="3"/>
  <c r="U883" i="3"/>
  <c r="K885" i="3"/>
  <c r="N886" i="3"/>
  <c r="Q887" i="3"/>
  <c r="T888" i="3"/>
  <c r="J890" i="3"/>
  <c r="M891" i="3"/>
  <c r="P892" i="3"/>
  <c r="S893" i="3"/>
  <c r="V894" i="3"/>
  <c r="L896" i="3"/>
  <c r="O897" i="3"/>
  <c r="R898" i="3"/>
  <c r="U899" i="3"/>
  <c r="K901" i="3"/>
  <c r="N902" i="3"/>
  <c r="Q903" i="3"/>
  <c r="T904" i="3"/>
  <c r="J906" i="3"/>
  <c r="M907" i="3"/>
  <c r="P908" i="3"/>
  <c r="S909" i="3"/>
  <c r="V910" i="3"/>
  <c r="L912" i="3"/>
  <c r="O913" i="3"/>
  <c r="R914" i="3"/>
  <c r="U915" i="3"/>
  <c r="K917" i="3"/>
  <c r="N918" i="3"/>
  <c r="Q919" i="3"/>
  <c r="T920" i="3"/>
  <c r="J922" i="3"/>
  <c r="M923" i="3"/>
  <c r="P924" i="3"/>
  <c r="S925" i="3"/>
  <c r="V926" i="3"/>
  <c r="L928" i="3"/>
  <c r="O929" i="3"/>
  <c r="R930" i="3"/>
  <c r="U931" i="3"/>
  <c r="K933" i="3"/>
  <c r="N934" i="3"/>
  <c r="Q935" i="3"/>
  <c r="T936" i="3"/>
  <c r="J938" i="3"/>
  <c r="M939" i="3"/>
  <c r="P940" i="3"/>
  <c r="S941" i="3"/>
  <c r="V942" i="3"/>
  <c r="L944" i="3"/>
  <c r="O945" i="3"/>
  <c r="R946" i="3"/>
  <c r="U947" i="3"/>
  <c r="K949" i="3"/>
  <c r="N950" i="3"/>
  <c r="Q951" i="3"/>
  <c r="T952" i="3"/>
  <c r="J954" i="3"/>
  <c r="M955" i="3"/>
  <c r="P956" i="3"/>
  <c r="S957" i="3"/>
  <c r="V958" i="3"/>
  <c r="L960" i="3"/>
  <c r="O961" i="3"/>
  <c r="R962" i="3"/>
  <c r="U963" i="3"/>
  <c r="K965" i="3"/>
  <c r="N966" i="3"/>
  <c r="Q967" i="3"/>
  <c r="T968" i="3"/>
  <c r="J970" i="3"/>
  <c r="M971" i="3"/>
  <c r="P972" i="3"/>
  <c r="S973" i="3"/>
  <c r="V974" i="3"/>
  <c r="L976" i="3"/>
  <c r="O977" i="3"/>
  <c r="R978" i="3"/>
  <c r="U979" i="3"/>
  <c r="K981" i="3"/>
  <c r="N982" i="3"/>
  <c r="Q983" i="3"/>
  <c r="T984" i="3"/>
  <c r="J986" i="3"/>
  <c r="U986" i="3"/>
  <c r="V987" i="3"/>
  <c r="V988" i="3"/>
  <c r="U989" i="3"/>
  <c r="T990" i="3"/>
  <c r="Q991" i="3"/>
  <c r="N992" i="3"/>
  <c r="M993" i="3"/>
  <c r="V993" i="3"/>
  <c r="Q994" i="3"/>
  <c r="L995" i="3"/>
  <c r="T995" i="3"/>
  <c r="O996" i="3"/>
  <c r="J997" i="3"/>
  <c r="R997" i="3"/>
  <c r="M998" i="3"/>
  <c r="U998" i="3"/>
  <c r="P999" i="3"/>
  <c r="K1000" i="3"/>
  <c r="S1000" i="3"/>
  <c r="S657" i="3"/>
  <c r="U939" i="3"/>
  <c r="V982" i="3"/>
  <c r="K996" i="3"/>
  <c r="O1000" i="3"/>
  <c r="Q1000" i="3"/>
  <c r="J565" i="3"/>
  <c r="P705" i="3"/>
  <c r="K714" i="3"/>
  <c r="K723" i="3"/>
  <c r="O740" i="3"/>
  <c r="L758" i="3"/>
  <c r="P775" i="3"/>
  <c r="U792" i="3"/>
  <c r="Q810" i="3"/>
  <c r="M832" i="3"/>
  <c r="O845" i="3"/>
  <c r="O855" i="3"/>
  <c r="V861" i="3"/>
  <c r="P868" i="3"/>
  <c r="K875" i="3"/>
  <c r="J880" i="3"/>
  <c r="V884" i="3"/>
  <c r="K891" i="3"/>
  <c r="J896" i="3"/>
  <c r="V900" i="3"/>
  <c r="R904" i="3"/>
  <c r="T910" i="3"/>
  <c r="S915" i="3"/>
  <c r="R920" i="3"/>
  <c r="Q925" i="3"/>
  <c r="P930" i="3"/>
  <c r="R936" i="3"/>
  <c r="T942" i="3"/>
  <c r="V948" i="3"/>
  <c r="U953" i="3"/>
  <c r="J960" i="3"/>
  <c r="L966" i="3"/>
  <c r="J976" i="3"/>
  <c r="O983" i="3"/>
  <c r="U987" i="3"/>
  <c r="M992" i="3"/>
  <c r="K995" i="3"/>
  <c r="Q997" i="3"/>
  <c r="R1000" i="3"/>
  <c r="L429" i="3"/>
  <c r="N581" i="3"/>
  <c r="Q643" i="3"/>
  <c r="N676" i="3"/>
  <c r="T691" i="3"/>
  <c r="U697" i="3"/>
  <c r="M702" i="3"/>
  <c r="Q706" i="3"/>
  <c r="U710" i="3"/>
  <c r="N715" i="3"/>
  <c r="R719" i="3"/>
  <c r="V723" i="3"/>
  <c r="R728" i="3"/>
  <c r="V732" i="3"/>
  <c r="M737" i="3"/>
  <c r="R741" i="3"/>
  <c r="V745" i="3"/>
  <c r="M750" i="3"/>
  <c r="S754" i="3"/>
  <c r="J759" i="3"/>
  <c r="N763" i="3"/>
  <c r="J768" i="3"/>
  <c r="N772" i="3"/>
  <c r="R776" i="3"/>
  <c r="J781" i="3"/>
  <c r="N785" i="3"/>
  <c r="R789" i="3"/>
  <c r="K794" i="3"/>
  <c r="O798" i="3"/>
  <c r="S802" i="3"/>
  <c r="O807" i="3"/>
  <c r="S811" i="3"/>
  <c r="J816" i="3"/>
  <c r="O820" i="3"/>
  <c r="S824" i="3"/>
  <c r="J829" i="3"/>
  <c r="P833" i="3"/>
  <c r="T837" i="3"/>
  <c r="S841" i="3"/>
  <c r="J844" i="3"/>
  <c r="U845" i="3"/>
  <c r="Q847" i="3"/>
  <c r="M849" i="3"/>
  <c r="U850" i="3"/>
  <c r="P852" i="3"/>
  <c r="L854" i="3"/>
  <c r="T855" i="3"/>
  <c r="O857" i="3"/>
  <c r="K859" i="3"/>
  <c r="S860" i="3"/>
  <c r="N862" i="3"/>
  <c r="J864" i="3"/>
  <c r="R865" i="3"/>
  <c r="M867" i="3"/>
  <c r="V868" i="3"/>
  <c r="Q870" i="3"/>
  <c r="L872" i="3"/>
  <c r="U873" i="3"/>
  <c r="P875" i="3"/>
  <c r="K877" i="3"/>
  <c r="T878" i="3"/>
  <c r="M880" i="3"/>
  <c r="P881" i="3"/>
  <c r="S882" i="3"/>
  <c r="V883" i="3"/>
  <c r="L885" i="3"/>
  <c r="O886" i="3"/>
  <c r="R887" i="3"/>
  <c r="U888" i="3"/>
  <c r="K890" i="3"/>
  <c r="N891" i="3"/>
  <c r="Q892" i="3"/>
  <c r="T893" i="3"/>
  <c r="J895" i="3"/>
  <c r="M896" i="3"/>
  <c r="P897" i="3"/>
  <c r="S898" i="3"/>
  <c r="V899" i="3"/>
  <c r="L901" i="3"/>
  <c r="O902" i="3"/>
  <c r="R903" i="3"/>
  <c r="U904" i="3"/>
  <c r="K906" i="3"/>
  <c r="N907" i="3"/>
  <c r="Q908" i="3"/>
  <c r="T909" i="3"/>
  <c r="J911" i="3"/>
  <c r="M912" i="3"/>
  <c r="P913" i="3"/>
  <c r="S914" i="3"/>
  <c r="V915" i="3"/>
  <c r="L917" i="3"/>
  <c r="O918" i="3"/>
  <c r="R919" i="3"/>
  <c r="U920" i="3"/>
  <c r="K922" i="3"/>
  <c r="N923" i="3"/>
  <c r="Q924" i="3"/>
  <c r="T925" i="3"/>
  <c r="J927" i="3"/>
  <c r="M928" i="3"/>
  <c r="P929" i="3"/>
  <c r="S930" i="3"/>
  <c r="V931" i="3"/>
  <c r="L933" i="3"/>
  <c r="O934" i="3"/>
  <c r="R935" i="3"/>
  <c r="U936" i="3"/>
  <c r="K938" i="3"/>
  <c r="N939" i="3"/>
  <c r="Q940" i="3"/>
  <c r="T941" i="3"/>
  <c r="J943" i="3"/>
  <c r="M944" i="3"/>
  <c r="P945" i="3"/>
  <c r="S946" i="3"/>
  <c r="V947" i="3"/>
  <c r="L949" i="3"/>
  <c r="O950" i="3"/>
  <c r="R951" i="3"/>
  <c r="U952" i="3"/>
  <c r="K954" i="3"/>
  <c r="N955" i="3"/>
  <c r="Q956" i="3"/>
  <c r="T957" i="3"/>
  <c r="J959" i="3"/>
  <c r="M960" i="3"/>
  <c r="P961" i="3"/>
  <c r="S962" i="3"/>
  <c r="V963" i="3"/>
  <c r="L965" i="3"/>
  <c r="O966" i="3"/>
  <c r="R967" i="3"/>
  <c r="U968" i="3"/>
  <c r="K970" i="3"/>
  <c r="N971" i="3"/>
  <c r="Q972" i="3"/>
  <c r="T973" i="3"/>
  <c r="J975" i="3"/>
  <c r="M976" i="3"/>
  <c r="P977" i="3"/>
  <c r="S978" i="3"/>
  <c r="V979" i="3"/>
  <c r="L981" i="3"/>
  <c r="O982" i="3"/>
  <c r="R983" i="3"/>
  <c r="U984" i="3"/>
  <c r="K986" i="3"/>
  <c r="K987" i="3"/>
  <c r="J988" i="3"/>
  <c r="K989" i="3"/>
  <c r="V989" i="3"/>
  <c r="U990" i="3"/>
  <c r="R991" i="3"/>
  <c r="O992" i="3"/>
  <c r="N993" i="3"/>
  <c r="J994" i="3"/>
  <c r="R994" i="3"/>
  <c r="M995" i="3"/>
  <c r="U995" i="3"/>
  <c r="P996" i="3"/>
  <c r="K997" i="3"/>
  <c r="S997" i="3"/>
  <c r="N998" i="3"/>
  <c r="V998" i="3"/>
  <c r="Q999" i="3"/>
  <c r="L1000" i="3"/>
  <c r="T1000" i="3"/>
  <c r="S696" i="3"/>
  <c r="N972" i="3"/>
  <c r="J455" i="3"/>
  <c r="L591" i="3"/>
  <c r="Q649" i="3"/>
  <c r="N678" i="3"/>
  <c r="R693" i="3"/>
  <c r="P698" i="3"/>
  <c r="T702" i="3"/>
  <c r="L707" i="3"/>
  <c r="P711" i="3"/>
  <c r="T715" i="3"/>
  <c r="M720" i="3"/>
  <c r="Q724" i="3"/>
  <c r="U728" i="3"/>
  <c r="Q733" i="3"/>
  <c r="U737" i="3"/>
  <c r="L742" i="3"/>
  <c r="Q746" i="3"/>
  <c r="U750" i="3"/>
  <c r="L755" i="3"/>
  <c r="R759" i="3"/>
  <c r="V763" i="3"/>
  <c r="M768" i="3"/>
  <c r="V772" i="3"/>
  <c r="M777" i="3"/>
  <c r="Q781" i="3"/>
  <c r="V785" i="3"/>
  <c r="M790" i="3"/>
  <c r="Q794" i="3"/>
  <c r="J799" i="3"/>
  <c r="N803" i="3"/>
  <c r="R807" i="3"/>
  <c r="N812" i="3"/>
  <c r="R816" i="3"/>
  <c r="V820" i="3"/>
  <c r="N825" i="3"/>
  <c r="R829" i="3"/>
  <c r="V833" i="3"/>
  <c r="O838" i="3"/>
  <c r="K842" i="3"/>
  <c r="L844" i="3"/>
  <c r="K846" i="3"/>
  <c r="T847" i="3"/>
  <c r="O849" i="3"/>
  <c r="K851" i="3"/>
  <c r="S852" i="3"/>
  <c r="N854" i="3"/>
  <c r="J856" i="3"/>
  <c r="R857" i="3"/>
  <c r="M859" i="3"/>
  <c r="V860" i="3"/>
  <c r="Q862" i="3"/>
  <c r="L864" i="3"/>
  <c r="U865" i="3"/>
  <c r="P867" i="3"/>
  <c r="K869" i="3"/>
  <c r="T870" i="3"/>
  <c r="O872" i="3"/>
  <c r="J874" i="3"/>
  <c r="S875" i="3"/>
  <c r="N877" i="3"/>
  <c r="V878" i="3"/>
  <c r="O880" i="3"/>
  <c r="R881" i="3"/>
  <c r="U882" i="3"/>
  <c r="K884" i="3"/>
  <c r="N885" i="3"/>
  <c r="Q886" i="3"/>
  <c r="T887" i="3"/>
  <c r="J889" i="3"/>
  <c r="M890" i="3"/>
  <c r="P891" i="3"/>
  <c r="S892" i="3"/>
  <c r="V893" i="3"/>
  <c r="L895" i="3"/>
  <c r="O896" i="3"/>
  <c r="R897" i="3"/>
  <c r="U898" i="3"/>
  <c r="K900" i="3"/>
  <c r="N901" i="3"/>
  <c r="Q902" i="3"/>
  <c r="T903" i="3"/>
  <c r="J905" i="3"/>
  <c r="M906" i="3"/>
  <c r="P907" i="3"/>
  <c r="S908" i="3"/>
  <c r="V909" i="3"/>
  <c r="L911" i="3"/>
  <c r="O912" i="3"/>
  <c r="R913" i="3"/>
  <c r="U914" i="3"/>
  <c r="K916" i="3"/>
  <c r="N917" i="3"/>
  <c r="Q918" i="3"/>
  <c r="T919" i="3"/>
  <c r="J921" i="3"/>
  <c r="M922" i="3"/>
  <c r="P923" i="3"/>
  <c r="S924" i="3"/>
  <c r="V925" i="3"/>
  <c r="L927" i="3"/>
  <c r="O928" i="3"/>
  <c r="R929" i="3"/>
  <c r="U930" i="3"/>
  <c r="K932" i="3"/>
  <c r="N933" i="3"/>
  <c r="Q934" i="3"/>
  <c r="T935" i="3"/>
  <c r="J937" i="3"/>
  <c r="M938" i="3"/>
  <c r="P939" i="3"/>
  <c r="S940" i="3"/>
  <c r="V941" i="3"/>
  <c r="L943" i="3"/>
  <c r="O944" i="3"/>
  <c r="R945" i="3"/>
  <c r="U946" i="3"/>
  <c r="K948" i="3"/>
  <c r="N949" i="3"/>
  <c r="Q950" i="3"/>
  <c r="T951" i="3"/>
  <c r="J953" i="3"/>
  <c r="M954" i="3"/>
  <c r="P955" i="3"/>
  <c r="S956" i="3"/>
  <c r="V957" i="3"/>
  <c r="L959" i="3"/>
  <c r="O960" i="3"/>
  <c r="R961" i="3"/>
  <c r="U962" i="3"/>
  <c r="K964" i="3"/>
  <c r="N965" i="3"/>
  <c r="Q966" i="3"/>
  <c r="T967" i="3"/>
  <c r="J969" i="3"/>
  <c r="M970" i="3"/>
  <c r="P971" i="3"/>
  <c r="S972" i="3"/>
  <c r="V973" i="3"/>
  <c r="L975" i="3"/>
  <c r="O976" i="3"/>
  <c r="R977" i="3"/>
  <c r="U978" i="3"/>
  <c r="K980" i="3"/>
  <c r="N981" i="3"/>
  <c r="Q982" i="3"/>
  <c r="T983" i="3"/>
  <c r="J985" i="3"/>
  <c r="L986" i="3"/>
  <c r="M987" i="3"/>
  <c r="K988" i="3"/>
  <c r="L989" i="3"/>
  <c r="L990" i="3"/>
  <c r="V990" i="3"/>
  <c r="S991" i="3"/>
  <c r="R992" i="3"/>
  <c r="O993" i="3"/>
  <c r="K994" i="3"/>
  <c r="S994" i="3"/>
  <c r="N995" i="3"/>
  <c r="V995" i="3"/>
  <c r="Q996" i="3"/>
  <c r="L997" i="3"/>
  <c r="T997" i="3"/>
  <c r="O998" i="3"/>
  <c r="J999" i="3"/>
  <c r="R999" i="3"/>
  <c r="M1000" i="3"/>
  <c r="U1000" i="3"/>
  <c r="N607" i="3"/>
  <c r="N683" i="3"/>
  <c r="J695" i="3"/>
  <c r="N699" i="3"/>
  <c r="J704" i="3"/>
  <c r="N708" i="3"/>
  <c r="R712" i="3"/>
  <c r="J717" i="3"/>
  <c r="N721" i="3"/>
  <c r="R725" i="3"/>
  <c r="K730" i="3"/>
  <c r="O734" i="3"/>
  <c r="S738" i="3"/>
  <c r="O743" i="3"/>
  <c r="S747" i="3"/>
  <c r="J752" i="3"/>
  <c r="O756" i="3"/>
  <c r="S760" i="3"/>
  <c r="J765" i="3"/>
  <c r="P769" i="3"/>
  <c r="T773" i="3"/>
  <c r="K778" i="3"/>
  <c r="T782" i="3"/>
  <c r="K787" i="3"/>
  <c r="O791" i="3"/>
  <c r="T795" i="3"/>
  <c r="K800" i="3"/>
  <c r="O804" i="3"/>
  <c r="U808" i="3"/>
  <c r="L813" i="3"/>
  <c r="P817" i="3"/>
  <c r="L822" i="3"/>
  <c r="P826" i="3"/>
  <c r="T830" i="3"/>
  <c r="L835" i="3"/>
  <c r="P839" i="3"/>
  <c r="Q842" i="3"/>
  <c r="S844" i="3"/>
  <c r="Q846" i="3"/>
  <c r="L848" i="3"/>
  <c r="U849" i="3"/>
  <c r="P851" i="3"/>
  <c r="K853" i="3"/>
  <c r="T854" i="3"/>
  <c r="O856" i="3"/>
  <c r="J858" i="3"/>
  <c r="S859" i="3"/>
  <c r="N861" i="3"/>
  <c r="V862" i="3"/>
  <c r="R864" i="3"/>
  <c r="M866" i="3"/>
  <c r="U867" i="3"/>
  <c r="Q869" i="3"/>
  <c r="L871" i="3"/>
  <c r="T872" i="3"/>
  <c r="P874" i="3"/>
  <c r="K876" i="3"/>
  <c r="S877" i="3"/>
  <c r="O879" i="3"/>
  <c r="T880" i="3"/>
  <c r="J882" i="3"/>
  <c r="M883" i="3"/>
  <c r="P884" i="3"/>
  <c r="S885" i="3"/>
  <c r="V886" i="3"/>
  <c r="L888" i="3"/>
  <c r="O889" i="3"/>
  <c r="R890" i="3"/>
  <c r="U891" i="3"/>
  <c r="K893" i="3"/>
  <c r="N894" i="3"/>
  <c r="Q895" i="3"/>
  <c r="T896" i="3"/>
  <c r="J898" i="3"/>
  <c r="M899" i="3"/>
  <c r="P900" i="3"/>
  <c r="S901" i="3"/>
  <c r="V902" i="3"/>
  <c r="L904" i="3"/>
  <c r="O905" i="3"/>
  <c r="R906" i="3"/>
  <c r="U907" i="3"/>
  <c r="K909" i="3"/>
  <c r="N910" i="3"/>
  <c r="Q911" i="3"/>
  <c r="T912" i="3"/>
  <c r="J914" i="3"/>
  <c r="M915" i="3"/>
  <c r="P916" i="3"/>
  <c r="S917" i="3"/>
  <c r="V918" i="3"/>
  <c r="L920" i="3"/>
  <c r="O921" i="3"/>
  <c r="R922" i="3"/>
  <c r="U923" i="3"/>
  <c r="K925" i="3"/>
  <c r="N926" i="3"/>
  <c r="Q927" i="3"/>
  <c r="T928" i="3"/>
  <c r="J930" i="3"/>
  <c r="M931" i="3"/>
  <c r="P932" i="3"/>
  <c r="S933" i="3"/>
  <c r="V934" i="3"/>
  <c r="L936" i="3"/>
  <c r="R938" i="3"/>
  <c r="K941" i="3"/>
  <c r="N942" i="3"/>
  <c r="Q943" i="3"/>
  <c r="T944" i="3"/>
  <c r="J946" i="3"/>
  <c r="M947" i="3"/>
  <c r="P948" i="3"/>
  <c r="S949" i="3"/>
  <c r="V950" i="3"/>
  <c r="L952" i="3"/>
  <c r="O953" i="3"/>
  <c r="R954" i="3"/>
  <c r="U955" i="3"/>
  <c r="K957" i="3"/>
  <c r="N958" i="3"/>
  <c r="Q959" i="3"/>
  <c r="T960" i="3"/>
  <c r="M963" i="3"/>
  <c r="P964" i="3"/>
  <c r="S965" i="3"/>
  <c r="V966" i="3"/>
  <c r="L968" i="3"/>
  <c r="O969" i="3"/>
  <c r="R970" i="3"/>
  <c r="U971" i="3"/>
  <c r="K973" i="3"/>
  <c r="N974" i="3"/>
  <c r="Q975" i="3"/>
  <c r="T976" i="3"/>
  <c r="J978" i="3"/>
  <c r="M979" i="3"/>
  <c r="P980" i="3"/>
  <c r="L984" i="3"/>
  <c r="O985" i="3"/>
  <c r="P986" i="3"/>
  <c r="O987" i="3"/>
  <c r="P988" i="3"/>
  <c r="N989" i="3"/>
  <c r="N990" i="3"/>
  <c r="K991" i="3"/>
  <c r="J992" i="3"/>
  <c r="T992" i="3"/>
  <c r="Q993" i="3"/>
  <c r="M994" i="3"/>
  <c r="U994" i="3"/>
  <c r="P995" i="3"/>
  <c r="S996" i="3"/>
  <c r="V997" i="3"/>
  <c r="Q998" i="3"/>
  <c r="L999" i="3"/>
  <c r="T999" i="3"/>
  <c r="V999" i="3"/>
  <c r="U669" i="3"/>
  <c r="T731" i="3"/>
  <c r="L749" i="3"/>
  <c r="L771" i="3"/>
  <c r="M784" i="3"/>
  <c r="U801" i="3"/>
  <c r="L819" i="3"/>
  <c r="V836" i="3"/>
  <c r="L847" i="3"/>
  <c r="S853" i="3"/>
  <c r="J857" i="3"/>
  <c r="Q863" i="3"/>
  <c r="L870" i="3"/>
  <c r="S876" i="3"/>
  <c r="S883" i="3"/>
  <c r="R888" i="3"/>
  <c r="N892" i="3"/>
  <c r="P898" i="3"/>
  <c r="L902" i="3"/>
  <c r="Q909" i="3"/>
  <c r="P914" i="3"/>
  <c r="L918" i="3"/>
  <c r="K923" i="3"/>
  <c r="J928" i="3"/>
  <c r="V932" i="3"/>
  <c r="U937" i="3"/>
  <c r="Q941" i="3"/>
  <c r="M945" i="3"/>
  <c r="L950" i="3"/>
  <c r="K955" i="3"/>
  <c r="T958" i="3"/>
  <c r="S963" i="3"/>
  <c r="R968" i="3"/>
  <c r="T974" i="3"/>
  <c r="P978" i="3"/>
  <c r="L982" i="3"/>
  <c r="U985" i="3"/>
  <c r="T989" i="3"/>
  <c r="Q990" i="3"/>
  <c r="P994" i="3"/>
  <c r="V996" i="3"/>
  <c r="L998" i="3"/>
  <c r="J1000" i="3"/>
  <c r="O494" i="3"/>
  <c r="P597" i="3"/>
  <c r="P654" i="3"/>
  <c r="U680" i="3"/>
  <c r="M694" i="3"/>
  <c r="K699" i="3"/>
  <c r="O703" i="3"/>
  <c r="S707" i="3"/>
  <c r="K712" i="3"/>
  <c r="O716" i="3"/>
  <c r="S720" i="3"/>
  <c r="L725" i="3"/>
  <c r="P729" i="3"/>
  <c r="T733" i="3"/>
  <c r="P738" i="3"/>
  <c r="T742" i="3"/>
  <c r="K747" i="3"/>
  <c r="P751" i="3"/>
  <c r="T755" i="3"/>
  <c r="K760" i="3"/>
  <c r="Q764" i="3"/>
  <c r="U768" i="3"/>
  <c r="L773" i="3"/>
  <c r="U777" i="3"/>
  <c r="L782" i="3"/>
  <c r="P786" i="3"/>
  <c r="U790" i="3"/>
  <c r="L795" i="3"/>
  <c r="P799" i="3"/>
  <c r="V803" i="3"/>
  <c r="M808" i="3"/>
  <c r="Q812" i="3"/>
  <c r="M817" i="3"/>
  <c r="Q821" i="3"/>
  <c r="U825" i="3"/>
  <c r="M830" i="3"/>
  <c r="Q834" i="3"/>
  <c r="U838" i="3"/>
  <c r="N842" i="3"/>
  <c r="O844" i="3"/>
  <c r="M846" i="3"/>
  <c r="J848" i="3"/>
  <c r="R849" i="3"/>
  <c r="M851" i="3"/>
  <c r="V852" i="3"/>
  <c r="Q854" i="3"/>
  <c r="L856" i="3"/>
  <c r="U857" i="3"/>
  <c r="P859" i="3"/>
  <c r="K861" i="3"/>
  <c r="T862" i="3"/>
  <c r="O864" i="3"/>
  <c r="J866" i="3"/>
  <c r="S867" i="3"/>
  <c r="N869" i="3"/>
  <c r="V870" i="3"/>
  <c r="R872" i="3"/>
  <c r="M874" i="3"/>
  <c r="U875" i="3"/>
  <c r="Q877" i="3"/>
  <c r="L879" i="3"/>
  <c r="R880" i="3"/>
  <c r="U881" i="3"/>
  <c r="K883" i="3"/>
  <c r="N884" i="3"/>
  <c r="Q885" i="3"/>
  <c r="T886" i="3"/>
  <c r="J888" i="3"/>
  <c r="M889" i="3"/>
  <c r="P890" i="3"/>
  <c r="S891" i="3"/>
  <c r="V892" i="3"/>
  <c r="L894" i="3"/>
  <c r="O895" i="3"/>
  <c r="R896" i="3"/>
  <c r="U897" i="3"/>
  <c r="K899" i="3"/>
  <c r="N900" i="3"/>
  <c r="Q901" i="3"/>
  <c r="T902" i="3"/>
  <c r="J904" i="3"/>
  <c r="M905" i="3"/>
  <c r="P906" i="3"/>
  <c r="S907" i="3"/>
  <c r="V908" i="3"/>
  <c r="L910" i="3"/>
  <c r="O911" i="3"/>
  <c r="R912" i="3"/>
  <c r="U913" i="3"/>
  <c r="K915" i="3"/>
  <c r="N916" i="3"/>
  <c r="Q917" i="3"/>
  <c r="T918" i="3"/>
  <c r="J920" i="3"/>
  <c r="M921" i="3"/>
  <c r="P922" i="3"/>
  <c r="S923" i="3"/>
  <c r="V924" i="3"/>
  <c r="L926" i="3"/>
  <c r="O927" i="3"/>
  <c r="R928" i="3"/>
  <c r="U929" i="3"/>
  <c r="K931" i="3"/>
  <c r="N932" i="3"/>
  <c r="Q933" i="3"/>
  <c r="T934" i="3"/>
  <c r="J936" i="3"/>
  <c r="M937" i="3"/>
  <c r="P938" i="3"/>
  <c r="S939" i="3"/>
  <c r="V940" i="3"/>
  <c r="L942" i="3"/>
  <c r="O943" i="3"/>
  <c r="R944" i="3"/>
  <c r="U945" i="3"/>
  <c r="K947" i="3"/>
  <c r="N948" i="3"/>
  <c r="Q949" i="3"/>
  <c r="T950" i="3"/>
  <c r="J952" i="3"/>
  <c r="M953" i="3"/>
  <c r="P954" i="3"/>
  <c r="S955" i="3"/>
  <c r="V956" i="3"/>
  <c r="L958" i="3"/>
  <c r="O959" i="3"/>
  <c r="R960" i="3"/>
  <c r="U961" i="3"/>
  <c r="K963" i="3"/>
  <c r="N964" i="3"/>
  <c r="Q965" i="3"/>
  <c r="T966" i="3"/>
  <c r="J968" i="3"/>
  <c r="M969" i="3"/>
  <c r="P970" i="3"/>
  <c r="S971" i="3"/>
  <c r="V972" i="3"/>
  <c r="L974" i="3"/>
  <c r="O975" i="3"/>
  <c r="R976" i="3"/>
  <c r="U977" i="3"/>
  <c r="K979" i="3"/>
  <c r="N980" i="3"/>
  <c r="Q981" i="3"/>
  <c r="T982" i="3"/>
  <c r="J984" i="3"/>
  <c r="M985" i="3"/>
  <c r="M986" i="3"/>
  <c r="N987" i="3"/>
  <c r="N988" i="3"/>
  <c r="M989" i="3"/>
  <c r="M990" i="3"/>
  <c r="J991" i="3"/>
  <c r="T991" i="3"/>
  <c r="S992" i="3"/>
  <c r="P993" i="3"/>
  <c r="L994" i="3"/>
  <c r="T994" i="3"/>
  <c r="O995" i="3"/>
  <c r="J996" i="3"/>
  <c r="R996" i="3"/>
  <c r="M997" i="3"/>
  <c r="U997" i="3"/>
  <c r="P998" i="3"/>
  <c r="K999" i="3"/>
  <c r="S999" i="3"/>
  <c r="N1000" i="3"/>
  <c r="V1000" i="3"/>
  <c r="T533" i="3"/>
  <c r="O937" i="3"/>
  <c r="S981" i="3"/>
  <c r="N997" i="3"/>
  <c r="M631" i="3"/>
  <c r="J701" i="3"/>
  <c r="T709" i="3"/>
  <c r="T718" i="3"/>
  <c r="K736" i="3"/>
  <c r="U744" i="3"/>
  <c r="P762" i="3"/>
  <c r="T779" i="3"/>
  <c r="Q797" i="3"/>
  <c r="U814" i="3"/>
  <c r="V827" i="3"/>
  <c r="O843" i="3"/>
  <c r="P850" i="3"/>
  <c r="R858" i="3"/>
  <c r="M865" i="3"/>
  <c r="O873" i="3"/>
  <c r="M881" i="3"/>
  <c r="L886" i="3"/>
  <c r="U889" i="3"/>
  <c r="T894" i="3"/>
  <c r="S899" i="3"/>
  <c r="K907" i="3"/>
  <c r="J912" i="3"/>
  <c r="V916" i="3"/>
  <c r="U921" i="3"/>
  <c r="T926" i="3"/>
  <c r="S931" i="3"/>
  <c r="O935" i="3"/>
  <c r="N940" i="3"/>
  <c r="P946" i="3"/>
  <c r="O951" i="3"/>
  <c r="Q957" i="3"/>
  <c r="P962" i="3"/>
  <c r="O967" i="3"/>
  <c r="M977" i="3"/>
  <c r="V980" i="3"/>
  <c r="T986" i="3"/>
  <c r="P991" i="3"/>
  <c r="S995" i="3"/>
  <c r="T998" i="3"/>
  <c r="J962" i="3"/>
  <c r="U905" i="3"/>
  <c r="K971" i="3"/>
  <c r="U993" i="3"/>
  <c r="N545" i="3"/>
  <c r="L617" i="3"/>
  <c r="R662" i="3"/>
  <c r="J685" i="3"/>
  <c r="R695" i="3"/>
  <c r="V699" i="3"/>
  <c r="M704" i="3"/>
  <c r="V708" i="3"/>
  <c r="M713" i="3"/>
  <c r="Q717" i="3"/>
  <c r="V721" i="3"/>
  <c r="M726" i="3"/>
  <c r="Q730" i="3"/>
  <c r="J735" i="3"/>
  <c r="N739" i="3"/>
  <c r="R743" i="3"/>
  <c r="N748" i="3"/>
  <c r="R752" i="3"/>
  <c r="V756" i="3"/>
  <c r="N761" i="3"/>
  <c r="R765" i="3"/>
  <c r="V769" i="3"/>
  <c r="O774" i="3"/>
  <c r="S778" i="3"/>
  <c r="J783" i="3"/>
  <c r="S787" i="3"/>
  <c r="J792" i="3"/>
  <c r="N796" i="3"/>
  <c r="S800" i="3"/>
  <c r="J805" i="3"/>
  <c r="N809" i="3"/>
  <c r="T813" i="3"/>
  <c r="K818" i="3"/>
  <c r="O822" i="3"/>
  <c r="K827" i="3"/>
  <c r="O831" i="3"/>
  <c r="S835" i="3"/>
  <c r="K840" i="3"/>
  <c r="U842" i="3"/>
  <c r="U844" i="3"/>
  <c r="T846" i="3"/>
  <c r="O848" i="3"/>
  <c r="J850" i="3"/>
  <c r="S851" i="3"/>
  <c r="N853" i="3"/>
  <c r="V854" i="3"/>
  <c r="R856" i="3"/>
  <c r="M858" i="3"/>
  <c r="U859" i="3"/>
  <c r="Q861" i="3"/>
  <c r="L863" i="3"/>
  <c r="T864" i="3"/>
  <c r="P866" i="3"/>
  <c r="K868" i="3"/>
  <c r="S869" i="3"/>
  <c r="O871" i="3"/>
  <c r="J873" i="3"/>
  <c r="R874" i="3"/>
  <c r="N876" i="3"/>
  <c r="V877" i="3"/>
  <c r="Q879" i="3"/>
  <c r="U880" i="3"/>
  <c r="K882" i="3"/>
  <c r="N883" i="3"/>
  <c r="Q884" i="3"/>
  <c r="T885" i="3"/>
  <c r="J887" i="3"/>
  <c r="M888" i="3"/>
  <c r="P889" i="3"/>
  <c r="S890" i="3"/>
  <c r="V891" i="3"/>
  <c r="L893" i="3"/>
  <c r="O894" i="3"/>
  <c r="R895" i="3"/>
  <c r="U896" i="3"/>
  <c r="K898" i="3"/>
  <c r="N899" i="3"/>
  <c r="Q900" i="3"/>
  <c r="T901" i="3"/>
  <c r="J903" i="3"/>
  <c r="M904" i="3"/>
  <c r="P905" i="3"/>
  <c r="S906" i="3"/>
  <c r="V907" i="3"/>
  <c r="L909" i="3"/>
  <c r="O910" i="3"/>
  <c r="R911" i="3"/>
  <c r="U912" i="3"/>
  <c r="K914" i="3"/>
  <c r="N915" i="3"/>
  <c r="Q916" i="3"/>
  <c r="T917" i="3"/>
  <c r="J919" i="3"/>
  <c r="M920" i="3"/>
  <c r="P921" i="3"/>
  <c r="S922" i="3"/>
  <c r="V923" i="3"/>
  <c r="L925" i="3"/>
  <c r="O926" i="3"/>
  <c r="R927" i="3"/>
  <c r="U928" i="3"/>
  <c r="K930" i="3"/>
  <c r="N931" i="3"/>
  <c r="Q932" i="3"/>
  <c r="T933" i="3"/>
  <c r="J935" i="3"/>
  <c r="M936" i="3"/>
  <c r="P937" i="3"/>
  <c r="S938" i="3"/>
  <c r="V939" i="3"/>
  <c r="L941" i="3"/>
  <c r="O942" i="3"/>
  <c r="R943" i="3"/>
  <c r="U944" i="3"/>
  <c r="K946" i="3"/>
  <c r="N947" i="3"/>
  <c r="Q948" i="3"/>
  <c r="T949" i="3"/>
  <c r="J951" i="3"/>
  <c r="M952" i="3"/>
  <c r="P953" i="3"/>
  <c r="S954" i="3"/>
  <c r="V955" i="3"/>
  <c r="L957" i="3"/>
  <c r="O958" i="3"/>
  <c r="R959" i="3"/>
  <c r="U960" i="3"/>
  <c r="K962" i="3"/>
  <c r="N963" i="3"/>
  <c r="Q964" i="3"/>
  <c r="T965" i="3"/>
  <c r="J967" i="3"/>
  <c r="M968" i="3"/>
  <c r="P969" i="3"/>
  <c r="S970" i="3"/>
  <c r="V971" i="3"/>
  <c r="L973" i="3"/>
  <c r="O974" i="3"/>
  <c r="R975" i="3"/>
  <c r="U976" i="3"/>
  <c r="K978" i="3"/>
  <c r="N979" i="3"/>
  <c r="Q980" i="3"/>
  <c r="T981" i="3"/>
  <c r="J983" i="3"/>
  <c r="M984" i="3"/>
  <c r="P985" i="3"/>
  <c r="R986" i="3"/>
  <c r="P987" i="3"/>
  <c r="Q988" i="3"/>
  <c r="Q989" i="3"/>
  <c r="O990" i="3"/>
  <c r="L991" i="3"/>
  <c r="K992" i="3"/>
  <c r="U992" i="3"/>
  <c r="R993" i="3"/>
  <c r="N994" i="3"/>
  <c r="V994" i="3"/>
  <c r="Q995" i="3"/>
  <c r="L996" i="3"/>
  <c r="T996" i="3"/>
  <c r="O997" i="3"/>
  <c r="J998" i="3"/>
  <c r="R998" i="3"/>
  <c r="M999" i="3"/>
  <c r="U999" i="3"/>
  <c r="P1000" i="3"/>
  <c r="L555" i="3"/>
  <c r="N623" i="3"/>
  <c r="O667" i="3"/>
  <c r="U686" i="3"/>
  <c r="K696" i="3"/>
  <c r="Q700" i="3"/>
  <c r="U704" i="3"/>
  <c r="L709" i="3"/>
  <c r="U713" i="3"/>
  <c r="L718" i="3"/>
  <c r="P722" i="3"/>
  <c r="U726" i="3"/>
  <c r="L731" i="3"/>
  <c r="P735" i="3"/>
  <c r="V739" i="3"/>
  <c r="M744" i="3"/>
  <c r="Q748" i="3"/>
  <c r="M753" i="3"/>
  <c r="Q757" i="3"/>
  <c r="U761" i="3"/>
  <c r="M766" i="3"/>
  <c r="Q770" i="3"/>
  <c r="U774" i="3"/>
  <c r="N779" i="3"/>
  <c r="R783" i="3"/>
  <c r="V787" i="3"/>
  <c r="R792" i="3"/>
  <c r="V796" i="3"/>
  <c r="M801" i="3"/>
  <c r="R805" i="3"/>
  <c r="V809" i="3"/>
  <c r="M814" i="3"/>
  <c r="S818" i="3"/>
  <c r="J823" i="3"/>
  <c r="N827" i="3"/>
  <c r="J832" i="3"/>
  <c r="N836" i="3"/>
  <c r="R840" i="3"/>
  <c r="L843" i="3"/>
  <c r="L845" i="3"/>
  <c r="V846" i="3"/>
  <c r="R848" i="3"/>
  <c r="M850" i="3"/>
  <c r="U851" i="3"/>
  <c r="Q853" i="3"/>
  <c r="L855" i="3"/>
  <c r="T856" i="3"/>
  <c r="P858" i="3"/>
  <c r="K860" i="3"/>
  <c r="S861" i="3"/>
  <c r="O863" i="3"/>
  <c r="J865" i="3"/>
  <c r="R866" i="3"/>
  <c r="N868" i="3"/>
  <c r="V869" i="3"/>
  <c r="Q871" i="3"/>
  <c r="M873" i="3"/>
  <c r="U874" i="3"/>
  <c r="P876" i="3"/>
  <c r="L878" i="3"/>
  <c r="T879" i="3"/>
  <c r="J881" i="3"/>
  <c r="M882" i="3"/>
  <c r="P883" i="3"/>
  <c r="S884" i="3"/>
  <c r="V885" i="3"/>
  <c r="L887" i="3"/>
  <c r="O888" i="3"/>
  <c r="R889" i="3"/>
  <c r="U890" i="3"/>
  <c r="K892" i="3"/>
  <c r="N893" i="3"/>
  <c r="Q894" i="3"/>
  <c r="T895" i="3"/>
  <c r="J897" i="3"/>
  <c r="M898" i="3"/>
  <c r="P899" i="3"/>
  <c r="S900" i="3"/>
  <c r="V901" i="3"/>
  <c r="L903" i="3"/>
  <c r="O904" i="3"/>
  <c r="R905" i="3"/>
  <c r="U906" i="3"/>
  <c r="K908" i="3"/>
  <c r="N909" i="3"/>
  <c r="Q910" i="3"/>
  <c r="T911" i="3"/>
  <c r="J913" i="3"/>
  <c r="M914" i="3"/>
  <c r="P915" i="3"/>
  <c r="S916" i="3"/>
  <c r="V917" i="3"/>
  <c r="L919" i="3"/>
  <c r="O920" i="3"/>
  <c r="R921" i="3"/>
  <c r="U922" i="3"/>
  <c r="K924" i="3"/>
  <c r="N925" i="3"/>
  <c r="Q926" i="3"/>
  <c r="T927" i="3"/>
  <c r="J929" i="3"/>
  <c r="M930" i="3"/>
  <c r="P931" i="3"/>
  <c r="S932" i="3"/>
  <c r="V933" i="3"/>
  <c r="L935" i="3"/>
  <c r="O936" i="3"/>
  <c r="R937" i="3"/>
  <c r="U938" i="3"/>
  <c r="K940" i="3"/>
  <c r="N941" i="3"/>
  <c r="Q942" i="3"/>
  <c r="J945" i="3"/>
  <c r="M946" i="3"/>
  <c r="P947" i="3"/>
  <c r="S948" i="3"/>
  <c r="V949" i="3"/>
  <c r="L951" i="3"/>
  <c r="O952" i="3"/>
  <c r="R953" i="3"/>
  <c r="U954" i="3"/>
  <c r="K956" i="3"/>
  <c r="N957" i="3"/>
  <c r="Q958" i="3"/>
  <c r="T959" i="3"/>
  <c r="J961" i="3"/>
  <c r="M962" i="3"/>
  <c r="P963" i="3"/>
  <c r="S964" i="3"/>
  <c r="V965" i="3"/>
  <c r="L967" i="3"/>
  <c r="O968" i="3"/>
  <c r="R969" i="3"/>
  <c r="U970" i="3"/>
  <c r="K972" i="3"/>
  <c r="N973" i="3"/>
  <c r="Q974" i="3"/>
  <c r="T975" i="3"/>
  <c r="J977" i="3"/>
  <c r="M978" i="3"/>
  <c r="P979" i="3"/>
  <c r="S980" i="3"/>
  <c r="V981" i="3"/>
  <c r="L983" i="3"/>
  <c r="O984" i="3"/>
  <c r="R985" i="3"/>
  <c r="S986" i="3"/>
  <c r="S987" i="3"/>
  <c r="R988" i="3"/>
  <c r="S989" i="3"/>
  <c r="P990" i="3"/>
  <c r="O991" i="3"/>
  <c r="L992" i="3"/>
  <c r="V992" i="3"/>
  <c r="T993" i="3"/>
  <c r="O994" i="3"/>
  <c r="J995" i="3"/>
  <c r="R995" i="3"/>
  <c r="M996" i="3"/>
  <c r="U996" i="3"/>
  <c r="P997" i="3"/>
  <c r="K998" i="3"/>
  <c r="S998" i="3"/>
  <c r="N999" i="3"/>
  <c r="S688" i="3"/>
  <c r="O727" i="3"/>
  <c r="P753" i="3"/>
  <c r="T766" i="3"/>
  <c r="Q788" i="3"/>
  <c r="L806" i="3"/>
  <c r="R823" i="3"/>
  <c r="K841" i="3"/>
  <c r="T848" i="3"/>
  <c r="K852" i="3"/>
  <c r="N860" i="3"/>
  <c r="U866" i="3"/>
  <c r="T871" i="3"/>
  <c r="N878" i="3"/>
  <c r="P882" i="3"/>
  <c r="O887" i="3"/>
  <c r="Q893" i="3"/>
  <c r="M897" i="3"/>
  <c r="O903" i="3"/>
  <c r="N908" i="3"/>
  <c r="M913" i="3"/>
  <c r="O919" i="3"/>
  <c r="N924" i="3"/>
  <c r="M929" i="3"/>
  <c r="L934" i="3"/>
  <c r="K939" i="3"/>
  <c r="J944" i="3"/>
  <c r="S947" i="3"/>
  <c r="R952" i="3"/>
  <c r="N956" i="3"/>
  <c r="M961" i="3"/>
  <c r="V964" i="3"/>
  <c r="U969" i="3"/>
  <c r="Q973" i="3"/>
  <c r="S979" i="3"/>
  <c r="R984" i="3"/>
  <c r="S988" i="3"/>
  <c r="J993" i="3"/>
  <c r="N996" i="3"/>
  <c r="O999" i="3"/>
  <c r="T943" i="3"/>
  <c r="Y10" i="3" l="1"/>
  <c r="Y18" i="3"/>
  <c r="Y34" i="3"/>
  <c r="Y42" i="3"/>
  <c r="Y7" i="3"/>
  <c r="Y15" i="3"/>
  <c r="Y23" i="3"/>
  <c r="Y31" i="3"/>
  <c r="Y55" i="3"/>
  <c r="Y14" i="3"/>
  <c r="Y22" i="3"/>
  <c r="Y38" i="3"/>
  <c r="Y19" i="3"/>
  <c r="Y27" i="3"/>
  <c r="Y35" i="3"/>
  <c r="Y43" i="3"/>
  <c r="Y8" i="3"/>
  <c r="Y24" i="3"/>
  <c r="Y56" i="3"/>
  <c r="Y70" i="3"/>
  <c r="Y78" i="3"/>
  <c r="Y28" i="3"/>
  <c r="Y64" i="3"/>
  <c r="Y72" i="3"/>
  <c r="Y80" i="3"/>
  <c r="Y96" i="3"/>
  <c r="Y17" i="3"/>
  <c r="Y33" i="3"/>
  <c r="Y49" i="3"/>
  <c r="Y69" i="3"/>
  <c r="Y77" i="3"/>
  <c r="Y85" i="3"/>
  <c r="Y93" i="3"/>
  <c r="Y101" i="3"/>
  <c r="Y16" i="3"/>
  <c r="Y32" i="3"/>
  <c r="Y48" i="3"/>
  <c r="Y54" i="3"/>
  <c r="Y58" i="3"/>
  <c r="Y74" i="3"/>
  <c r="Y20" i="3"/>
  <c r="Y36" i="3"/>
  <c r="I45" i="3" a="1"/>
  <c r="I45" i="3" s="1"/>
  <c r="Y52" i="3"/>
  <c r="Y60" i="3"/>
  <c r="Y68" i="3"/>
  <c r="Y9" i="3"/>
  <c r="Y25" i="3"/>
  <c r="Y41" i="3"/>
  <c r="Y65" i="3"/>
  <c r="Y73" i="3"/>
  <c r="Y81" i="3"/>
  <c r="Y92" i="3"/>
  <c r="Y104" i="3"/>
  <c r="Y128" i="3"/>
  <c r="Y136" i="3"/>
  <c r="Y144" i="3"/>
  <c r="Y37" i="3"/>
  <c r="Y71" i="3"/>
  <c r="Y83" i="3"/>
  <c r="Y97" i="3"/>
  <c r="Y109" i="3"/>
  <c r="Y117" i="3"/>
  <c r="Y125" i="3"/>
  <c r="Y133" i="3"/>
  <c r="Y141" i="3"/>
  <c r="Y149" i="3"/>
  <c r="Y29" i="3"/>
  <c r="Y57" i="3"/>
  <c r="Y90" i="3"/>
  <c r="Y94" i="3"/>
  <c r="Y108" i="3"/>
  <c r="Y116" i="3"/>
  <c r="Y124" i="3"/>
  <c r="Y95" i="3"/>
  <c r="Y105" i="3"/>
  <c r="Y113" i="3"/>
  <c r="Y121" i="3"/>
  <c r="Y129" i="3"/>
  <c r="Y84" i="3"/>
  <c r="Y102" i="3"/>
  <c r="Y106" i="3"/>
  <c r="Y122" i="3"/>
  <c r="Y134" i="3"/>
  <c r="Y152" i="3"/>
  <c r="Y160" i="3"/>
  <c r="Y168" i="3"/>
  <c r="Y176" i="3"/>
  <c r="Y192" i="3"/>
  <c r="Y200" i="3"/>
  <c r="Y208" i="3"/>
  <c r="Y89" i="3"/>
  <c r="Y111" i="3"/>
  <c r="Y135" i="3"/>
  <c r="Y139" i="3"/>
  <c r="Y157" i="3"/>
  <c r="Y165" i="3"/>
  <c r="Y173" i="3"/>
  <c r="Y181" i="3"/>
  <c r="Y189" i="3"/>
  <c r="Y197" i="3"/>
  <c r="Y205" i="3"/>
  <c r="Y13" i="3"/>
  <c r="Y59" i="3"/>
  <c r="Y98" i="3"/>
  <c r="Y114" i="3"/>
  <c r="Y132" i="3"/>
  <c r="Y146" i="3"/>
  <c r="Y156" i="3"/>
  <c r="Y164" i="3"/>
  <c r="Y180" i="3"/>
  <c r="Y188" i="3"/>
  <c r="Y196" i="3"/>
  <c r="Y204" i="3"/>
  <c r="Y53" i="3"/>
  <c r="Y79" i="3"/>
  <c r="Y103" i="3"/>
  <c r="Y119" i="3"/>
  <c r="Y137" i="3"/>
  <c r="Y153" i="3"/>
  <c r="Y177" i="3"/>
  <c r="Y185" i="3"/>
  <c r="Y193" i="3"/>
  <c r="Y201" i="3"/>
  <c r="Y209" i="3"/>
  <c r="R17" i="1"/>
  <c r="Y45" i="3"/>
  <c r="Y100" i="3"/>
  <c r="Y118" i="3"/>
  <c r="Y138" i="3"/>
  <c r="Y126" i="3"/>
  <c r="Y130" i="3"/>
  <c r="Y140" i="3"/>
  <c r="Y162" i="3"/>
  <c r="Y178" i="3"/>
  <c r="Y194" i="3"/>
  <c r="Y210" i="3"/>
  <c r="Y216" i="3"/>
  <c r="Y224" i="3"/>
  <c r="Y232" i="3"/>
  <c r="Y240" i="3"/>
  <c r="Y248" i="3"/>
  <c r="Y256" i="3"/>
  <c r="Y264" i="3"/>
  <c r="Y272" i="3"/>
  <c r="Y280" i="3"/>
  <c r="Y288" i="3"/>
  <c r="Y296" i="3"/>
  <c r="Y304" i="3"/>
  <c r="Y320" i="3"/>
  <c r="Y336" i="3"/>
  <c r="Y344" i="3"/>
  <c r="Y352" i="3"/>
  <c r="Y360" i="3"/>
  <c r="Y368" i="3"/>
  <c r="Y63" i="3"/>
  <c r="Y91" i="3"/>
  <c r="Y145" i="3"/>
  <c r="Y151" i="3"/>
  <c r="Y167" i="3"/>
  <c r="Y183" i="3"/>
  <c r="Y199" i="3"/>
  <c r="Y213" i="3"/>
  <c r="Y221" i="3"/>
  <c r="Y229" i="3"/>
  <c r="Y237" i="3"/>
  <c r="Y245" i="3"/>
  <c r="Y253" i="3"/>
  <c r="Y261" i="3"/>
  <c r="Y269" i="3"/>
  <c r="Y277" i="3"/>
  <c r="Y285" i="3"/>
  <c r="Y293" i="3"/>
  <c r="Y301" i="3"/>
  <c r="Y309" i="3"/>
  <c r="Y317" i="3"/>
  <c r="Y333" i="3"/>
  <c r="Y341" i="3"/>
  <c r="Y349" i="3"/>
  <c r="Y357" i="3"/>
  <c r="Y365" i="3"/>
  <c r="Y75" i="3"/>
  <c r="Y86" i="3"/>
  <c r="Y110" i="3"/>
  <c r="Y127" i="3"/>
  <c r="Y154" i="3"/>
  <c r="Y170" i="3"/>
  <c r="Y186" i="3"/>
  <c r="Y202" i="3"/>
  <c r="Y212" i="3"/>
  <c r="Y220" i="3"/>
  <c r="Y228" i="3"/>
  <c r="Y236" i="3"/>
  <c r="Y244" i="3"/>
  <c r="Y252" i="3"/>
  <c r="Y260" i="3"/>
  <c r="Y268" i="3"/>
  <c r="Y276" i="3"/>
  <c r="Y284" i="3"/>
  <c r="Y292" i="3"/>
  <c r="Y300" i="3"/>
  <c r="Y308" i="3"/>
  <c r="Y316" i="3"/>
  <c r="Y324" i="3"/>
  <c r="Y332" i="3"/>
  <c r="Y340" i="3"/>
  <c r="Y348" i="3"/>
  <c r="Y356" i="3"/>
  <c r="Y364" i="3"/>
  <c r="Y21" i="3"/>
  <c r="Y115" i="3"/>
  <c r="Y131" i="3"/>
  <c r="Y159" i="3"/>
  <c r="Y175" i="3"/>
  <c r="Y191" i="3"/>
  <c r="Y207" i="3"/>
  <c r="Y217" i="3"/>
  <c r="Y225" i="3"/>
  <c r="Y233" i="3"/>
  <c r="Y241" i="3"/>
  <c r="Y249" i="3"/>
  <c r="Y257" i="3"/>
  <c r="Y265" i="3"/>
  <c r="Y273" i="3"/>
  <c r="Y281" i="3"/>
  <c r="Y297" i="3"/>
  <c r="Y305" i="3"/>
  <c r="Y313" i="3"/>
  <c r="Y321" i="3"/>
  <c r="Y329" i="3"/>
  <c r="Y337" i="3"/>
  <c r="Y345" i="3"/>
  <c r="Y361" i="3"/>
  <c r="Y174" i="3"/>
  <c r="Y206" i="3"/>
  <c r="Y222" i="3"/>
  <c r="Y238" i="3"/>
  <c r="Y254" i="3"/>
  <c r="Y270" i="3"/>
  <c r="Y123" i="3"/>
  <c r="Y143" i="3"/>
  <c r="Y179" i="3"/>
  <c r="Y211" i="3"/>
  <c r="Y227" i="3"/>
  <c r="Y243" i="3"/>
  <c r="Y259" i="3"/>
  <c r="Y150" i="3"/>
  <c r="Y182" i="3"/>
  <c r="Y226" i="3"/>
  <c r="Y242" i="3"/>
  <c r="Y258" i="3"/>
  <c r="Y274" i="3"/>
  <c r="Y290" i="3"/>
  <c r="Y306" i="3"/>
  <c r="Y322" i="3"/>
  <c r="Y338" i="3"/>
  <c r="Y354" i="3"/>
  <c r="Y376" i="3"/>
  <c r="Y384" i="3"/>
  <c r="Y392" i="3"/>
  <c r="Y400" i="3"/>
  <c r="Y408" i="3"/>
  <c r="Y416" i="3"/>
  <c r="Y424" i="3"/>
  <c r="Y432" i="3"/>
  <c r="Y440" i="3"/>
  <c r="Y448" i="3"/>
  <c r="Y456" i="3"/>
  <c r="Y464" i="3"/>
  <c r="Y147" i="3"/>
  <c r="Y155" i="3"/>
  <c r="Y187" i="3"/>
  <c r="Y215" i="3"/>
  <c r="Y231" i="3"/>
  <c r="Y247" i="3"/>
  <c r="Y263" i="3"/>
  <c r="Y279" i="3"/>
  <c r="Y295" i="3"/>
  <c r="Y311" i="3"/>
  <c r="Y327" i="3"/>
  <c r="Y343" i="3"/>
  <c r="Y359" i="3"/>
  <c r="Y373" i="3"/>
  <c r="Y381" i="3"/>
  <c r="Y389" i="3"/>
  <c r="Y397" i="3"/>
  <c r="Y405" i="3"/>
  <c r="Y421" i="3"/>
  <c r="Y437" i="3"/>
  <c r="Y445" i="3"/>
  <c r="Y453" i="3"/>
  <c r="Y107" i="3"/>
  <c r="Y158" i="3"/>
  <c r="Y190" i="3"/>
  <c r="Y214" i="3"/>
  <c r="Y230" i="3"/>
  <c r="Y246" i="3"/>
  <c r="Y262" i="3"/>
  <c r="Y163" i="3"/>
  <c r="Y195" i="3"/>
  <c r="Y219" i="3"/>
  <c r="Y235" i="3"/>
  <c r="Y251" i="3"/>
  <c r="Y267" i="3"/>
  <c r="Y142" i="3"/>
  <c r="Y166" i="3"/>
  <c r="Y198" i="3"/>
  <c r="Y218" i="3"/>
  <c r="Y234" i="3"/>
  <c r="Y250" i="3"/>
  <c r="Y266" i="3"/>
  <c r="Y282" i="3"/>
  <c r="Y298" i="3"/>
  <c r="Y314" i="3"/>
  <c r="Y330" i="3"/>
  <c r="Y346" i="3"/>
  <c r="Y362" i="3"/>
  <c r="Y372" i="3"/>
  <c r="Y380" i="3"/>
  <c r="Y388" i="3"/>
  <c r="Y396" i="3"/>
  <c r="Y404" i="3"/>
  <c r="Y412" i="3"/>
  <c r="Y420" i="3"/>
  <c r="Y428" i="3"/>
  <c r="Y436" i="3"/>
  <c r="Y444" i="3"/>
  <c r="Y452" i="3"/>
  <c r="Y460" i="3"/>
  <c r="Y87" i="3"/>
  <c r="Y171" i="3"/>
  <c r="Y203" i="3"/>
  <c r="Y223" i="3"/>
  <c r="Y239" i="3"/>
  <c r="Y255" i="3"/>
  <c r="Y271" i="3"/>
  <c r="Y287" i="3"/>
  <c r="Y303" i="3"/>
  <c r="Y319" i="3"/>
  <c r="Y335" i="3"/>
  <c r="Y351" i="3"/>
  <c r="Y367" i="3"/>
  <c r="Y369" i="3"/>
  <c r="Y377" i="3"/>
  <c r="Y385" i="3"/>
  <c r="Y393" i="3"/>
  <c r="Y401" i="3"/>
  <c r="Y409" i="3"/>
  <c r="Y417" i="3"/>
  <c r="Y425" i="3"/>
  <c r="Y433" i="3"/>
  <c r="Y441" i="3"/>
  <c r="Y449" i="3"/>
  <c r="Y457" i="3"/>
  <c r="Y465" i="3"/>
  <c r="Y286" i="3"/>
  <c r="Y318" i="3"/>
  <c r="Y350" i="3"/>
  <c r="Y374" i="3"/>
  <c r="Y390" i="3"/>
  <c r="Y406" i="3"/>
  <c r="Y422" i="3"/>
  <c r="Y438" i="3"/>
  <c r="Y454" i="3"/>
  <c r="Y479" i="3"/>
  <c r="Y487" i="3"/>
  <c r="Y291" i="3"/>
  <c r="Y323" i="3"/>
  <c r="Y355" i="3"/>
  <c r="Y379" i="3"/>
  <c r="Y395" i="3"/>
  <c r="Y411" i="3"/>
  <c r="Y427" i="3"/>
  <c r="Y443" i="3"/>
  <c r="Y476" i="3"/>
  <c r="Y484" i="3"/>
  <c r="Y492" i="3"/>
  <c r="Y294" i="3"/>
  <c r="Y326" i="3"/>
  <c r="Y358" i="3"/>
  <c r="Y378" i="3"/>
  <c r="Y394" i="3"/>
  <c r="Y410" i="3"/>
  <c r="Y426" i="3"/>
  <c r="Y442" i="3"/>
  <c r="Y458" i="3"/>
  <c r="Y459" i="3"/>
  <c r="Y461" i="3"/>
  <c r="Y462" i="3"/>
  <c r="Y471" i="3"/>
  <c r="Y473" i="3"/>
  <c r="Y481" i="3"/>
  <c r="Y489" i="3"/>
  <c r="Y497" i="3"/>
  <c r="Y505" i="3"/>
  <c r="Y513" i="3"/>
  <c r="Y521" i="3"/>
  <c r="Y529" i="3"/>
  <c r="Y537" i="3"/>
  <c r="Y545" i="3"/>
  <c r="Y553" i="3"/>
  <c r="Y561" i="3"/>
  <c r="Y569" i="3"/>
  <c r="Y577" i="3"/>
  <c r="Y585" i="3"/>
  <c r="Y593" i="3"/>
  <c r="Y601" i="3"/>
  <c r="Y609" i="3"/>
  <c r="Y617" i="3"/>
  <c r="Y625" i="3"/>
  <c r="Y633" i="3"/>
  <c r="Y641" i="3"/>
  <c r="Y649" i="3"/>
  <c r="Y657" i="3"/>
  <c r="Y299" i="3"/>
  <c r="Y331" i="3"/>
  <c r="Y363" i="3"/>
  <c r="Y383" i="3"/>
  <c r="Y399" i="3"/>
  <c r="Y415" i="3"/>
  <c r="Y431" i="3"/>
  <c r="Y463" i="3"/>
  <c r="Y466" i="3"/>
  <c r="Y467" i="3"/>
  <c r="Y478" i="3"/>
  <c r="Y486" i="3"/>
  <c r="Y494" i="3"/>
  <c r="Y502" i="3"/>
  <c r="Y510" i="3"/>
  <c r="Y518" i="3"/>
  <c r="Y526" i="3"/>
  <c r="Y534" i="3"/>
  <c r="Y542" i="3"/>
  <c r="Y550" i="3"/>
  <c r="Y558" i="3"/>
  <c r="Y566" i="3"/>
  <c r="Y574" i="3"/>
  <c r="Y582" i="3"/>
  <c r="Y590" i="3"/>
  <c r="Y598" i="3"/>
  <c r="Y606" i="3"/>
  <c r="Y614" i="3"/>
  <c r="Y622" i="3"/>
  <c r="Y630" i="3"/>
  <c r="Y638" i="3"/>
  <c r="Y646" i="3"/>
  <c r="Y654" i="3"/>
  <c r="Y662" i="3"/>
  <c r="Y302" i="3"/>
  <c r="Y334" i="3"/>
  <c r="Y366" i="3"/>
  <c r="Y382" i="3"/>
  <c r="Y398" i="3"/>
  <c r="Y414" i="3"/>
  <c r="Y430" i="3"/>
  <c r="Y446" i="3"/>
  <c r="Y468" i="3"/>
  <c r="Y475" i="3"/>
  <c r="Y483" i="3"/>
  <c r="Y491" i="3"/>
  <c r="Y275" i="3"/>
  <c r="Y307" i="3"/>
  <c r="Y339" i="3"/>
  <c r="Y371" i="3"/>
  <c r="Y387" i="3"/>
  <c r="Y403" i="3"/>
  <c r="Y419" i="3"/>
  <c r="Y435" i="3"/>
  <c r="Y451" i="3"/>
  <c r="Y469" i="3"/>
  <c r="Y472" i="3"/>
  <c r="Y480" i="3"/>
  <c r="Y488" i="3"/>
  <c r="Y496" i="3"/>
  <c r="Y278" i="3"/>
  <c r="Y310" i="3"/>
  <c r="Y342" i="3"/>
  <c r="Y370" i="3"/>
  <c r="Y386" i="3"/>
  <c r="Y402" i="3"/>
  <c r="Y418" i="3"/>
  <c r="Y434" i="3"/>
  <c r="Y450" i="3"/>
  <c r="Y477" i="3"/>
  <c r="Y485" i="3"/>
  <c r="Y493" i="3"/>
  <c r="Y501" i="3"/>
  <c r="Y509" i="3"/>
  <c r="Y517" i="3"/>
  <c r="Y525" i="3"/>
  <c r="Y533" i="3"/>
  <c r="Y541" i="3"/>
  <c r="Y549" i="3"/>
  <c r="Y557" i="3"/>
  <c r="Y565" i="3"/>
  <c r="Y573" i="3"/>
  <c r="Y581" i="3"/>
  <c r="Y589" i="3"/>
  <c r="Y597" i="3"/>
  <c r="Y605" i="3"/>
  <c r="Y613" i="3"/>
  <c r="Y621" i="3"/>
  <c r="Y629" i="3"/>
  <c r="Y637" i="3"/>
  <c r="Y645" i="3"/>
  <c r="Y653" i="3"/>
  <c r="Y661" i="3"/>
  <c r="Y283" i="3"/>
  <c r="Y315" i="3"/>
  <c r="Y347" i="3"/>
  <c r="Y375" i="3"/>
  <c r="Y391" i="3"/>
  <c r="Y407" i="3"/>
  <c r="Y423" i="3"/>
  <c r="Y439" i="3"/>
  <c r="Y455" i="3"/>
  <c r="Y470" i="3"/>
  <c r="Y474" i="3"/>
  <c r="Y482" i="3"/>
  <c r="Y490" i="3"/>
  <c r="Y498" i="3"/>
  <c r="Y506" i="3"/>
  <c r="Y514" i="3"/>
  <c r="Y522" i="3"/>
  <c r="Y530" i="3"/>
  <c r="Y538" i="3"/>
  <c r="Y546" i="3"/>
  <c r="Y554" i="3"/>
  <c r="Y562" i="3"/>
  <c r="Y570" i="3"/>
  <c r="Y578" i="3"/>
  <c r="Y586" i="3"/>
  <c r="Y594" i="3"/>
  <c r="Y602" i="3"/>
  <c r="Y610" i="3"/>
  <c r="Y618" i="3"/>
  <c r="Y626" i="3"/>
  <c r="Y634" i="3"/>
  <c r="Y642" i="3"/>
  <c r="Y650" i="3"/>
  <c r="Y658" i="3"/>
  <c r="Y666" i="3"/>
  <c r="Y508" i="3"/>
  <c r="Y524" i="3"/>
  <c r="Y540" i="3"/>
  <c r="Y556" i="3"/>
  <c r="Y572" i="3"/>
  <c r="Y588" i="3"/>
  <c r="Y604" i="3"/>
  <c r="Y620" i="3"/>
  <c r="Y636" i="3"/>
  <c r="Y652" i="3"/>
  <c r="Y678" i="3"/>
  <c r="Y686" i="3"/>
  <c r="Y495" i="3"/>
  <c r="Y507" i="3"/>
  <c r="Y523" i="3"/>
  <c r="Y539" i="3"/>
  <c r="Y555" i="3"/>
  <c r="Y571" i="3"/>
  <c r="Y512" i="3"/>
  <c r="Y528" i="3"/>
  <c r="Y544" i="3"/>
  <c r="Y560" i="3"/>
  <c r="Y576" i="3"/>
  <c r="Y592" i="3"/>
  <c r="Y608" i="3"/>
  <c r="Y624" i="3"/>
  <c r="Y640" i="3"/>
  <c r="Y656" i="3"/>
  <c r="Y667" i="3"/>
  <c r="Y680" i="3"/>
  <c r="Y688" i="3"/>
  <c r="Y696" i="3"/>
  <c r="Y704" i="3"/>
  <c r="Y712" i="3"/>
  <c r="Y720" i="3"/>
  <c r="Y728" i="3"/>
  <c r="Y736" i="3"/>
  <c r="Y744" i="3"/>
  <c r="Y752" i="3"/>
  <c r="Y760" i="3"/>
  <c r="Y768" i="3"/>
  <c r="Y776" i="3"/>
  <c r="Y784" i="3"/>
  <c r="Y792" i="3"/>
  <c r="Y800" i="3"/>
  <c r="Y808" i="3"/>
  <c r="Y816" i="3"/>
  <c r="Y824" i="3"/>
  <c r="Y832" i="3"/>
  <c r="Y840" i="3"/>
  <c r="Y848" i="3"/>
  <c r="Y856" i="3"/>
  <c r="Y864" i="3"/>
  <c r="Y872" i="3"/>
  <c r="Y880" i="3"/>
  <c r="Y888" i="3"/>
  <c r="Y511" i="3"/>
  <c r="Y527" i="3"/>
  <c r="Y543" i="3"/>
  <c r="Y559" i="3"/>
  <c r="Y575" i="3"/>
  <c r="Y591" i="3"/>
  <c r="Y607" i="3"/>
  <c r="Y623" i="3"/>
  <c r="Y639" i="3"/>
  <c r="Y655" i="3"/>
  <c r="Y672" i="3"/>
  <c r="Y677" i="3"/>
  <c r="Y685" i="3"/>
  <c r="Y693" i="3"/>
  <c r="Y701" i="3"/>
  <c r="Y709" i="3"/>
  <c r="Y717" i="3"/>
  <c r="Y725" i="3"/>
  <c r="Y733" i="3"/>
  <c r="Y741" i="3"/>
  <c r="Y749" i="3"/>
  <c r="Y757" i="3"/>
  <c r="Y765" i="3"/>
  <c r="Y773" i="3"/>
  <c r="Y781" i="3"/>
  <c r="Y789" i="3"/>
  <c r="Y797" i="3"/>
  <c r="Y805" i="3"/>
  <c r="Y813" i="3"/>
  <c r="Y821" i="3"/>
  <c r="Y829" i="3"/>
  <c r="Y837" i="3"/>
  <c r="Y845" i="3"/>
  <c r="Y853" i="3"/>
  <c r="Y861" i="3"/>
  <c r="Y869" i="3"/>
  <c r="Y877" i="3"/>
  <c r="Y885" i="3"/>
  <c r="Y893" i="3"/>
  <c r="Y500" i="3"/>
  <c r="Y516" i="3"/>
  <c r="Y532" i="3"/>
  <c r="Y548" i="3"/>
  <c r="Y564" i="3"/>
  <c r="Y580" i="3"/>
  <c r="Y596" i="3"/>
  <c r="Y612" i="3"/>
  <c r="Y628" i="3"/>
  <c r="Y644" i="3"/>
  <c r="Y660" i="3"/>
  <c r="Y670" i="3"/>
  <c r="Y674" i="3"/>
  <c r="Y682" i="3"/>
  <c r="Y499" i="3"/>
  <c r="Y515" i="3"/>
  <c r="Y531" i="3"/>
  <c r="Y547" i="3"/>
  <c r="Y563" i="3"/>
  <c r="Y504" i="3"/>
  <c r="Y520" i="3"/>
  <c r="Y536" i="3"/>
  <c r="Y552" i="3"/>
  <c r="Y568" i="3"/>
  <c r="Y584" i="3"/>
  <c r="Y600" i="3"/>
  <c r="Y616" i="3"/>
  <c r="Y632" i="3"/>
  <c r="Y648" i="3"/>
  <c r="Y676" i="3"/>
  <c r="Y684" i="3"/>
  <c r="Y692" i="3"/>
  <c r="Y700" i="3"/>
  <c r="Y708" i="3"/>
  <c r="Y716" i="3"/>
  <c r="Y724" i="3"/>
  <c r="Y732" i="3"/>
  <c r="Y740" i="3"/>
  <c r="Y748" i="3"/>
  <c r="Y756" i="3"/>
  <c r="Y764" i="3"/>
  <c r="Y772" i="3"/>
  <c r="Y780" i="3"/>
  <c r="Y788" i="3"/>
  <c r="Y796" i="3"/>
  <c r="Y804" i="3"/>
  <c r="Y812" i="3"/>
  <c r="Y820" i="3"/>
  <c r="Y828" i="3"/>
  <c r="Y836" i="3"/>
  <c r="Y844" i="3"/>
  <c r="Y852" i="3"/>
  <c r="Y860" i="3"/>
  <c r="Y868" i="3"/>
  <c r="Y876" i="3"/>
  <c r="Y884" i="3"/>
  <c r="Y892" i="3"/>
  <c r="Y900" i="3"/>
  <c r="Y503" i="3"/>
  <c r="Y519" i="3"/>
  <c r="Y535" i="3"/>
  <c r="Y551" i="3"/>
  <c r="Y567" i="3"/>
  <c r="Y583" i="3"/>
  <c r="Y599" i="3"/>
  <c r="Y615" i="3"/>
  <c r="Y631" i="3"/>
  <c r="Y647" i="3"/>
  <c r="Y663" i="3"/>
  <c r="Y664" i="3"/>
  <c r="Y665" i="3"/>
  <c r="Y671" i="3"/>
  <c r="Y673" i="3"/>
  <c r="Y681" i="3"/>
  <c r="Y689" i="3"/>
  <c r="Y697" i="3"/>
  <c r="Y705" i="3"/>
  <c r="Y713" i="3"/>
  <c r="Y721" i="3"/>
  <c r="Y729" i="3"/>
  <c r="Y737" i="3"/>
  <c r="Y745" i="3"/>
  <c r="Y753" i="3"/>
  <c r="Y761" i="3"/>
  <c r="Y769" i="3"/>
  <c r="Y777" i="3"/>
  <c r="Y785" i="3"/>
  <c r="Y793" i="3"/>
  <c r="Y801" i="3"/>
  <c r="Y809" i="3"/>
  <c r="Y817" i="3"/>
  <c r="Y825" i="3"/>
  <c r="Y833" i="3"/>
  <c r="Y841" i="3"/>
  <c r="Y849" i="3"/>
  <c r="Y857" i="3"/>
  <c r="Y865" i="3"/>
  <c r="Y873" i="3"/>
  <c r="Y881" i="3"/>
  <c r="Y889" i="3"/>
  <c r="Y897" i="3"/>
  <c r="Y603" i="3"/>
  <c r="Y669" i="3"/>
  <c r="Y698" i="3"/>
  <c r="Y714" i="3"/>
  <c r="Y730" i="3"/>
  <c r="Y746" i="3"/>
  <c r="Y762" i="3"/>
  <c r="Y778" i="3"/>
  <c r="Y794" i="3"/>
  <c r="Y810" i="3"/>
  <c r="Y896" i="3"/>
  <c r="Y579" i="3"/>
  <c r="Y643" i="3"/>
  <c r="Y703" i="3"/>
  <c r="Y719" i="3"/>
  <c r="Y735" i="3"/>
  <c r="Y751" i="3"/>
  <c r="Y767" i="3"/>
  <c r="Y783" i="3"/>
  <c r="Y799" i="3"/>
  <c r="Y815" i="3"/>
  <c r="Y831" i="3"/>
  <c r="Y847" i="3"/>
  <c r="Y863" i="3"/>
  <c r="Y619" i="3"/>
  <c r="Y675" i="3"/>
  <c r="Y687" i="3"/>
  <c r="Y702" i="3"/>
  <c r="Y718" i="3"/>
  <c r="Y734" i="3"/>
  <c r="Y750" i="3"/>
  <c r="Y766" i="3"/>
  <c r="Y782" i="3"/>
  <c r="Y798" i="3"/>
  <c r="Y814" i="3"/>
  <c r="Y830" i="3"/>
  <c r="Y846" i="3"/>
  <c r="Y862" i="3"/>
  <c r="Y878" i="3"/>
  <c r="Y894" i="3"/>
  <c r="Y901" i="3"/>
  <c r="Y905" i="3"/>
  <c r="Y913" i="3"/>
  <c r="Y921" i="3"/>
  <c r="Y929" i="3"/>
  <c r="Y937" i="3"/>
  <c r="Y945" i="3"/>
  <c r="Y953" i="3"/>
  <c r="Y961" i="3"/>
  <c r="Y969" i="3"/>
  <c r="Y977" i="3"/>
  <c r="Y985" i="3"/>
  <c r="Y993" i="3"/>
  <c r="Y595" i="3"/>
  <c r="Y659" i="3"/>
  <c r="Y691" i="3"/>
  <c r="Y707" i="3"/>
  <c r="Y723" i="3"/>
  <c r="Y739" i="3"/>
  <c r="Y755" i="3"/>
  <c r="Y771" i="3"/>
  <c r="Y787" i="3"/>
  <c r="Y803" i="3"/>
  <c r="Y819" i="3"/>
  <c r="Y835" i="3"/>
  <c r="Y851" i="3"/>
  <c r="Y867" i="3"/>
  <c r="Y883" i="3"/>
  <c r="Y910" i="3"/>
  <c r="Y918" i="3"/>
  <c r="Y926" i="3"/>
  <c r="Y934" i="3"/>
  <c r="Y942" i="3"/>
  <c r="Y950" i="3"/>
  <c r="Y958" i="3"/>
  <c r="Y966" i="3"/>
  <c r="Y974" i="3"/>
  <c r="Y982" i="3"/>
  <c r="Y990" i="3"/>
  <c r="Y998" i="3"/>
  <c r="Y635" i="3"/>
  <c r="Y683" i="3"/>
  <c r="Y690" i="3"/>
  <c r="Y706" i="3"/>
  <c r="Y722" i="3"/>
  <c r="Y738" i="3"/>
  <c r="Y754" i="3"/>
  <c r="Y770" i="3"/>
  <c r="Y786" i="3"/>
  <c r="Y802" i="3"/>
  <c r="Y818" i="3"/>
  <c r="Y834" i="3"/>
  <c r="Y850" i="3"/>
  <c r="Y611" i="3"/>
  <c r="Y668" i="3"/>
  <c r="Y695" i="3"/>
  <c r="Y711" i="3"/>
  <c r="Y727" i="3"/>
  <c r="Y743" i="3"/>
  <c r="Y759" i="3"/>
  <c r="Y775" i="3"/>
  <c r="Y791" i="3"/>
  <c r="Y807" i="3"/>
  <c r="Y823" i="3"/>
  <c r="Y839" i="3"/>
  <c r="Y855" i="3"/>
  <c r="Y587" i="3"/>
  <c r="Y651" i="3"/>
  <c r="Y694" i="3"/>
  <c r="Y710" i="3"/>
  <c r="Y726" i="3"/>
  <c r="Y742" i="3"/>
  <c r="Y758" i="3"/>
  <c r="Y774" i="3"/>
  <c r="Y790" i="3"/>
  <c r="Y806" i="3"/>
  <c r="Y822" i="3"/>
  <c r="Y838" i="3"/>
  <c r="Y854" i="3"/>
  <c r="Y870" i="3"/>
  <c r="Y886" i="3"/>
  <c r="Y909" i="3"/>
  <c r="Y917" i="3"/>
  <c r="Y925" i="3"/>
  <c r="Y933" i="3"/>
  <c r="Y941" i="3"/>
  <c r="Y949" i="3"/>
  <c r="Y957" i="3"/>
  <c r="Y965" i="3"/>
  <c r="Y973" i="3"/>
  <c r="Y981" i="3"/>
  <c r="Y989" i="3"/>
  <c r="Y997" i="3"/>
  <c r="Y826" i="3"/>
  <c r="Y858" i="3"/>
  <c r="Y890" i="3"/>
  <c r="Y898" i="3"/>
  <c r="Y899" i="3"/>
  <c r="Y627" i="3"/>
  <c r="Y679" i="3"/>
  <c r="Y699" i="3"/>
  <c r="Y715" i="3"/>
  <c r="Y731" i="3"/>
  <c r="Y747" i="3"/>
  <c r="Y763" i="3"/>
  <c r="Y779" i="3"/>
  <c r="Y795" i="3"/>
  <c r="Y811" i="3"/>
  <c r="Y827" i="3"/>
  <c r="Y843" i="3"/>
  <c r="Y859" i="3"/>
  <c r="Y875" i="3"/>
  <c r="Y891" i="3"/>
  <c r="Y906" i="3"/>
  <c r="Y914" i="3"/>
  <c r="Y922" i="3"/>
  <c r="Y930" i="3"/>
  <c r="Y938" i="3"/>
  <c r="Y946" i="3"/>
  <c r="Y954" i="3"/>
  <c r="Y962" i="3"/>
  <c r="Y970" i="3"/>
  <c r="Y978" i="3"/>
  <c r="Y986" i="3"/>
  <c r="Y994" i="3"/>
  <c r="Y842" i="3"/>
  <c r="Y874" i="3"/>
  <c r="Y866" i="3"/>
  <c r="Y882" i="3"/>
  <c r="Y895" i="3"/>
  <c r="Y908" i="3"/>
  <c r="Y924" i="3"/>
  <c r="Y940" i="3"/>
  <c r="Y956" i="3"/>
  <c r="Y972" i="3"/>
  <c r="Y988" i="3"/>
  <c r="Y960" i="3"/>
  <c r="Y992" i="3"/>
  <c r="Y959" i="3"/>
  <c r="Y879" i="3"/>
  <c r="Y904" i="3"/>
  <c r="Y907" i="3"/>
  <c r="Y923" i="3"/>
  <c r="Y939" i="3"/>
  <c r="Y955" i="3"/>
  <c r="Y971" i="3"/>
  <c r="Y987" i="3"/>
  <c r="Y912" i="3"/>
  <c r="Y928" i="3"/>
  <c r="Y944" i="3"/>
  <c r="Y976" i="3"/>
  <c r="Y903" i="3"/>
  <c r="Y911" i="3"/>
  <c r="Y927" i="3"/>
  <c r="Y943" i="3"/>
  <c r="Y975" i="3"/>
  <c r="Y991" i="3"/>
  <c r="Y916" i="3"/>
  <c r="Y932" i="3"/>
  <c r="Y948" i="3"/>
  <c r="Y964" i="3"/>
  <c r="Y980" i="3"/>
  <c r="Y996" i="3"/>
  <c r="Y936" i="3"/>
  <c r="Y968" i="3"/>
  <c r="Y1000" i="3"/>
  <c r="Y871" i="3"/>
  <c r="Y902" i="3"/>
  <c r="Y919" i="3"/>
  <c r="Y935" i="3"/>
  <c r="Y951" i="3"/>
  <c r="Y967" i="3"/>
  <c r="Y887" i="3"/>
  <c r="Y915" i="3"/>
  <c r="Y931" i="3"/>
  <c r="Y947" i="3"/>
  <c r="Y963" i="3"/>
  <c r="Y979" i="3"/>
  <c r="Y995" i="3"/>
  <c r="Y920" i="3"/>
  <c r="Y952" i="3"/>
  <c r="Y984" i="3"/>
  <c r="Y983" i="3"/>
  <c r="Y999" i="3"/>
  <c r="Y40" i="3"/>
  <c r="Y26" i="3"/>
  <c r="Y50" i="3"/>
  <c r="Y39" i="3"/>
  <c r="Y47" i="3"/>
  <c r="Y12" i="3"/>
  <c r="Y30" i="3"/>
  <c r="Y11" i="3"/>
  <c r="Y66" i="3"/>
  <c r="Y82" i="3"/>
  <c r="Y62" i="3"/>
  <c r="Y76" i="3"/>
  <c r="Y88" i="3"/>
  <c r="Y61" i="3"/>
  <c r="Y120" i="3"/>
  <c r="Y184" i="3"/>
  <c r="Y112" i="3"/>
  <c r="Y99" i="3"/>
  <c r="Y172" i="3"/>
  <c r="Y161" i="3"/>
  <c r="Y169" i="3"/>
  <c r="Y148" i="3"/>
  <c r="Y328" i="3"/>
  <c r="Y325" i="3"/>
  <c r="Y429" i="3"/>
  <c r="Y447" i="3"/>
  <c r="Y413" i="3"/>
  <c r="Y44" i="3"/>
  <c r="Y51" i="3"/>
  <c r="Y67" i="3"/>
  <c r="Y353" i="3"/>
  <c r="Y312" i="3"/>
  <c r="Y289" i="3"/>
  <c r="Y46" i="3"/>
  <c r="Q4" i="3" l="1"/>
  <c r="P4" i="3" s="1"/>
  <c r="D14" i="1" s="1"/>
  <c r="Q3" i="3"/>
  <c r="P3" i="3" s="1"/>
  <c r="AA8" i="3"/>
  <c r="AB879" i="3"/>
  <c r="AA880" i="3"/>
  <c r="X992" i="3"/>
  <c r="H992" i="3"/>
  <c r="I992" i="3"/>
  <c r="X983" i="3"/>
  <c r="I983" i="3"/>
  <c r="H983" i="3"/>
  <c r="X970" i="3"/>
  <c r="H970" i="3"/>
  <c r="I970" i="3"/>
  <c r="AA896" i="3"/>
  <c r="AB895" i="3"/>
  <c r="AA939" i="3"/>
  <c r="AB938" i="3"/>
  <c r="X930" i="3"/>
  <c r="I930" i="3"/>
  <c r="H930" i="3"/>
  <c r="AB987" i="3"/>
  <c r="AA988" i="3"/>
  <c r="X940" i="3"/>
  <c r="I940" i="3"/>
  <c r="H940" i="3"/>
  <c r="AB959" i="3"/>
  <c r="AA960" i="3"/>
  <c r="AA944" i="3"/>
  <c r="AB943" i="3"/>
  <c r="AA940" i="3"/>
  <c r="AB939" i="3"/>
  <c r="AB951" i="3"/>
  <c r="AA952" i="3"/>
  <c r="X996" i="3"/>
  <c r="H996" i="3"/>
  <c r="I996" i="3"/>
  <c r="X932" i="3"/>
  <c r="I932" i="3"/>
  <c r="H932" i="3"/>
  <c r="AA932" i="3"/>
  <c r="AB931" i="3"/>
  <c r="X991" i="3"/>
  <c r="H991" i="3"/>
  <c r="I991" i="3"/>
  <c r="AB986" i="3"/>
  <c r="AA987" i="3"/>
  <c r="X927" i="3"/>
  <c r="I927" i="3"/>
  <c r="H927" i="3"/>
  <c r="AB922" i="3"/>
  <c r="AA923" i="3"/>
  <c r="AB839" i="3"/>
  <c r="AA840" i="3"/>
  <c r="X780" i="3"/>
  <c r="I780" i="3"/>
  <c r="H780" i="3"/>
  <c r="X978" i="3"/>
  <c r="I978" i="3"/>
  <c r="H978" i="3"/>
  <c r="AA974" i="3"/>
  <c r="AB973" i="3"/>
  <c r="X914" i="3"/>
  <c r="H914" i="3"/>
  <c r="I914" i="3"/>
  <c r="AB909" i="3"/>
  <c r="AA910" i="3"/>
  <c r="AB787" i="3"/>
  <c r="AA788" i="3"/>
  <c r="X728" i="3"/>
  <c r="I728" i="3"/>
  <c r="H728" i="3"/>
  <c r="AB903" i="3"/>
  <c r="AA904" i="3"/>
  <c r="X981" i="3"/>
  <c r="H981" i="3"/>
  <c r="I981" i="3"/>
  <c r="AA977" i="3"/>
  <c r="AB976" i="3"/>
  <c r="X917" i="3"/>
  <c r="H917" i="3"/>
  <c r="I917" i="3"/>
  <c r="AA913" i="3"/>
  <c r="AB912" i="3"/>
  <c r="AA800" i="3"/>
  <c r="AB799" i="3"/>
  <c r="X740" i="3"/>
  <c r="I740" i="3"/>
  <c r="H740" i="3"/>
  <c r="X848" i="3"/>
  <c r="I848" i="3"/>
  <c r="H848" i="3"/>
  <c r="X979" i="3"/>
  <c r="I979" i="3"/>
  <c r="H979" i="3"/>
  <c r="AB974" i="3"/>
  <c r="AA975" i="3"/>
  <c r="X915" i="3"/>
  <c r="H915" i="3"/>
  <c r="I915" i="3"/>
  <c r="AA911" i="3"/>
  <c r="AB910" i="3"/>
  <c r="AA792" i="3"/>
  <c r="AB791" i="3"/>
  <c r="X732" i="3"/>
  <c r="H732" i="3"/>
  <c r="I732" i="3"/>
  <c r="X966" i="3"/>
  <c r="H966" i="3"/>
  <c r="I966" i="3"/>
  <c r="AA962" i="3"/>
  <c r="AB961" i="3"/>
  <c r="X902" i="3"/>
  <c r="H902" i="3"/>
  <c r="I902" i="3"/>
  <c r="AB897" i="3"/>
  <c r="AA898" i="3"/>
  <c r="AA740" i="3"/>
  <c r="AB739" i="3"/>
  <c r="H674" i="3"/>
  <c r="X674" i="3"/>
  <c r="I674" i="3"/>
  <c r="X953" i="3"/>
  <c r="H953" i="3"/>
  <c r="I953" i="3"/>
  <c r="AB948" i="3"/>
  <c r="AA949" i="3"/>
  <c r="X889" i="3"/>
  <c r="I889" i="3"/>
  <c r="H889" i="3"/>
  <c r="AB884" i="3"/>
  <c r="AA885" i="3"/>
  <c r="X864" i="3"/>
  <c r="I864" i="3"/>
  <c r="H864" i="3"/>
  <c r="AB687" i="3"/>
  <c r="AA688" i="3"/>
  <c r="X800" i="3"/>
  <c r="H800" i="3"/>
  <c r="I800" i="3"/>
  <c r="X736" i="3"/>
  <c r="H736" i="3"/>
  <c r="I736" i="3"/>
  <c r="X855" i="3"/>
  <c r="I855" i="3"/>
  <c r="H855" i="3"/>
  <c r="AB850" i="3"/>
  <c r="AA851" i="3"/>
  <c r="X791" i="3"/>
  <c r="H791" i="3"/>
  <c r="I791" i="3"/>
  <c r="AB786" i="3"/>
  <c r="AA787" i="3"/>
  <c r="X727" i="3"/>
  <c r="I727" i="3"/>
  <c r="H727" i="3"/>
  <c r="AA723" i="3"/>
  <c r="AB722" i="3"/>
  <c r="X682" i="3"/>
  <c r="I682" i="3"/>
  <c r="H682" i="3"/>
  <c r="AB665" i="3"/>
  <c r="AA666" i="3"/>
  <c r="X606" i="3"/>
  <c r="I606" i="3"/>
  <c r="H606" i="3"/>
  <c r="AA545" i="3"/>
  <c r="AB544" i="3"/>
  <c r="X858" i="3"/>
  <c r="H858" i="3"/>
  <c r="I858" i="3"/>
  <c r="AA854" i="3"/>
  <c r="AB853" i="3"/>
  <c r="X794" i="3"/>
  <c r="H794" i="3"/>
  <c r="I794" i="3"/>
  <c r="AA790" i="3"/>
  <c r="AB789" i="3"/>
  <c r="X730" i="3"/>
  <c r="I730" i="3"/>
  <c r="H730" i="3"/>
  <c r="AA726" i="3"/>
  <c r="AB725" i="3"/>
  <c r="AB677" i="3"/>
  <c r="AA678" i="3"/>
  <c r="X618" i="3"/>
  <c r="I618" i="3"/>
  <c r="H618" i="3"/>
  <c r="AA593" i="3"/>
  <c r="AB592" i="3"/>
  <c r="X489" i="3"/>
  <c r="H489" i="3"/>
  <c r="I489" i="3"/>
  <c r="X805" i="3"/>
  <c r="H805" i="3"/>
  <c r="I805" i="3"/>
  <c r="AA801" i="3"/>
  <c r="AB800" i="3"/>
  <c r="X741" i="3"/>
  <c r="I741" i="3"/>
  <c r="H741" i="3"/>
  <c r="AA737" i="3"/>
  <c r="AB736" i="3"/>
  <c r="X662" i="3"/>
  <c r="I662" i="3"/>
  <c r="H662" i="3"/>
  <c r="X827" i="3"/>
  <c r="I827" i="3"/>
  <c r="H827" i="3"/>
  <c r="AA823" i="3"/>
  <c r="AB822" i="3"/>
  <c r="X763" i="3"/>
  <c r="H763" i="3"/>
  <c r="I763" i="3"/>
  <c r="AB758" i="3"/>
  <c r="AA759" i="3"/>
  <c r="X699" i="3"/>
  <c r="H699" i="3"/>
  <c r="I699" i="3"/>
  <c r="AB694" i="3"/>
  <c r="AA695" i="3"/>
  <c r="X830" i="3"/>
  <c r="I830" i="3"/>
  <c r="H830" i="3"/>
  <c r="AB825" i="3"/>
  <c r="AA826" i="3"/>
  <c r="X766" i="3"/>
  <c r="H766" i="3"/>
  <c r="I766" i="3"/>
  <c r="AB761" i="3"/>
  <c r="AA762" i="3"/>
  <c r="X702" i="3"/>
  <c r="I702" i="3"/>
  <c r="H702" i="3"/>
  <c r="AA698" i="3"/>
  <c r="AB697" i="3"/>
  <c r="X833" i="3"/>
  <c r="I833" i="3"/>
  <c r="H833" i="3"/>
  <c r="AA829" i="3"/>
  <c r="AB828" i="3"/>
  <c r="X769" i="3"/>
  <c r="H769" i="3"/>
  <c r="I769" i="3"/>
  <c r="AB764" i="3"/>
  <c r="AA765" i="3"/>
  <c r="X705" i="3"/>
  <c r="I705" i="3"/>
  <c r="H705" i="3"/>
  <c r="AB700" i="3"/>
  <c r="AA701" i="3"/>
  <c r="X621" i="3"/>
  <c r="I621" i="3"/>
  <c r="H621" i="3"/>
  <c r="AB616" i="3"/>
  <c r="AA617" i="3"/>
  <c r="X545" i="3"/>
  <c r="H545" i="3"/>
  <c r="I545" i="3"/>
  <c r="X656" i="3"/>
  <c r="H656" i="3"/>
  <c r="I656" i="3"/>
  <c r="AA652" i="3"/>
  <c r="AB651" i="3"/>
  <c r="X643" i="3"/>
  <c r="I643" i="3"/>
  <c r="H643" i="3"/>
  <c r="AB638" i="3"/>
  <c r="AA639" i="3"/>
  <c r="X673" i="3"/>
  <c r="I673" i="3"/>
  <c r="H673" i="3"/>
  <c r="AB668" i="3"/>
  <c r="AA669" i="3"/>
  <c r="X609" i="3"/>
  <c r="I609" i="3"/>
  <c r="H609" i="3"/>
  <c r="AB604" i="3"/>
  <c r="AA605" i="3"/>
  <c r="AB556" i="3"/>
  <c r="AA557" i="3"/>
  <c r="AA324" i="3"/>
  <c r="AB323" i="3"/>
  <c r="AB679" i="3"/>
  <c r="AA680" i="3"/>
  <c r="X620" i="3"/>
  <c r="H620" i="3"/>
  <c r="I620" i="3"/>
  <c r="AB615" i="3"/>
  <c r="AA616" i="3"/>
  <c r="X600" i="3"/>
  <c r="H600" i="3"/>
  <c r="I600" i="3"/>
  <c r="X541" i="3"/>
  <c r="H541" i="3"/>
  <c r="I541" i="3"/>
  <c r="X655" i="3"/>
  <c r="I655" i="3"/>
  <c r="H655" i="3"/>
  <c r="AA651" i="3"/>
  <c r="AB650" i="3"/>
  <c r="X592" i="3"/>
  <c r="H592" i="3"/>
  <c r="I592" i="3"/>
  <c r="AA588" i="3"/>
  <c r="AB587" i="3"/>
  <c r="X528" i="3"/>
  <c r="I528" i="3"/>
  <c r="H528" i="3"/>
  <c r="I469" i="3"/>
  <c r="X469" i="3"/>
  <c r="H469" i="3"/>
  <c r="X563" i="3"/>
  <c r="H563" i="3"/>
  <c r="I563" i="3"/>
  <c r="AB558" i="3"/>
  <c r="AA559" i="3"/>
  <c r="X598" i="3"/>
  <c r="I598" i="3"/>
  <c r="H598" i="3"/>
  <c r="AB593" i="3"/>
  <c r="AA594" i="3"/>
  <c r="X534" i="3"/>
  <c r="I534" i="3"/>
  <c r="H534" i="3"/>
  <c r="AA530" i="3"/>
  <c r="AB529" i="3"/>
  <c r="X493" i="3"/>
  <c r="H493" i="3"/>
  <c r="I493" i="3"/>
  <c r="AB599" i="3"/>
  <c r="AA600" i="3"/>
  <c r="X540" i="3"/>
  <c r="I540" i="3"/>
  <c r="H540" i="3"/>
  <c r="AB535" i="3"/>
  <c r="AA536" i="3"/>
  <c r="X516" i="3"/>
  <c r="I516" i="3"/>
  <c r="H516" i="3"/>
  <c r="X591" i="3"/>
  <c r="I591" i="3"/>
  <c r="H591" i="3"/>
  <c r="AB586" i="3"/>
  <c r="AA587" i="3"/>
  <c r="X527" i="3"/>
  <c r="I527" i="3"/>
  <c r="H527" i="3"/>
  <c r="I465" i="3"/>
  <c r="X465" i="3"/>
  <c r="H465" i="3"/>
  <c r="AA598" i="3"/>
  <c r="AB597" i="3"/>
  <c r="X538" i="3"/>
  <c r="H538" i="3"/>
  <c r="I538" i="3"/>
  <c r="AB533" i="3"/>
  <c r="AA534" i="3"/>
  <c r="X509" i="3"/>
  <c r="H509" i="3"/>
  <c r="I509" i="3"/>
  <c r="X508" i="3"/>
  <c r="H508" i="3"/>
  <c r="I508" i="3"/>
  <c r="AB503" i="3"/>
  <c r="AA504" i="3"/>
  <c r="X519" i="3"/>
  <c r="I519" i="3"/>
  <c r="H519" i="3"/>
  <c r="AA515" i="3"/>
  <c r="AB514" i="3"/>
  <c r="X455" i="3"/>
  <c r="I455" i="3"/>
  <c r="H455" i="3"/>
  <c r="AA451" i="3"/>
  <c r="AB450" i="3"/>
  <c r="H466" i="3"/>
  <c r="I466" i="3"/>
  <c r="X466" i="3"/>
  <c r="AB461" i="3"/>
  <c r="AA462" i="3"/>
  <c r="AB407" i="3"/>
  <c r="AA408" i="3"/>
  <c r="H472" i="3"/>
  <c r="X472" i="3"/>
  <c r="I472" i="3"/>
  <c r="AB467" i="3"/>
  <c r="AA468" i="3"/>
  <c r="AB431" i="3"/>
  <c r="AA432" i="3"/>
  <c r="X372" i="3"/>
  <c r="H372" i="3"/>
  <c r="I372" i="3"/>
  <c r="AA308" i="3"/>
  <c r="AB307" i="3"/>
  <c r="H483" i="3"/>
  <c r="I483" i="3"/>
  <c r="X483" i="3"/>
  <c r="AB478" i="3"/>
  <c r="AA479" i="3"/>
  <c r="I416" i="3"/>
  <c r="H416" i="3"/>
  <c r="X416" i="3"/>
  <c r="I494" i="3"/>
  <c r="X494" i="3"/>
  <c r="H494" i="3"/>
  <c r="AB489" i="3"/>
  <c r="AA490" i="3"/>
  <c r="H344" i="3"/>
  <c r="X344" i="3"/>
  <c r="I344" i="3"/>
  <c r="X427" i="3"/>
  <c r="H427" i="3"/>
  <c r="I427" i="3"/>
  <c r="AA423" i="3"/>
  <c r="AB422" i="3"/>
  <c r="X289" i="3"/>
  <c r="H289" i="3"/>
  <c r="I289" i="3"/>
  <c r="I438" i="3"/>
  <c r="H438" i="3"/>
  <c r="X438" i="3"/>
  <c r="AB433" i="3"/>
  <c r="AA434" i="3"/>
  <c r="H374" i="3"/>
  <c r="X374" i="3"/>
  <c r="I374" i="3"/>
  <c r="AB369" i="3"/>
  <c r="AA370" i="3"/>
  <c r="AB315" i="3"/>
  <c r="AA316" i="3"/>
  <c r="AB444" i="3"/>
  <c r="AA445" i="3"/>
  <c r="X385" i="3"/>
  <c r="H385" i="3"/>
  <c r="I385" i="3"/>
  <c r="AA381" i="3"/>
  <c r="AB380" i="3"/>
  <c r="AA360" i="3"/>
  <c r="AB359" i="3"/>
  <c r="X300" i="3"/>
  <c r="H300" i="3"/>
  <c r="I300" i="3"/>
  <c r="H391" i="3"/>
  <c r="I391" i="3"/>
  <c r="X391" i="3"/>
  <c r="AB386" i="3"/>
  <c r="AA387" i="3"/>
  <c r="H324" i="3"/>
  <c r="I324" i="3"/>
  <c r="X324" i="3"/>
  <c r="H402" i="3"/>
  <c r="I402" i="3"/>
  <c r="X402" i="3"/>
  <c r="AB397" i="3"/>
  <c r="AA398" i="3"/>
  <c r="AB211" i="3"/>
  <c r="AA212" i="3"/>
  <c r="X389" i="3"/>
  <c r="H389" i="3"/>
  <c r="I389" i="3"/>
  <c r="AB384" i="3"/>
  <c r="AA385" i="3"/>
  <c r="H316" i="3"/>
  <c r="X316" i="3"/>
  <c r="I316" i="3"/>
  <c r="H339" i="3"/>
  <c r="X339" i="3"/>
  <c r="I339" i="3"/>
  <c r="AB334" i="3"/>
  <c r="AA335" i="3"/>
  <c r="AA288" i="3"/>
  <c r="AB287" i="3"/>
  <c r="X350" i="3"/>
  <c r="I350" i="3"/>
  <c r="H350" i="3"/>
  <c r="AA346" i="3"/>
  <c r="AB345" i="3"/>
  <c r="I337" i="3"/>
  <c r="X337" i="3"/>
  <c r="H337" i="3"/>
  <c r="AB332" i="3"/>
  <c r="AA333" i="3"/>
  <c r="H283" i="3"/>
  <c r="I283" i="3"/>
  <c r="X283" i="3"/>
  <c r="X343" i="3"/>
  <c r="I343" i="3"/>
  <c r="H343" i="3"/>
  <c r="AA339" i="3"/>
  <c r="AB338" i="3"/>
  <c r="I354" i="3"/>
  <c r="H354" i="3"/>
  <c r="X354" i="3"/>
  <c r="AA350" i="3"/>
  <c r="AB349" i="3"/>
  <c r="H341" i="3"/>
  <c r="X341" i="3"/>
  <c r="I341" i="3"/>
  <c r="AB336" i="3"/>
  <c r="AA337" i="3"/>
  <c r="H251" i="3"/>
  <c r="X251" i="3"/>
  <c r="I251" i="3"/>
  <c r="AA247" i="3"/>
  <c r="AB246" i="3"/>
  <c r="AA196" i="3"/>
  <c r="AB195" i="3"/>
  <c r="AA152" i="3"/>
  <c r="AB151" i="3"/>
  <c r="X278" i="3"/>
  <c r="H278" i="3"/>
  <c r="I278" i="3"/>
  <c r="AB273" i="3"/>
  <c r="AA274" i="3"/>
  <c r="H214" i="3"/>
  <c r="I214" i="3"/>
  <c r="X214" i="3"/>
  <c r="AA210" i="3"/>
  <c r="AB209" i="3"/>
  <c r="I233" i="3"/>
  <c r="X233" i="3"/>
  <c r="H233" i="3"/>
  <c r="AB228" i="3"/>
  <c r="AA229" i="3"/>
  <c r="I199" i="3"/>
  <c r="X199" i="3"/>
  <c r="H199" i="3"/>
  <c r="H239" i="3"/>
  <c r="X239" i="3"/>
  <c r="I239" i="3"/>
  <c r="AA235" i="3"/>
  <c r="AB234" i="3"/>
  <c r="X250" i="3"/>
  <c r="H250" i="3"/>
  <c r="I250" i="3"/>
  <c r="AA246" i="3"/>
  <c r="AB245" i="3"/>
  <c r="AA192" i="3"/>
  <c r="AB191" i="3"/>
  <c r="H261" i="3"/>
  <c r="I261" i="3"/>
  <c r="X261" i="3"/>
  <c r="AB256" i="3"/>
  <c r="AA257" i="3"/>
  <c r="X176" i="3"/>
  <c r="I176" i="3"/>
  <c r="H176" i="3"/>
  <c r="X175" i="3"/>
  <c r="I175" i="3"/>
  <c r="H175" i="3"/>
  <c r="AA171" i="3"/>
  <c r="AB170" i="3"/>
  <c r="I194" i="3"/>
  <c r="X194" i="3"/>
  <c r="H194" i="3"/>
  <c r="AA190" i="3"/>
  <c r="AB189" i="3"/>
  <c r="AA87" i="3"/>
  <c r="AB86" i="3"/>
  <c r="AB192" i="3"/>
  <c r="AA193" i="3"/>
  <c r="AB155" i="3"/>
  <c r="AA156" i="3"/>
  <c r="I163" i="3"/>
  <c r="X163" i="3"/>
  <c r="H163" i="3"/>
  <c r="H198" i="3"/>
  <c r="I198" i="3"/>
  <c r="X198" i="3"/>
  <c r="AB193" i="3"/>
  <c r="AA194" i="3"/>
  <c r="X124" i="3"/>
  <c r="I124" i="3"/>
  <c r="H124" i="3"/>
  <c r="X169" i="3"/>
  <c r="H169" i="3"/>
  <c r="I169" i="3"/>
  <c r="AA165" i="3"/>
  <c r="AB164" i="3"/>
  <c r="X127" i="3"/>
  <c r="H127" i="3"/>
  <c r="I127" i="3"/>
  <c r="AA123" i="3"/>
  <c r="AB122" i="3"/>
  <c r="AB114" i="3"/>
  <c r="AA115" i="3"/>
  <c r="I103" i="3"/>
  <c r="H103" i="3"/>
  <c r="X103" i="3"/>
  <c r="X130" i="3"/>
  <c r="I130" i="3"/>
  <c r="H130" i="3"/>
  <c r="AB125" i="3"/>
  <c r="AA126" i="3"/>
  <c r="AA111" i="3"/>
  <c r="AB110" i="3"/>
  <c r="I131" i="3"/>
  <c r="X131" i="3"/>
  <c r="H131" i="3"/>
  <c r="AB126" i="3"/>
  <c r="AA127" i="3"/>
  <c r="AB121" i="3"/>
  <c r="AA122" i="3"/>
  <c r="I75" i="3"/>
  <c r="H75" i="3"/>
  <c r="X75" i="3"/>
  <c r="H150" i="3"/>
  <c r="I150" i="3"/>
  <c r="X150" i="3"/>
  <c r="AB145" i="3"/>
  <c r="AA146" i="3"/>
  <c r="AB64" i="3"/>
  <c r="AA65" i="3"/>
  <c r="H129" i="3"/>
  <c r="X129" i="3"/>
  <c r="I129" i="3"/>
  <c r="AA125" i="3"/>
  <c r="AB124" i="3"/>
  <c r="X102" i="3"/>
  <c r="H102" i="3"/>
  <c r="I102" i="3"/>
  <c r="AB97" i="3"/>
  <c r="AA98" i="3"/>
  <c r="AB116" i="3"/>
  <c r="AA117" i="3"/>
  <c r="X109" i="3"/>
  <c r="H109" i="3"/>
  <c r="I109" i="3"/>
  <c r="AA105" i="3"/>
  <c r="AB104" i="3"/>
  <c r="X112" i="3"/>
  <c r="H112" i="3"/>
  <c r="I112" i="3"/>
  <c r="AB107" i="3"/>
  <c r="AA108" i="3"/>
  <c r="I67" i="3"/>
  <c r="X67" i="3"/>
  <c r="H67" i="3"/>
  <c r="X64" i="3"/>
  <c r="H64" i="3"/>
  <c r="I64" i="3"/>
  <c r="AB59" i="3"/>
  <c r="AA60" i="3"/>
  <c r="X62" i="3"/>
  <c r="H62" i="3"/>
  <c r="I62" i="3"/>
  <c r="X56" i="3"/>
  <c r="H56" i="3"/>
  <c r="I56" i="3"/>
  <c r="I65" i="3"/>
  <c r="X65" i="3"/>
  <c r="H65" i="3"/>
  <c r="AB60" i="3"/>
  <c r="AA61" i="3"/>
  <c r="I68" i="3"/>
  <c r="X68" i="3"/>
  <c r="H68" i="3"/>
  <c r="AB63" i="3"/>
  <c r="AA64" i="3"/>
  <c r="H71" i="3"/>
  <c r="I71" i="3"/>
  <c r="X71" i="3"/>
  <c r="AA67" i="3"/>
  <c r="AB66" i="3"/>
  <c r="I74" i="3"/>
  <c r="H74" i="3"/>
  <c r="X74" i="3"/>
  <c r="AA70" i="3"/>
  <c r="AB69" i="3"/>
  <c r="AB11" i="3"/>
  <c r="AA12" i="3"/>
  <c r="H7" i="3"/>
  <c r="I7" i="3"/>
  <c r="K4" i="3"/>
  <c r="X7" i="3"/>
  <c r="X10" i="3"/>
  <c r="I10" i="3"/>
  <c r="H10" i="3"/>
  <c r="X868" i="3"/>
  <c r="H868" i="3"/>
  <c r="I868" i="3"/>
  <c r="X760" i="3"/>
  <c r="H760" i="3"/>
  <c r="I760" i="3"/>
  <c r="AA768" i="3"/>
  <c r="AB767" i="3"/>
  <c r="X928" i="3"/>
  <c r="H928" i="3"/>
  <c r="I928" i="3"/>
  <c r="AB999" i="3"/>
  <c r="AA1000" i="3"/>
  <c r="X984" i="3"/>
  <c r="H984" i="3"/>
  <c r="I984" i="3"/>
  <c r="AB923" i="3"/>
  <c r="AA924" i="3"/>
  <c r="AB935" i="3"/>
  <c r="AA936" i="3"/>
  <c r="AA980" i="3"/>
  <c r="AB979" i="3"/>
  <c r="X976" i="3"/>
  <c r="H976" i="3"/>
  <c r="I976" i="3"/>
  <c r="X988" i="3"/>
  <c r="H988" i="3"/>
  <c r="I988" i="3"/>
  <c r="X968" i="3"/>
  <c r="H968" i="3"/>
  <c r="I968" i="3"/>
  <c r="X892" i="3"/>
  <c r="I892" i="3"/>
  <c r="H892" i="3"/>
  <c r="AA872" i="3"/>
  <c r="AB871" i="3"/>
  <c r="X951" i="3"/>
  <c r="I951" i="3"/>
  <c r="H951" i="3"/>
  <c r="AB946" i="3"/>
  <c r="AA947" i="3"/>
  <c r="X887" i="3"/>
  <c r="I887" i="3"/>
  <c r="H887" i="3"/>
  <c r="AA883" i="3"/>
  <c r="AB882" i="3"/>
  <c r="AB997" i="3"/>
  <c r="AA998" i="3"/>
  <c r="X938" i="3"/>
  <c r="I938" i="3"/>
  <c r="H938" i="3"/>
  <c r="AA934" i="3"/>
  <c r="AB933" i="3"/>
  <c r="X874" i="3"/>
  <c r="H874" i="3"/>
  <c r="I874" i="3"/>
  <c r="AA870" i="3"/>
  <c r="AB869" i="3"/>
  <c r="X824" i="3"/>
  <c r="H824" i="3"/>
  <c r="I824" i="3"/>
  <c r="AB1000" i="3"/>
  <c r="X941" i="3"/>
  <c r="I941" i="3"/>
  <c r="H941" i="3"/>
  <c r="AB936" i="3"/>
  <c r="AA937" i="3"/>
  <c r="X877" i="3"/>
  <c r="H877" i="3"/>
  <c r="I877" i="3"/>
  <c r="AB872" i="3"/>
  <c r="AA873" i="3"/>
  <c r="X836" i="3"/>
  <c r="H836" i="3"/>
  <c r="I836" i="3"/>
  <c r="X720" i="3"/>
  <c r="I720" i="3"/>
  <c r="H720" i="3"/>
  <c r="AA900" i="3"/>
  <c r="AB899" i="3"/>
  <c r="AB998" i="3"/>
  <c r="AA999" i="3"/>
  <c r="X939" i="3"/>
  <c r="I939" i="3"/>
  <c r="H939" i="3"/>
  <c r="AB934" i="3"/>
  <c r="AA935" i="3"/>
  <c r="X875" i="3"/>
  <c r="H875" i="3"/>
  <c r="I875" i="3"/>
  <c r="AA871" i="3"/>
  <c r="AB870" i="3"/>
  <c r="X828" i="3"/>
  <c r="H828" i="3"/>
  <c r="I828" i="3"/>
  <c r="AB891" i="3"/>
  <c r="AA892" i="3"/>
  <c r="X880" i="3"/>
  <c r="H880" i="3"/>
  <c r="I880" i="3"/>
  <c r="X990" i="3"/>
  <c r="H990" i="3"/>
  <c r="I990" i="3"/>
  <c r="AB985" i="3"/>
  <c r="AA986" i="3"/>
  <c r="X926" i="3"/>
  <c r="H926" i="3"/>
  <c r="I926" i="3"/>
  <c r="AB921" i="3"/>
  <c r="AA922" i="3"/>
  <c r="AA836" i="3"/>
  <c r="AB835" i="3"/>
  <c r="X776" i="3"/>
  <c r="H776" i="3"/>
  <c r="I776" i="3"/>
  <c r="X977" i="3"/>
  <c r="H977" i="3"/>
  <c r="I977" i="3"/>
  <c r="AB972" i="3"/>
  <c r="AA973" i="3"/>
  <c r="X913" i="3"/>
  <c r="I913" i="3"/>
  <c r="H913" i="3"/>
  <c r="AB908" i="3"/>
  <c r="AA909" i="3"/>
  <c r="AB783" i="3"/>
  <c r="AA784" i="3"/>
  <c r="X724" i="3"/>
  <c r="H724" i="3"/>
  <c r="I724" i="3"/>
  <c r="X815" i="3"/>
  <c r="H815" i="3"/>
  <c r="I815" i="3"/>
  <c r="AA811" i="3"/>
  <c r="AB810" i="3"/>
  <c r="X751" i="3"/>
  <c r="H751" i="3"/>
  <c r="I751" i="3"/>
  <c r="AB746" i="3"/>
  <c r="AA747" i="3"/>
  <c r="X687" i="3"/>
  <c r="H687" i="3"/>
  <c r="I687" i="3"/>
  <c r="X818" i="3"/>
  <c r="I818" i="3"/>
  <c r="H818" i="3"/>
  <c r="AA814" i="3"/>
  <c r="AB813" i="3"/>
  <c r="X754" i="3"/>
  <c r="I754" i="3"/>
  <c r="H754" i="3"/>
  <c r="AB749" i="3"/>
  <c r="AA750" i="3"/>
  <c r="X690" i="3"/>
  <c r="H690" i="3"/>
  <c r="I690" i="3"/>
  <c r="AB685" i="3"/>
  <c r="AA686" i="3"/>
  <c r="X829" i="3"/>
  <c r="I829" i="3"/>
  <c r="H829" i="3"/>
  <c r="AB824" i="3"/>
  <c r="AA825" i="3"/>
  <c r="X765" i="3"/>
  <c r="H765" i="3"/>
  <c r="I765" i="3"/>
  <c r="AA761" i="3"/>
  <c r="AB760" i="3"/>
  <c r="X701" i="3"/>
  <c r="I701" i="3"/>
  <c r="H701" i="3"/>
  <c r="AA697" i="3"/>
  <c r="AB696" i="3"/>
  <c r="AA638" i="3"/>
  <c r="AB637" i="3"/>
  <c r="X851" i="3"/>
  <c r="I851" i="3"/>
  <c r="H851" i="3"/>
  <c r="AB846" i="3"/>
  <c r="AA847" i="3"/>
  <c r="X787" i="3"/>
  <c r="I787" i="3"/>
  <c r="H787" i="3"/>
  <c r="AA783" i="3"/>
  <c r="AB782" i="3"/>
  <c r="X723" i="3"/>
  <c r="H723" i="3"/>
  <c r="I723" i="3"/>
  <c r="AB718" i="3"/>
  <c r="AA719" i="3"/>
  <c r="AB649" i="3"/>
  <c r="AA650" i="3"/>
  <c r="X854" i="3"/>
  <c r="H854" i="3"/>
  <c r="I854" i="3"/>
  <c r="AA850" i="3"/>
  <c r="AB849" i="3"/>
  <c r="X790" i="3"/>
  <c r="H790" i="3"/>
  <c r="I790" i="3"/>
  <c r="AA786" i="3"/>
  <c r="AB785" i="3"/>
  <c r="X726" i="3"/>
  <c r="H726" i="3"/>
  <c r="I726" i="3"/>
  <c r="AB721" i="3"/>
  <c r="AA722" i="3"/>
  <c r="AA681" i="3"/>
  <c r="AB680" i="3"/>
  <c r="AA662" i="3"/>
  <c r="AB661" i="3"/>
  <c r="X602" i="3"/>
  <c r="I602" i="3"/>
  <c r="H602" i="3"/>
  <c r="AB528" i="3"/>
  <c r="AA529" i="3"/>
  <c r="X857" i="3"/>
  <c r="I857" i="3"/>
  <c r="H857" i="3"/>
  <c r="AA853" i="3"/>
  <c r="AB852" i="3"/>
  <c r="X793" i="3"/>
  <c r="H793" i="3"/>
  <c r="I793" i="3"/>
  <c r="AB788" i="3"/>
  <c r="AA789" i="3"/>
  <c r="X729" i="3"/>
  <c r="H729" i="3"/>
  <c r="I729" i="3"/>
  <c r="AA725" i="3"/>
  <c r="AB724" i="3"/>
  <c r="AB673" i="3"/>
  <c r="AA674" i="3"/>
  <c r="X614" i="3"/>
  <c r="H614" i="3"/>
  <c r="I614" i="3"/>
  <c r="AB576" i="3"/>
  <c r="AA577" i="3"/>
  <c r="X645" i="3"/>
  <c r="I645" i="3"/>
  <c r="H645" i="3"/>
  <c r="AA641" i="3"/>
  <c r="AB640" i="3"/>
  <c r="X521" i="3"/>
  <c r="H521" i="3"/>
  <c r="I521" i="3"/>
  <c r="X680" i="3"/>
  <c r="I680" i="3"/>
  <c r="H680" i="3"/>
  <c r="AB675" i="3"/>
  <c r="AA676" i="3"/>
  <c r="X616" i="3"/>
  <c r="H616" i="3"/>
  <c r="I616" i="3"/>
  <c r="AB611" i="3"/>
  <c r="AA612" i="3"/>
  <c r="AA585" i="3"/>
  <c r="AB584" i="3"/>
  <c r="X525" i="3"/>
  <c r="I525" i="3"/>
  <c r="H525" i="3"/>
  <c r="H457" i="3"/>
  <c r="I457" i="3"/>
  <c r="X457" i="3"/>
  <c r="X667" i="3"/>
  <c r="I667" i="3"/>
  <c r="H667" i="3"/>
  <c r="AA663" i="3"/>
  <c r="AB662" i="3"/>
  <c r="X603" i="3"/>
  <c r="H603" i="3"/>
  <c r="I603" i="3"/>
  <c r="AA533" i="3"/>
  <c r="AB532" i="3"/>
  <c r="X633" i="3"/>
  <c r="I633" i="3"/>
  <c r="H633" i="3"/>
  <c r="AA629" i="3"/>
  <c r="AB628" i="3"/>
  <c r="X593" i="3"/>
  <c r="H593" i="3"/>
  <c r="I593" i="3"/>
  <c r="X644" i="3"/>
  <c r="H644" i="3"/>
  <c r="I644" i="3"/>
  <c r="AB639" i="3"/>
  <c r="AA640" i="3"/>
  <c r="X679" i="3"/>
  <c r="I679" i="3"/>
  <c r="H679" i="3"/>
  <c r="AB674" i="3"/>
  <c r="AA675" i="3"/>
  <c r="X615" i="3"/>
  <c r="I615" i="3"/>
  <c r="H615" i="3"/>
  <c r="AB610" i="3"/>
  <c r="AA611" i="3"/>
  <c r="AB580" i="3"/>
  <c r="AA581" i="3"/>
  <c r="X552" i="3"/>
  <c r="I552" i="3"/>
  <c r="H552" i="3"/>
  <c r="AA548" i="3"/>
  <c r="AB547" i="3"/>
  <c r="X587" i="3"/>
  <c r="I587" i="3"/>
  <c r="H587" i="3"/>
  <c r="AB582" i="3"/>
  <c r="AA583" i="3"/>
  <c r="AA509" i="3"/>
  <c r="AB508" i="3"/>
  <c r="H449" i="3"/>
  <c r="I449" i="3"/>
  <c r="X449" i="3"/>
  <c r="X558" i="3"/>
  <c r="H558" i="3"/>
  <c r="I558" i="3"/>
  <c r="AA554" i="3"/>
  <c r="AB553" i="3"/>
  <c r="AA388" i="3"/>
  <c r="AB387" i="3"/>
  <c r="X564" i="3"/>
  <c r="H564" i="3"/>
  <c r="I564" i="3"/>
  <c r="AB559" i="3"/>
  <c r="AA560" i="3"/>
  <c r="X551" i="3"/>
  <c r="H551" i="3"/>
  <c r="I551" i="3"/>
  <c r="AA547" i="3"/>
  <c r="AB546" i="3"/>
  <c r="X562" i="3"/>
  <c r="H562" i="3"/>
  <c r="I562" i="3"/>
  <c r="AA558" i="3"/>
  <c r="AB557" i="3"/>
  <c r="I468" i="3"/>
  <c r="H468" i="3"/>
  <c r="X468" i="3"/>
  <c r="AA464" i="3"/>
  <c r="AB463" i="3"/>
  <c r="AA416" i="3"/>
  <c r="AB415" i="3"/>
  <c r="I479" i="3"/>
  <c r="X479" i="3"/>
  <c r="H479" i="3"/>
  <c r="AB474" i="3"/>
  <c r="AA475" i="3"/>
  <c r="H400" i="3"/>
  <c r="X400" i="3"/>
  <c r="I400" i="3"/>
  <c r="H490" i="3"/>
  <c r="I490" i="3"/>
  <c r="X490" i="3"/>
  <c r="AA486" i="3"/>
  <c r="AB485" i="3"/>
  <c r="H444" i="3"/>
  <c r="X444" i="3"/>
  <c r="I444" i="3"/>
  <c r="H496" i="3"/>
  <c r="I496" i="3"/>
  <c r="X496" i="3"/>
  <c r="AB491" i="3"/>
  <c r="AA492" i="3"/>
  <c r="X507" i="3"/>
  <c r="I507" i="3"/>
  <c r="H507" i="3"/>
  <c r="AB502" i="3"/>
  <c r="AA503" i="3"/>
  <c r="X518" i="3"/>
  <c r="H518" i="3"/>
  <c r="I518" i="3"/>
  <c r="AB513" i="3"/>
  <c r="AA514" i="3"/>
  <c r="H454" i="3"/>
  <c r="I454" i="3"/>
  <c r="X454" i="3"/>
  <c r="AB449" i="3"/>
  <c r="AA450" i="3"/>
  <c r="AB446" i="3"/>
  <c r="AA447" i="3"/>
  <c r="H387" i="3"/>
  <c r="X387" i="3"/>
  <c r="I387" i="3"/>
  <c r="AB382" i="3"/>
  <c r="AA383" i="3"/>
  <c r="H308" i="3"/>
  <c r="X308" i="3"/>
  <c r="I308" i="3"/>
  <c r="AB284" i="3"/>
  <c r="AA285" i="3"/>
  <c r="X398" i="3"/>
  <c r="H398" i="3"/>
  <c r="I398" i="3"/>
  <c r="AA394" i="3"/>
  <c r="AB393" i="3"/>
  <c r="X352" i="3"/>
  <c r="H352" i="3"/>
  <c r="I352" i="3"/>
  <c r="H409" i="3"/>
  <c r="X409" i="3"/>
  <c r="I409" i="3"/>
  <c r="AB404" i="3"/>
  <c r="AA405" i="3"/>
  <c r="X415" i="3"/>
  <c r="I415" i="3"/>
  <c r="H415" i="3"/>
  <c r="AB410" i="3"/>
  <c r="AA411" i="3"/>
  <c r="H426" i="3"/>
  <c r="X426" i="3"/>
  <c r="I426" i="3"/>
  <c r="AB421" i="3"/>
  <c r="AA422" i="3"/>
  <c r="H280" i="3"/>
  <c r="I280" i="3"/>
  <c r="X280" i="3"/>
  <c r="H413" i="3"/>
  <c r="I413" i="3"/>
  <c r="X413" i="3"/>
  <c r="AB408" i="3"/>
  <c r="AA409" i="3"/>
  <c r="X363" i="3"/>
  <c r="H363" i="3"/>
  <c r="I363" i="3"/>
  <c r="AB358" i="3"/>
  <c r="AA359" i="3"/>
  <c r="I299" i="3"/>
  <c r="H299" i="3"/>
  <c r="X299" i="3"/>
  <c r="AA295" i="3"/>
  <c r="AB294" i="3"/>
  <c r="I310" i="3"/>
  <c r="H310" i="3"/>
  <c r="X310" i="3"/>
  <c r="AA306" i="3"/>
  <c r="AB305" i="3"/>
  <c r="X288" i="3"/>
  <c r="I288" i="3"/>
  <c r="H288" i="3"/>
  <c r="AB235" i="3"/>
  <c r="AA236" i="3"/>
  <c r="I361" i="3"/>
  <c r="X361" i="3"/>
  <c r="H361" i="3"/>
  <c r="AB356" i="3"/>
  <c r="AA357" i="3"/>
  <c r="H297" i="3"/>
  <c r="I297" i="3"/>
  <c r="X297" i="3"/>
  <c r="I367" i="3"/>
  <c r="H367" i="3"/>
  <c r="X367" i="3"/>
  <c r="AA363" i="3"/>
  <c r="AB362" i="3"/>
  <c r="H303" i="3"/>
  <c r="I303" i="3"/>
  <c r="X303" i="3"/>
  <c r="AA299" i="3"/>
  <c r="AB298" i="3"/>
  <c r="X284" i="3"/>
  <c r="H284" i="3"/>
  <c r="I284" i="3"/>
  <c r="H314" i="3"/>
  <c r="X314" i="3"/>
  <c r="I314" i="3"/>
  <c r="AA310" i="3"/>
  <c r="AB309" i="3"/>
  <c r="AB251" i="3"/>
  <c r="AA252" i="3"/>
  <c r="H365" i="3"/>
  <c r="X365" i="3"/>
  <c r="I365" i="3"/>
  <c r="AB360" i="3"/>
  <c r="AA361" i="3"/>
  <c r="H301" i="3"/>
  <c r="I301" i="3"/>
  <c r="X301" i="3"/>
  <c r="AA297" i="3"/>
  <c r="AB296" i="3"/>
  <c r="I275" i="3"/>
  <c r="X275" i="3"/>
  <c r="H275" i="3"/>
  <c r="AA271" i="3"/>
  <c r="AB270" i="3"/>
  <c r="I211" i="3"/>
  <c r="X211" i="3"/>
  <c r="H211" i="3"/>
  <c r="H238" i="3"/>
  <c r="I238" i="3"/>
  <c r="X238" i="3"/>
  <c r="AB233" i="3"/>
  <c r="AA234" i="3"/>
  <c r="AB199" i="3"/>
  <c r="AA200" i="3"/>
  <c r="H257" i="3"/>
  <c r="I257" i="3"/>
  <c r="X257" i="3"/>
  <c r="AB252" i="3"/>
  <c r="AA253" i="3"/>
  <c r="I159" i="3"/>
  <c r="X159" i="3"/>
  <c r="H159" i="3"/>
  <c r="I263" i="3"/>
  <c r="X263" i="3"/>
  <c r="H263" i="3"/>
  <c r="AB258" i="3"/>
  <c r="AA259" i="3"/>
  <c r="H200" i="3"/>
  <c r="X200" i="3"/>
  <c r="I200" i="3"/>
  <c r="I184" i="3"/>
  <c r="H184" i="3"/>
  <c r="X184" i="3"/>
  <c r="I83" i="3"/>
  <c r="X83" i="3"/>
  <c r="H83" i="3"/>
  <c r="H274" i="3"/>
  <c r="X274" i="3"/>
  <c r="I274" i="3"/>
  <c r="AA270" i="3"/>
  <c r="AB269" i="3"/>
  <c r="X210" i="3"/>
  <c r="I210" i="3"/>
  <c r="H210" i="3"/>
  <c r="X285" i="3"/>
  <c r="I285" i="3"/>
  <c r="H285" i="3"/>
  <c r="AB280" i="3"/>
  <c r="AA281" i="3"/>
  <c r="H221" i="3"/>
  <c r="X221" i="3"/>
  <c r="I221" i="3"/>
  <c r="AA217" i="3"/>
  <c r="AB216" i="3"/>
  <c r="AB194" i="3"/>
  <c r="AA195" i="3"/>
  <c r="I128" i="3"/>
  <c r="H128" i="3"/>
  <c r="X128" i="3"/>
  <c r="X187" i="3"/>
  <c r="I187" i="3"/>
  <c r="H187" i="3"/>
  <c r="AB182" i="3"/>
  <c r="AA183" i="3"/>
  <c r="AB139" i="3"/>
  <c r="AA140" i="3"/>
  <c r="X193" i="3"/>
  <c r="I193" i="3"/>
  <c r="H193" i="3"/>
  <c r="AA189" i="3"/>
  <c r="AB188" i="3"/>
  <c r="AB146" i="3"/>
  <c r="AA147" i="3"/>
  <c r="H154" i="3"/>
  <c r="X154" i="3"/>
  <c r="I154" i="3"/>
  <c r="AB149" i="3"/>
  <c r="AA150" i="3"/>
  <c r="I155" i="3"/>
  <c r="X155" i="3"/>
  <c r="H155" i="3"/>
  <c r="AB150" i="3"/>
  <c r="AA151" i="3"/>
  <c r="X111" i="3"/>
  <c r="H111" i="3"/>
  <c r="I111" i="3"/>
  <c r="AB119" i="3"/>
  <c r="AA120" i="3"/>
  <c r="AA95" i="3"/>
  <c r="AB94" i="3"/>
  <c r="X153" i="3"/>
  <c r="H153" i="3"/>
  <c r="I153" i="3"/>
  <c r="AB148" i="3"/>
  <c r="AA149" i="3"/>
  <c r="I61" i="3"/>
  <c r="X61" i="3"/>
  <c r="H61" i="3"/>
  <c r="H92" i="3"/>
  <c r="X92" i="3"/>
  <c r="I92" i="3"/>
  <c r="AA88" i="3"/>
  <c r="AB87" i="3"/>
  <c r="H80" i="3"/>
  <c r="I80" i="3"/>
  <c r="X80" i="3"/>
  <c r="X90" i="3"/>
  <c r="I90" i="3"/>
  <c r="H90" i="3"/>
  <c r="AB85" i="3"/>
  <c r="AA86" i="3"/>
  <c r="AB76" i="3"/>
  <c r="AA77" i="3"/>
  <c r="AB72" i="3"/>
  <c r="AA73" i="3"/>
  <c r="AB39" i="3"/>
  <c r="AA40" i="3"/>
  <c r="AB81" i="3"/>
  <c r="AA82" i="3"/>
  <c r="AB35" i="3"/>
  <c r="AA36" i="3"/>
  <c r="AB41" i="3"/>
  <c r="AA42" i="3"/>
  <c r="AA48" i="3"/>
  <c r="AB47" i="3"/>
  <c r="X53" i="3"/>
  <c r="H53" i="3"/>
  <c r="I53" i="3"/>
  <c r="X31" i="3"/>
  <c r="H31" i="3"/>
  <c r="I31" i="3"/>
  <c r="AB26" i="3"/>
  <c r="AA27" i="3"/>
  <c r="I34" i="3"/>
  <c r="X34" i="3"/>
  <c r="H34" i="3"/>
  <c r="AB29" i="3"/>
  <c r="AA30" i="3"/>
  <c r="I27" i="3"/>
  <c r="H27" i="3"/>
  <c r="X27" i="3"/>
  <c r="AA23" i="3"/>
  <c r="AB22" i="3"/>
  <c r="H25" i="3"/>
  <c r="I25" i="3"/>
  <c r="X25" i="3"/>
  <c r="AA21" i="3"/>
  <c r="AB20" i="3"/>
  <c r="AA972" i="3"/>
  <c r="AB971" i="3"/>
  <c r="X999" i="3"/>
  <c r="I999" i="3"/>
  <c r="H999" i="3"/>
  <c r="X925" i="3"/>
  <c r="I925" i="3"/>
  <c r="H925" i="3"/>
  <c r="X876" i="3"/>
  <c r="I876" i="3"/>
  <c r="H876" i="3"/>
  <c r="AA915" i="3"/>
  <c r="AB914" i="3"/>
  <c r="X980" i="3"/>
  <c r="I980" i="3"/>
  <c r="H980" i="3"/>
  <c r="X960" i="3"/>
  <c r="I960" i="3"/>
  <c r="H960" i="3"/>
  <c r="AB919" i="3"/>
  <c r="AA920" i="3"/>
  <c r="X972" i="3"/>
  <c r="H972" i="3"/>
  <c r="I972" i="3"/>
  <c r="AB927" i="3"/>
  <c r="AA928" i="3"/>
  <c r="X900" i="3"/>
  <c r="I900" i="3"/>
  <c r="H900" i="3"/>
  <c r="X975" i="3"/>
  <c r="H975" i="3"/>
  <c r="I975" i="3"/>
  <c r="AA971" i="3"/>
  <c r="AB970" i="3"/>
  <c r="X911" i="3"/>
  <c r="H911" i="3"/>
  <c r="I911" i="3"/>
  <c r="AA907" i="3"/>
  <c r="AB906" i="3"/>
  <c r="AB775" i="3"/>
  <c r="AA776" i="3"/>
  <c r="X716" i="3"/>
  <c r="H716" i="3"/>
  <c r="I716" i="3"/>
  <c r="X962" i="3"/>
  <c r="H962" i="3"/>
  <c r="I962" i="3"/>
  <c r="AA958" i="3"/>
  <c r="AB957" i="3"/>
  <c r="X898" i="3"/>
  <c r="H898" i="3"/>
  <c r="I898" i="3"/>
  <c r="AA894" i="3"/>
  <c r="AB893" i="3"/>
  <c r="AB723" i="3"/>
  <c r="AA724" i="3"/>
  <c r="AA912" i="3"/>
  <c r="AB911" i="3"/>
  <c r="X965" i="3"/>
  <c r="I965" i="3"/>
  <c r="H965" i="3"/>
  <c r="AA961" i="3"/>
  <c r="AB960" i="3"/>
  <c r="X901" i="3"/>
  <c r="H901" i="3"/>
  <c r="I901" i="3"/>
  <c r="AA897" i="3"/>
  <c r="AB896" i="3"/>
  <c r="AB735" i="3"/>
  <c r="AA736" i="3"/>
  <c r="X658" i="3"/>
  <c r="H658" i="3"/>
  <c r="I658" i="3"/>
  <c r="AB843" i="3"/>
  <c r="AA844" i="3"/>
  <c r="X784" i="3"/>
  <c r="H784" i="3"/>
  <c r="I784" i="3"/>
  <c r="X963" i="3"/>
  <c r="H963" i="3"/>
  <c r="I963" i="3"/>
  <c r="AA959" i="3"/>
  <c r="AB958" i="3"/>
  <c r="X899" i="3"/>
  <c r="H899" i="3"/>
  <c r="I899" i="3"/>
  <c r="AA895" i="3"/>
  <c r="AB894" i="3"/>
  <c r="AB727" i="3"/>
  <c r="AA728" i="3"/>
  <c r="X950" i="3"/>
  <c r="H950" i="3"/>
  <c r="I950" i="3"/>
  <c r="AA946" i="3"/>
  <c r="AB945" i="3"/>
  <c r="X886" i="3"/>
  <c r="H886" i="3"/>
  <c r="I886" i="3"/>
  <c r="AB881" i="3"/>
  <c r="AA882" i="3"/>
  <c r="AB996" i="3"/>
  <c r="AA997" i="3"/>
  <c r="X937" i="3"/>
  <c r="I937" i="3"/>
  <c r="H937" i="3"/>
  <c r="AA933" i="3"/>
  <c r="AB932" i="3"/>
  <c r="X873" i="3"/>
  <c r="I873" i="3"/>
  <c r="H873" i="3"/>
  <c r="AA869" i="3"/>
  <c r="AB868" i="3"/>
  <c r="X820" i="3"/>
  <c r="I820" i="3"/>
  <c r="H820" i="3"/>
  <c r="AA682" i="3"/>
  <c r="AB681" i="3"/>
  <c r="AB859" i="3"/>
  <c r="AA860" i="3"/>
  <c r="AB795" i="3"/>
  <c r="AA796" i="3"/>
  <c r="AB731" i="3"/>
  <c r="AA732" i="3"/>
  <c r="X839" i="3"/>
  <c r="H839" i="3"/>
  <c r="I839" i="3"/>
  <c r="AB834" i="3"/>
  <c r="AA835" i="3"/>
  <c r="X775" i="3"/>
  <c r="H775" i="3"/>
  <c r="I775" i="3"/>
  <c r="AB770" i="3"/>
  <c r="AA771" i="3"/>
  <c r="X711" i="3"/>
  <c r="H711" i="3"/>
  <c r="I711" i="3"/>
  <c r="AB706" i="3"/>
  <c r="AA707" i="3"/>
  <c r="AA602" i="3"/>
  <c r="AB601" i="3"/>
  <c r="AB524" i="3"/>
  <c r="AA525" i="3"/>
  <c r="X842" i="3"/>
  <c r="H842" i="3"/>
  <c r="I842" i="3"/>
  <c r="AB837" i="3"/>
  <c r="AA838" i="3"/>
  <c r="X778" i="3"/>
  <c r="I778" i="3"/>
  <c r="H778" i="3"/>
  <c r="AA774" i="3"/>
  <c r="AB773" i="3"/>
  <c r="X714" i="3"/>
  <c r="H714" i="3"/>
  <c r="I714" i="3"/>
  <c r="AB709" i="3"/>
  <c r="AA710" i="3"/>
  <c r="AA614" i="3"/>
  <c r="AB613" i="3"/>
  <c r="X853" i="3"/>
  <c r="I853" i="3"/>
  <c r="H853" i="3"/>
  <c r="AA849" i="3"/>
  <c r="AB848" i="3"/>
  <c r="X789" i="3"/>
  <c r="I789" i="3"/>
  <c r="H789" i="3"/>
  <c r="AA785" i="3"/>
  <c r="AB784" i="3"/>
  <c r="X725" i="3"/>
  <c r="H725" i="3"/>
  <c r="I725" i="3"/>
  <c r="AB720" i="3"/>
  <c r="AA721" i="3"/>
  <c r="AB657" i="3"/>
  <c r="AA658" i="3"/>
  <c r="AB484" i="3"/>
  <c r="AA485" i="3"/>
  <c r="X811" i="3"/>
  <c r="I811" i="3"/>
  <c r="H811" i="3"/>
  <c r="AB806" i="3"/>
  <c r="AA807" i="3"/>
  <c r="X747" i="3"/>
  <c r="H747" i="3"/>
  <c r="I747" i="3"/>
  <c r="AB742" i="3"/>
  <c r="AA743" i="3"/>
  <c r="X549" i="3"/>
  <c r="I549" i="3"/>
  <c r="H549" i="3"/>
  <c r="X814" i="3"/>
  <c r="H814" i="3"/>
  <c r="I814" i="3"/>
  <c r="AB809" i="3"/>
  <c r="AA810" i="3"/>
  <c r="X750" i="3"/>
  <c r="H750" i="3"/>
  <c r="I750" i="3"/>
  <c r="AB745" i="3"/>
  <c r="AA746" i="3"/>
  <c r="X686" i="3"/>
  <c r="I686" i="3"/>
  <c r="H686" i="3"/>
  <c r="X597" i="3"/>
  <c r="H597" i="3"/>
  <c r="I597" i="3"/>
  <c r="X817" i="3"/>
  <c r="I817" i="3"/>
  <c r="H817" i="3"/>
  <c r="AA813" i="3"/>
  <c r="AB812" i="3"/>
  <c r="X753" i="3"/>
  <c r="H753" i="3"/>
  <c r="I753" i="3"/>
  <c r="AB748" i="3"/>
  <c r="AA749" i="3"/>
  <c r="X689" i="3"/>
  <c r="H689" i="3"/>
  <c r="I689" i="3"/>
  <c r="AB684" i="3"/>
  <c r="AA685" i="3"/>
  <c r="X565" i="3"/>
  <c r="I565" i="3"/>
  <c r="H565" i="3"/>
  <c r="X669" i="3"/>
  <c r="H669" i="3"/>
  <c r="I669" i="3"/>
  <c r="AB664" i="3"/>
  <c r="AA665" i="3"/>
  <c r="X605" i="3"/>
  <c r="H605" i="3"/>
  <c r="I605" i="3"/>
  <c r="AB540" i="3"/>
  <c r="AA541" i="3"/>
  <c r="AA517" i="3"/>
  <c r="AB516" i="3"/>
  <c r="X640" i="3"/>
  <c r="I640" i="3"/>
  <c r="H640" i="3"/>
  <c r="AB635" i="3"/>
  <c r="AA636" i="3"/>
  <c r="X627" i="3"/>
  <c r="I627" i="3"/>
  <c r="H627" i="3"/>
  <c r="AA623" i="3"/>
  <c r="AB622" i="3"/>
  <c r="X569" i="3"/>
  <c r="H569" i="3"/>
  <c r="I569" i="3"/>
  <c r="X657" i="3"/>
  <c r="H657" i="3"/>
  <c r="I657" i="3"/>
  <c r="AA653" i="3"/>
  <c r="AB652" i="3"/>
  <c r="X668" i="3"/>
  <c r="I668" i="3"/>
  <c r="H668" i="3"/>
  <c r="AB663" i="3"/>
  <c r="AA664" i="3"/>
  <c r="X604" i="3"/>
  <c r="H604" i="3"/>
  <c r="I604" i="3"/>
  <c r="AA537" i="3"/>
  <c r="AB536" i="3"/>
  <c r="X639" i="3"/>
  <c r="I639" i="3"/>
  <c r="H639" i="3"/>
  <c r="AA635" i="3"/>
  <c r="AB634" i="3"/>
  <c r="X576" i="3"/>
  <c r="I576" i="3"/>
  <c r="H576" i="3"/>
  <c r="AA572" i="3"/>
  <c r="AB571" i="3"/>
  <c r="AB519" i="3"/>
  <c r="AA520" i="3"/>
  <c r="AB464" i="3"/>
  <c r="AA465" i="3"/>
  <c r="X547" i="3"/>
  <c r="H547" i="3"/>
  <c r="I547" i="3"/>
  <c r="AA543" i="3"/>
  <c r="AB542" i="3"/>
  <c r="X582" i="3"/>
  <c r="I582" i="3"/>
  <c r="H582" i="3"/>
  <c r="AA578" i="3"/>
  <c r="AB577" i="3"/>
  <c r="AC577" i="3" s="1"/>
  <c r="AA489" i="3"/>
  <c r="AB488" i="3"/>
  <c r="X588" i="3"/>
  <c r="I588" i="3"/>
  <c r="H588" i="3"/>
  <c r="AB583" i="3"/>
  <c r="AA584" i="3"/>
  <c r="AB512" i="3"/>
  <c r="AA513" i="3"/>
  <c r="X453" i="3"/>
  <c r="I453" i="3"/>
  <c r="H453" i="3"/>
  <c r="X575" i="3"/>
  <c r="I575" i="3"/>
  <c r="H575" i="3"/>
  <c r="AB570" i="3"/>
  <c r="AA571" i="3"/>
  <c r="AB517" i="3"/>
  <c r="AA518" i="3"/>
  <c r="AA461" i="3"/>
  <c r="AB460" i="3"/>
  <c r="X586" i="3"/>
  <c r="H586" i="3"/>
  <c r="I586" i="3"/>
  <c r="AA582" i="3"/>
  <c r="AB581" i="3"/>
  <c r="AB504" i="3"/>
  <c r="AA505" i="3"/>
  <c r="H492" i="3"/>
  <c r="I492" i="3"/>
  <c r="X492" i="3"/>
  <c r="AA488" i="3"/>
  <c r="AB487" i="3"/>
  <c r="X312" i="3"/>
  <c r="H312" i="3"/>
  <c r="I312" i="3"/>
  <c r="X503" i="3"/>
  <c r="H503" i="3"/>
  <c r="I503" i="3"/>
  <c r="AB498" i="3"/>
  <c r="AA499" i="3"/>
  <c r="X514" i="3"/>
  <c r="H514" i="3"/>
  <c r="I514" i="3"/>
  <c r="AB509" i="3"/>
  <c r="AA510" i="3"/>
  <c r="X450" i="3"/>
  <c r="I450" i="3"/>
  <c r="H450" i="3"/>
  <c r="X520" i="3"/>
  <c r="H520" i="3"/>
  <c r="I520" i="3"/>
  <c r="AB515" i="3"/>
  <c r="AA516" i="3"/>
  <c r="H456" i="3"/>
  <c r="X456" i="3"/>
  <c r="I456" i="3"/>
  <c r="AA452" i="3"/>
  <c r="AB451" i="3"/>
  <c r="H467" i="3"/>
  <c r="I467" i="3"/>
  <c r="X467" i="3"/>
  <c r="AB462" i="3"/>
  <c r="AA463" i="3"/>
  <c r="AB411" i="3"/>
  <c r="AA412" i="3"/>
  <c r="I478" i="3"/>
  <c r="X478" i="3"/>
  <c r="H478" i="3"/>
  <c r="AB473" i="3"/>
  <c r="AA474" i="3"/>
  <c r="X396" i="3"/>
  <c r="H396" i="3"/>
  <c r="I396" i="3"/>
  <c r="X411" i="3"/>
  <c r="H411" i="3"/>
  <c r="I411" i="3"/>
  <c r="AA407" i="3"/>
  <c r="AB406" i="3"/>
  <c r="H422" i="3"/>
  <c r="X422" i="3"/>
  <c r="I422" i="3"/>
  <c r="AB417" i="3"/>
  <c r="AA418" i="3"/>
  <c r="AA368" i="3"/>
  <c r="AB367" i="3"/>
  <c r="H216" i="3"/>
  <c r="I216" i="3"/>
  <c r="X216" i="3"/>
  <c r="I433" i="3"/>
  <c r="X433" i="3"/>
  <c r="H433" i="3"/>
  <c r="AA429" i="3"/>
  <c r="AB428" i="3"/>
  <c r="I369" i="3"/>
  <c r="X369" i="3"/>
  <c r="H369" i="3"/>
  <c r="AB295" i="3"/>
  <c r="AA296" i="3"/>
  <c r="H439" i="3"/>
  <c r="X439" i="3"/>
  <c r="I439" i="3"/>
  <c r="AA435" i="3"/>
  <c r="AB434" i="3"/>
  <c r="H375" i="3"/>
  <c r="X375" i="3"/>
  <c r="I375" i="3"/>
  <c r="AA371" i="3"/>
  <c r="AB370" i="3"/>
  <c r="AB319" i="3"/>
  <c r="AA320" i="3"/>
  <c r="AB445" i="3"/>
  <c r="AA446" i="3"/>
  <c r="H386" i="3"/>
  <c r="I386" i="3"/>
  <c r="X386" i="3"/>
  <c r="AA382" i="3"/>
  <c r="AB381" i="3"/>
  <c r="AA364" i="3"/>
  <c r="AB363" i="3"/>
  <c r="AC363" i="3" s="1"/>
  <c r="H304" i="3"/>
  <c r="X304" i="3"/>
  <c r="I304" i="3"/>
  <c r="AA144" i="3"/>
  <c r="AB143" i="3"/>
  <c r="X437" i="3"/>
  <c r="H437" i="3"/>
  <c r="I437" i="3"/>
  <c r="AB432" i="3"/>
  <c r="AA433" i="3"/>
  <c r="I373" i="3"/>
  <c r="X373" i="3"/>
  <c r="H373" i="3"/>
  <c r="AB311" i="3"/>
  <c r="AA312" i="3"/>
  <c r="X323" i="3"/>
  <c r="H323" i="3"/>
  <c r="I323" i="3"/>
  <c r="AB318" i="3"/>
  <c r="AA319" i="3"/>
  <c r="X228" i="3"/>
  <c r="H228" i="3"/>
  <c r="I228" i="3"/>
  <c r="X334" i="3"/>
  <c r="I334" i="3"/>
  <c r="H334" i="3"/>
  <c r="AB329" i="3"/>
  <c r="AA330" i="3"/>
  <c r="H272" i="3"/>
  <c r="I272" i="3"/>
  <c r="X272" i="3"/>
  <c r="I321" i="3"/>
  <c r="H321" i="3"/>
  <c r="X321" i="3"/>
  <c r="AA317" i="3"/>
  <c r="AB316" i="3"/>
  <c r="AB279" i="3"/>
  <c r="AA280" i="3"/>
  <c r="H220" i="3"/>
  <c r="X220" i="3"/>
  <c r="I220" i="3"/>
  <c r="X327" i="3"/>
  <c r="H327" i="3"/>
  <c r="I327" i="3"/>
  <c r="AA323" i="3"/>
  <c r="AB322" i="3"/>
  <c r="AB292" i="3"/>
  <c r="AA293" i="3"/>
  <c r="H244" i="3"/>
  <c r="I244" i="3"/>
  <c r="X244" i="3"/>
  <c r="I338" i="3"/>
  <c r="H338" i="3"/>
  <c r="X338" i="3"/>
  <c r="AB333" i="3"/>
  <c r="AA334" i="3"/>
  <c r="X325" i="3"/>
  <c r="H325" i="3"/>
  <c r="I325" i="3"/>
  <c r="AA321" i="3"/>
  <c r="AB320" i="3"/>
  <c r="I236" i="3"/>
  <c r="H236" i="3"/>
  <c r="X236" i="3"/>
  <c r="I235" i="3"/>
  <c r="H235" i="3"/>
  <c r="X235" i="3"/>
  <c r="AA231" i="3"/>
  <c r="AB230" i="3"/>
  <c r="AA204" i="3"/>
  <c r="AB203" i="3"/>
  <c r="X132" i="3"/>
  <c r="I132" i="3"/>
  <c r="H132" i="3"/>
  <c r="I262" i="3"/>
  <c r="X262" i="3"/>
  <c r="H262" i="3"/>
  <c r="AB257" i="3"/>
  <c r="AA258" i="3"/>
  <c r="H180" i="3"/>
  <c r="X180" i="3"/>
  <c r="I180" i="3"/>
  <c r="I281" i="3"/>
  <c r="H281" i="3"/>
  <c r="X281" i="3"/>
  <c r="AB276" i="3"/>
  <c r="AA277" i="3"/>
  <c r="H217" i="3"/>
  <c r="I217" i="3"/>
  <c r="X217" i="3"/>
  <c r="AA213" i="3"/>
  <c r="AB212" i="3"/>
  <c r="H287" i="3"/>
  <c r="I287" i="3"/>
  <c r="X287" i="3"/>
  <c r="AB282" i="3"/>
  <c r="AA283" i="3"/>
  <c r="I223" i="3"/>
  <c r="X223" i="3"/>
  <c r="H223" i="3"/>
  <c r="AA219" i="3"/>
  <c r="AB218" i="3"/>
  <c r="AB293" i="3"/>
  <c r="AA294" i="3"/>
  <c r="H234" i="3"/>
  <c r="I234" i="3"/>
  <c r="X234" i="3"/>
  <c r="AB229" i="3"/>
  <c r="AA230" i="3"/>
  <c r="X245" i="3"/>
  <c r="H245" i="3"/>
  <c r="I245" i="3"/>
  <c r="AB240" i="3"/>
  <c r="AA241" i="3"/>
  <c r="AB171" i="3"/>
  <c r="AA172" i="3"/>
  <c r="H178" i="3"/>
  <c r="X178" i="3"/>
  <c r="I178" i="3"/>
  <c r="AB173" i="3"/>
  <c r="AA174" i="3"/>
  <c r="I181" i="3"/>
  <c r="H181" i="3"/>
  <c r="X181" i="3"/>
  <c r="AB176" i="3"/>
  <c r="AA177" i="3"/>
  <c r="AA207" i="3"/>
  <c r="AB206" i="3"/>
  <c r="H182" i="3"/>
  <c r="I182" i="3"/>
  <c r="X182" i="3"/>
  <c r="AB177" i="3"/>
  <c r="AA178" i="3"/>
  <c r="AB98" i="3"/>
  <c r="AA99" i="3"/>
  <c r="H141" i="3"/>
  <c r="I141" i="3"/>
  <c r="X141" i="3"/>
  <c r="AA137" i="3"/>
  <c r="AB136" i="3"/>
  <c r="I134" i="3"/>
  <c r="X134" i="3"/>
  <c r="H134" i="3"/>
  <c r="AB129" i="3"/>
  <c r="AA130" i="3"/>
  <c r="I118" i="3"/>
  <c r="X118" i="3"/>
  <c r="H118" i="3"/>
  <c r="X86" i="3"/>
  <c r="I86" i="3"/>
  <c r="H86" i="3"/>
  <c r="X105" i="3"/>
  <c r="I105" i="3"/>
  <c r="H105" i="3"/>
  <c r="AB100" i="3"/>
  <c r="AA101" i="3"/>
  <c r="I29" i="3"/>
  <c r="H29" i="3"/>
  <c r="X29" i="3"/>
  <c r="H114" i="3"/>
  <c r="X114" i="3"/>
  <c r="I114" i="3"/>
  <c r="AB109" i="3"/>
  <c r="AA110" i="3"/>
  <c r="X13" i="3"/>
  <c r="H13" i="3"/>
  <c r="I13" i="3"/>
  <c r="I93" i="3"/>
  <c r="X93" i="3"/>
  <c r="H93" i="3"/>
  <c r="AA89" i="3"/>
  <c r="AB88" i="3"/>
  <c r="X96" i="3"/>
  <c r="H96" i="3"/>
  <c r="I96" i="3"/>
  <c r="AB91" i="3"/>
  <c r="AA92" i="3"/>
  <c r="AB62" i="3"/>
  <c r="AA63" i="3"/>
  <c r="I28" i="3"/>
  <c r="X28" i="3"/>
  <c r="H28" i="3"/>
  <c r="H24" i="3"/>
  <c r="I24" i="3"/>
  <c r="X24" i="3"/>
  <c r="H30" i="3"/>
  <c r="I30" i="3"/>
  <c r="X30" i="3"/>
  <c r="I36" i="3"/>
  <c r="H36" i="3"/>
  <c r="X36" i="3"/>
  <c r="AA33" i="3"/>
  <c r="AB32" i="3"/>
  <c r="X48" i="3"/>
  <c r="H48" i="3"/>
  <c r="I48" i="3"/>
  <c r="I55" i="3"/>
  <c r="X55" i="3"/>
  <c r="H55" i="3"/>
  <c r="AB50" i="3"/>
  <c r="AA51" i="3"/>
  <c r="H58" i="3"/>
  <c r="I58" i="3"/>
  <c r="X58" i="3"/>
  <c r="AA54" i="3"/>
  <c r="AB53" i="3"/>
  <c r="X51" i="3"/>
  <c r="H51" i="3"/>
  <c r="I51" i="3"/>
  <c r="AA47" i="3"/>
  <c r="AB46" i="3"/>
  <c r="H49" i="3"/>
  <c r="I49" i="3"/>
  <c r="X49" i="3"/>
  <c r="AB44" i="3"/>
  <c r="AA45" i="3"/>
  <c r="AB975" i="3"/>
  <c r="AA976" i="3"/>
  <c r="X964" i="3"/>
  <c r="H964" i="3"/>
  <c r="I964" i="3"/>
  <c r="AB963" i="3"/>
  <c r="AA964" i="3"/>
  <c r="AB930" i="3"/>
  <c r="AA931" i="3"/>
  <c r="AB866" i="3"/>
  <c r="AA867" i="3"/>
  <c r="X812" i="3"/>
  <c r="H812" i="3"/>
  <c r="I812" i="3"/>
  <c r="X986" i="3"/>
  <c r="H986" i="3"/>
  <c r="I986" i="3"/>
  <c r="X922" i="3"/>
  <c r="H922" i="3"/>
  <c r="I922" i="3"/>
  <c r="AB819" i="3"/>
  <c r="AA820" i="3"/>
  <c r="X989" i="3"/>
  <c r="H989" i="3"/>
  <c r="I989" i="3"/>
  <c r="AB715" i="3"/>
  <c r="AA716" i="3"/>
  <c r="X987" i="3"/>
  <c r="H987" i="3"/>
  <c r="I987" i="3"/>
  <c r="AB918" i="3"/>
  <c r="AA919" i="3"/>
  <c r="AB823" i="3"/>
  <c r="AA824" i="3"/>
  <c r="X764" i="3"/>
  <c r="I764" i="3"/>
  <c r="H764" i="3"/>
  <c r="X888" i="3"/>
  <c r="H888" i="3"/>
  <c r="I888" i="3"/>
  <c r="AA868" i="3"/>
  <c r="AB867" i="3"/>
  <c r="X974" i="3"/>
  <c r="H974" i="3"/>
  <c r="I974" i="3"/>
  <c r="AB969" i="3"/>
  <c r="AA970" i="3"/>
  <c r="X910" i="3"/>
  <c r="H910" i="3"/>
  <c r="I910" i="3"/>
  <c r="AA906" i="3"/>
  <c r="AB905" i="3"/>
  <c r="AB771" i="3"/>
  <c r="AA772" i="3"/>
  <c r="X712" i="3"/>
  <c r="H712" i="3"/>
  <c r="I712" i="3"/>
  <c r="X961" i="3"/>
  <c r="I961" i="3"/>
  <c r="H961" i="3"/>
  <c r="AA957" i="3"/>
  <c r="AB956" i="3"/>
  <c r="X897" i="3"/>
  <c r="H897" i="3"/>
  <c r="I897" i="3"/>
  <c r="AA893" i="3"/>
  <c r="AB892" i="3"/>
  <c r="AC892" i="3" s="1"/>
  <c r="AB719" i="3"/>
  <c r="AA720" i="3"/>
  <c r="X832" i="3"/>
  <c r="I832" i="3"/>
  <c r="H832" i="3"/>
  <c r="X863" i="3"/>
  <c r="I863" i="3"/>
  <c r="H863" i="3"/>
  <c r="AA859" i="3"/>
  <c r="AB858" i="3"/>
  <c r="X799" i="3"/>
  <c r="H799" i="3"/>
  <c r="I799" i="3"/>
  <c r="AA795" i="3"/>
  <c r="AB794" i="3"/>
  <c r="X735" i="3"/>
  <c r="H735" i="3"/>
  <c r="I735" i="3"/>
  <c r="AA731" i="3"/>
  <c r="AB730" i="3"/>
  <c r="X638" i="3"/>
  <c r="H638" i="3"/>
  <c r="I638" i="3"/>
  <c r="AA862" i="3"/>
  <c r="AB861" i="3"/>
  <c r="X802" i="3"/>
  <c r="I802" i="3"/>
  <c r="H802" i="3"/>
  <c r="AA798" i="3"/>
  <c r="AB797" i="3"/>
  <c r="AB733" i="3"/>
  <c r="AA734" i="3"/>
  <c r="X650" i="3"/>
  <c r="H650" i="3"/>
  <c r="I650" i="3"/>
  <c r="X813" i="3"/>
  <c r="H813" i="3"/>
  <c r="I813" i="3"/>
  <c r="AA809" i="3"/>
  <c r="AB808" i="3"/>
  <c r="X749" i="3"/>
  <c r="I749" i="3"/>
  <c r="H749" i="3"/>
  <c r="AB744" i="3"/>
  <c r="AA745" i="3"/>
  <c r="X685" i="3"/>
  <c r="I685" i="3"/>
  <c r="H685" i="3"/>
  <c r="X581" i="3"/>
  <c r="H581" i="3"/>
  <c r="I581" i="3"/>
  <c r="H440" i="3"/>
  <c r="X440" i="3"/>
  <c r="I440" i="3"/>
  <c r="X835" i="3"/>
  <c r="I835" i="3"/>
  <c r="H835" i="3"/>
  <c r="AB830" i="3"/>
  <c r="AA831" i="3"/>
  <c r="X771" i="3"/>
  <c r="H771" i="3"/>
  <c r="I771" i="3"/>
  <c r="AB766" i="3"/>
  <c r="AA767" i="3"/>
  <c r="X707" i="3"/>
  <c r="H707" i="3"/>
  <c r="I707" i="3"/>
  <c r="AB702" i="3"/>
  <c r="AA703" i="3"/>
  <c r="X838" i="3"/>
  <c r="I838" i="3"/>
  <c r="H838" i="3"/>
  <c r="AA834" i="3"/>
  <c r="AB833" i="3"/>
  <c r="X774" i="3"/>
  <c r="H774" i="3"/>
  <c r="I774" i="3"/>
  <c r="AA770" i="3"/>
  <c r="AB769" i="3"/>
  <c r="X710" i="3"/>
  <c r="H710" i="3"/>
  <c r="I710" i="3"/>
  <c r="AA706" i="3"/>
  <c r="AB705" i="3"/>
  <c r="X841" i="3"/>
  <c r="I841" i="3"/>
  <c r="H841" i="3"/>
  <c r="AA837" i="3"/>
  <c r="AB836" i="3"/>
  <c r="X777" i="3"/>
  <c r="H777" i="3"/>
  <c r="I777" i="3"/>
  <c r="AA773" i="3"/>
  <c r="AB772" i="3"/>
  <c r="X713" i="3"/>
  <c r="H713" i="3"/>
  <c r="I713" i="3"/>
  <c r="AA709" i="3"/>
  <c r="AB708" i="3"/>
  <c r="AB609" i="3"/>
  <c r="AA610" i="3"/>
  <c r="X629" i="3"/>
  <c r="H629" i="3"/>
  <c r="I629" i="3"/>
  <c r="AB624" i="3"/>
  <c r="AA625" i="3"/>
  <c r="X577" i="3"/>
  <c r="H577" i="3"/>
  <c r="I577" i="3"/>
  <c r="H376" i="3"/>
  <c r="I376" i="3"/>
  <c r="X376" i="3"/>
  <c r="X664" i="3"/>
  <c r="I664" i="3"/>
  <c r="H664" i="3"/>
  <c r="AA660" i="3"/>
  <c r="AB659" i="3"/>
  <c r="X651" i="3"/>
  <c r="I651" i="3"/>
  <c r="H651" i="3"/>
  <c r="AA647" i="3"/>
  <c r="AB646" i="3"/>
  <c r="X681" i="3"/>
  <c r="H681" i="3"/>
  <c r="I681" i="3"/>
  <c r="AB676" i="3"/>
  <c r="AA677" i="3"/>
  <c r="X617" i="3"/>
  <c r="H617" i="3"/>
  <c r="I617" i="3"/>
  <c r="AB612" i="3"/>
  <c r="AA613" i="3"/>
  <c r="AB588" i="3"/>
  <c r="AA589" i="3"/>
  <c r="X529" i="3"/>
  <c r="H529" i="3"/>
  <c r="I529" i="3"/>
  <c r="I473" i="3"/>
  <c r="H473" i="3"/>
  <c r="X473" i="3"/>
  <c r="X628" i="3"/>
  <c r="H628" i="3"/>
  <c r="I628" i="3"/>
  <c r="AA624" i="3"/>
  <c r="AB623" i="3"/>
  <c r="X573" i="3"/>
  <c r="H573" i="3"/>
  <c r="I573" i="3"/>
  <c r="X663" i="3"/>
  <c r="H663" i="3"/>
  <c r="I663" i="3"/>
  <c r="AB658" i="3"/>
  <c r="AA659" i="3"/>
  <c r="AB500" i="3"/>
  <c r="AA501" i="3"/>
  <c r="AB595" i="3"/>
  <c r="AA596" i="3"/>
  <c r="X536" i="3"/>
  <c r="I536" i="3"/>
  <c r="H536" i="3"/>
  <c r="AB531" i="3"/>
  <c r="AA532" i="3"/>
  <c r="X501" i="3"/>
  <c r="H501" i="3"/>
  <c r="I501" i="3"/>
  <c r="X571" i="3"/>
  <c r="I571" i="3"/>
  <c r="H571" i="3"/>
  <c r="AB566" i="3"/>
  <c r="AA567" i="3"/>
  <c r="X542" i="3"/>
  <c r="H542" i="3"/>
  <c r="I542" i="3"/>
  <c r="AA538" i="3"/>
  <c r="AB537" i="3"/>
  <c r="AB520" i="3"/>
  <c r="AA521" i="3"/>
  <c r="AB366" i="3"/>
  <c r="AA367" i="3"/>
  <c r="X548" i="3"/>
  <c r="H548" i="3"/>
  <c r="I548" i="3"/>
  <c r="AA544" i="3"/>
  <c r="AB543" i="3"/>
  <c r="X599" i="3"/>
  <c r="I599" i="3"/>
  <c r="H599" i="3"/>
  <c r="AA595" i="3"/>
  <c r="AB594" i="3"/>
  <c r="X535" i="3"/>
  <c r="H535" i="3"/>
  <c r="I535" i="3"/>
  <c r="AB530" i="3"/>
  <c r="AA531" i="3"/>
  <c r="X497" i="3"/>
  <c r="H497" i="3"/>
  <c r="I497" i="3"/>
  <c r="X546" i="3"/>
  <c r="I546" i="3"/>
  <c r="H546" i="3"/>
  <c r="AB541" i="3"/>
  <c r="AA542" i="3"/>
  <c r="AB511" i="3"/>
  <c r="AA512" i="3"/>
  <c r="X452" i="3"/>
  <c r="H452" i="3"/>
  <c r="I452" i="3"/>
  <c r="AA448" i="3"/>
  <c r="AB447" i="3"/>
  <c r="AB522" i="3"/>
  <c r="AA523" i="3"/>
  <c r="H463" i="3"/>
  <c r="X463" i="3"/>
  <c r="I463" i="3"/>
  <c r="AB458" i="3"/>
  <c r="AA459" i="3"/>
  <c r="AB395" i="3"/>
  <c r="AA396" i="3"/>
  <c r="X474" i="3"/>
  <c r="I474" i="3"/>
  <c r="H474" i="3"/>
  <c r="AA470" i="3"/>
  <c r="AB469" i="3"/>
  <c r="AB439" i="3"/>
  <c r="AA440" i="3"/>
  <c r="I380" i="3"/>
  <c r="H380" i="3"/>
  <c r="X380" i="3"/>
  <c r="AA340" i="3"/>
  <c r="AB339" i="3"/>
  <c r="I480" i="3"/>
  <c r="X480" i="3"/>
  <c r="H480" i="3"/>
  <c r="AB475" i="3"/>
  <c r="AA476" i="3"/>
  <c r="X404" i="3"/>
  <c r="I404" i="3"/>
  <c r="H404" i="3"/>
  <c r="AB243" i="3"/>
  <c r="AA244" i="3"/>
  <c r="I491" i="3"/>
  <c r="H491" i="3"/>
  <c r="X491" i="3"/>
  <c r="AB486" i="3"/>
  <c r="AA487" i="3"/>
  <c r="X296" i="3"/>
  <c r="I296" i="3"/>
  <c r="H296" i="3"/>
  <c r="X502" i="3"/>
  <c r="H502" i="3"/>
  <c r="I502" i="3"/>
  <c r="AA498" i="3"/>
  <c r="AB497" i="3"/>
  <c r="H435" i="3"/>
  <c r="X435" i="3"/>
  <c r="I435" i="3"/>
  <c r="AA431" i="3"/>
  <c r="AB430" i="3"/>
  <c r="H371" i="3"/>
  <c r="X371" i="3"/>
  <c r="I371" i="3"/>
  <c r="AA304" i="3"/>
  <c r="AB303" i="3"/>
  <c r="I446" i="3"/>
  <c r="X446" i="3"/>
  <c r="H446" i="3"/>
  <c r="AA442" i="3"/>
  <c r="AB441" i="3"/>
  <c r="H382" i="3"/>
  <c r="X382" i="3"/>
  <c r="I382" i="3"/>
  <c r="AA378" i="3"/>
  <c r="AB377" i="3"/>
  <c r="AB347" i="3"/>
  <c r="AA348" i="3"/>
  <c r="H393" i="3"/>
  <c r="I393" i="3"/>
  <c r="X393" i="3"/>
  <c r="AB388" i="3"/>
  <c r="AC388" i="3" s="1"/>
  <c r="AA389" i="3"/>
  <c r="H368" i="3"/>
  <c r="I368" i="3"/>
  <c r="X368" i="3"/>
  <c r="X332" i="3"/>
  <c r="H332" i="3"/>
  <c r="I332" i="3"/>
  <c r="I399" i="3"/>
  <c r="H399" i="3"/>
  <c r="X399" i="3"/>
  <c r="AB394" i="3"/>
  <c r="AA395" i="3"/>
  <c r="I356" i="3"/>
  <c r="H356" i="3"/>
  <c r="X356" i="3"/>
  <c r="I410" i="3"/>
  <c r="X410" i="3"/>
  <c r="H410" i="3"/>
  <c r="AB405" i="3"/>
  <c r="AA406" i="3"/>
  <c r="I397" i="3"/>
  <c r="X397" i="3"/>
  <c r="H397" i="3"/>
  <c r="AB392" i="3"/>
  <c r="AA393" i="3"/>
  <c r="H348" i="3"/>
  <c r="X348" i="3"/>
  <c r="I348" i="3"/>
  <c r="H347" i="3"/>
  <c r="I347" i="3"/>
  <c r="X347" i="3"/>
  <c r="AA343" i="3"/>
  <c r="AB342" i="3"/>
  <c r="H358" i="3"/>
  <c r="I358" i="3"/>
  <c r="X358" i="3"/>
  <c r="AB353" i="3"/>
  <c r="AA354" i="3"/>
  <c r="X294" i="3"/>
  <c r="I294" i="3"/>
  <c r="H294" i="3"/>
  <c r="I345" i="3"/>
  <c r="H345" i="3"/>
  <c r="X345" i="3"/>
  <c r="AB340" i="3"/>
  <c r="AA341" i="3"/>
  <c r="I351" i="3"/>
  <c r="H351" i="3"/>
  <c r="X351" i="3"/>
  <c r="AA347" i="3"/>
  <c r="AB346" i="3"/>
  <c r="X291" i="3"/>
  <c r="H291" i="3"/>
  <c r="I291" i="3"/>
  <c r="X362" i="3"/>
  <c r="I362" i="3"/>
  <c r="H362" i="3"/>
  <c r="AB357" i="3"/>
  <c r="AA358" i="3"/>
  <c r="H298" i="3"/>
  <c r="X298" i="3"/>
  <c r="I298" i="3"/>
  <c r="H349" i="3"/>
  <c r="X349" i="3"/>
  <c r="I349" i="3"/>
  <c r="AB344" i="3"/>
  <c r="AA345" i="3"/>
  <c r="H259" i="3"/>
  <c r="I259" i="3"/>
  <c r="X259" i="3"/>
  <c r="AA255" i="3"/>
  <c r="AB254" i="3"/>
  <c r="I168" i="3"/>
  <c r="H168" i="3"/>
  <c r="X168" i="3"/>
  <c r="I286" i="3"/>
  <c r="H286" i="3"/>
  <c r="X286" i="3"/>
  <c r="AA282" i="3"/>
  <c r="AB281" i="3"/>
  <c r="I222" i="3"/>
  <c r="X222" i="3"/>
  <c r="H222" i="3"/>
  <c r="AA218" i="3"/>
  <c r="AB217" i="3"/>
  <c r="X241" i="3"/>
  <c r="H241" i="3"/>
  <c r="I241" i="3"/>
  <c r="AB236" i="3"/>
  <c r="AA237" i="3"/>
  <c r="H247" i="3"/>
  <c r="X247" i="3"/>
  <c r="I247" i="3"/>
  <c r="AA243" i="3"/>
  <c r="AB242" i="3"/>
  <c r="AB179" i="3"/>
  <c r="AA180" i="3"/>
  <c r="H258" i="3"/>
  <c r="I258" i="3"/>
  <c r="X258" i="3"/>
  <c r="AB253" i="3"/>
  <c r="AA254" i="3"/>
  <c r="H164" i="3"/>
  <c r="X164" i="3"/>
  <c r="I164" i="3"/>
  <c r="X269" i="3"/>
  <c r="I269" i="3"/>
  <c r="H269" i="3"/>
  <c r="AB264" i="3"/>
  <c r="AA265" i="3"/>
  <c r="AB202" i="3"/>
  <c r="AA203" i="3"/>
  <c r="H183" i="3"/>
  <c r="X183" i="3"/>
  <c r="I183" i="3"/>
  <c r="AB178" i="3"/>
  <c r="AA179" i="3"/>
  <c r="AB123" i="3"/>
  <c r="AA124" i="3"/>
  <c r="H202" i="3"/>
  <c r="I202" i="3"/>
  <c r="X202" i="3"/>
  <c r="AB197" i="3"/>
  <c r="AA198" i="3"/>
  <c r="X140" i="3"/>
  <c r="I140" i="3"/>
  <c r="H140" i="3"/>
  <c r="H171" i="3"/>
  <c r="X171" i="3"/>
  <c r="I171" i="3"/>
  <c r="AA167" i="3"/>
  <c r="AB166" i="3"/>
  <c r="I206" i="3"/>
  <c r="H206" i="3"/>
  <c r="X206" i="3"/>
  <c r="AA202" i="3"/>
  <c r="AB201" i="3"/>
  <c r="I177" i="3"/>
  <c r="X177" i="3"/>
  <c r="H177" i="3"/>
  <c r="AB172" i="3"/>
  <c r="AA173" i="3"/>
  <c r="X135" i="3"/>
  <c r="H135" i="3"/>
  <c r="I135" i="3"/>
  <c r="AA131" i="3"/>
  <c r="AB130" i="3"/>
  <c r="H138" i="3"/>
  <c r="I138" i="3"/>
  <c r="X138" i="3"/>
  <c r="AA134" i="3"/>
  <c r="AB133" i="3"/>
  <c r="I139" i="3"/>
  <c r="X139" i="3"/>
  <c r="H139" i="3"/>
  <c r="AA135" i="3"/>
  <c r="AB134" i="3"/>
  <c r="AB118" i="3"/>
  <c r="AA119" i="3"/>
  <c r="AA34" i="3"/>
  <c r="AB33" i="3"/>
  <c r="X158" i="3"/>
  <c r="I158" i="3"/>
  <c r="H158" i="3"/>
  <c r="AA154" i="3"/>
  <c r="AB153" i="3"/>
  <c r="X107" i="3"/>
  <c r="H107" i="3"/>
  <c r="I107" i="3"/>
  <c r="H137" i="3"/>
  <c r="X137" i="3"/>
  <c r="I137" i="3"/>
  <c r="AA133" i="3"/>
  <c r="AB132" i="3"/>
  <c r="AB105" i="3"/>
  <c r="AA106" i="3"/>
  <c r="I59" i="3"/>
  <c r="X59" i="3"/>
  <c r="H59" i="3"/>
  <c r="H54" i="3"/>
  <c r="I54" i="3"/>
  <c r="X54" i="3"/>
  <c r="AB24" i="3"/>
  <c r="AA25" i="3"/>
  <c r="AB8" i="3"/>
  <c r="AA9" i="3"/>
  <c r="X117" i="3"/>
  <c r="H117" i="3"/>
  <c r="I117" i="3"/>
  <c r="AA113" i="3"/>
  <c r="AB112" i="3"/>
  <c r="X120" i="3"/>
  <c r="H120" i="3"/>
  <c r="I120" i="3"/>
  <c r="AB115" i="3"/>
  <c r="AA116" i="3"/>
  <c r="I72" i="3"/>
  <c r="X72" i="3"/>
  <c r="H72" i="3"/>
  <c r="AB67" i="3"/>
  <c r="AA68" i="3"/>
  <c r="H70" i="3"/>
  <c r="X70" i="3"/>
  <c r="I70" i="3"/>
  <c r="AB65" i="3"/>
  <c r="AA66" i="3"/>
  <c r="H73" i="3"/>
  <c r="X73" i="3"/>
  <c r="I73" i="3"/>
  <c r="AB68" i="3"/>
  <c r="AA69" i="3"/>
  <c r="AB9" i="3"/>
  <c r="AA10" i="3"/>
  <c r="I76" i="3"/>
  <c r="X76" i="3"/>
  <c r="H76" i="3"/>
  <c r="AB71" i="3"/>
  <c r="AA72" i="3"/>
  <c r="AB15" i="3"/>
  <c r="AA16" i="3"/>
  <c r="H79" i="3"/>
  <c r="X79" i="3"/>
  <c r="I79" i="3"/>
  <c r="AA75" i="3"/>
  <c r="AB74" i="3"/>
  <c r="I21" i="3"/>
  <c r="H21" i="3"/>
  <c r="X21" i="3"/>
  <c r="H82" i="3"/>
  <c r="X82" i="3"/>
  <c r="I82" i="3"/>
  <c r="AB77" i="3"/>
  <c r="AA78" i="3"/>
  <c r="AB27" i="3"/>
  <c r="AA28" i="3"/>
  <c r="I15" i="3"/>
  <c r="H15" i="3"/>
  <c r="X15" i="3"/>
  <c r="AA11" i="3"/>
  <c r="AB10" i="3"/>
  <c r="X18" i="3"/>
  <c r="H18" i="3"/>
  <c r="I18" i="3"/>
  <c r="AB13" i="3"/>
  <c r="AA14" i="3"/>
  <c r="X11" i="3"/>
  <c r="H11" i="3"/>
  <c r="I11" i="3"/>
  <c r="I9" i="3"/>
  <c r="X9" i="3"/>
  <c r="H9" i="3"/>
  <c r="AB955" i="3"/>
  <c r="AA956" i="3"/>
  <c r="AA968" i="3"/>
  <c r="AB967" i="3"/>
  <c r="X952" i="3"/>
  <c r="H952" i="3"/>
  <c r="I952" i="3"/>
  <c r="X1000" i="3"/>
  <c r="I1000" i="3"/>
  <c r="H1000" i="3"/>
  <c r="X959" i="3"/>
  <c r="I959" i="3"/>
  <c r="H959" i="3"/>
  <c r="AB954" i="3"/>
  <c r="AA955" i="3"/>
  <c r="X895" i="3"/>
  <c r="I895" i="3"/>
  <c r="H895" i="3"/>
  <c r="AB890" i="3"/>
  <c r="AA891" i="3"/>
  <c r="AB711" i="3"/>
  <c r="AA712" i="3"/>
  <c r="X946" i="3"/>
  <c r="H946" i="3"/>
  <c r="I946" i="3"/>
  <c r="AB941" i="3"/>
  <c r="AA942" i="3"/>
  <c r="X882" i="3"/>
  <c r="H882" i="3"/>
  <c r="I882" i="3"/>
  <c r="AB877" i="3"/>
  <c r="AA878" i="3"/>
  <c r="X856" i="3"/>
  <c r="H856" i="3"/>
  <c r="I856" i="3"/>
  <c r="AB669" i="3"/>
  <c r="AA670" i="3"/>
  <c r="X949" i="3"/>
  <c r="H949" i="3"/>
  <c r="I949" i="3"/>
  <c r="AA945" i="3"/>
  <c r="AB944" i="3"/>
  <c r="X885" i="3"/>
  <c r="I885" i="3"/>
  <c r="H885" i="3"/>
  <c r="AB880" i="3"/>
  <c r="AA881" i="3"/>
  <c r="AA780" i="3"/>
  <c r="AB779" i="3"/>
  <c r="X752" i="3"/>
  <c r="I752" i="3"/>
  <c r="H752" i="3"/>
  <c r="AB907" i="3"/>
  <c r="AA908" i="3"/>
  <c r="X947" i="3"/>
  <c r="I947" i="3"/>
  <c r="H947" i="3"/>
  <c r="AB942" i="3"/>
  <c r="AA943" i="3"/>
  <c r="X883" i="3"/>
  <c r="I883" i="3"/>
  <c r="H883" i="3"/>
  <c r="AB878" i="3"/>
  <c r="AA879" i="3"/>
  <c r="X860" i="3"/>
  <c r="H860" i="3"/>
  <c r="I860" i="3"/>
  <c r="X998" i="3"/>
  <c r="H998" i="3"/>
  <c r="I998" i="3"/>
  <c r="AB993" i="3"/>
  <c r="AA994" i="3"/>
  <c r="X934" i="3"/>
  <c r="I934" i="3"/>
  <c r="H934" i="3"/>
  <c r="AB929" i="3"/>
  <c r="AA930" i="3"/>
  <c r="X870" i="3"/>
  <c r="I870" i="3"/>
  <c r="H870" i="3"/>
  <c r="AB865" i="3"/>
  <c r="AA866" i="3"/>
  <c r="X808" i="3"/>
  <c r="H808" i="3"/>
  <c r="I808" i="3"/>
  <c r="X985" i="3"/>
  <c r="H985" i="3"/>
  <c r="I985" i="3"/>
  <c r="AB980" i="3"/>
  <c r="AA981" i="3"/>
  <c r="X921" i="3"/>
  <c r="H921" i="3"/>
  <c r="I921" i="3"/>
  <c r="AB916" i="3"/>
  <c r="AA917" i="3"/>
  <c r="AA816" i="3"/>
  <c r="AB815" i="3"/>
  <c r="X756" i="3"/>
  <c r="H756" i="3"/>
  <c r="I756" i="3"/>
  <c r="X768" i="3"/>
  <c r="I768" i="3"/>
  <c r="H768" i="3"/>
  <c r="X823" i="3"/>
  <c r="H823" i="3"/>
  <c r="I823" i="3"/>
  <c r="AB818" i="3"/>
  <c r="AA819" i="3"/>
  <c r="X759" i="3"/>
  <c r="H759" i="3"/>
  <c r="I759" i="3"/>
  <c r="AA755" i="3"/>
  <c r="AB754" i="3"/>
  <c r="X695" i="3"/>
  <c r="H695" i="3"/>
  <c r="I695" i="3"/>
  <c r="AA691" i="3"/>
  <c r="AB690" i="3"/>
  <c r="X826" i="3"/>
  <c r="H826" i="3"/>
  <c r="I826" i="3"/>
  <c r="AB821" i="3"/>
  <c r="AA822" i="3"/>
  <c r="X762" i="3"/>
  <c r="H762" i="3"/>
  <c r="I762" i="3"/>
  <c r="AA758" i="3"/>
  <c r="AB757" i="3"/>
  <c r="X698" i="3"/>
  <c r="H698" i="3"/>
  <c r="I698" i="3"/>
  <c r="AB693" i="3"/>
  <c r="AA694" i="3"/>
  <c r="X837" i="3"/>
  <c r="I837" i="3"/>
  <c r="H837" i="3"/>
  <c r="AA833" i="3"/>
  <c r="AB832" i="3"/>
  <c r="X773" i="3"/>
  <c r="H773" i="3"/>
  <c r="I773" i="3"/>
  <c r="AA769" i="3"/>
  <c r="AB768" i="3"/>
  <c r="X709" i="3"/>
  <c r="H709" i="3"/>
  <c r="I709" i="3"/>
  <c r="AB704" i="3"/>
  <c r="AA705" i="3"/>
  <c r="X610" i="3"/>
  <c r="I610" i="3"/>
  <c r="H610" i="3"/>
  <c r="AA561" i="3"/>
  <c r="AB560" i="3"/>
  <c r="X859" i="3"/>
  <c r="H859" i="3"/>
  <c r="I859" i="3"/>
  <c r="AB854" i="3"/>
  <c r="AA855" i="3"/>
  <c r="X795" i="3"/>
  <c r="H795" i="3"/>
  <c r="I795" i="3"/>
  <c r="AB790" i="3"/>
  <c r="AA791" i="3"/>
  <c r="X731" i="3"/>
  <c r="H731" i="3"/>
  <c r="I731" i="3"/>
  <c r="AB726" i="3"/>
  <c r="AA727" i="3"/>
  <c r="X622" i="3"/>
  <c r="I622" i="3"/>
  <c r="H622" i="3"/>
  <c r="X862" i="3"/>
  <c r="H862" i="3"/>
  <c r="I862" i="3"/>
  <c r="AB857" i="3"/>
  <c r="AA858" i="3"/>
  <c r="X798" i="3"/>
  <c r="I798" i="3"/>
  <c r="H798" i="3"/>
  <c r="AA794" i="3"/>
  <c r="AB793" i="3"/>
  <c r="X734" i="3"/>
  <c r="I734" i="3"/>
  <c r="H734" i="3"/>
  <c r="AB729" i="3"/>
  <c r="AA730" i="3"/>
  <c r="X634" i="3"/>
  <c r="I634" i="3"/>
  <c r="H634" i="3"/>
  <c r="AB860" i="3"/>
  <c r="AA861" i="3"/>
  <c r="X801" i="3"/>
  <c r="H801" i="3"/>
  <c r="I801" i="3"/>
  <c r="AB796" i="3"/>
  <c r="AC796" i="3" s="1"/>
  <c r="AA797" i="3"/>
  <c r="X737" i="3"/>
  <c r="H737" i="3"/>
  <c r="I737" i="3"/>
  <c r="AB732" i="3"/>
  <c r="AA733" i="3"/>
  <c r="X646" i="3"/>
  <c r="I646" i="3"/>
  <c r="H646" i="3"/>
  <c r="X626" i="3"/>
  <c r="H626" i="3"/>
  <c r="I626" i="3"/>
  <c r="X653" i="3"/>
  <c r="H653" i="3"/>
  <c r="I653" i="3"/>
  <c r="AB648" i="3"/>
  <c r="AA649" i="3"/>
  <c r="AC649" i="3" s="1"/>
  <c r="AA684" i="3"/>
  <c r="AB683" i="3"/>
  <c r="X624" i="3"/>
  <c r="I624" i="3"/>
  <c r="H624" i="3"/>
  <c r="AB619" i="3"/>
  <c r="AA620" i="3"/>
  <c r="X557" i="3"/>
  <c r="H557" i="3"/>
  <c r="I557" i="3"/>
  <c r="AB371" i="3"/>
  <c r="AC371" i="3" s="1"/>
  <c r="AA372" i="3"/>
  <c r="X675" i="3"/>
  <c r="H675" i="3"/>
  <c r="I675" i="3"/>
  <c r="AA671" i="3"/>
  <c r="AB670" i="3"/>
  <c r="X611" i="3"/>
  <c r="I611" i="3"/>
  <c r="H611" i="3"/>
  <c r="AA607" i="3"/>
  <c r="AB606" i="3"/>
  <c r="AB564" i="3"/>
  <c r="AA565" i="3"/>
  <c r="X641" i="3"/>
  <c r="H641" i="3"/>
  <c r="I641" i="3"/>
  <c r="AB636" i="3"/>
  <c r="AA637" i="3"/>
  <c r="X652" i="3"/>
  <c r="I652" i="3"/>
  <c r="H652" i="3"/>
  <c r="AB647" i="3"/>
  <c r="AA648" i="3"/>
  <c r="AB682" i="3"/>
  <c r="AA683" i="3"/>
  <c r="X623" i="3"/>
  <c r="I623" i="3"/>
  <c r="H623" i="3"/>
  <c r="AB618" i="3"/>
  <c r="AA619" i="3"/>
  <c r="X553" i="3"/>
  <c r="I553" i="3"/>
  <c r="H553" i="3"/>
  <c r="X560" i="3"/>
  <c r="I560" i="3"/>
  <c r="H560" i="3"/>
  <c r="AA556" i="3"/>
  <c r="AB555" i="3"/>
  <c r="AB419" i="3"/>
  <c r="AA420" i="3"/>
  <c r="X595" i="3"/>
  <c r="I595" i="3"/>
  <c r="H595" i="3"/>
  <c r="AA591" i="3"/>
  <c r="AB590" i="3"/>
  <c r="X531" i="3"/>
  <c r="H531" i="3"/>
  <c r="I531" i="3"/>
  <c r="AB526" i="3"/>
  <c r="AA527" i="3"/>
  <c r="X481" i="3"/>
  <c r="H481" i="3"/>
  <c r="I481" i="3"/>
  <c r="X566" i="3"/>
  <c r="H566" i="3"/>
  <c r="I566" i="3"/>
  <c r="AB561" i="3"/>
  <c r="AC561" i="3" s="1"/>
  <c r="AA562" i="3"/>
  <c r="I328" i="3"/>
  <c r="H328" i="3"/>
  <c r="X328" i="3"/>
  <c r="X572" i="3"/>
  <c r="I572" i="3"/>
  <c r="H572" i="3"/>
  <c r="AB567" i="3"/>
  <c r="AC567" i="3" s="1"/>
  <c r="AA568" i="3"/>
  <c r="AA449" i="3"/>
  <c r="AB448" i="3"/>
  <c r="X559" i="3"/>
  <c r="I559" i="3"/>
  <c r="H559" i="3"/>
  <c r="AA555" i="3"/>
  <c r="AB554" i="3"/>
  <c r="AB403" i="3"/>
  <c r="AA404" i="3"/>
  <c r="X570" i="3"/>
  <c r="I570" i="3"/>
  <c r="H570" i="3"/>
  <c r="AA566" i="3"/>
  <c r="AB565" i="3"/>
  <c r="X517" i="3"/>
  <c r="H517" i="3"/>
  <c r="I517" i="3"/>
  <c r="X476" i="3"/>
  <c r="I476" i="3"/>
  <c r="H476" i="3"/>
  <c r="AB471" i="3"/>
  <c r="AA472" i="3"/>
  <c r="X388" i="3"/>
  <c r="H388" i="3"/>
  <c r="I388" i="3"/>
  <c r="H487" i="3"/>
  <c r="I487" i="3"/>
  <c r="X487" i="3"/>
  <c r="AB482" i="3"/>
  <c r="AA483" i="3"/>
  <c r="X432" i="3"/>
  <c r="I432" i="3"/>
  <c r="H432" i="3"/>
  <c r="X498" i="3"/>
  <c r="I498" i="3"/>
  <c r="H498" i="3"/>
  <c r="AA494" i="3"/>
  <c r="AB493" i="3"/>
  <c r="X504" i="3"/>
  <c r="I504" i="3"/>
  <c r="H504" i="3"/>
  <c r="AA500" i="3"/>
  <c r="AB499" i="3"/>
  <c r="AC499" i="3" s="1"/>
  <c r="X515" i="3"/>
  <c r="I515" i="3"/>
  <c r="H515" i="3"/>
  <c r="AA511" i="3"/>
  <c r="AB510" i="3"/>
  <c r="AC510" i="3" s="1"/>
  <c r="H451" i="3"/>
  <c r="I451" i="3"/>
  <c r="X451" i="3"/>
  <c r="AB521" i="3"/>
  <c r="AA522" i="3"/>
  <c r="I462" i="3"/>
  <c r="H462" i="3"/>
  <c r="X462" i="3"/>
  <c r="AA458" i="3"/>
  <c r="AB457" i="3"/>
  <c r="AB391" i="3"/>
  <c r="AA392" i="3"/>
  <c r="X395" i="3"/>
  <c r="H395" i="3"/>
  <c r="I395" i="3"/>
  <c r="AB390" i="3"/>
  <c r="AA391" i="3"/>
  <c r="H340" i="3"/>
  <c r="X340" i="3"/>
  <c r="I340" i="3"/>
  <c r="X406" i="3"/>
  <c r="H406" i="3"/>
  <c r="I406" i="3"/>
  <c r="AB401" i="3"/>
  <c r="AA402" i="3"/>
  <c r="AA276" i="3"/>
  <c r="AB275" i="3"/>
  <c r="H417" i="3"/>
  <c r="I417" i="3"/>
  <c r="X417" i="3"/>
  <c r="AB412" i="3"/>
  <c r="AA413" i="3"/>
  <c r="H423" i="3"/>
  <c r="I423" i="3"/>
  <c r="X423" i="3"/>
  <c r="AB418" i="3"/>
  <c r="AA419" i="3"/>
  <c r="X232" i="3"/>
  <c r="H232" i="3"/>
  <c r="I232" i="3"/>
  <c r="X434" i="3"/>
  <c r="H434" i="3"/>
  <c r="I434" i="3"/>
  <c r="AB429" i="3"/>
  <c r="AA430" i="3"/>
  <c r="I370" i="3"/>
  <c r="H370" i="3"/>
  <c r="X370" i="3"/>
  <c r="AA300" i="3"/>
  <c r="AB299" i="3"/>
  <c r="H421" i="3"/>
  <c r="X421" i="3"/>
  <c r="I421" i="3"/>
  <c r="AB416" i="3"/>
  <c r="AA417" i="3"/>
  <c r="I188" i="3"/>
  <c r="X188" i="3"/>
  <c r="H188" i="3"/>
  <c r="H307" i="3"/>
  <c r="I307" i="3"/>
  <c r="X307" i="3"/>
  <c r="AA303" i="3"/>
  <c r="AB302" i="3"/>
  <c r="AB223" i="3"/>
  <c r="AA224" i="3"/>
  <c r="H318" i="3"/>
  <c r="X318" i="3"/>
  <c r="I318" i="3"/>
  <c r="AA314" i="3"/>
  <c r="AB313" i="3"/>
  <c r="AB267" i="3"/>
  <c r="AA268" i="3"/>
  <c r="H208" i="3"/>
  <c r="X208" i="3"/>
  <c r="I208" i="3"/>
  <c r="AA365" i="3"/>
  <c r="AB364" i="3"/>
  <c r="H305" i="3"/>
  <c r="X305" i="3"/>
  <c r="I305" i="3"/>
  <c r="AA301" i="3"/>
  <c r="AB300" i="3"/>
  <c r="AA216" i="3"/>
  <c r="AB215" i="3"/>
  <c r="I311" i="3"/>
  <c r="H311" i="3"/>
  <c r="X311" i="3"/>
  <c r="AA307" i="3"/>
  <c r="AB306" i="3"/>
  <c r="AB239" i="3"/>
  <c r="AA240" i="3"/>
  <c r="H322" i="3"/>
  <c r="I322" i="3"/>
  <c r="X322" i="3"/>
  <c r="AB317" i="3"/>
  <c r="AA318" i="3"/>
  <c r="H292" i="3"/>
  <c r="I292" i="3"/>
  <c r="X292" i="3"/>
  <c r="I224" i="3"/>
  <c r="X224" i="3"/>
  <c r="H224" i="3"/>
  <c r="AB368" i="3"/>
  <c r="AC368" i="3" s="1"/>
  <c r="AA369" i="3"/>
  <c r="H309" i="3"/>
  <c r="X309" i="3"/>
  <c r="I309" i="3"/>
  <c r="AB304" i="3"/>
  <c r="AA305" i="3"/>
  <c r="AB286" i="3"/>
  <c r="AA287" i="3"/>
  <c r="AA232" i="3"/>
  <c r="AB231" i="3"/>
  <c r="H148" i="3"/>
  <c r="I148" i="3"/>
  <c r="X148" i="3"/>
  <c r="AB278" i="3"/>
  <c r="AA279" i="3"/>
  <c r="X219" i="3"/>
  <c r="H219" i="3"/>
  <c r="I219" i="3"/>
  <c r="AA215" i="3"/>
  <c r="AB214" i="3"/>
  <c r="I246" i="3"/>
  <c r="X246" i="3"/>
  <c r="H246" i="3"/>
  <c r="AB241" i="3"/>
  <c r="AA242" i="3"/>
  <c r="AA176" i="3"/>
  <c r="AB175" i="3"/>
  <c r="X265" i="3"/>
  <c r="H265" i="3"/>
  <c r="I265" i="3"/>
  <c r="AB260" i="3"/>
  <c r="AA261" i="3"/>
  <c r="I192" i="3"/>
  <c r="H192" i="3"/>
  <c r="X192" i="3"/>
  <c r="H271" i="3"/>
  <c r="I271" i="3"/>
  <c r="X271" i="3"/>
  <c r="AA267" i="3"/>
  <c r="AB266" i="3"/>
  <c r="H282" i="3"/>
  <c r="X282" i="3"/>
  <c r="I282" i="3"/>
  <c r="AA278" i="3"/>
  <c r="AB277" i="3"/>
  <c r="H218" i="3"/>
  <c r="X218" i="3"/>
  <c r="I218" i="3"/>
  <c r="AA214" i="3"/>
  <c r="AB213" i="3"/>
  <c r="H293" i="3"/>
  <c r="X293" i="3"/>
  <c r="I293" i="3"/>
  <c r="AA289" i="3"/>
  <c r="AB288" i="3"/>
  <c r="I229" i="3"/>
  <c r="X229" i="3"/>
  <c r="H229" i="3"/>
  <c r="AA225" i="3"/>
  <c r="AB224" i="3"/>
  <c r="I162" i="3"/>
  <c r="X162" i="3"/>
  <c r="H162" i="3"/>
  <c r="X165" i="3"/>
  <c r="H165" i="3"/>
  <c r="I165" i="3"/>
  <c r="AB159" i="3"/>
  <c r="AA160" i="3"/>
  <c r="X195" i="3"/>
  <c r="H195" i="3"/>
  <c r="I195" i="3"/>
  <c r="AA191" i="3"/>
  <c r="AB190" i="3"/>
  <c r="H160" i="3"/>
  <c r="X160" i="3"/>
  <c r="I160" i="3"/>
  <c r="I151" i="3"/>
  <c r="X151" i="3"/>
  <c r="H151" i="3"/>
  <c r="AB102" i="3"/>
  <c r="AA103" i="3"/>
  <c r="H166" i="3"/>
  <c r="I166" i="3"/>
  <c r="X166" i="3"/>
  <c r="AB152" i="3"/>
  <c r="AA153" i="3"/>
  <c r="X108" i="3"/>
  <c r="H108" i="3"/>
  <c r="I108" i="3"/>
  <c r="H201" i="3"/>
  <c r="X201" i="3"/>
  <c r="I201" i="3"/>
  <c r="AB196" i="3"/>
  <c r="AA197" i="3"/>
  <c r="H136" i="3"/>
  <c r="I136" i="3"/>
  <c r="X136" i="3"/>
  <c r="H115" i="3"/>
  <c r="I115" i="3"/>
  <c r="X115" i="3"/>
  <c r="H125" i="3"/>
  <c r="X125" i="3"/>
  <c r="I125" i="3"/>
  <c r="I110" i="3"/>
  <c r="H110" i="3"/>
  <c r="X110" i="3"/>
  <c r="I95" i="3"/>
  <c r="X95" i="3"/>
  <c r="H95" i="3"/>
  <c r="AB158" i="3"/>
  <c r="AA159" i="3"/>
  <c r="I161" i="3"/>
  <c r="X161" i="3"/>
  <c r="H161" i="3"/>
  <c r="AA157" i="3"/>
  <c r="AB156" i="3"/>
  <c r="AB113" i="3"/>
  <c r="AA114" i="3"/>
  <c r="I89" i="3"/>
  <c r="X89" i="3"/>
  <c r="H89" i="3"/>
  <c r="AB49" i="3"/>
  <c r="AA50" i="3"/>
  <c r="I100" i="3"/>
  <c r="X100" i="3"/>
  <c r="H100" i="3"/>
  <c r="AB95" i="3"/>
  <c r="AC95" i="3" s="1"/>
  <c r="AA96" i="3"/>
  <c r="I98" i="3"/>
  <c r="X98" i="3"/>
  <c r="H98" i="3"/>
  <c r="AB93" i="3"/>
  <c r="AA94" i="3"/>
  <c r="AA71" i="3"/>
  <c r="AB70" i="3"/>
  <c r="AB56" i="3"/>
  <c r="AA57" i="3"/>
  <c r="AB55" i="3"/>
  <c r="AA56" i="3"/>
  <c r="AB51" i="3"/>
  <c r="AC51" i="3" s="1"/>
  <c r="AA52" i="3"/>
  <c r="AB57" i="3"/>
  <c r="AA58" i="3"/>
  <c r="X16" i="3"/>
  <c r="H16" i="3"/>
  <c r="I16" i="3"/>
  <c r="H39" i="3"/>
  <c r="I39" i="3"/>
  <c r="X39" i="3"/>
  <c r="AB34" i="3"/>
  <c r="AA35" i="3"/>
  <c r="H42" i="3"/>
  <c r="X42" i="3"/>
  <c r="I42" i="3"/>
  <c r="AB37" i="3"/>
  <c r="AA38" i="3"/>
  <c r="X35" i="3"/>
  <c r="H35" i="3"/>
  <c r="I35" i="3"/>
  <c r="AB30" i="3"/>
  <c r="AC30" i="3" s="1"/>
  <c r="AA31" i="3"/>
  <c r="X33" i="3"/>
  <c r="H33" i="3"/>
  <c r="I33" i="3"/>
  <c r="AB28" i="3"/>
  <c r="AA29" i="3"/>
  <c r="X924" i="3"/>
  <c r="I924" i="3"/>
  <c r="H924" i="3"/>
  <c r="AB994" i="3"/>
  <c r="AA995" i="3"/>
  <c r="X935" i="3"/>
  <c r="I935" i="3"/>
  <c r="H935" i="3"/>
  <c r="AB981" i="3"/>
  <c r="AA982" i="3"/>
  <c r="AA918" i="3"/>
  <c r="AB917" i="3"/>
  <c r="AB984" i="3"/>
  <c r="AA985" i="3"/>
  <c r="AB920" i="3"/>
  <c r="AA921" i="3"/>
  <c r="AA832" i="3"/>
  <c r="AB831" i="3"/>
  <c r="X772" i="3"/>
  <c r="H772" i="3"/>
  <c r="I772" i="3"/>
  <c r="AB982" i="3"/>
  <c r="AA983" i="3"/>
  <c r="X923" i="3"/>
  <c r="H923" i="3"/>
  <c r="I923" i="3"/>
  <c r="X738" i="3"/>
  <c r="I738" i="3"/>
  <c r="H738" i="3"/>
  <c r="X919" i="3"/>
  <c r="H919" i="3"/>
  <c r="I919" i="3"/>
  <c r="AA808" i="3"/>
  <c r="AB807" i="3"/>
  <c r="AB965" i="3"/>
  <c r="AA966" i="3"/>
  <c r="AA902" i="3"/>
  <c r="AB901" i="3"/>
  <c r="AB755" i="3"/>
  <c r="AA756" i="3"/>
  <c r="X696" i="3"/>
  <c r="I696" i="3"/>
  <c r="H696" i="3"/>
  <c r="X908" i="3"/>
  <c r="I908" i="3"/>
  <c r="H908" i="3"/>
  <c r="X973" i="3"/>
  <c r="I973" i="3"/>
  <c r="H973" i="3"/>
  <c r="AB968" i="3"/>
  <c r="AA969" i="3"/>
  <c r="X909" i="3"/>
  <c r="H909" i="3"/>
  <c r="I909" i="3"/>
  <c r="AB904" i="3"/>
  <c r="AA905" i="3"/>
  <c r="X708" i="3"/>
  <c r="H708" i="3"/>
  <c r="I708" i="3"/>
  <c r="X816" i="3"/>
  <c r="H816" i="3"/>
  <c r="I816" i="3"/>
  <c r="X920" i="3"/>
  <c r="I920" i="3"/>
  <c r="H920" i="3"/>
  <c r="X971" i="3"/>
  <c r="H971" i="3"/>
  <c r="I971" i="3"/>
  <c r="AB966" i="3"/>
  <c r="AA967" i="3"/>
  <c r="X907" i="3"/>
  <c r="I907" i="3"/>
  <c r="H907" i="3"/>
  <c r="AA903" i="3"/>
  <c r="AB902" i="3"/>
  <c r="AB759" i="3"/>
  <c r="AA760" i="3"/>
  <c r="X700" i="3"/>
  <c r="I700" i="3"/>
  <c r="H700" i="3"/>
  <c r="X912" i="3"/>
  <c r="H912" i="3"/>
  <c r="I912" i="3"/>
  <c r="AA876" i="3"/>
  <c r="AB875" i="3"/>
  <c r="X958" i="3"/>
  <c r="I958" i="3"/>
  <c r="H958" i="3"/>
  <c r="AB953" i="3"/>
  <c r="AA954" i="3"/>
  <c r="X894" i="3"/>
  <c r="I894" i="3"/>
  <c r="H894" i="3"/>
  <c r="AA890" i="3"/>
  <c r="AB889" i="3"/>
  <c r="AA865" i="3"/>
  <c r="AB864" i="3"/>
  <c r="AA708" i="3"/>
  <c r="AB707" i="3"/>
  <c r="X945" i="3"/>
  <c r="I945" i="3"/>
  <c r="H945" i="3"/>
  <c r="AA941" i="3"/>
  <c r="AB940" i="3"/>
  <c r="X881" i="3"/>
  <c r="I881" i="3"/>
  <c r="H881" i="3"/>
  <c r="AA877" i="3"/>
  <c r="AB876" i="3"/>
  <c r="X852" i="3"/>
  <c r="H852" i="3"/>
  <c r="I852" i="3"/>
  <c r="AA654" i="3"/>
  <c r="AB653" i="3"/>
  <c r="AC653" i="3" s="1"/>
  <c r="AB827" i="3"/>
  <c r="AA828" i="3"/>
  <c r="X704" i="3"/>
  <c r="I704" i="3"/>
  <c r="H704" i="3"/>
  <c r="X847" i="3"/>
  <c r="I847" i="3"/>
  <c r="H847" i="3"/>
  <c r="AB842" i="3"/>
  <c r="AA843" i="3"/>
  <c r="X783" i="3"/>
  <c r="H783" i="3"/>
  <c r="I783" i="3"/>
  <c r="AA779" i="3"/>
  <c r="AB778" i="3"/>
  <c r="X719" i="3"/>
  <c r="H719" i="3"/>
  <c r="I719" i="3"/>
  <c r="AB714" i="3"/>
  <c r="AA715" i="3"/>
  <c r="AB633" i="3"/>
  <c r="AA634" i="3"/>
  <c r="X850" i="3"/>
  <c r="I850" i="3"/>
  <c r="H850" i="3"/>
  <c r="AB845" i="3"/>
  <c r="AA846" i="3"/>
  <c r="X786" i="3"/>
  <c r="I786" i="3"/>
  <c r="H786" i="3"/>
  <c r="AB781" i="3"/>
  <c r="AA782" i="3"/>
  <c r="X722" i="3"/>
  <c r="I722" i="3"/>
  <c r="H722" i="3"/>
  <c r="AA718" i="3"/>
  <c r="AB717" i="3"/>
  <c r="AA646" i="3"/>
  <c r="AB645" i="3"/>
  <c r="X861" i="3"/>
  <c r="I861" i="3"/>
  <c r="H861" i="3"/>
  <c r="AA857" i="3"/>
  <c r="AB856" i="3"/>
  <c r="X797" i="3"/>
  <c r="H797" i="3"/>
  <c r="I797" i="3"/>
  <c r="AB792" i="3"/>
  <c r="AA793" i="3"/>
  <c r="X733" i="3"/>
  <c r="H733" i="3"/>
  <c r="I733" i="3"/>
  <c r="AA729" i="3"/>
  <c r="AB728" i="3"/>
  <c r="X630" i="3"/>
  <c r="H630" i="3"/>
  <c r="I630" i="3"/>
  <c r="X819" i="3"/>
  <c r="H819" i="3"/>
  <c r="I819" i="3"/>
  <c r="AA815" i="3"/>
  <c r="AB814" i="3"/>
  <c r="X755" i="3"/>
  <c r="I755" i="3"/>
  <c r="H755" i="3"/>
  <c r="AB750" i="3"/>
  <c r="AA751" i="3"/>
  <c r="X691" i="3"/>
  <c r="I691" i="3"/>
  <c r="H691" i="3"/>
  <c r="AA687" i="3"/>
  <c r="AB686" i="3"/>
  <c r="X822" i="3"/>
  <c r="I822" i="3"/>
  <c r="H822" i="3"/>
  <c r="AA818" i="3"/>
  <c r="AB817" i="3"/>
  <c r="X758" i="3"/>
  <c r="H758" i="3"/>
  <c r="I758" i="3"/>
  <c r="AA754" i="3"/>
  <c r="AB753" i="3"/>
  <c r="X694" i="3"/>
  <c r="H694" i="3"/>
  <c r="I694" i="3"/>
  <c r="AA690" i="3"/>
  <c r="AB689" i="3"/>
  <c r="X825" i="3"/>
  <c r="H825" i="3"/>
  <c r="I825" i="3"/>
  <c r="AB820" i="3"/>
  <c r="AA821" i="3"/>
  <c r="X761" i="3"/>
  <c r="H761" i="3"/>
  <c r="I761" i="3"/>
  <c r="AA757" i="3"/>
  <c r="AB756" i="3"/>
  <c r="X697" i="3"/>
  <c r="H697" i="3"/>
  <c r="I697" i="3"/>
  <c r="AA693" i="3"/>
  <c r="AB692" i="3"/>
  <c r="X677" i="3"/>
  <c r="H677" i="3"/>
  <c r="I677" i="3"/>
  <c r="AB672" i="3"/>
  <c r="AA673" i="3"/>
  <c r="X613" i="3"/>
  <c r="H613" i="3"/>
  <c r="I613" i="3"/>
  <c r="AB608" i="3"/>
  <c r="AA609" i="3"/>
  <c r="AA573" i="3"/>
  <c r="AB572" i="3"/>
  <c r="X648" i="3"/>
  <c r="H648" i="3"/>
  <c r="I648" i="3"/>
  <c r="AB643" i="3"/>
  <c r="AA644" i="3"/>
  <c r="X635" i="3"/>
  <c r="I635" i="3"/>
  <c r="H635" i="3"/>
  <c r="AB630" i="3"/>
  <c r="AA631" i="3"/>
  <c r="X665" i="3"/>
  <c r="H665" i="3"/>
  <c r="I665" i="3"/>
  <c r="AB660" i="3"/>
  <c r="AA661" i="3"/>
  <c r="X601" i="3"/>
  <c r="H601" i="3"/>
  <c r="I601" i="3"/>
  <c r="X676" i="3"/>
  <c r="I676" i="3"/>
  <c r="H676" i="3"/>
  <c r="AB671" i="3"/>
  <c r="AA672" i="3"/>
  <c r="X612" i="3"/>
  <c r="I612" i="3"/>
  <c r="H612" i="3"/>
  <c r="AB607" i="3"/>
  <c r="AA608" i="3"/>
  <c r="AB568" i="3"/>
  <c r="AA569" i="3"/>
  <c r="X647" i="3"/>
  <c r="I647" i="3"/>
  <c r="H647" i="3"/>
  <c r="AB642" i="3"/>
  <c r="AA643" i="3"/>
  <c r="X584" i="3"/>
  <c r="I584" i="3"/>
  <c r="H584" i="3"/>
  <c r="AB579" i="3"/>
  <c r="AA580" i="3"/>
  <c r="AA497" i="3"/>
  <c r="AB496" i="3"/>
  <c r="X555" i="3"/>
  <c r="H555" i="3"/>
  <c r="I555" i="3"/>
  <c r="AA551" i="3"/>
  <c r="AB550" i="3"/>
  <c r="X590" i="3"/>
  <c r="H590" i="3"/>
  <c r="I590" i="3"/>
  <c r="AB585" i="3"/>
  <c r="AA586" i="3"/>
  <c r="X526" i="3"/>
  <c r="H526" i="3"/>
  <c r="I526" i="3"/>
  <c r="H461" i="3"/>
  <c r="X461" i="3"/>
  <c r="I461" i="3"/>
  <c r="X596" i="3"/>
  <c r="H596" i="3"/>
  <c r="I596" i="3"/>
  <c r="AB591" i="3"/>
  <c r="AA592" i="3"/>
  <c r="X532" i="3"/>
  <c r="H532" i="3"/>
  <c r="I532" i="3"/>
  <c r="AB527" i="3"/>
  <c r="AA528" i="3"/>
  <c r="X485" i="3"/>
  <c r="I485" i="3"/>
  <c r="H485" i="3"/>
  <c r="X583" i="3"/>
  <c r="H583" i="3"/>
  <c r="I583" i="3"/>
  <c r="AB578" i="3"/>
  <c r="AA579" i="3"/>
  <c r="AB492" i="3"/>
  <c r="AA493" i="3"/>
  <c r="X594" i="3"/>
  <c r="I594" i="3"/>
  <c r="H594" i="3"/>
  <c r="AA590" i="3"/>
  <c r="AB589" i="3"/>
  <c r="X530" i="3"/>
  <c r="I530" i="3"/>
  <c r="H530" i="3"/>
  <c r="AA526" i="3"/>
  <c r="AB525" i="3"/>
  <c r="X477" i="3"/>
  <c r="I477" i="3"/>
  <c r="H477" i="3"/>
  <c r="X500" i="3"/>
  <c r="H500" i="3"/>
  <c r="I500" i="3"/>
  <c r="AA496" i="3"/>
  <c r="AB495" i="3"/>
  <c r="X511" i="3"/>
  <c r="H511" i="3"/>
  <c r="I511" i="3"/>
  <c r="AA507" i="3"/>
  <c r="AB506" i="3"/>
  <c r="I447" i="3"/>
  <c r="H447" i="3"/>
  <c r="X447" i="3"/>
  <c r="H458" i="3"/>
  <c r="I458" i="3"/>
  <c r="X458" i="3"/>
  <c r="AB453" i="3"/>
  <c r="AA454" i="3"/>
  <c r="AB375" i="3"/>
  <c r="AA376" i="3"/>
  <c r="AA524" i="3"/>
  <c r="AB523" i="3"/>
  <c r="I464" i="3"/>
  <c r="X464" i="3"/>
  <c r="H464" i="3"/>
  <c r="AB459" i="3"/>
  <c r="AA460" i="3"/>
  <c r="AA400" i="3"/>
  <c r="AB399" i="3"/>
  <c r="X475" i="3"/>
  <c r="H475" i="3"/>
  <c r="I475" i="3"/>
  <c r="AB470" i="3"/>
  <c r="AA471" i="3"/>
  <c r="AA444" i="3"/>
  <c r="AB443" i="3"/>
  <c r="X384" i="3"/>
  <c r="H384" i="3"/>
  <c r="I384" i="3"/>
  <c r="AB355" i="3"/>
  <c r="AA356" i="3"/>
  <c r="X486" i="3"/>
  <c r="I486" i="3"/>
  <c r="H486" i="3"/>
  <c r="AB481" i="3"/>
  <c r="AA482" i="3"/>
  <c r="I428" i="3"/>
  <c r="H428" i="3"/>
  <c r="X428" i="3"/>
  <c r="H419" i="3"/>
  <c r="I419" i="3"/>
  <c r="X419" i="3"/>
  <c r="AA415" i="3"/>
  <c r="AB414" i="3"/>
  <c r="I430" i="3"/>
  <c r="X430" i="3"/>
  <c r="H430" i="3"/>
  <c r="AA426" i="3"/>
  <c r="AB425" i="3"/>
  <c r="X441" i="3"/>
  <c r="I441" i="3"/>
  <c r="H441" i="3"/>
  <c r="AA437" i="3"/>
  <c r="AB436" i="3"/>
  <c r="H377" i="3"/>
  <c r="I377" i="3"/>
  <c r="X377" i="3"/>
  <c r="AB372" i="3"/>
  <c r="AA373" i="3"/>
  <c r="AB327" i="3"/>
  <c r="AA328" i="3"/>
  <c r="AB442" i="3"/>
  <c r="AA443" i="3"/>
  <c r="H383" i="3"/>
  <c r="X383" i="3"/>
  <c r="I383" i="3"/>
  <c r="AA379" i="3"/>
  <c r="AB378" i="3"/>
  <c r="AA352" i="3"/>
  <c r="AB351" i="3"/>
  <c r="AA292" i="3"/>
  <c r="AB291" i="3"/>
  <c r="H394" i="3"/>
  <c r="I394" i="3"/>
  <c r="X394" i="3"/>
  <c r="AB389" i="3"/>
  <c r="AA390" i="3"/>
  <c r="H336" i="3"/>
  <c r="I336" i="3"/>
  <c r="X336" i="3"/>
  <c r="H445" i="3"/>
  <c r="X445" i="3"/>
  <c r="I445" i="3"/>
  <c r="AA441" i="3"/>
  <c r="AB440" i="3"/>
  <c r="H381" i="3"/>
  <c r="I381" i="3"/>
  <c r="X381" i="3"/>
  <c r="AB376" i="3"/>
  <c r="AA377" i="3"/>
  <c r="AA344" i="3"/>
  <c r="AB343" i="3"/>
  <c r="I331" i="3"/>
  <c r="H331" i="3"/>
  <c r="X331" i="3"/>
  <c r="AB326" i="3"/>
  <c r="AA327" i="3"/>
  <c r="X260" i="3"/>
  <c r="I260" i="3"/>
  <c r="H260" i="3"/>
  <c r="X342" i="3"/>
  <c r="I342" i="3"/>
  <c r="H342" i="3"/>
  <c r="AA338" i="3"/>
  <c r="AB337" i="3"/>
  <c r="AA284" i="3"/>
  <c r="AB283" i="3"/>
  <c r="H329" i="3"/>
  <c r="X329" i="3"/>
  <c r="I329" i="3"/>
  <c r="AA325" i="3"/>
  <c r="AB324" i="3"/>
  <c r="H252" i="3"/>
  <c r="X252" i="3"/>
  <c r="I252" i="3"/>
  <c r="H335" i="3"/>
  <c r="X335" i="3"/>
  <c r="I335" i="3"/>
  <c r="AB330" i="3"/>
  <c r="AA331" i="3"/>
  <c r="I276" i="3"/>
  <c r="X276" i="3"/>
  <c r="H276" i="3"/>
  <c r="H346" i="3"/>
  <c r="I346" i="3"/>
  <c r="X346" i="3"/>
  <c r="AA342" i="3"/>
  <c r="AB341" i="3"/>
  <c r="X333" i="3"/>
  <c r="H333" i="3"/>
  <c r="I333" i="3"/>
  <c r="AB328" i="3"/>
  <c r="AA329" i="3"/>
  <c r="X268" i="3"/>
  <c r="H268" i="3"/>
  <c r="I268" i="3"/>
  <c r="H243" i="3"/>
  <c r="I243" i="3"/>
  <c r="X243" i="3"/>
  <c r="AA239" i="3"/>
  <c r="AB238" i="3"/>
  <c r="AB163" i="3"/>
  <c r="AA164" i="3"/>
  <c r="I270" i="3"/>
  <c r="H270" i="3"/>
  <c r="X270" i="3"/>
  <c r="AA266" i="3"/>
  <c r="AB265" i="3"/>
  <c r="X204" i="3"/>
  <c r="H204" i="3"/>
  <c r="I204" i="3"/>
  <c r="H225" i="3"/>
  <c r="I225" i="3"/>
  <c r="X225" i="3"/>
  <c r="AB220" i="3"/>
  <c r="AA221" i="3"/>
  <c r="AA291" i="3"/>
  <c r="AB290" i="3"/>
  <c r="X231" i="3"/>
  <c r="H231" i="3"/>
  <c r="I231" i="3"/>
  <c r="AB226" i="3"/>
  <c r="AA227" i="3"/>
  <c r="H242" i="3"/>
  <c r="I242" i="3"/>
  <c r="X242" i="3"/>
  <c r="AB237" i="3"/>
  <c r="AA238" i="3"/>
  <c r="AB207" i="3"/>
  <c r="AA208" i="3"/>
  <c r="X253" i="3"/>
  <c r="H253" i="3"/>
  <c r="I253" i="3"/>
  <c r="AA249" i="3"/>
  <c r="AB248" i="3"/>
  <c r="H167" i="3"/>
  <c r="I167" i="3"/>
  <c r="X167" i="3"/>
  <c r="AB162" i="3"/>
  <c r="AA163" i="3"/>
  <c r="AB154" i="3"/>
  <c r="AA155" i="3"/>
  <c r="X116" i="3"/>
  <c r="H116" i="3"/>
  <c r="I116" i="3"/>
  <c r="I186" i="3"/>
  <c r="H186" i="3"/>
  <c r="X186" i="3"/>
  <c r="AB181" i="3"/>
  <c r="AA182" i="3"/>
  <c r="AA136" i="3"/>
  <c r="AB135" i="3"/>
  <c r="I189" i="3"/>
  <c r="X189" i="3"/>
  <c r="H189" i="3"/>
  <c r="AB184" i="3"/>
  <c r="AA185" i="3"/>
  <c r="AA148" i="3"/>
  <c r="AB147" i="3"/>
  <c r="H190" i="3"/>
  <c r="X190" i="3"/>
  <c r="I190" i="3"/>
  <c r="AB185" i="3"/>
  <c r="AA186" i="3"/>
  <c r="H152" i="3"/>
  <c r="I152" i="3"/>
  <c r="X152" i="3"/>
  <c r="I122" i="3"/>
  <c r="X122" i="3"/>
  <c r="H122" i="3"/>
  <c r="I149" i="3"/>
  <c r="H149" i="3"/>
  <c r="X149" i="3"/>
  <c r="AB144" i="3"/>
  <c r="AA145" i="3"/>
  <c r="X38" i="3"/>
  <c r="H38" i="3"/>
  <c r="I38" i="3"/>
  <c r="H123" i="3"/>
  <c r="I123" i="3"/>
  <c r="X123" i="3"/>
  <c r="AA107" i="3"/>
  <c r="AB106" i="3"/>
  <c r="I87" i="3"/>
  <c r="X87" i="3"/>
  <c r="H87" i="3"/>
  <c r="I142" i="3"/>
  <c r="X142" i="3"/>
  <c r="H142" i="3"/>
  <c r="AB137" i="3"/>
  <c r="AA138" i="3"/>
  <c r="H94" i="3"/>
  <c r="X94" i="3"/>
  <c r="I94" i="3"/>
  <c r="AA90" i="3"/>
  <c r="AB89" i="3"/>
  <c r="AA85" i="3"/>
  <c r="AB84" i="3"/>
  <c r="H113" i="3"/>
  <c r="X113" i="3"/>
  <c r="I113" i="3"/>
  <c r="AB108" i="3"/>
  <c r="AA109" i="3"/>
  <c r="AA76" i="3"/>
  <c r="AB75" i="3"/>
  <c r="AB117" i="3"/>
  <c r="AA118" i="3"/>
  <c r="I81" i="3"/>
  <c r="X81" i="3"/>
  <c r="H81" i="3"/>
  <c r="I101" i="3"/>
  <c r="H101" i="3"/>
  <c r="X101" i="3"/>
  <c r="AB96" i="3"/>
  <c r="AA97" i="3"/>
  <c r="X104" i="3"/>
  <c r="I104" i="3"/>
  <c r="H104" i="3"/>
  <c r="AA100" i="3"/>
  <c r="AB99" i="3"/>
  <c r="I44" i="3"/>
  <c r="X44" i="3"/>
  <c r="H44" i="3"/>
  <c r="X40" i="3"/>
  <c r="H40" i="3"/>
  <c r="I40" i="3"/>
  <c r="X46" i="3"/>
  <c r="H46" i="3"/>
  <c r="I46" i="3"/>
  <c r="H60" i="3"/>
  <c r="I60" i="3"/>
  <c r="X60" i="3"/>
  <c r="I52" i="3"/>
  <c r="H52" i="3"/>
  <c r="X52" i="3"/>
  <c r="I63" i="3"/>
  <c r="X63" i="3"/>
  <c r="H63" i="3"/>
  <c r="AA49" i="3"/>
  <c r="AB48" i="3"/>
  <c r="X66" i="3"/>
  <c r="H66" i="3"/>
  <c r="I66" i="3"/>
  <c r="AB61" i="3"/>
  <c r="AA62" i="3"/>
  <c r="AA59" i="3"/>
  <c r="AB58" i="3"/>
  <c r="AA55" i="3"/>
  <c r="AB54" i="3"/>
  <c r="AC54" i="3" s="1"/>
  <c r="X57" i="3"/>
  <c r="I57" i="3"/>
  <c r="H57" i="3"/>
  <c r="AA53" i="3"/>
  <c r="AB52" i="3"/>
  <c r="AC52" i="3" s="1"/>
  <c r="X871" i="3"/>
  <c r="H871" i="3"/>
  <c r="I871" i="3"/>
  <c r="X906" i="3"/>
  <c r="H906" i="3"/>
  <c r="I906" i="3"/>
  <c r="AB947" i="3"/>
  <c r="AA948" i="3"/>
  <c r="X956" i="3"/>
  <c r="I956" i="3"/>
  <c r="H956" i="3"/>
  <c r="X936" i="3"/>
  <c r="I936" i="3"/>
  <c r="H936" i="3"/>
  <c r="X943" i="3"/>
  <c r="I943" i="3"/>
  <c r="H943" i="3"/>
  <c r="X879" i="3"/>
  <c r="H879" i="3"/>
  <c r="I879" i="3"/>
  <c r="AA875" i="3"/>
  <c r="AB874" i="3"/>
  <c r="X844" i="3"/>
  <c r="H844" i="3"/>
  <c r="I844" i="3"/>
  <c r="X994" i="3"/>
  <c r="I994" i="3"/>
  <c r="H994" i="3"/>
  <c r="AA926" i="3"/>
  <c r="AB925" i="3"/>
  <c r="X866" i="3"/>
  <c r="I866" i="3"/>
  <c r="H866" i="3"/>
  <c r="AB851" i="3"/>
  <c r="AA852" i="3"/>
  <c r="X792" i="3"/>
  <c r="I792" i="3"/>
  <c r="H792" i="3"/>
  <c r="X916" i="3"/>
  <c r="H916" i="3"/>
  <c r="I916" i="3"/>
  <c r="X997" i="3"/>
  <c r="I997" i="3"/>
  <c r="H997" i="3"/>
  <c r="AB992" i="3"/>
  <c r="AA993" i="3"/>
  <c r="X933" i="3"/>
  <c r="I933" i="3"/>
  <c r="H933" i="3"/>
  <c r="AB928" i="3"/>
  <c r="AA929" i="3"/>
  <c r="X869" i="3"/>
  <c r="I869" i="3"/>
  <c r="H869" i="3"/>
  <c r="AB863" i="3"/>
  <c r="AA864" i="3"/>
  <c r="X804" i="3"/>
  <c r="I804" i="3"/>
  <c r="H804" i="3"/>
  <c r="AB747" i="3"/>
  <c r="AA748" i="3"/>
  <c r="X688" i="3"/>
  <c r="I688" i="3"/>
  <c r="H688" i="3"/>
  <c r="X904" i="3"/>
  <c r="H904" i="3"/>
  <c r="I904" i="3"/>
  <c r="H995" i="3"/>
  <c r="X995" i="3"/>
  <c r="I995" i="3"/>
  <c r="AB990" i="3"/>
  <c r="AA991" i="3"/>
  <c r="X931" i="3"/>
  <c r="H931" i="3"/>
  <c r="I931" i="3"/>
  <c r="AB926" i="3"/>
  <c r="AA927" i="3"/>
  <c r="X867" i="3"/>
  <c r="I867" i="3"/>
  <c r="H867" i="3"/>
  <c r="AB855" i="3"/>
  <c r="AC855" i="3" s="1"/>
  <c r="AA856" i="3"/>
  <c r="X796" i="3"/>
  <c r="I796" i="3"/>
  <c r="H796" i="3"/>
  <c r="X896" i="3"/>
  <c r="I896" i="3"/>
  <c r="H896" i="3"/>
  <c r="X982" i="3"/>
  <c r="I982" i="3"/>
  <c r="H982" i="3"/>
  <c r="AB977" i="3"/>
  <c r="AA978" i="3"/>
  <c r="X918" i="3"/>
  <c r="H918" i="3"/>
  <c r="I918" i="3"/>
  <c r="AB913" i="3"/>
  <c r="AA914" i="3"/>
  <c r="AA804" i="3"/>
  <c r="AB803" i="3"/>
  <c r="X744" i="3"/>
  <c r="I744" i="3"/>
  <c r="H744" i="3"/>
  <c r="AB915" i="3"/>
  <c r="AA916" i="3"/>
  <c r="X969" i="3"/>
  <c r="H969" i="3"/>
  <c r="I969" i="3"/>
  <c r="AA965" i="3"/>
  <c r="AB964" i="3"/>
  <c r="X905" i="3"/>
  <c r="I905" i="3"/>
  <c r="H905" i="3"/>
  <c r="AB900" i="3"/>
  <c r="AA901" i="3"/>
  <c r="AA752" i="3"/>
  <c r="AB751" i="3"/>
  <c r="X692" i="3"/>
  <c r="H692" i="3"/>
  <c r="I692" i="3"/>
  <c r="AA888" i="3"/>
  <c r="AB887" i="3"/>
  <c r="X807" i="3"/>
  <c r="I807" i="3"/>
  <c r="H807" i="3"/>
  <c r="AA803" i="3"/>
  <c r="AB802" i="3"/>
  <c r="X743" i="3"/>
  <c r="H743" i="3"/>
  <c r="I743" i="3"/>
  <c r="AB738" i="3"/>
  <c r="AA739" i="3"/>
  <c r="X670" i="3"/>
  <c r="H670" i="3"/>
  <c r="I670" i="3"/>
  <c r="X810" i="3"/>
  <c r="H810" i="3"/>
  <c r="I810" i="3"/>
  <c r="AB805" i="3"/>
  <c r="AA806" i="3"/>
  <c r="X746" i="3"/>
  <c r="I746" i="3"/>
  <c r="H746" i="3"/>
  <c r="AA742" i="3"/>
  <c r="AB741" i="3"/>
  <c r="X533" i="3"/>
  <c r="H533" i="3"/>
  <c r="I533" i="3"/>
  <c r="X821" i="3"/>
  <c r="H821" i="3"/>
  <c r="I821" i="3"/>
  <c r="AA817" i="3"/>
  <c r="AB816" i="3"/>
  <c r="X757" i="3"/>
  <c r="H757" i="3"/>
  <c r="I757" i="3"/>
  <c r="AA753" i="3"/>
  <c r="AB752" i="3"/>
  <c r="X693" i="3"/>
  <c r="H693" i="3"/>
  <c r="I693" i="3"/>
  <c r="AA689" i="3"/>
  <c r="AC689" i="3" s="1"/>
  <c r="AB688" i="3"/>
  <c r="X683" i="3"/>
  <c r="H683" i="3"/>
  <c r="I683" i="3"/>
  <c r="AA606" i="3"/>
  <c r="AB605" i="3"/>
  <c r="X843" i="3"/>
  <c r="I843" i="3"/>
  <c r="H843" i="3"/>
  <c r="AB838" i="3"/>
  <c r="AA839" i="3"/>
  <c r="X779" i="3"/>
  <c r="I779" i="3"/>
  <c r="H779" i="3"/>
  <c r="AB774" i="3"/>
  <c r="AA775" i="3"/>
  <c r="X715" i="3"/>
  <c r="H715" i="3"/>
  <c r="I715" i="3"/>
  <c r="AA711" i="3"/>
  <c r="AB710" i="3"/>
  <c r="AB617" i="3"/>
  <c r="AA618" i="3"/>
  <c r="X846" i="3"/>
  <c r="H846" i="3"/>
  <c r="I846" i="3"/>
  <c r="AA842" i="3"/>
  <c r="AB841" i="3"/>
  <c r="X782" i="3"/>
  <c r="H782" i="3"/>
  <c r="I782" i="3"/>
  <c r="AA778" i="3"/>
  <c r="AB777" i="3"/>
  <c r="X718" i="3"/>
  <c r="I718" i="3"/>
  <c r="H718" i="3"/>
  <c r="AA714" i="3"/>
  <c r="AB713" i="3"/>
  <c r="AA630" i="3"/>
  <c r="AB629" i="3"/>
  <c r="X849" i="3"/>
  <c r="I849" i="3"/>
  <c r="H849" i="3"/>
  <c r="AA845" i="3"/>
  <c r="AB844" i="3"/>
  <c r="X785" i="3"/>
  <c r="H785" i="3"/>
  <c r="I785" i="3"/>
  <c r="AA781" i="3"/>
  <c r="AB780" i="3"/>
  <c r="X721" i="3"/>
  <c r="I721" i="3"/>
  <c r="H721" i="3"/>
  <c r="AA717" i="3"/>
  <c r="AB716" i="3"/>
  <c r="AC716" i="3" s="1"/>
  <c r="AA642" i="3"/>
  <c r="AB641" i="3"/>
  <c r="AB621" i="3"/>
  <c r="AA622" i="3"/>
  <c r="X637" i="3"/>
  <c r="H637" i="3"/>
  <c r="I637" i="3"/>
  <c r="AB632" i="3"/>
  <c r="AA633" i="3"/>
  <c r="X672" i="3"/>
  <c r="H672" i="3"/>
  <c r="I672" i="3"/>
  <c r="AB667" i="3"/>
  <c r="AA668" i="3"/>
  <c r="X608" i="3"/>
  <c r="I608" i="3"/>
  <c r="H608" i="3"/>
  <c r="AB603" i="3"/>
  <c r="AA604" i="3"/>
  <c r="AB552" i="3"/>
  <c r="AA553" i="3"/>
  <c r="X659" i="3"/>
  <c r="I659" i="3"/>
  <c r="H659" i="3"/>
  <c r="AB654" i="3"/>
  <c r="AA655" i="3"/>
  <c r="X625" i="3"/>
  <c r="I625" i="3"/>
  <c r="H625" i="3"/>
  <c r="AA621" i="3"/>
  <c r="AB620" i="3"/>
  <c r="AB600" i="3"/>
  <c r="AA601" i="3"/>
  <c r="X561" i="3"/>
  <c r="H561" i="3"/>
  <c r="I561" i="3"/>
  <c r="AB435" i="3"/>
  <c r="AA436" i="3"/>
  <c r="X636" i="3"/>
  <c r="I636" i="3"/>
  <c r="H636" i="3"/>
  <c r="AA632" i="3"/>
  <c r="AB631" i="3"/>
  <c r="X671" i="3"/>
  <c r="I671" i="3"/>
  <c r="H671" i="3"/>
  <c r="AA667" i="3"/>
  <c r="AB666" i="3"/>
  <c r="X607" i="3"/>
  <c r="I607" i="3"/>
  <c r="H607" i="3"/>
  <c r="AB602" i="3"/>
  <c r="AA603" i="3"/>
  <c r="AB548" i="3"/>
  <c r="AC548" i="3" s="1"/>
  <c r="AA549" i="3"/>
  <c r="X544" i="3"/>
  <c r="I544" i="3"/>
  <c r="H544" i="3"/>
  <c r="AA540" i="3"/>
  <c r="AB539" i="3"/>
  <c r="X524" i="3"/>
  <c r="I524" i="3"/>
  <c r="H524" i="3"/>
  <c r="X579" i="3"/>
  <c r="H579" i="3"/>
  <c r="I579" i="3"/>
  <c r="AA575" i="3"/>
  <c r="AB574" i="3"/>
  <c r="AA477" i="3"/>
  <c r="AB476" i="3"/>
  <c r="H408" i="3"/>
  <c r="X408" i="3"/>
  <c r="I408" i="3"/>
  <c r="X550" i="3"/>
  <c r="I550" i="3"/>
  <c r="H550" i="3"/>
  <c r="AA546" i="3"/>
  <c r="AB545" i="3"/>
  <c r="X556" i="3"/>
  <c r="I556" i="3"/>
  <c r="H556" i="3"/>
  <c r="AA552" i="3"/>
  <c r="AB551" i="3"/>
  <c r="X543" i="3"/>
  <c r="H543" i="3"/>
  <c r="I543" i="3"/>
  <c r="AA539" i="3"/>
  <c r="AB538" i="3"/>
  <c r="X522" i="3"/>
  <c r="H522" i="3"/>
  <c r="I522" i="3"/>
  <c r="X554" i="3"/>
  <c r="H554" i="3"/>
  <c r="I554" i="3"/>
  <c r="AA550" i="3"/>
  <c r="AB549" i="3"/>
  <c r="I460" i="3"/>
  <c r="H460" i="3"/>
  <c r="X460" i="3"/>
  <c r="AB455" i="3"/>
  <c r="AA456" i="3"/>
  <c r="AA384" i="3"/>
  <c r="AB383" i="3"/>
  <c r="H471" i="3"/>
  <c r="I471" i="3"/>
  <c r="X471" i="3"/>
  <c r="AB466" i="3"/>
  <c r="AA467" i="3"/>
  <c r="AB427" i="3"/>
  <c r="AA428" i="3"/>
  <c r="I482" i="3"/>
  <c r="X482" i="3"/>
  <c r="H482" i="3"/>
  <c r="AB477" i="3"/>
  <c r="AA478" i="3"/>
  <c r="H412" i="3"/>
  <c r="X412" i="3"/>
  <c r="I412" i="3"/>
  <c r="H488" i="3"/>
  <c r="I488" i="3"/>
  <c r="X488" i="3"/>
  <c r="AB483" i="3"/>
  <c r="AA484" i="3"/>
  <c r="I436" i="3"/>
  <c r="H436" i="3"/>
  <c r="X436" i="3"/>
  <c r="X499" i="3"/>
  <c r="H499" i="3"/>
  <c r="I499" i="3"/>
  <c r="AA495" i="3"/>
  <c r="AB494" i="3"/>
  <c r="AB183" i="3"/>
  <c r="AA184" i="3"/>
  <c r="X510" i="3"/>
  <c r="H510" i="3"/>
  <c r="I510" i="3"/>
  <c r="AB505" i="3"/>
  <c r="AC505" i="3" s="1"/>
  <c r="AA506" i="3"/>
  <c r="H443" i="3"/>
  <c r="I443" i="3"/>
  <c r="X443" i="3"/>
  <c r="AB438" i="3"/>
  <c r="AA439" i="3"/>
  <c r="X379" i="3"/>
  <c r="H379" i="3"/>
  <c r="I379" i="3"/>
  <c r="AA375" i="3"/>
  <c r="AB374" i="3"/>
  <c r="AA336" i="3"/>
  <c r="AB335" i="3"/>
  <c r="H390" i="3"/>
  <c r="X390" i="3"/>
  <c r="I390" i="3"/>
  <c r="AA386" i="3"/>
  <c r="AB385" i="3"/>
  <c r="H320" i="3"/>
  <c r="I320" i="3"/>
  <c r="X320" i="3"/>
  <c r="X401" i="3"/>
  <c r="I401" i="3"/>
  <c r="H401" i="3"/>
  <c r="AB396" i="3"/>
  <c r="AC396" i="3" s="1"/>
  <c r="AA397" i="3"/>
  <c r="H364" i="3"/>
  <c r="I364" i="3"/>
  <c r="X364" i="3"/>
  <c r="H407" i="3"/>
  <c r="I407" i="3"/>
  <c r="X407" i="3"/>
  <c r="AA403" i="3"/>
  <c r="AB402" i="3"/>
  <c r="X418" i="3"/>
  <c r="H418" i="3"/>
  <c r="I418" i="3"/>
  <c r="AA414" i="3"/>
  <c r="AB413" i="3"/>
  <c r="I405" i="3"/>
  <c r="H405" i="3"/>
  <c r="X405" i="3"/>
  <c r="AA401" i="3"/>
  <c r="AB400" i="3"/>
  <c r="AA260" i="3"/>
  <c r="AB259" i="3"/>
  <c r="I355" i="3"/>
  <c r="H355" i="3"/>
  <c r="X355" i="3"/>
  <c r="AA351" i="3"/>
  <c r="AB350" i="3"/>
  <c r="I366" i="3"/>
  <c r="H366" i="3"/>
  <c r="X366" i="3"/>
  <c r="AA362" i="3"/>
  <c r="AB361" i="3"/>
  <c r="I302" i="3"/>
  <c r="X302" i="3"/>
  <c r="H302" i="3"/>
  <c r="AB297" i="3"/>
  <c r="AA298" i="3"/>
  <c r="H353" i="3"/>
  <c r="I353" i="3"/>
  <c r="X353" i="3"/>
  <c r="AB348" i="3"/>
  <c r="AA349" i="3"/>
  <c r="I359" i="3"/>
  <c r="X359" i="3"/>
  <c r="H359" i="3"/>
  <c r="AB354" i="3"/>
  <c r="AA355" i="3"/>
  <c r="I295" i="3"/>
  <c r="H295" i="3"/>
  <c r="X295" i="3"/>
  <c r="AB167" i="3"/>
  <c r="AA168" i="3"/>
  <c r="AB365" i="3"/>
  <c r="AA366" i="3"/>
  <c r="H306" i="3"/>
  <c r="I306" i="3"/>
  <c r="X306" i="3"/>
  <c r="AB301" i="3"/>
  <c r="AA302" i="3"/>
  <c r="AB219" i="3"/>
  <c r="AA220" i="3"/>
  <c r="I357" i="3"/>
  <c r="X357" i="3"/>
  <c r="H357" i="3"/>
  <c r="AB352" i="3"/>
  <c r="AA353" i="3"/>
  <c r="I205" i="3"/>
  <c r="X205" i="3"/>
  <c r="H205" i="3"/>
  <c r="X267" i="3"/>
  <c r="I267" i="3"/>
  <c r="H267" i="3"/>
  <c r="AB262" i="3"/>
  <c r="AA263" i="3"/>
  <c r="AB160" i="3"/>
  <c r="AA161" i="3"/>
  <c r="AA290" i="3"/>
  <c r="AB289" i="3"/>
  <c r="X230" i="3"/>
  <c r="H230" i="3"/>
  <c r="I230" i="3"/>
  <c r="AB225" i="3"/>
  <c r="AA226" i="3"/>
  <c r="I249" i="3"/>
  <c r="H249" i="3"/>
  <c r="X249" i="3"/>
  <c r="AA245" i="3"/>
  <c r="AB244" i="3"/>
  <c r="AA188" i="3"/>
  <c r="AB187" i="3"/>
  <c r="H255" i="3"/>
  <c r="X255" i="3"/>
  <c r="I255" i="3"/>
  <c r="AA251" i="3"/>
  <c r="AB250" i="3"/>
  <c r="X266" i="3"/>
  <c r="I266" i="3"/>
  <c r="H266" i="3"/>
  <c r="AA262" i="3"/>
  <c r="AB261" i="3"/>
  <c r="H196" i="3"/>
  <c r="X196" i="3"/>
  <c r="I196" i="3"/>
  <c r="H277" i="3"/>
  <c r="I277" i="3"/>
  <c r="X277" i="3"/>
  <c r="AA273" i="3"/>
  <c r="AB272" i="3"/>
  <c r="X213" i="3"/>
  <c r="I213" i="3"/>
  <c r="H213" i="3"/>
  <c r="AB208" i="3"/>
  <c r="AA209" i="3"/>
  <c r="I191" i="3"/>
  <c r="H191" i="3"/>
  <c r="X191" i="3"/>
  <c r="AA187" i="3"/>
  <c r="AB186" i="3"/>
  <c r="AB111" i="3"/>
  <c r="AA112" i="3"/>
  <c r="AB205" i="3"/>
  <c r="AA206" i="3"/>
  <c r="X179" i="3"/>
  <c r="H179" i="3"/>
  <c r="I179" i="3"/>
  <c r="AA175" i="3"/>
  <c r="AB174" i="3"/>
  <c r="H91" i="3"/>
  <c r="I91" i="3"/>
  <c r="X91" i="3"/>
  <c r="H185" i="3"/>
  <c r="I185" i="3"/>
  <c r="X185" i="3"/>
  <c r="AB180" i="3"/>
  <c r="AA181" i="3"/>
  <c r="AB131" i="3"/>
  <c r="AC131" i="3" s="1"/>
  <c r="AA132" i="3"/>
  <c r="X143" i="3"/>
  <c r="H143" i="3"/>
  <c r="I143" i="3"/>
  <c r="AB138" i="3"/>
  <c r="AA139" i="3"/>
  <c r="H146" i="3"/>
  <c r="X146" i="3"/>
  <c r="I146" i="3"/>
  <c r="AB141" i="3"/>
  <c r="AA142" i="3"/>
  <c r="AB90" i="3"/>
  <c r="AA91" i="3"/>
  <c r="H147" i="3"/>
  <c r="I147" i="3"/>
  <c r="X147" i="3"/>
  <c r="AB142" i="3"/>
  <c r="AA143" i="3"/>
  <c r="AB161" i="3"/>
  <c r="AA162" i="3"/>
  <c r="X145" i="3"/>
  <c r="H145" i="3"/>
  <c r="I145" i="3"/>
  <c r="AB140" i="3"/>
  <c r="AA141" i="3"/>
  <c r="X45" i="3"/>
  <c r="H45" i="3"/>
  <c r="AB120" i="3"/>
  <c r="AA121" i="3"/>
  <c r="I77" i="3"/>
  <c r="X77" i="3"/>
  <c r="H77" i="3"/>
  <c r="H22" i="3"/>
  <c r="X22" i="3"/>
  <c r="I22" i="3"/>
  <c r="AA84" i="3"/>
  <c r="AB83" i="3"/>
  <c r="AB23" i="3"/>
  <c r="AA24" i="3"/>
  <c r="X78" i="3"/>
  <c r="H78" i="3"/>
  <c r="I78" i="3"/>
  <c r="AA74" i="3"/>
  <c r="AB73" i="3"/>
  <c r="AB19" i="3"/>
  <c r="AA20" i="3"/>
  <c r="AB25" i="3"/>
  <c r="AA26" i="3"/>
  <c r="X84" i="3"/>
  <c r="H84" i="3"/>
  <c r="I84" i="3"/>
  <c r="AB79" i="3"/>
  <c r="AA80" i="3"/>
  <c r="AA32" i="3"/>
  <c r="AB31" i="3"/>
  <c r="AA83" i="3"/>
  <c r="AB82" i="3"/>
  <c r="X37" i="3"/>
  <c r="H37" i="3"/>
  <c r="I37" i="3"/>
  <c r="AA44" i="3"/>
  <c r="AB43" i="3"/>
  <c r="H23" i="3"/>
  <c r="I23" i="3"/>
  <c r="X23" i="3"/>
  <c r="AB18" i="3"/>
  <c r="AA19" i="3"/>
  <c r="H26" i="3"/>
  <c r="X26" i="3"/>
  <c r="I26" i="3"/>
  <c r="AB21" i="3"/>
  <c r="AA22" i="3"/>
  <c r="I19" i="3"/>
  <c r="X19" i="3"/>
  <c r="H19" i="3"/>
  <c r="AA15" i="3"/>
  <c r="AB14" i="3"/>
  <c r="H17" i="3"/>
  <c r="X17" i="3"/>
  <c r="I17" i="3"/>
  <c r="AB12" i="3"/>
  <c r="AA13" i="3"/>
  <c r="AB983" i="3"/>
  <c r="AA984" i="3"/>
  <c r="AB991" i="3"/>
  <c r="AA992" i="3"/>
  <c r="AB978" i="3"/>
  <c r="AA979" i="3"/>
  <c r="X748" i="3"/>
  <c r="I748" i="3"/>
  <c r="H748" i="3"/>
  <c r="X944" i="3"/>
  <c r="I944" i="3"/>
  <c r="H944" i="3"/>
  <c r="AA996" i="3"/>
  <c r="AB995" i="3"/>
  <c r="AA990" i="3"/>
  <c r="AB989" i="3"/>
  <c r="X948" i="3"/>
  <c r="I948" i="3"/>
  <c r="H948" i="3"/>
  <c r="X884" i="3"/>
  <c r="H884" i="3"/>
  <c r="I884" i="3"/>
  <c r="AA764" i="3"/>
  <c r="AB763" i="3"/>
  <c r="X967" i="3"/>
  <c r="I967" i="3"/>
  <c r="H967" i="3"/>
  <c r="AB962" i="3"/>
  <c r="AA963" i="3"/>
  <c r="X903" i="3"/>
  <c r="H903" i="3"/>
  <c r="I903" i="3"/>
  <c r="AA899" i="3"/>
  <c r="AB898" i="3"/>
  <c r="AC898" i="3" s="1"/>
  <c r="AA744" i="3"/>
  <c r="AB743" i="3"/>
  <c r="X684" i="3"/>
  <c r="I684" i="3"/>
  <c r="H684" i="3"/>
  <c r="X954" i="3"/>
  <c r="I954" i="3"/>
  <c r="H954" i="3"/>
  <c r="AA950" i="3"/>
  <c r="AB949" i="3"/>
  <c r="X890" i="3"/>
  <c r="I890" i="3"/>
  <c r="H890" i="3"/>
  <c r="AA886" i="3"/>
  <c r="AB885" i="3"/>
  <c r="AB691" i="3"/>
  <c r="AA692" i="3"/>
  <c r="X957" i="3"/>
  <c r="I957" i="3"/>
  <c r="H957" i="3"/>
  <c r="AB952" i="3"/>
  <c r="AA953" i="3"/>
  <c r="X893" i="3"/>
  <c r="I893" i="3"/>
  <c r="H893" i="3"/>
  <c r="AB888" i="3"/>
  <c r="AA889" i="3"/>
  <c r="AB703" i="3"/>
  <c r="AA704" i="3"/>
  <c r="AB811" i="3"/>
  <c r="AA812" i="3"/>
  <c r="X955" i="3"/>
  <c r="I955" i="3"/>
  <c r="H955" i="3"/>
  <c r="AB950" i="3"/>
  <c r="AA951" i="3"/>
  <c r="X891" i="3"/>
  <c r="I891" i="3"/>
  <c r="H891" i="3"/>
  <c r="AB886" i="3"/>
  <c r="AA887" i="3"/>
  <c r="AB695" i="3"/>
  <c r="AA696" i="3"/>
  <c r="AB883" i="3"/>
  <c r="AA884" i="3"/>
  <c r="X872" i="3"/>
  <c r="H872" i="3"/>
  <c r="I872" i="3"/>
  <c r="X942" i="3"/>
  <c r="H942" i="3"/>
  <c r="I942" i="3"/>
  <c r="AB937" i="3"/>
  <c r="AA938" i="3"/>
  <c r="X878" i="3"/>
  <c r="H878" i="3"/>
  <c r="I878" i="3"/>
  <c r="AB873" i="3"/>
  <c r="AA874" i="3"/>
  <c r="X840" i="3"/>
  <c r="I840" i="3"/>
  <c r="H840" i="3"/>
  <c r="X993" i="3"/>
  <c r="I993" i="3"/>
  <c r="H993" i="3"/>
  <c r="AA989" i="3"/>
  <c r="AB988" i="3"/>
  <c r="X929" i="3"/>
  <c r="I929" i="3"/>
  <c r="H929" i="3"/>
  <c r="AA925" i="3"/>
  <c r="AB924" i="3"/>
  <c r="X865" i="3"/>
  <c r="I865" i="3"/>
  <c r="H865" i="3"/>
  <c r="AB847" i="3"/>
  <c r="AA848" i="3"/>
  <c r="X788" i="3"/>
  <c r="I788" i="3"/>
  <c r="H788" i="3"/>
  <c r="AB699" i="3"/>
  <c r="AA700" i="3"/>
  <c r="X831" i="3"/>
  <c r="H831" i="3"/>
  <c r="I831" i="3"/>
  <c r="AB826" i="3"/>
  <c r="AA827" i="3"/>
  <c r="X767" i="3"/>
  <c r="H767" i="3"/>
  <c r="I767" i="3"/>
  <c r="AB762" i="3"/>
  <c r="AA763" i="3"/>
  <c r="X703" i="3"/>
  <c r="I703" i="3"/>
  <c r="H703" i="3"/>
  <c r="AA699" i="3"/>
  <c r="AB698" i="3"/>
  <c r="X834" i="3"/>
  <c r="H834" i="3"/>
  <c r="I834" i="3"/>
  <c r="AA830" i="3"/>
  <c r="AB829" i="3"/>
  <c r="X770" i="3"/>
  <c r="H770" i="3"/>
  <c r="I770" i="3"/>
  <c r="AA766" i="3"/>
  <c r="AB765" i="3"/>
  <c r="X706" i="3"/>
  <c r="I706" i="3"/>
  <c r="H706" i="3"/>
  <c r="AB701" i="3"/>
  <c r="AA702" i="3"/>
  <c r="X845" i="3"/>
  <c r="H845" i="3"/>
  <c r="I845" i="3"/>
  <c r="AB840" i="3"/>
  <c r="AA841" i="3"/>
  <c r="X781" i="3"/>
  <c r="I781" i="3"/>
  <c r="H781" i="3"/>
  <c r="AB776" i="3"/>
  <c r="AA777" i="3"/>
  <c r="X717" i="3"/>
  <c r="I717" i="3"/>
  <c r="H717" i="3"/>
  <c r="AB712" i="3"/>
  <c r="AA713" i="3"/>
  <c r="AA626" i="3"/>
  <c r="AB625" i="3"/>
  <c r="X642" i="3"/>
  <c r="I642" i="3"/>
  <c r="H642" i="3"/>
  <c r="AB862" i="3"/>
  <c r="AA863" i="3"/>
  <c r="X803" i="3"/>
  <c r="H803" i="3"/>
  <c r="I803" i="3"/>
  <c r="AB798" i="3"/>
  <c r="AA799" i="3"/>
  <c r="X739" i="3"/>
  <c r="H739" i="3"/>
  <c r="I739" i="3"/>
  <c r="AB734" i="3"/>
  <c r="AA735" i="3"/>
  <c r="X654" i="3"/>
  <c r="I654" i="3"/>
  <c r="H654" i="3"/>
  <c r="X806" i="3"/>
  <c r="H806" i="3"/>
  <c r="I806" i="3"/>
  <c r="AA802" i="3"/>
  <c r="AB801" i="3"/>
  <c r="X742" i="3"/>
  <c r="I742" i="3"/>
  <c r="H742" i="3"/>
  <c r="AB737" i="3"/>
  <c r="AA738" i="3"/>
  <c r="X666" i="3"/>
  <c r="I666" i="3"/>
  <c r="H666" i="3"/>
  <c r="X809" i="3"/>
  <c r="I809" i="3"/>
  <c r="H809" i="3"/>
  <c r="AB804" i="3"/>
  <c r="AA805" i="3"/>
  <c r="X745" i="3"/>
  <c r="I745" i="3"/>
  <c r="H745" i="3"/>
  <c r="AA741" i="3"/>
  <c r="AB740" i="3"/>
  <c r="X678" i="3"/>
  <c r="H678" i="3"/>
  <c r="I678" i="3"/>
  <c r="X661" i="3"/>
  <c r="H661" i="3"/>
  <c r="I661" i="3"/>
  <c r="AB656" i="3"/>
  <c r="AA657" i="3"/>
  <c r="AB468" i="3"/>
  <c r="AA469" i="3"/>
  <c r="X632" i="3"/>
  <c r="I632" i="3"/>
  <c r="H632" i="3"/>
  <c r="AA628" i="3"/>
  <c r="AB627" i="3"/>
  <c r="X589" i="3"/>
  <c r="I589" i="3"/>
  <c r="H589" i="3"/>
  <c r="AA679" i="3"/>
  <c r="AB678" i="3"/>
  <c r="X619" i="3"/>
  <c r="H619" i="3"/>
  <c r="I619" i="3"/>
  <c r="AB614" i="3"/>
  <c r="AA615" i="3"/>
  <c r="AB596" i="3"/>
  <c r="AA597" i="3"/>
  <c r="X537" i="3"/>
  <c r="I537" i="3"/>
  <c r="H537" i="3"/>
  <c r="X505" i="3"/>
  <c r="H505" i="3"/>
  <c r="I505" i="3"/>
  <c r="X649" i="3"/>
  <c r="H649" i="3"/>
  <c r="I649" i="3"/>
  <c r="AB644" i="3"/>
  <c r="AA645" i="3"/>
  <c r="X660" i="3"/>
  <c r="H660" i="3"/>
  <c r="I660" i="3"/>
  <c r="AB655" i="3"/>
  <c r="AA656" i="3"/>
  <c r="AB452" i="3"/>
  <c r="AA453" i="3"/>
  <c r="X631" i="3"/>
  <c r="I631" i="3"/>
  <c r="H631" i="3"/>
  <c r="AB626" i="3"/>
  <c r="AA627" i="3"/>
  <c r="X585" i="3"/>
  <c r="I585" i="3"/>
  <c r="H585" i="3"/>
  <c r="X568" i="3"/>
  <c r="I568" i="3"/>
  <c r="H568" i="3"/>
  <c r="AB563" i="3"/>
  <c r="AA564" i="3"/>
  <c r="AB598" i="3"/>
  <c r="AA599" i="3"/>
  <c r="X539" i="3"/>
  <c r="H539" i="3"/>
  <c r="I539" i="3"/>
  <c r="AB534" i="3"/>
  <c r="AA535" i="3"/>
  <c r="X513" i="3"/>
  <c r="H513" i="3"/>
  <c r="I513" i="3"/>
  <c r="X574" i="3"/>
  <c r="H574" i="3"/>
  <c r="I574" i="3"/>
  <c r="AB569" i="3"/>
  <c r="AA570" i="3"/>
  <c r="AA457" i="3"/>
  <c r="AB456" i="3"/>
  <c r="X580" i="3"/>
  <c r="H580" i="3"/>
  <c r="I580" i="3"/>
  <c r="AB575" i="3"/>
  <c r="AA576" i="3"/>
  <c r="AA481" i="3"/>
  <c r="AB480" i="3"/>
  <c r="H424" i="3"/>
  <c r="I424" i="3"/>
  <c r="X424" i="3"/>
  <c r="H248" i="3"/>
  <c r="I248" i="3"/>
  <c r="X248" i="3"/>
  <c r="X567" i="3"/>
  <c r="I567" i="3"/>
  <c r="H567" i="3"/>
  <c r="AA563" i="3"/>
  <c r="AB562" i="3"/>
  <c r="X578" i="3"/>
  <c r="I578" i="3"/>
  <c r="H578" i="3"/>
  <c r="AA574" i="3"/>
  <c r="AB573" i="3"/>
  <c r="AA473" i="3"/>
  <c r="AB472" i="3"/>
  <c r="I392" i="3"/>
  <c r="H392" i="3"/>
  <c r="X392" i="3"/>
  <c r="X484" i="3"/>
  <c r="I484" i="3"/>
  <c r="H484" i="3"/>
  <c r="AB479" i="3"/>
  <c r="AA480" i="3"/>
  <c r="I420" i="3"/>
  <c r="H420" i="3"/>
  <c r="X420" i="3"/>
  <c r="H495" i="3"/>
  <c r="I495" i="3"/>
  <c r="X495" i="3"/>
  <c r="AB490" i="3"/>
  <c r="AA491" i="3"/>
  <c r="X360" i="3"/>
  <c r="I360" i="3"/>
  <c r="H360" i="3"/>
  <c r="I506" i="3"/>
  <c r="X506" i="3"/>
  <c r="H506" i="3"/>
  <c r="AB501" i="3"/>
  <c r="AA502" i="3"/>
  <c r="X512" i="3"/>
  <c r="I512" i="3"/>
  <c r="H512" i="3"/>
  <c r="AB507" i="3"/>
  <c r="AA508" i="3"/>
  <c r="X448" i="3"/>
  <c r="H448" i="3"/>
  <c r="I448" i="3"/>
  <c r="X523" i="3"/>
  <c r="I523" i="3"/>
  <c r="H523" i="3"/>
  <c r="AA519" i="3"/>
  <c r="AB518" i="3"/>
  <c r="I459" i="3"/>
  <c r="H459" i="3"/>
  <c r="X459" i="3"/>
  <c r="AB454" i="3"/>
  <c r="AA455" i="3"/>
  <c r="AA380" i="3"/>
  <c r="AB379" i="3"/>
  <c r="H470" i="3"/>
  <c r="I470" i="3"/>
  <c r="X470" i="3"/>
  <c r="AB465" i="3"/>
  <c r="AA466" i="3"/>
  <c r="AB423" i="3"/>
  <c r="AA424" i="3"/>
  <c r="I403" i="3"/>
  <c r="H403" i="3"/>
  <c r="X403" i="3"/>
  <c r="AA399" i="3"/>
  <c r="AB398" i="3"/>
  <c r="AB227" i="3"/>
  <c r="AA228" i="3"/>
  <c r="I414" i="3"/>
  <c r="H414" i="3"/>
  <c r="X414" i="3"/>
  <c r="AB409" i="3"/>
  <c r="AA410" i="3"/>
  <c r="I425" i="3"/>
  <c r="X425" i="3"/>
  <c r="H425" i="3"/>
  <c r="AA421" i="3"/>
  <c r="AB420" i="3"/>
  <c r="I264" i="3"/>
  <c r="X264" i="3"/>
  <c r="H264" i="3"/>
  <c r="H431" i="3"/>
  <c r="X431" i="3"/>
  <c r="I431" i="3"/>
  <c r="AB426" i="3"/>
  <c r="AA427" i="3"/>
  <c r="I197" i="3"/>
  <c r="H197" i="3"/>
  <c r="X197" i="3"/>
  <c r="X442" i="3"/>
  <c r="I442" i="3"/>
  <c r="H442" i="3"/>
  <c r="AB437" i="3"/>
  <c r="AA438" i="3"/>
  <c r="I378" i="3"/>
  <c r="H378" i="3"/>
  <c r="X378" i="3"/>
  <c r="AB373" i="3"/>
  <c r="AA374" i="3"/>
  <c r="AA332" i="3"/>
  <c r="AB331" i="3"/>
  <c r="X429" i="3"/>
  <c r="H429" i="3"/>
  <c r="I429" i="3"/>
  <c r="AA425" i="3"/>
  <c r="AB424" i="3"/>
  <c r="H315" i="3"/>
  <c r="X315" i="3"/>
  <c r="I315" i="3"/>
  <c r="AB310" i="3"/>
  <c r="AA311" i="3"/>
  <c r="AB255" i="3"/>
  <c r="AA256" i="3"/>
  <c r="H172" i="3"/>
  <c r="I172" i="3"/>
  <c r="X172" i="3"/>
  <c r="I326" i="3"/>
  <c r="H326" i="3"/>
  <c r="X326" i="3"/>
  <c r="AB321" i="3"/>
  <c r="AA322" i="3"/>
  <c r="I240" i="3"/>
  <c r="H240" i="3"/>
  <c r="X240" i="3"/>
  <c r="I313" i="3"/>
  <c r="H313" i="3"/>
  <c r="X313" i="3"/>
  <c r="AB308" i="3"/>
  <c r="AA309" i="3"/>
  <c r="AB247" i="3"/>
  <c r="AA248" i="3"/>
  <c r="H319" i="3"/>
  <c r="I319" i="3"/>
  <c r="X319" i="3"/>
  <c r="AB314" i="3"/>
  <c r="AA315" i="3"/>
  <c r="AB271" i="3"/>
  <c r="AA272" i="3"/>
  <c r="H212" i="3"/>
  <c r="X212" i="3"/>
  <c r="I212" i="3"/>
  <c r="H330" i="3"/>
  <c r="I330" i="3"/>
  <c r="X330" i="3"/>
  <c r="AB325" i="3"/>
  <c r="AA326" i="3"/>
  <c r="H256" i="3"/>
  <c r="X256" i="3"/>
  <c r="I256" i="3"/>
  <c r="X317" i="3"/>
  <c r="I317" i="3"/>
  <c r="H317" i="3"/>
  <c r="AA313" i="3"/>
  <c r="AB312" i="3"/>
  <c r="AA264" i="3"/>
  <c r="AB263" i="3"/>
  <c r="AA201" i="3"/>
  <c r="AB200" i="3"/>
  <c r="H227" i="3"/>
  <c r="I227" i="3"/>
  <c r="X227" i="3"/>
  <c r="AB222" i="3"/>
  <c r="AA223" i="3"/>
  <c r="X156" i="3"/>
  <c r="I156" i="3"/>
  <c r="H156" i="3"/>
  <c r="H254" i="3"/>
  <c r="I254" i="3"/>
  <c r="X254" i="3"/>
  <c r="AA250" i="3"/>
  <c r="AB249" i="3"/>
  <c r="X273" i="3"/>
  <c r="I273" i="3"/>
  <c r="H273" i="3"/>
  <c r="AA269" i="3"/>
  <c r="AB268" i="3"/>
  <c r="H209" i="3"/>
  <c r="I209" i="3"/>
  <c r="X209" i="3"/>
  <c r="H279" i="3"/>
  <c r="I279" i="3"/>
  <c r="X279" i="3"/>
  <c r="AA275" i="3"/>
  <c r="AB274" i="3"/>
  <c r="H215" i="3"/>
  <c r="I215" i="3"/>
  <c r="X215" i="3"/>
  <c r="AA211" i="3"/>
  <c r="AB210" i="3"/>
  <c r="AA128" i="3"/>
  <c r="AB127" i="3"/>
  <c r="H290" i="3"/>
  <c r="X290" i="3"/>
  <c r="I290" i="3"/>
  <c r="AB285" i="3"/>
  <c r="AA286" i="3"/>
  <c r="X226" i="3"/>
  <c r="H226" i="3"/>
  <c r="I226" i="3"/>
  <c r="AB221" i="3"/>
  <c r="AA222" i="3"/>
  <c r="I237" i="3"/>
  <c r="X237" i="3"/>
  <c r="H237" i="3"/>
  <c r="AA233" i="3"/>
  <c r="AB232" i="3"/>
  <c r="X207" i="3"/>
  <c r="I207" i="3"/>
  <c r="H207" i="3"/>
  <c r="AA158" i="3"/>
  <c r="AB157" i="3"/>
  <c r="H170" i="3"/>
  <c r="X170" i="3"/>
  <c r="I170" i="3"/>
  <c r="AA166" i="3"/>
  <c r="AB165" i="3"/>
  <c r="H173" i="3"/>
  <c r="I173" i="3"/>
  <c r="X173" i="3"/>
  <c r="AA169" i="3"/>
  <c r="AB168" i="3"/>
  <c r="H203" i="3"/>
  <c r="I203" i="3"/>
  <c r="X203" i="3"/>
  <c r="AA199" i="3"/>
  <c r="AB198" i="3"/>
  <c r="H157" i="3"/>
  <c r="I157" i="3"/>
  <c r="X157" i="3"/>
  <c r="H144" i="3"/>
  <c r="X144" i="3"/>
  <c r="I144" i="3"/>
  <c r="I174" i="3"/>
  <c r="X174" i="3"/>
  <c r="H174" i="3"/>
  <c r="AB169" i="3"/>
  <c r="AA170" i="3"/>
  <c r="AA79" i="3"/>
  <c r="AB78" i="3"/>
  <c r="AA205" i="3"/>
  <c r="AB204" i="3"/>
  <c r="H69" i="3"/>
  <c r="I69" i="3"/>
  <c r="X69" i="3"/>
  <c r="X133" i="3"/>
  <c r="H133" i="3"/>
  <c r="I133" i="3"/>
  <c r="AB128" i="3"/>
  <c r="AA129" i="3"/>
  <c r="X126" i="3"/>
  <c r="H126" i="3"/>
  <c r="I126" i="3"/>
  <c r="H121" i="3"/>
  <c r="I121" i="3"/>
  <c r="X121" i="3"/>
  <c r="X99" i="3"/>
  <c r="H99" i="3"/>
  <c r="I99" i="3"/>
  <c r="H119" i="3"/>
  <c r="I119" i="3"/>
  <c r="X119" i="3"/>
  <c r="AA41" i="3"/>
  <c r="AB40" i="3"/>
  <c r="X97" i="3"/>
  <c r="I97" i="3"/>
  <c r="H97" i="3"/>
  <c r="AB92" i="3"/>
  <c r="AA93" i="3"/>
  <c r="AB80" i="3"/>
  <c r="AA81" i="3"/>
  <c r="AB103" i="3"/>
  <c r="AA104" i="3"/>
  <c r="H106" i="3"/>
  <c r="X106" i="3"/>
  <c r="I106" i="3"/>
  <c r="AA102" i="3"/>
  <c r="AB101" i="3"/>
  <c r="I85" i="3"/>
  <c r="H85" i="3"/>
  <c r="X85" i="3"/>
  <c r="AB17" i="3"/>
  <c r="AA18" i="3"/>
  <c r="I88" i="3"/>
  <c r="X88" i="3"/>
  <c r="H88" i="3"/>
  <c r="H12" i="3"/>
  <c r="I12" i="3"/>
  <c r="X12" i="3"/>
  <c r="I8" i="3"/>
  <c r="H8" i="3"/>
  <c r="X8" i="3"/>
  <c r="X14" i="3"/>
  <c r="H14" i="3"/>
  <c r="I14" i="3"/>
  <c r="I20" i="3"/>
  <c r="H20" i="3"/>
  <c r="X20" i="3"/>
  <c r="AA17" i="3"/>
  <c r="AB16" i="3"/>
  <c r="X32" i="3"/>
  <c r="I32" i="3"/>
  <c r="H32" i="3"/>
  <c r="I47" i="3"/>
  <c r="X47" i="3"/>
  <c r="H47" i="3"/>
  <c r="AA43" i="3"/>
  <c r="AB42" i="3"/>
  <c r="H50" i="3"/>
  <c r="X50" i="3"/>
  <c r="I50" i="3"/>
  <c r="AA46" i="3"/>
  <c r="AB45" i="3"/>
  <c r="I43" i="3"/>
  <c r="X43" i="3"/>
  <c r="H43" i="3"/>
  <c r="AB38" i="3"/>
  <c r="AA39" i="3"/>
  <c r="X41" i="3"/>
  <c r="H41" i="3"/>
  <c r="I41" i="3"/>
  <c r="AB36" i="3"/>
  <c r="AA37" i="3"/>
  <c r="AC8" i="3" l="1"/>
  <c r="AC321" i="3"/>
  <c r="AC695" i="3"/>
  <c r="AC152" i="3"/>
  <c r="AC911" i="3"/>
  <c r="AC165" i="3"/>
  <c r="AC274" i="3"/>
  <c r="AC198" i="3"/>
  <c r="AC465" i="3"/>
  <c r="AC394" i="3"/>
  <c r="AC937" i="3"/>
  <c r="AC557" i="3"/>
  <c r="AC679" i="3"/>
  <c r="AC462" i="3"/>
  <c r="AC227" i="3"/>
  <c r="AC190" i="3"/>
  <c r="AC381" i="3"/>
  <c r="AC723" i="3"/>
  <c r="AC337" i="3"/>
  <c r="AC879" i="3"/>
  <c r="AC346" i="3"/>
  <c r="AC370" i="3"/>
  <c r="AC944" i="3"/>
  <c r="AC738" i="3"/>
  <c r="AC70" i="3"/>
  <c r="AC801" i="3"/>
  <c r="AC880" i="3"/>
  <c r="AC533" i="3"/>
  <c r="AC788" i="3"/>
  <c r="AC680" i="3"/>
  <c r="AC65" i="3"/>
  <c r="AC61" i="3"/>
  <c r="AC423" i="3"/>
  <c r="O3" i="3"/>
  <c r="R4" i="3"/>
  <c r="X4" i="3" s="1"/>
  <c r="M3" i="3"/>
  <c r="N3" i="3"/>
  <c r="F19" i="1" s="1"/>
  <c r="AC78" i="3"/>
  <c r="AC127" i="3"/>
  <c r="AC518" i="3"/>
  <c r="AC888" i="3"/>
  <c r="AC437" i="3"/>
  <c r="AC873" i="3"/>
  <c r="AC666" i="3"/>
  <c r="AC913" i="3"/>
  <c r="AC698" i="3"/>
  <c r="AC701" i="3"/>
  <c r="AC765" i="3"/>
  <c r="AC504" i="3"/>
  <c r="AC534" i="3"/>
  <c r="AC740" i="3"/>
  <c r="AC604" i="3"/>
  <c r="AC977" i="3"/>
  <c r="AC592" i="3"/>
  <c r="AC854" i="3"/>
  <c r="AC156" i="3"/>
  <c r="AC229" i="3"/>
  <c r="AC726" i="3"/>
  <c r="AC468" i="3"/>
  <c r="AC111" i="3"/>
  <c r="AC600" i="3"/>
  <c r="AC814" i="3"/>
  <c r="AC146" i="3"/>
  <c r="AC235" i="3"/>
  <c r="AC923" i="3"/>
  <c r="AC108" i="3"/>
  <c r="AC960" i="3"/>
  <c r="AC851" i="3"/>
  <c r="AC774" i="3"/>
  <c r="AC210" i="3"/>
  <c r="AC776" i="3"/>
  <c r="AC335" i="3"/>
  <c r="AC545" i="3"/>
  <c r="AC543" i="3"/>
  <c r="AC167" i="3"/>
  <c r="AC525" i="3"/>
  <c r="AC486" i="3"/>
  <c r="AC932" i="3"/>
  <c r="AC818" i="3"/>
  <c r="AC105" i="3"/>
  <c r="AC432" i="3"/>
  <c r="AC69" i="3"/>
  <c r="AC530" i="3"/>
  <c r="AC259" i="3"/>
  <c r="AC73" i="3"/>
  <c r="AC42" i="3"/>
  <c r="AC271" i="3"/>
  <c r="AC268" i="3"/>
  <c r="AC573" i="3"/>
  <c r="AC847" i="3"/>
  <c r="AC21" i="3"/>
  <c r="AC31" i="3"/>
  <c r="AC208" i="3"/>
  <c r="AC135" i="3"/>
  <c r="AC492" i="3"/>
  <c r="AC844" i="3"/>
  <c r="AC985" i="3"/>
  <c r="AC975" i="3"/>
  <c r="AC588" i="3"/>
  <c r="AC790" i="3"/>
  <c r="AC247" i="3"/>
  <c r="AC452" i="3"/>
  <c r="AC678" i="3"/>
  <c r="AC82" i="3"/>
  <c r="AC838" i="3"/>
  <c r="AC688" i="3"/>
  <c r="AC194" i="3"/>
  <c r="AC568" i="3"/>
  <c r="R18" i="1" a="1"/>
  <c r="AC569" i="3"/>
  <c r="AC614" i="3"/>
  <c r="AC96" i="3"/>
  <c r="AC755" i="3"/>
  <c r="AC28" i="3"/>
  <c r="AC429" i="3"/>
  <c r="AC907" i="3"/>
  <c r="AC581" i="3"/>
  <c r="AC625" i="3"/>
  <c r="AC261" i="3"/>
  <c r="AC299" i="3"/>
  <c r="AD18" i="1" a="1"/>
  <c r="AC551" i="3"/>
  <c r="AC780" i="3"/>
  <c r="AC806" i="3"/>
  <c r="AC372" i="3"/>
  <c r="AC178" i="3"/>
  <c r="AC804" i="3"/>
  <c r="AC140" i="3"/>
  <c r="AC361" i="3"/>
  <c r="AC623" i="3"/>
  <c r="AC232" i="3"/>
  <c r="AC420" i="3"/>
  <c r="AC383" i="3"/>
  <c r="AC144" i="3"/>
  <c r="AC442" i="3"/>
  <c r="AC527" i="3"/>
  <c r="AC607" i="3"/>
  <c r="AC920" i="3"/>
  <c r="AC196" i="3"/>
  <c r="AC663" i="3"/>
  <c r="AC103" i="3"/>
  <c r="AC330" i="3"/>
  <c r="AC575" i="3"/>
  <c r="AC476" i="3"/>
  <c r="AC710" i="3"/>
  <c r="AC440" i="3"/>
  <c r="AC413" i="3"/>
  <c r="AC735" i="3"/>
  <c r="AC924" i="3"/>
  <c r="AC400" i="3"/>
  <c r="AC523" i="3"/>
  <c r="AC820" i="3"/>
  <c r="AC147" i="3"/>
  <c r="AC16" i="3"/>
  <c r="AC562" i="3"/>
  <c r="AC827" i="3"/>
  <c r="AC467" i="3"/>
  <c r="AC306" i="3"/>
  <c r="AC253" i="3"/>
  <c r="AC36" i="3"/>
  <c r="AC204" i="3"/>
  <c r="AC348" i="3"/>
  <c r="AC641" i="3"/>
  <c r="AC376" i="3"/>
  <c r="AC807" i="3"/>
  <c r="AC831" i="3"/>
  <c r="AC115" i="3"/>
  <c r="AC405" i="3"/>
  <c r="AC475" i="3"/>
  <c r="AC464" i="3"/>
  <c r="AC49" i="3"/>
  <c r="AC921" i="3"/>
  <c r="AC364" i="3"/>
  <c r="AC658" i="3"/>
  <c r="AC379" i="3"/>
  <c r="AC14" i="3"/>
  <c r="AC578" i="3"/>
  <c r="AC277" i="3"/>
  <c r="AC537" i="3"/>
  <c r="AC958" i="3"/>
  <c r="AC154" i="3"/>
  <c r="AC90" i="3"/>
  <c r="AC435" i="3"/>
  <c r="AC845" i="3"/>
  <c r="AC964" i="3"/>
  <c r="AC99" i="3"/>
  <c r="A29" i="1" a="1"/>
  <c r="A36" i="1" s="1"/>
  <c r="AC312" i="3"/>
  <c r="AC373" i="3"/>
  <c r="AC301" i="3"/>
  <c r="AC402" i="3"/>
  <c r="AC980" i="3"/>
  <c r="AC583" i="3"/>
  <c r="AC883" i="3"/>
  <c r="AC207" i="3"/>
  <c r="AC660" i="3"/>
  <c r="AC775" i="3"/>
  <c r="AC48" i="3"/>
  <c r="AC447" i="3"/>
  <c r="M5" i="3"/>
  <c r="D56" i="1" s="1"/>
  <c r="AC891" i="3"/>
  <c r="AC445" i="3"/>
  <c r="AC536" i="3"/>
  <c r="L5" i="3"/>
  <c r="D67" i="1" s="1"/>
  <c r="AC168" i="3"/>
  <c r="AC120" i="3"/>
  <c r="AC947" i="3"/>
  <c r="AC669" i="3"/>
  <c r="AC339" i="3"/>
  <c r="AC823" i="3"/>
  <c r="AC332" i="3"/>
  <c r="AC308" i="3"/>
  <c r="AC737" i="3"/>
  <c r="AC224" i="3"/>
  <c r="AC978" i="3"/>
  <c r="AC981" i="3"/>
  <c r="AC106" i="3"/>
  <c r="AC691" i="3"/>
  <c r="AC365" i="3"/>
  <c r="AC75" i="3"/>
  <c r="AC876" i="3"/>
  <c r="AC966" i="3"/>
  <c r="AC300" i="3"/>
  <c r="AC25" i="3"/>
  <c r="AC169" i="3"/>
  <c r="AC409" i="3"/>
  <c r="AC629" i="3"/>
  <c r="AC988" i="3"/>
  <c r="AC949" i="3"/>
  <c r="AC962" i="3"/>
  <c r="AC32" i="3"/>
  <c r="AC174" i="3"/>
  <c r="AC538" i="3"/>
  <c r="AC237" i="3"/>
  <c r="AC356" i="3"/>
  <c r="AC470" i="3"/>
  <c r="AC728" i="3"/>
  <c r="AC940" i="3"/>
  <c r="AC153" i="3"/>
  <c r="AC33" i="3"/>
  <c r="AC236" i="3"/>
  <c r="AC520" i="3"/>
  <c r="AC171" i="3"/>
  <c r="AC451" i="3"/>
  <c r="AC664" i="3"/>
  <c r="AC896" i="3"/>
  <c r="AC45" i="3"/>
  <c r="AC798" i="3"/>
  <c r="AC605" i="3"/>
  <c r="AC418" i="3"/>
  <c r="AC521" i="3"/>
  <c r="AC647" i="3"/>
  <c r="AC77" i="3"/>
  <c r="AC281" i="3"/>
  <c r="AC87" i="3"/>
  <c r="AC783" i="3"/>
  <c r="AC126" i="3"/>
  <c r="AC192" i="3"/>
  <c r="AC157" i="3"/>
  <c r="AC811" i="3"/>
  <c r="AC350" i="3"/>
  <c r="AC333" i="3"/>
  <c r="AC408" i="3"/>
  <c r="AC910" i="3"/>
  <c r="AC385" i="3"/>
  <c r="AC560" i="3"/>
  <c r="AC652" i="3"/>
  <c r="AC686" i="3"/>
  <c r="AC554" i="3"/>
  <c r="AC509" i="3"/>
  <c r="AC221" i="3"/>
  <c r="AC596" i="3"/>
  <c r="AC416" i="3"/>
  <c r="AC316" i="3"/>
  <c r="AC360" i="3"/>
  <c r="AC387" i="3"/>
  <c r="AC200" i="3"/>
  <c r="AC180" i="3"/>
  <c r="AC186" i="3"/>
  <c r="AC354" i="3"/>
  <c r="AC620" i="3"/>
  <c r="AC617" i="3"/>
  <c r="AC915" i="3"/>
  <c r="AC137" i="3"/>
  <c r="AC589" i="3"/>
  <c r="AC585" i="3"/>
  <c r="AC904" i="3"/>
  <c r="AC113" i="3"/>
  <c r="AC304" i="3"/>
  <c r="AC67" i="3"/>
  <c r="AC295" i="3"/>
  <c r="AC123" i="3"/>
  <c r="AC594" i="3"/>
  <c r="AC434" i="3"/>
  <c r="AC1000" i="3"/>
  <c r="AC283" i="3"/>
  <c r="AC572" i="3"/>
  <c r="AC750" i="3"/>
  <c r="AC843" i="3"/>
  <c r="AC759" i="3"/>
  <c r="AC942" i="3"/>
  <c r="AC217" i="3"/>
  <c r="AC340" i="3"/>
  <c r="AC512" i="3"/>
  <c r="AC293" i="3"/>
  <c r="AC297" i="3"/>
  <c r="AC751" i="3"/>
  <c r="AC398" i="3"/>
  <c r="AC829" i="3"/>
  <c r="AC826" i="3"/>
  <c r="AC704" i="3"/>
  <c r="AC952" i="3"/>
  <c r="AC12" i="3"/>
  <c r="AC225" i="3"/>
  <c r="AC540" i="3"/>
  <c r="AC926" i="3"/>
  <c r="AC707" i="3"/>
  <c r="AC902" i="3"/>
  <c r="AC98" i="3"/>
  <c r="AC257" i="3"/>
  <c r="AC89" i="3"/>
  <c r="AC92" i="3"/>
  <c r="AC285" i="3"/>
  <c r="AC183" i="3"/>
  <c r="AC490" i="3"/>
  <c r="AC479" i="3"/>
  <c r="AC995" i="3"/>
  <c r="AC142" i="3"/>
  <c r="AC444" i="3"/>
  <c r="AC591" i="3"/>
  <c r="AC56" i="3"/>
  <c r="AC727" i="3"/>
  <c r="AC320" i="3"/>
  <c r="AC515" i="3"/>
  <c r="AC252" i="3"/>
  <c r="AC255" i="3"/>
  <c r="AC244" i="3"/>
  <c r="AC900" i="3"/>
  <c r="AC928" i="3"/>
  <c r="AC341" i="3"/>
  <c r="AC324" i="3"/>
  <c r="AC459" i="3"/>
  <c r="AC288" i="3"/>
  <c r="AC682" i="3"/>
  <c r="AC768" i="3"/>
  <c r="AC27" i="3"/>
  <c r="AC357" i="3"/>
  <c r="AC836" i="3"/>
  <c r="AC88" i="3"/>
  <c r="AC212" i="3"/>
  <c r="AC331" i="3"/>
  <c r="AC38" i="3"/>
  <c r="AC983" i="3"/>
  <c r="AC343" i="3"/>
  <c r="AC389" i="3"/>
  <c r="AC378" i="3"/>
  <c r="AC448" i="3"/>
  <c r="AC784" i="3"/>
  <c r="AC507" i="3"/>
  <c r="AC138" i="3"/>
  <c r="AC249" i="3"/>
  <c r="AC454" i="3"/>
  <c r="AC644" i="3"/>
  <c r="AC734" i="3"/>
  <c r="AC160" i="3"/>
  <c r="AC344" i="3"/>
  <c r="AC917" i="3"/>
  <c r="AC213" i="3"/>
  <c r="AC231" i="3"/>
  <c r="AC866" i="3"/>
  <c r="AC172" i="3"/>
  <c r="AC894" i="3"/>
  <c r="AC662" i="3"/>
  <c r="AC80" i="3"/>
  <c r="AC426" i="3"/>
  <c r="AC472" i="3"/>
  <c r="AC863" i="3"/>
  <c r="AC494" i="3"/>
  <c r="AC9" i="3"/>
  <c r="AC999" i="3"/>
  <c r="AC289" i="3"/>
  <c r="AC325" i="3"/>
  <c r="AC862" i="3"/>
  <c r="AC83" i="3"/>
  <c r="AC352" i="3"/>
  <c r="AC632" i="3"/>
  <c r="AC671" i="3"/>
  <c r="AC241" i="3"/>
  <c r="AC317" i="3"/>
  <c r="AC412" i="3"/>
  <c r="AC683" i="3"/>
  <c r="AC636" i="3"/>
  <c r="AC130" i="3"/>
  <c r="AC542" i="3"/>
  <c r="AC531" i="3"/>
  <c r="AC709" i="3"/>
  <c r="AC150" i="3"/>
  <c r="AC640" i="3"/>
  <c r="AC872" i="3"/>
  <c r="AC935" i="3"/>
  <c r="AC593" i="3"/>
  <c r="AC787" i="3"/>
  <c r="AC772" i="3"/>
  <c r="AC974" i="3"/>
  <c r="AC746" i="3"/>
  <c r="AC972" i="3"/>
  <c r="AC639" i="3"/>
  <c r="AC134" i="3"/>
  <c r="AC60" i="3"/>
  <c r="AC800" i="3"/>
  <c r="AC71" i="3"/>
  <c r="AC280" i="3"/>
  <c r="AC19" i="3"/>
  <c r="AC163" i="3"/>
  <c r="AC355" i="3"/>
  <c r="AC215" i="3"/>
  <c r="AC133" i="3"/>
  <c r="AC179" i="3"/>
  <c r="AC254" i="3"/>
  <c r="AC243" i="3"/>
  <c r="AC769" i="3"/>
  <c r="AC488" i="3"/>
  <c r="AC571" i="3"/>
  <c r="AC547" i="3"/>
  <c r="AC122" i="3"/>
  <c r="AC627" i="3"/>
  <c r="AC181" i="3"/>
  <c r="AC238" i="3"/>
  <c r="AC496" i="3"/>
  <c r="AC214" i="3"/>
  <c r="AC391" i="3"/>
  <c r="AC651" i="3"/>
  <c r="AC648" i="3"/>
  <c r="AC659" i="3"/>
  <c r="AC161" i="3"/>
  <c r="AC803" i="3"/>
  <c r="AC443" i="3"/>
  <c r="AC579" i="3"/>
  <c r="AC319" i="3"/>
  <c r="AC64" i="3"/>
  <c r="AC17" i="3"/>
  <c r="AC456" i="3"/>
  <c r="AC205" i="3"/>
  <c r="AC262" i="3"/>
  <c r="AC477" i="3"/>
  <c r="AC603" i="3"/>
  <c r="AC266" i="3"/>
  <c r="AC267" i="3"/>
  <c r="AC526" i="3"/>
  <c r="AC197" i="3"/>
  <c r="AC347" i="3"/>
  <c r="AC608" i="3"/>
  <c r="AC563" i="3"/>
  <c r="AC626" i="3"/>
  <c r="AC43" i="3"/>
  <c r="AC250" i="3"/>
  <c r="AC549" i="3"/>
  <c r="AC816" i="3"/>
  <c r="AC741" i="3"/>
  <c r="AC58" i="3"/>
  <c r="AC248" i="3"/>
  <c r="AC453" i="3"/>
  <c r="AC643" i="3"/>
  <c r="AC692" i="3"/>
  <c r="AC756" i="3"/>
  <c r="AC34" i="3"/>
  <c r="AC57" i="3"/>
  <c r="AC158" i="3"/>
  <c r="AC278" i="3"/>
  <c r="AC314" i="3"/>
  <c r="AC482" i="3"/>
  <c r="AC471" i="3"/>
  <c r="AC419" i="3"/>
  <c r="AC690" i="3"/>
  <c r="AC916" i="3"/>
  <c r="AC712" i="3"/>
  <c r="AC954" i="3"/>
  <c r="AC68" i="3"/>
  <c r="AC377" i="3"/>
  <c r="AC395" i="3"/>
  <c r="AC541" i="3"/>
  <c r="AC566" i="3"/>
  <c r="AC624" i="3"/>
  <c r="AC861" i="3"/>
  <c r="AC905" i="3"/>
  <c r="AC101" i="3"/>
  <c r="AC136" i="3"/>
  <c r="AC177" i="3"/>
  <c r="AC635" i="3"/>
  <c r="AC516" i="3"/>
  <c r="AC684" i="3"/>
  <c r="AC720" i="3"/>
  <c r="AC524" i="3"/>
  <c r="AC771" i="3"/>
  <c r="AC681" i="3"/>
  <c r="AC996" i="3"/>
  <c r="AC914" i="3"/>
  <c r="AC29" i="3"/>
  <c r="AC139" i="3"/>
  <c r="AC269" i="3"/>
  <c r="AC358" i="3"/>
  <c r="AC449" i="3"/>
  <c r="AC580" i="3"/>
  <c r="AC532" i="3"/>
  <c r="AC584" i="3"/>
  <c r="AC675" i="3"/>
  <c r="AC785" i="3"/>
  <c r="AC824" i="3"/>
  <c r="AC936" i="3"/>
  <c r="AC869" i="3"/>
  <c r="AC63" i="3"/>
  <c r="AC59" i="3"/>
  <c r="AC107" i="3"/>
  <c r="AC124" i="3"/>
  <c r="AC145" i="3"/>
  <c r="AC121" i="3"/>
  <c r="AC193" i="3"/>
  <c r="AC155" i="3"/>
  <c r="AC338" i="3"/>
  <c r="AC307" i="3"/>
  <c r="AC514" i="3"/>
  <c r="AC599" i="3"/>
  <c r="AC323" i="3"/>
  <c r="AC822" i="3"/>
  <c r="AC736" i="3"/>
  <c r="AC850" i="3"/>
  <c r="AC884" i="3"/>
  <c r="AC922" i="3"/>
  <c r="AC959" i="3"/>
  <c r="AC713" i="3"/>
  <c r="AC991" i="3"/>
  <c r="AC84" i="3"/>
  <c r="AC290" i="3"/>
  <c r="AC351" i="3"/>
  <c r="AC436" i="3"/>
  <c r="AC817" i="3"/>
  <c r="AC717" i="3"/>
  <c r="AC633" i="3"/>
  <c r="AC889" i="3"/>
  <c r="AC793" i="3"/>
  <c r="AC670" i="3"/>
  <c r="AC711" i="3"/>
  <c r="AC74" i="3"/>
  <c r="AC201" i="3"/>
  <c r="AC342" i="3"/>
  <c r="AC439" i="3"/>
  <c r="AC808" i="3"/>
  <c r="AC46" i="3"/>
  <c r="AC109" i="3"/>
  <c r="AC100" i="3"/>
  <c r="AC329" i="3"/>
  <c r="AC318" i="3"/>
  <c r="AC417" i="3"/>
  <c r="AC519" i="3"/>
  <c r="AC812" i="3"/>
  <c r="AC743" i="3"/>
  <c r="AC848" i="3"/>
  <c r="AC601" i="3"/>
  <c r="AC770" i="3"/>
  <c r="AC919" i="3"/>
  <c r="AC35" i="3"/>
  <c r="AC76" i="3"/>
  <c r="AC382" i="3"/>
  <c r="AC782" i="3"/>
  <c r="AC117" i="3"/>
  <c r="AC125" i="3"/>
  <c r="AC114" i="3"/>
  <c r="AC245" i="3"/>
  <c r="AC273" i="3"/>
  <c r="AC246" i="3"/>
  <c r="AC587" i="3"/>
  <c r="AC700" i="3"/>
  <c r="AC789" i="3"/>
  <c r="AC665" i="3"/>
  <c r="AC909" i="3"/>
  <c r="AC931" i="3"/>
  <c r="AC938" i="3"/>
  <c r="AC656" i="3"/>
  <c r="AC79" i="3"/>
  <c r="AC438" i="3"/>
  <c r="AC802" i="3"/>
  <c r="AC990" i="3"/>
  <c r="AC642" i="3"/>
  <c r="AC631" i="3"/>
  <c r="AC856" i="3"/>
  <c r="AC901" i="3"/>
  <c r="AC982" i="3"/>
  <c r="AC93" i="3"/>
  <c r="AC275" i="3"/>
  <c r="AC590" i="3"/>
  <c r="AC618" i="3"/>
  <c r="AC693" i="3"/>
  <c r="AC929" i="3"/>
  <c r="AC967" i="3"/>
  <c r="AC392" i="3"/>
  <c r="AC303" i="3"/>
  <c r="AC469" i="3"/>
  <c r="AC458" i="3"/>
  <c r="AC766" i="3"/>
  <c r="AC733" i="3"/>
  <c r="AC794" i="3"/>
  <c r="AC867" i="3"/>
  <c r="AC715" i="3"/>
  <c r="AC62" i="3"/>
  <c r="AC517" i="3"/>
  <c r="AC809" i="3"/>
  <c r="AC742" i="3"/>
  <c r="AC602" i="3"/>
  <c r="AC732" i="3"/>
  <c r="AC881" i="3"/>
  <c r="AC22" i="3"/>
  <c r="AC119" i="3"/>
  <c r="AC188" i="3"/>
  <c r="AC182" i="3"/>
  <c r="AC296" i="3"/>
  <c r="AC294" i="3"/>
  <c r="AC410" i="3"/>
  <c r="AC502" i="3"/>
  <c r="AC610" i="3"/>
  <c r="AC612" i="3"/>
  <c r="AC673" i="3"/>
  <c r="AC760" i="3"/>
  <c r="AC749" i="3"/>
  <c r="AC835" i="3"/>
  <c r="AC899" i="3"/>
  <c r="AC998" i="3"/>
  <c r="AC946" i="3"/>
  <c r="AC767" i="3"/>
  <c r="AC66" i="3"/>
  <c r="AC116" i="3"/>
  <c r="AC170" i="3"/>
  <c r="AC287" i="3"/>
  <c r="AC211" i="3"/>
  <c r="AC597" i="3"/>
  <c r="AC615" i="3"/>
  <c r="AC668" i="3"/>
  <c r="AC828" i="3"/>
  <c r="AC825" i="3"/>
  <c r="AC903" i="3"/>
  <c r="AC951" i="3"/>
  <c r="AC699" i="3"/>
  <c r="AC272" i="3"/>
  <c r="AC427" i="3"/>
  <c r="AC667" i="3"/>
  <c r="AC841" i="3"/>
  <c r="AC752" i="3"/>
  <c r="AC925" i="3"/>
  <c r="AC874" i="3"/>
  <c r="AC184" i="3"/>
  <c r="AC328" i="3"/>
  <c r="AC327" i="3"/>
  <c r="AC414" i="3"/>
  <c r="AC630" i="3"/>
  <c r="AC714" i="3"/>
  <c r="AC875" i="3"/>
  <c r="AC984" i="3"/>
  <c r="AC37" i="3"/>
  <c r="AC159" i="3"/>
  <c r="AC175" i="3"/>
  <c r="AC239" i="3"/>
  <c r="AC457" i="3"/>
  <c r="AC564" i="3"/>
  <c r="AC890" i="3"/>
  <c r="AC968" i="3"/>
  <c r="AC112" i="3"/>
  <c r="AC24" i="3"/>
  <c r="AC202" i="3"/>
  <c r="AC242" i="3"/>
  <c r="AC797" i="3"/>
  <c r="AC240" i="3"/>
  <c r="AC411" i="3"/>
  <c r="AC487" i="3"/>
  <c r="AC837" i="3"/>
  <c r="AC731" i="3"/>
  <c r="AC970" i="3"/>
  <c r="AC971" i="3"/>
  <c r="AC23" i="3"/>
  <c r="AC81" i="3"/>
  <c r="AC85" i="3"/>
  <c r="AC148" i="3"/>
  <c r="AC216" i="3"/>
  <c r="AC362" i="3"/>
  <c r="AC415" i="3"/>
  <c r="AC553" i="3"/>
  <c r="AC508" i="3"/>
  <c r="AC628" i="3"/>
  <c r="AC611" i="3"/>
  <c r="AC724" i="3"/>
  <c r="AC528" i="3"/>
  <c r="AC637" i="3"/>
  <c r="AC810" i="3"/>
  <c r="AC997" i="3"/>
  <c r="AC86" i="3"/>
  <c r="AC256" i="3"/>
  <c r="AC209" i="3"/>
  <c r="AC349" i="3"/>
  <c r="AC359" i="3"/>
  <c r="AC422" i="3"/>
  <c r="AC450" i="3"/>
  <c r="AC598" i="3"/>
  <c r="AC586" i="3"/>
  <c r="AC535" i="3"/>
  <c r="AC556" i="3"/>
  <c r="AC677" i="3"/>
  <c r="AC544" i="3"/>
  <c r="AC786" i="3"/>
  <c r="AC687" i="3"/>
  <c r="AC961" i="3"/>
  <c r="AC791" i="3"/>
  <c r="AC939" i="3"/>
  <c r="AC895" i="3"/>
  <c r="AC886" i="3"/>
  <c r="AC763" i="3"/>
  <c r="AC989" i="3"/>
  <c r="AC18" i="3"/>
  <c r="AC374" i="3"/>
  <c r="AC455" i="3"/>
  <c r="AC574" i="3"/>
  <c r="AC539" i="3"/>
  <c r="AC552" i="3"/>
  <c r="AC992" i="3"/>
  <c r="AC185" i="3"/>
  <c r="AC162" i="3"/>
  <c r="AC220" i="3"/>
  <c r="AC481" i="3"/>
  <c r="AC399" i="3"/>
  <c r="AC495" i="3"/>
  <c r="AC672" i="3"/>
  <c r="AC753" i="3"/>
  <c r="AC994" i="3"/>
  <c r="AC55" i="3"/>
  <c r="AC606" i="3"/>
  <c r="AC619" i="3"/>
  <c r="AC832" i="3"/>
  <c r="AC821" i="3"/>
  <c r="AC941" i="3"/>
  <c r="AC132" i="3"/>
  <c r="AC118" i="3"/>
  <c r="AC265" i="3"/>
  <c r="AC497" i="3"/>
  <c r="AC703" i="3"/>
  <c r="AC930" i="3"/>
  <c r="AC50" i="3"/>
  <c r="AC91" i="3"/>
  <c r="AC129" i="3"/>
  <c r="AC206" i="3"/>
  <c r="AC173" i="3"/>
  <c r="AC282" i="3"/>
  <c r="AC498" i="3"/>
  <c r="AC570" i="3"/>
  <c r="AC484" i="3"/>
  <c r="AC706" i="3"/>
  <c r="AC957" i="3"/>
  <c r="AC927" i="3"/>
  <c r="AC47" i="3"/>
  <c r="AC40" i="3"/>
  <c r="AC149" i="3"/>
  <c r="AC199" i="3"/>
  <c r="AC284" i="3"/>
  <c r="AC721" i="3"/>
  <c r="AC719" i="3"/>
  <c r="AC934" i="3"/>
  <c r="AC882" i="3"/>
  <c r="AC979" i="3"/>
  <c r="AC11" i="3"/>
  <c r="AC104" i="3"/>
  <c r="AC97" i="3"/>
  <c r="AC397" i="3"/>
  <c r="AC386" i="3"/>
  <c r="AC433" i="3"/>
  <c r="AC489" i="3"/>
  <c r="AC478" i="3"/>
  <c r="AC529" i="3"/>
  <c r="AC616" i="3"/>
  <c r="AC762" i="3"/>
  <c r="AC758" i="3"/>
  <c r="AC725" i="3"/>
  <c r="AC739" i="3"/>
  <c r="AC792" i="3"/>
  <c r="AC976" i="3"/>
  <c r="AC222" i="3"/>
  <c r="AC424" i="3"/>
  <c r="AC141" i="3"/>
  <c r="AC187" i="3"/>
  <c r="AC263" i="3"/>
  <c r="AC466" i="3"/>
  <c r="AC621" i="3"/>
  <c r="AC226" i="3"/>
  <c r="AC550" i="3"/>
  <c r="AC842" i="3"/>
  <c r="AC965" i="3"/>
  <c r="AC223" i="3"/>
  <c r="AC401" i="3"/>
  <c r="AC390" i="3"/>
  <c r="AC403" i="3"/>
  <c r="AC729" i="3"/>
  <c r="AC754" i="3"/>
  <c r="AC815" i="3"/>
  <c r="AC865" i="3"/>
  <c r="AC779" i="3"/>
  <c r="AC955" i="3"/>
  <c r="AC13" i="3"/>
  <c r="AC10" i="3"/>
  <c r="AC264" i="3"/>
  <c r="AC353" i="3"/>
  <c r="AC441" i="3"/>
  <c r="AC595" i="3"/>
  <c r="AC609" i="3"/>
  <c r="AC705" i="3"/>
  <c r="AC702" i="3"/>
  <c r="AC744" i="3"/>
  <c r="AC730" i="3"/>
  <c r="AC918" i="3"/>
  <c r="AC44" i="3"/>
  <c r="AC203" i="3"/>
  <c r="AC292" i="3"/>
  <c r="AC406" i="3"/>
  <c r="AC748" i="3"/>
  <c r="AC745" i="3"/>
  <c r="AC773" i="3"/>
  <c r="AC795" i="3"/>
  <c r="AC868" i="3"/>
  <c r="AC20" i="3"/>
  <c r="AC26" i="3"/>
  <c r="AC39" i="3"/>
  <c r="AC270" i="3"/>
  <c r="AC251" i="3"/>
  <c r="AC305" i="3"/>
  <c r="AC421" i="3"/>
  <c r="AC513" i="3"/>
  <c r="AC463" i="3"/>
  <c r="AC576" i="3"/>
  <c r="AC852" i="3"/>
  <c r="AC849" i="3"/>
  <c r="AC718" i="3"/>
  <c r="AC696" i="3"/>
  <c r="AC685" i="3"/>
  <c r="AC933" i="3"/>
  <c r="AC189" i="3"/>
  <c r="AC151" i="3"/>
  <c r="AC345" i="3"/>
  <c r="AC334" i="3"/>
  <c r="AC384" i="3"/>
  <c r="AC380" i="3"/>
  <c r="AC315" i="3"/>
  <c r="AC407" i="3"/>
  <c r="AC761" i="3"/>
  <c r="AC722" i="3"/>
  <c r="AC948" i="3"/>
  <c r="AC799" i="3"/>
  <c r="AC973" i="3"/>
  <c r="AC840" i="3"/>
  <c r="AC986" i="3"/>
  <c r="AC943" i="3"/>
  <c r="AC987" i="3"/>
  <c r="AC777" i="3"/>
  <c r="AC805" i="3"/>
  <c r="AC425" i="3"/>
  <c r="AC375" i="3"/>
  <c r="AC102" i="3"/>
  <c r="AC302" i="3"/>
  <c r="AC757" i="3"/>
  <c r="AC166" i="3"/>
  <c r="AC511" i="3"/>
  <c r="AC501" i="3"/>
  <c r="AC708" i="3"/>
  <c r="AC956" i="3"/>
  <c r="AC969" i="3"/>
  <c r="AC963" i="3"/>
  <c r="AC53" i="3"/>
  <c r="AC218" i="3"/>
  <c r="AC276" i="3"/>
  <c r="AC322" i="3"/>
  <c r="AC311" i="3"/>
  <c r="AC428" i="3"/>
  <c r="AC367" i="3"/>
  <c r="AC473" i="3"/>
  <c r="AC622" i="3"/>
  <c r="AC657" i="3"/>
  <c r="AC613" i="3"/>
  <c r="AC834" i="3"/>
  <c r="AC860" i="3"/>
  <c r="AC945" i="3"/>
  <c r="AC906" i="3"/>
  <c r="AC233" i="3"/>
  <c r="AC309" i="3"/>
  <c r="AC298" i="3"/>
  <c r="AC393" i="3"/>
  <c r="AC446" i="3"/>
  <c r="AC485" i="3"/>
  <c r="AC582" i="3"/>
  <c r="AC813" i="3"/>
  <c r="AC747" i="3"/>
  <c r="AC908" i="3"/>
  <c r="AC870" i="3"/>
  <c r="AC871" i="3"/>
  <c r="AC110" i="3"/>
  <c r="AC234" i="3"/>
  <c r="AC431" i="3"/>
  <c r="AC503" i="3"/>
  <c r="AC559" i="3"/>
  <c r="AC650" i="3"/>
  <c r="AC764" i="3"/>
  <c r="AC853" i="3"/>
  <c r="AC839" i="3"/>
  <c r="AC128" i="3"/>
  <c r="AC480" i="3"/>
  <c r="AC655" i="3"/>
  <c r="AC950" i="3"/>
  <c r="AC887" i="3"/>
  <c r="AC326" i="3"/>
  <c r="AC291" i="3"/>
  <c r="AC506" i="3"/>
  <c r="AC645" i="3"/>
  <c r="AC781" i="3"/>
  <c r="AC778" i="3"/>
  <c r="AC654" i="3"/>
  <c r="AC864" i="3"/>
  <c r="AC953" i="3"/>
  <c r="AC260" i="3"/>
  <c r="AC286" i="3"/>
  <c r="AC313" i="3"/>
  <c r="AC493" i="3"/>
  <c r="AC483" i="3"/>
  <c r="AC565" i="3"/>
  <c r="AC555" i="3"/>
  <c r="AC857" i="3"/>
  <c r="AC993" i="3"/>
  <c r="AC878" i="3"/>
  <c r="AC877" i="3"/>
  <c r="AC15" i="3"/>
  <c r="AC430" i="3"/>
  <c r="AC522" i="3"/>
  <c r="AC366" i="3"/>
  <c r="AC500" i="3"/>
  <c r="AC646" i="3"/>
  <c r="AC833" i="3"/>
  <c r="AC830" i="3"/>
  <c r="AC858" i="3"/>
  <c r="AC819" i="3"/>
  <c r="AC176" i="3"/>
  <c r="AC219" i="3"/>
  <c r="AC230" i="3"/>
  <c r="AC279" i="3"/>
  <c r="AC143" i="3"/>
  <c r="AC460" i="3"/>
  <c r="AC634" i="3"/>
  <c r="AC859" i="3"/>
  <c r="AC893" i="3"/>
  <c r="AC41" i="3"/>
  <c r="AC72" i="3"/>
  <c r="AC94" i="3"/>
  <c r="AC258" i="3"/>
  <c r="AC310" i="3"/>
  <c r="AC404" i="3"/>
  <c r="AC491" i="3"/>
  <c r="AC474" i="3"/>
  <c r="AC546" i="3"/>
  <c r="AC674" i="3"/>
  <c r="AC676" i="3"/>
  <c r="AC661" i="3"/>
  <c r="AC846" i="3"/>
  <c r="AC164" i="3"/>
  <c r="AC191" i="3"/>
  <c r="AC228" i="3"/>
  <c r="AC195" i="3"/>
  <c r="AC336" i="3"/>
  <c r="AC369" i="3"/>
  <c r="AC461" i="3"/>
  <c r="AC558" i="3"/>
  <c r="AC638" i="3"/>
  <c r="AC697" i="3"/>
  <c r="AC694" i="3"/>
  <c r="AC885" i="3"/>
  <c r="AC897" i="3"/>
  <c r="AC912" i="3"/>
  <c r="R18" i="1" l="1"/>
  <c r="S18" i="1" s="1"/>
  <c r="Z18" i="1" s="1"/>
  <c r="R26" i="1"/>
  <c r="S26" i="1" s="1"/>
  <c r="Z26" i="1" s="1"/>
  <c r="R34" i="1"/>
  <c r="R42" i="1"/>
  <c r="R50" i="1"/>
  <c r="S50" i="1" s="1"/>
  <c r="Z50" i="1" s="1"/>
  <c r="R58" i="1"/>
  <c r="S58" i="1" s="1"/>
  <c r="Z58" i="1" s="1"/>
  <c r="R66" i="1"/>
  <c r="S66" i="1" s="1"/>
  <c r="Z66" i="1" s="1"/>
  <c r="R74" i="1"/>
  <c r="S74" i="1" s="1"/>
  <c r="Z74" i="1" s="1"/>
  <c r="R82" i="1"/>
  <c r="S82" i="1" s="1"/>
  <c r="Z82" i="1" s="1"/>
  <c r="R90" i="1"/>
  <c r="S90" i="1" s="1"/>
  <c r="Z90" i="1" s="1"/>
  <c r="R98" i="1"/>
  <c r="R106" i="1"/>
  <c r="R114" i="1"/>
  <c r="S114" i="1" s="1"/>
  <c r="Z114" i="1" s="1"/>
  <c r="R122" i="1"/>
  <c r="S122" i="1" s="1"/>
  <c r="Z122" i="1" s="1"/>
  <c r="R130" i="1"/>
  <c r="S130" i="1" s="1"/>
  <c r="Z130" i="1" s="1"/>
  <c r="R138" i="1"/>
  <c r="S138" i="1" s="1"/>
  <c r="Z138" i="1" s="1"/>
  <c r="R146" i="1"/>
  <c r="S146" i="1" s="1"/>
  <c r="Z146" i="1" s="1"/>
  <c r="R154" i="1"/>
  <c r="R162" i="1"/>
  <c r="R170" i="1"/>
  <c r="R178" i="1"/>
  <c r="S178" i="1" s="1"/>
  <c r="Z178" i="1" s="1"/>
  <c r="R186" i="1"/>
  <c r="S186" i="1" s="1"/>
  <c r="Z186" i="1" s="1"/>
  <c r="R194" i="1"/>
  <c r="S194" i="1" s="1"/>
  <c r="Z194" i="1" s="1"/>
  <c r="R202" i="1"/>
  <c r="S202" i="1" s="1"/>
  <c r="Z202" i="1" s="1"/>
  <c r="R210" i="1"/>
  <c r="S210" i="1" s="1"/>
  <c r="Z210" i="1" s="1"/>
  <c r="R218" i="1"/>
  <c r="S218" i="1" s="1"/>
  <c r="Z218" i="1" s="1"/>
  <c r="R226" i="1"/>
  <c r="S226" i="1" s="1"/>
  <c r="Z226" i="1" s="1"/>
  <c r="R234" i="1"/>
  <c r="S234" i="1" s="1"/>
  <c r="Z234" i="1" s="1"/>
  <c r="R242" i="1"/>
  <c r="S242" i="1" s="1"/>
  <c r="Z242" i="1" s="1"/>
  <c r="R250" i="1"/>
  <c r="S250" i="1" s="1"/>
  <c r="Z250" i="1" s="1"/>
  <c r="R258" i="1"/>
  <c r="S258" i="1" s="1"/>
  <c r="Z258" i="1" s="1"/>
  <c r="R266" i="1"/>
  <c r="S266" i="1" s="1"/>
  <c r="Z266" i="1" s="1"/>
  <c r="R274" i="1"/>
  <c r="S274" i="1" s="1"/>
  <c r="Z274" i="1" s="1"/>
  <c r="R282" i="1"/>
  <c r="S282" i="1" s="1"/>
  <c r="Z282" i="1" s="1"/>
  <c r="R290" i="1"/>
  <c r="R298" i="1"/>
  <c r="S298" i="1" s="1"/>
  <c r="Z298" i="1" s="1"/>
  <c r="R306" i="1"/>
  <c r="S306" i="1" s="1"/>
  <c r="Z306" i="1" s="1"/>
  <c r="R314" i="1"/>
  <c r="S314" i="1" s="1"/>
  <c r="Z314" i="1" s="1"/>
  <c r="R322" i="1"/>
  <c r="S322" i="1" s="1"/>
  <c r="Z322" i="1" s="1"/>
  <c r="R330" i="1"/>
  <c r="S330" i="1" s="1"/>
  <c r="Z330" i="1" s="1"/>
  <c r="R338" i="1"/>
  <c r="S338" i="1" s="1"/>
  <c r="Z338" i="1" s="1"/>
  <c r="R346" i="1"/>
  <c r="S346" i="1" s="1"/>
  <c r="Z346" i="1" s="1"/>
  <c r="R354" i="1"/>
  <c r="S354" i="1" s="1"/>
  <c r="Z354" i="1" s="1"/>
  <c r="R362" i="1"/>
  <c r="S362" i="1" s="1"/>
  <c r="Z362" i="1" s="1"/>
  <c r="R370" i="1"/>
  <c r="S370" i="1" s="1"/>
  <c r="Z370" i="1" s="1"/>
  <c r="R378" i="1"/>
  <c r="S378" i="1" s="1"/>
  <c r="Z378" i="1" s="1"/>
  <c r="R386" i="1"/>
  <c r="S386" i="1" s="1"/>
  <c r="Z386" i="1" s="1"/>
  <c r="R394" i="1"/>
  <c r="S394" i="1" s="1"/>
  <c r="Z394" i="1" s="1"/>
  <c r="R402" i="1"/>
  <c r="S402" i="1" s="1"/>
  <c r="Z402" i="1" s="1"/>
  <c r="R410" i="1"/>
  <c r="S410" i="1" s="1"/>
  <c r="Z410" i="1" s="1"/>
  <c r="R418" i="1"/>
  <c r="S418" i="1" s="1"/>
  <c r="Z418" i="1" s="1"/>
  <c r="R426" i="1"/>
  <c r="S426" i="1" s="1"/>
  <c r="Z426" i="1" s="1"/>
  <c r="R434" i="1"/>
  <c r="S434" i="1" s="1"/>
  <c r="Z434" i="1" s="1"/>
  <c r="R442" i="1"/>
  <c r="S442" i="1" s="1"/>
  <c r="Z442" i="1" s="1"/>
  <c r="R450" i="1"/>
  <c r="S450" i="1" s="1"/>
  <c r="Z450" i="1" s="1"/>
  <c r="R458" i="1"/>
  <c r="S458" i="1" s="1"/>
  <c r="Z458" i="1" s="1"/>
  <c r="R466" i="1"/>
  <c r="S466" i="1" s="1"/>
  <c r="Z466" i="1" s="1"/>
  <c r="R474" i="1"/>
  <c r="S474" i="1" s="1"/>
  <c r="Z474" i="1" s="1"/>
  <c r="R482" i="1"/>
  <c r="S482" i="1" s="1"/>
  <c r="Z482" i="1" s="1"/>
  <c r="R490" i="1"/>
  <c r="S490" i="1" s="1"/>
  <c r="Z490" i="1" s="1"/>
  <c r="R498" i="1"/>
  <c r="S498" i="1" s="1"/>
  <c r="Z498" i="1" s="1"/>
  <c r="R506" i="1"/>
  <c r="S506" i="1" s="1"/>
  <c r="Z506" i="1" s="1"/>
  <c r="R514" i="1"/>
  <c r="S514" i="1" s="1"/>
  <c r="Z514" i="1" s="1"/>
  <c r="R522" i="1"/>
  <c r="S522" i="1" s="1"/>
  <c r="Z522" i="1" s="1"/>
  <c r="R530" i="1"/>
  <c r="S530" i="1" s="1"/>
  <c r="Z530" i="1" s="1"/>
  <c r="R538" i="1"/>
  <c r="S538" i="1" s="1"/>
  <c r="Z538" i="1" s="1"/>
  <c r="R546" i="1"/>
  <c r="S546" i="1" s="1"/>
  <c r="Z546" i="1" s="1"/>
  <c r="R554" i="1"/>
  <c r="S554" i="1" s="1"/>
  <c r="Z554" i="1" s="1"/>
  <c r="R562" i="1"/>
  <c r="S562" i="1" s="1"/>
  <c r="Z562" i="1" s="1"/>
  <c r="R570" i="1"/>
  <c r="S570" i="1" s="1"/>
  <c r="Z570" i="1" s="1"/>
  <c r="R578" i="1"/>
  <c r="S578" i="1" s="1"/>
  <c r="Z578" i="1" s="1"/>
  <c r="R586" i="1"/>
  <c r="S586" i="1" s="1"/>
  <c r="Z586" i="1" s="1"/>
  <c r="R594" i="1"/>
  <c r="S594" i="1" s="1"/>
  <c r="Z594" i="1" s="1"/>
  <c r="R602" i="1"/>
  <c r="S602" i="1" s="1"/>
  <c r="Z602" i="1" s="1"/>
  <c r="R610" i="1"/>
  <c r="S610" i="1" s="1"/>
  <c r="Z610" i="1" s="1"/>
  <c r="R618" i="1"/>
  <c r="S618" i="1" s="1"/>
  <c r="Z618" i="1" s="1"/>
  <c r="R626" i="1"/>
  <c r="S626" i="1" s="1"/>
  <c r="Z626" i="1" s="1"/>
  <c r="R634" i="1"/>
  <c r="S634" i="1" s="1"/>
  <c r="Z634" i="1" s="1"/>
  <c r="R642" i="1"/>
  <c r="S642" i="1" s="1"/>
  <c r="Z642" i="1" s="1"/>
  <c r="R650" i="1"/>
  <c r="S650" i="1" s="1"/>
  <c r="Z650" i="1" s="1"/>
  <c r="R658" i="1"/>
  <c r="S658" i="1" s="1"/>
  <c r="Z658" i="1" s="1"/>
  <c r="R19" i="1"/>
  <c r="S19" i="1" s="1"/>
  <c r="Z19" i="1" s="1"/>
  <c r="R27" i="1"/>
  <c r="S27" i="1" s="1"/>
  <c r="Z27" i="1" s="1"/>
  <c r="R35" i="1"/>
  <c r="S35" i="1" s="1"/>
  <c r="Z35" i="1" s="1"/>
  <c r="R43" i="1"/>
  <c r="S43" i="1" s="1"/>
  <c r="Z43" i="1" s="1"/>
  <c r="R51" i="1"/>
  <c r="S51" i="1" s="1"/>
  <c r="Z51" i="1" s="1"/>
  <c r="R59" i="1"/>
  <c r="S59" i="1" s="1"/>
  <c r="Z59" i="1" s="1"/>
  <c r="R67" i="1"/>
  <c r="S67" i="1" s="1"/>
  <c r="Z67" i="1" s="1"/>
  <c r="R75" i="1"/>
  <c r="S75" i="1" s="1"/>
  <c r="Z75" i="1" s="1"/>
  <c r="R83" i="1"/>
  <c r="S83" i="1" s="1"/>
  <c r="Z83" i="1" s="1"/>
  <c r="R91" i="1"/>
  <c r="S91" i="1" s="1"/>
  <c r="Z91" i="1" s="1"/>
  <c r="R99" i="1"/>
  <c r="S99" i="1" s="1"/>
  <c r="Z99" i="1" s="1"/>
  <c r="R107" i="1"/>
  <c r="S107" i="1" s="1"/>
  <c r="Z107" i="1" s="1"/>
  <c r="R115" i="1"/>
  <c r="S115" i="1" s="1"/>
  <c r="Z115" i="1" s="1"/>
  <c r="R123" i="1"/>
  <c r="S123" i="1" s="1"/>
  <c r="Z123" i="1" s="1"/>
  <c r="R131" i="1"/>
  <c r="S131" i="1" s="1"/>
  <c r="Z131" i="1" s="1"/>
  <c r="R139" i="1"/>
  <c r="S139" i="1" s="1"/>
  <c r="Z139" i="1" s="1"/>
  <c r="R147" i="1"/>
  <c r="S147" i="1" s="1"/>
  <c r="Z147" i="1" s="1"/>
  <c r="R155" i="1"/>
  <c r="R163" i="1"/>
  <c r="S163" i="1" s="1"/>
  <c r="Z163" i="1" s="1"/>
  <c r="R171" i="1"/>
  <c r="S171" i="1" s="1"/>
  <c r="Z171" i="1" s="1"/>
  <c r="R179" i="1"/>
  <c r="S179" i="1" s="1"/>
  <c r="Z179" i="1" s="1"/>
  <c r="R187" i="1"/>
  <c r="S187" i="1" s="1"/>
  <c r="Z187" i="1" s="1"/>
  <c r="R195" i="1"/>
  <c r="S195" i="1" s="1"/>
  <c r="Z195" i="1" s="1"/>
  <c r="R203" i="1"/>
  <c r="S203" i="1" s="1"/>
  <c r="Z203" i="1" s="1"/>
  <c r="R211" i="1"/>
  <c r="S211" i="1" s="1"/>
  <c r="Z211" i="1" s="1"/>
  <c r="R219" i="1"/>
  <c r="S219" i="1" s="1"/>
  <c r="Z219" i="1" s="1"/>
  <c r="R227" i="1"/>
  <c r="S227" i="1" s="1"/>
  <c r="Z227" i="1" s="1"/>
  <c r="R235" i="1"/>
  <c r="S235" i="1" s="1"/>
  <c r="Z235" i="1" s="1"/>
  <c r="R243" i="1"/>
  <c r="S243" i="1" s="1"/>
  <c r="Z243" i="1" s="1"/>
  <c r="R251" i="1"/>
  <c r="S251" i="1" s="1"/>
  <c r="Z251" i="1" s="1"/>
  <c r="R259" i="1"/>
  <c r="S259" i="1" s="1"/>
  <c r="Z259" i="1" s="1"/>
  <c r="R267" i="1"/>
  <c r="S267" i="1" s="1"/>
  <c r="Z267" i="1" s="1"/>
  <c r="R275" i="1"/>
  <c r="S275" i="1" s="1"/>
  <c r="Z275" i="1" s="1"/>
  <c r="R283" i="1"/>
  <c r="S283" i="1" s="1"/>
  <c r="Z283" i="1" s="1"/>
  <c r="R291" i="1"/>
  <c r="S291" i="1" s="1"/>
  <c r="Z291" i="1" s="1"/>
  <c r="R299" i="1"/>
  <c r="S299" i="1" s="1"/>
  <c r="Z299" i="1" s="1"/>
  <c r="R307" i="1"/>
  <c r="S307" i="1" s="1"/>
  <c r="Z307" i="1" s="1"/>
  <c r="R315" i="1"/>
  <c r="S315" i="1" s="1"/>
  <c r="Z315" i="1" s="1"/>
  <c r="R323" i="1"/>
  <c r="S323" i="1" s="1"/>
  <c r="Z323" i="1" s="1"/>
  <c r="R331" i="1"/>
  <c r="S331" i="1" s="1"/>
  <c r="Z331" i="1" s="1"/>
  <c r="R339" i="1"/>
  <c r="S339" i="1" s="1"/>
  <c r="Z339" i="1" s="1"/>
  <c r="R347" i="1"/>
  <c r="S347" i="1" s="1"/>
  <c r="Z347" i="1" s="1"/>
  <c r="R355" i="1"/>
  <c r="S355" i="1" s="1"/>
  <c r="Z355" i="1" s="1"/>
  <c r="R363" i="1"/>
  <c r="S363" i="1" s="1"/>
  <c r="Z363" i="1" s="1"/>
  <c r="R371" i="1"/>
  <c r="S371" i="1" s="1"/>
  <c r="Z371" i="1" s="1"/>
  <c r="R379" i="1"/>
  <c r="S379" i="1" s="1"/>
  <c r="Z379" i="1" s="1"/>
  <c r="R387" i="1"/>
  <c r="S387" i="1" s="1"/>
  <c r="Z387" i="1" s="1"/>
  <c r="R395" i="1"/>
  <c r="S395" i="1" s="1"/>
  <c r="Z395" i="1" s="1"/>
  <c r="R403" i="1"/>
  <c r="S403" i="1" s="1"/>
  <c r="Z403" i="1" s="1"/>
  <c r="R411" i="1"/>
  <c r="S411" i="1" s="1"/>
  <c r="Z411" i="1" s="1"/>
  <c r="R419" i="1"/>
  <c r="S419" i="1" s="1"/>
  <c r="Z419" i="1" s="1"/>
  <c r="R427" i="1"/>
  <c r="S427" i="1" s="1"/>
  <c r="Z427" i="1" s="1"/>
  <c r="R435" i="1"/>
  <c r="S435" i="1" s="1"/>
  <c r="Z435" i="1" s="1"/>
  <c r="R443" i="1"/>
  <c r="S443" i="1" s="1"/>
  <c r="Z443" i="1" s="1"/>
  <c r="R451" i="1"/>
  <c r="S451" i="1" s="1"/>
  <c r="Z451" i="1" s="1"/>
  <c r="R459" i="1"/>
  <c r="S459" i="1" s="1"/>
  <c r="Z459" i="1" s="1"/>
  <c r="R467" i="1"/>
  <c r="S467" i="1" s="1"/>
  <c r="Z467" i="1" s="1"/>
  <c r="R475" i="1"/>
  <c r="S475" i="1" s="1"/>
  <c r="Z475" i="1" s="1"/>
  <c r="R483" i="1"/>
  <c r="S483" i="1" s="1"/>
  <c r="Z483" i="1" s="1"/>
  <c r="R491" i="1"/>
  <c r="S491" i="1" s="1"/>
  <c r="Z491" i="1" s="1"/>
  <c r="R499" i="1"/>
  <c r="S499" i="1" s="1"/>
  <c r="Z499" i="1" s="1"/>
  <c r="R507" i="1"/>
  <c r="S507" i="1" s="1"/>
  <c r="Z507" i="1" s="1"/>
  <c r="R515" i="1"/>
  <c r="S515" i="1" s="1"/>
  <c r="Z515" i="1" s="1"/>
  <c r="R523" i="1"/>
  <c r="S523" i="1" s="1"/>
  <c r="Z523" i="1" s="1"/>
  <c r="R531" i="1"/>
  <c r="S531" i="1" s="1"/>
  <c r="Z531" i="1" s="1"/>
  <c r="R539" i="1"/>
  <c r="S539" i="1" s="1"/>
  <c r="Z539" i="1" s="1"/>
  <c r="R547" i="1"/>
  <c r="S547" i="1" s="1"/>
  <c r="Z547" i="1" s="1"/>
  <c r="R555" i="1"/>
  <c r="S555" i="1" s="1"/>
  <c r="Z555" i="1" s="1"/>
  <c r="R563" i="1"/>
  <c r="S563" i="1" s="1"/>
  <c r="Z563" i="1" s="1"/>
  <c r="R571" i="1"/>
  <c r="S571" i="1" s="1"/>
  <c r="Z571" i="1" s="1"/>
  <c r="R579" i="1"/>
  <c r="S579" i="1" s="1"/>
  <c r="Z579" i="1" s="1"/>
  <c r="R587" i="1"/>
  <c r="S587" i="1" s="1"/>
  <c r="Z587" i="1" s="1"/>
  <c r="R595" i="1"/>
  <c r="S595" i="1" s="1"/>
  <c r="Z595" i="1" s="1"/>
  <c r="R603" i="1"/>
  <c r="S603" i="1" s="1"/>
  <c r="Z603" i="1" s="1"/>
  <c r="R611" i="1"/>
  <c r="S611" i="1" s="1"/>
  <c r="Z611" i="1" s="1"/>
  <c r="R619" i="1"/>
  <c r="S619" i="1" s="1"/>
  <c r="Z619" i="1" s="1"/>
  <c r="R627" i="1"/>
  <c r="S627" i="1" s="1"/>
  <c r="Z627" i="1" s="1"/>
  <c r="R635" i="1"/>
  <c r="S635" i="1" s="1"/>
  <c r="Z635" i="1" s="1"/>
  <c r="R643" i="1"/>
  <c r="S643" i="1" s="1"/>
  <c r="Z643" i="1" s="1"/>
  <c r="R651" i="1"/>
  <c r="S651" i="1" s="1"/>
  <c r="Z651" i="1" s="1"/>
  <c r="R659" i="1"/>
  <c r="S659" i="1" s="1"/>
  <c r="Z659" i="1" s="1"/>
  <c r="R20" i="1"/>
  <c r="S20" i="1" s="1"/>
  <c r="Z20" i="1" s="1"/>
  <c r="R28" i="1"/>
  <c r="S28" i="1" s="1"/>
  <c r="Z28" i="1" s="1"/>
  <c r="R36" i="1"/>
  <c r="S36" i="1" s="1"/>
  <c r="Z36" i="1" s="1"/>
  <c r="R44" i="1"/>
  <c r="S44" i="1" s="1"/>
  <c r="Z44" i="1" s="1"/>
  <c r="R52" i="1"/>
  <c r="S52" i="1" s="1"/>
  <c r="Z52" i="1" s="1"/>
  <c r="R60" i="1"/>
  <c r="S60" i="1" s="1"/>
  <c r="Z60" i="1" s="1"/>
  <c r="R68" i="1"/>
  <c r="S68" i="1" s="1"/>
  <c r="Z68" i="1" s="1"/>
  <c r="R76" i="1"/>
  <c r="S76" i="1" s="1"/>
  <c r="Z76" i="1" s="1"/>
  <c r="R84" i="1"/>
  <c r="S84" i="1" s="1"/>
  <c r="Z84" i="1" s="1"/>
  <c r="R92" i="1"/>
  <c r="S92" i="1" s="1"/>
  <c r="Z92" i="1" s="1"/>
  <c r="R100" i="1"/>
  <c r="S100" i="1" s="1"/>
  <c r="Z100" i="1" s="1"/>
  <c r="R108" i="1"/>
  <c r="S108" i="1" s="1"/>
  <c r="Z108" i="1" s="1"/>
  <c r="R116" i="1"/>
  <c r="S116" i="1" s="1"/>
  <c r="Z116" i="1" s="1"/>
  <c r="R124" i="1"/>
  <c r="S124" i="1" s="1"/>
  <c r="Z124" i="1" s="1"/>
  <c r="R132" i="1"/>
  <c r="S132" i="1" s="1"/>
  <c r="Z132" i="1" s="1"/>
  <c r="R140" i="1"/>
  <c r="S140" i="1" s="1"/>
  <c r="Z140" i="1" s="1"/>
  <c r="R148" i="1"/>
  <c r="S148" i="1" s="1"/>
  <c r="Z148" i="1" s="1"/>
  <c r="R156" i="1"/>
  <c r="S156" i="1" s="1"/>
  <c r="Z156" i="1" s="1"/>
  <c r="R164" i="1"/>
  <c r="S164" i="1" s="1"/>
  <c r="Z164" i="1" s="1"/>
  <c r="R172" i="1"/>
  <c r="S172" i="1" s="1"/>
  <c r="Z172" i="1" s="1"/>
  <c r="R180" i="1"/>
  <c r="S180" i="1" s="1"/>
  <c r="Z180" i="1" s="1"/>
  <c r="R188" i="1"/>
  <c r="S188" i="1" s="1"/>
  <c r="Z188" i="1" s="1"/>
  <c r="R196" i="1"/>
  <c r="S196" i="1" s="1"/>
  <c r="Z196" i="1" s="1"/>
  <c r="R204" i="1"/>
  <c r="S204" i="1" s="1"/>
  <c r="Z204" i="1" s="1"/>
  <c r="R212" i="1"/>
  <c r="S212" i="1" s="1"/>
  <c r="Z212" i="1" s="1"/>
  <c r="R220" i="1"/>
  <c r="S220" i="1" s="1"/>
  <c r="Z220" i="1" s="1"/>
  <c r="R228" i="1"/>
  <c r="S228" i="1" s="1"/>
  <c r="Z228" i="1" s="1"/>
  <c r="R236" i="1"/>
  <c r="S236" i="1" s="1"/>
  <c r="Z236" i="1" s="1"/>
  <c r="R244" i="1"/>
  <c r="S244" i="1" s="1"/>
  <c r="Z244" i="1" s="1"/>
  <c r="R252" i="1"/>
  <c r="S252" i="1" s="1"/>
  <c r="Z252" i="1" s="1"/>
  <c r="R260" i="1"/>
  <c r="S260" i="1" s="1"/>
  <c r="Z260" i="1" s="1"/>
  <c r="R268" i="1"/>
  <c r="S268" i="1" s="1"/>
  <c r="Z268" i="1" s="1"/>
  <c r="R276" i="1"/>
  <c r="S276" i="1" s="1"/>
  <c r="Z276" i="1" s="1"/>
  <c r="R284" i="1"/>
  <c r="S284" i="1" s="1"/>
  <c r="Z284" i="1" s="1"/>
  <c r="R292" i="1"/>
  <c r="S292" i="1" s="1"/>
  <c r="Z292" i="1" s="1"/>
  <c r="R300" i="1"/>
  <c r="S300" i="1" s="1"/>
  <c r="Z300" i="1" s="1"/>
  <c r="R308" i="1"/>
  <c r="S308" i="1" s="1"/>
  <c r="Z308" i="1" s="1"/>
  <c r="R316" i="1"/>
  <c r="S316" i="1" s="1"/>
  <c r="Z316" i="1" s="1"/>
  <c r="R324" i="1"/>
  <c r="S324" i="1" s="1"/>
  <c r="Z324" i="1" s="1"/>
  <c r="R332" i="1"/>
  <c r="S332" i="1" s="1"/>
  <c r="Z332" i="1" s="1"/>
  <c r="R340" i="1"/>
  <c r="S340" i="1" s="1"/>
  <c r="Z340" i="1" s="1"/>
  <c r="R348" i="1"/>
  <c r="S348" i="1" s="1"/>
  <c r="Z348" i="1" s="1"/>
  <c r="R356" i="1"/>
  <c r="S356" i="1" s="1"/>
  <c r="Z356" i="1" s="1"/>
  <c r="R364" i="1"/>
  <c r="S364" i="1" s="1"/>
  <c r="Z364" i="1" s="1"/>
  <c r="R372" i="1"/>
  <c r="S372" i="1" s="1"/>
  <c r="Z372" i="1" s="1"/>
  <c r="R380" i="1"/>
  <c r="S380" i="1" s="1"/>
  <c r="Z380" i="1" s="1"/>
  <c r="R388" i="1"/>
  <c r="S388" i="1" s="1"/>
  <c r="Z388" i="1" s="1"/>
  <c r="R396" i="1"/>
  <c r="S396" i="1" s="1"/>
  <c r="Z396" i="1" s="1"/>
  <c r="R404" i="1"/>
  <c r="S404" i="1" s="1"/>
  <c r="Z404" i="1" s="1"/>
  <c r="R412" i="1"/>
  <c r="S412" i="1" s="1"/>
  <c r="Z412" i="1" s="1"/>
  <c r="R420" i="1"/>
  <c r="S420" i="1" s="1"/>
  <c r="Z420" i="1" s="1"/>
  <c r="R428" i="1"/>
  <c r="S428" i="1" s="1"/>
  <c r="Z428" i="1" s="1"/>
  <c r="R436" i="1"/>
  <c r="S436" i="1" s="1"/>
  <c r="Z436" i="1" s="1"/>
  <c r="R444" i="1"/>
  <c r="S444" i="1" s="1"/>
  <c r="Z444" i="1" s="1"/>
  <c r="R452" i="1"/>
  <c r="S452" i="1" s="1"/>
  <c r="Z452" i="1" s="1"/>
  <c r="R460" i="1"/>
  <c r="S460" i="1" s="1"/>
  <c r="Z460" i="1" s="1"/>
  <c r="R468" i="1"/>
  <c r="S468" i="1" s="1"/>
  <c r="Z468" i="1" s="1"/>
  <c r="R476" i="1"/>
  <c r="S476" i="1" s="1"/>
  <c r="Z476" i="1" s="1"/>
  <c r="R484" i="1"/>
  <c r="S484" i="1" s="1"/>
  <c r="Z484" i="1" s="1"/>
  <c r="R492" i="1"/>
  <c r="S492" i="1" s="1"/>
  <c r="Z492" i="1" s="1"/>
  <c r="R500" i="1"/>
  <c r="S500" i="1" s="1"/>
  <c r="Z500" i="1" s="1"/>
  <c r="R508" i="1"/>
  <c r="S508" i="1" s="1"/>
  <c r="Z508" i="1" s="1"/>
  <c r="R516" i="1"/>
  <c r="S516" i="1" s="1"/>
  <c r="Z516" i="1" s="1"/>
  <c r="R524" i="1"/>
  <c r="S524" i="1" s="1"/>
  <c r="Z524" i="1" s="1"/>
  <c r="R532" i="1"/>
  <c r="S532" i="1" s="1"/>
  <c r="Z532" i="1" s="1"/>
  <c r="R540" i="1"/>
  <c r="S540" i="1" s="1"/>
  <c r="Z540" i="1" s="1"/>
  <c r="R548" i="1"/>
  <c r="S548" i="1" s="1"/>
  <c r="Z548" i="1" s="1"/>
  <c r="R556" i="1"/>
  <c r="S556" i="1" s="1"/>
  <c r="Z556" i="1" s="1"/>
  <c r="R564" i="1"/>
  <c r="S564" i="1" s="1"/>
  <c r="Z564" i="1" s="1"/>
  <c r="R572" i="1"/>
  <c r="S572" i="1" s="1"/>
  <c r="Z572" i="1" s="1"/>
  <c r="R580" i="1"/>
  <c r="S580" i="1" s="1"/>
  <c r="Z580" i="1" s="1"/>
  <c r="R588" i="1"/>
  <c r="S588" i="1" s="1"/>
  <c r="Z588" i="1" s="1"/>
  <c r="R596" i="1"/>
  <c r="S596" i="1" s="1"/>
  <c r="Z596" i="1" s="1"/>
  <c r="R604" i="1"/>
  <c r="S604" i="1" s="1"/>
  <c r="Z604" i="1" s="1"/>
  <c r="R612" i="1"/>
  <c r="S612" i="1" s="1"/>
  <c r="Z612" i="1" s="1"/>
  <c r="R620" i="1"/>
  <c r="S620" i="1" s="1"/>
  <c r="Z620" i="1" s="1"/>
  <c r="R628" i="1"/>
  <c r="S628" i="1" s="1"/>
  <c r="Z628" i="1" s="1"/>
  <c r="R636" i="1"/>
  <c r="S636" i="1" s="1"/>
  <c r="Z636" i="1" s="1"/>
  <c r="R644" i="1"/>
  <c r="S644" i="1" s="1"/>
  <c r="Z644" i="1" s="1"/>
  <c r="R652" i="1"/>
  <c r="S652" i="1" s="1"/>
  <c r="Z652" i="1" s="1"/>
  <c r="R660" i="1"/>
  <c r="S660" i="1" s="1"/>
  <c r="Z660" i="1" s="1"/>
  <c r="R49" i="1"/>
  <c r="S49" i="1" s="1"/>
  <c r="Z49" i="1" s="1"/>
  <c r="R73" i="1"/>
  <c r="S73" i="1" s="1"/>
  <c r="Z73" i="1" s="1"/>
  <c r="R89" i="1"/>
  <c r="S89" i="1" s="1"/>
  <c r="Z89" i="1" s="1"/>
  <c r="R105" i="1"/>
  <c r="S105" i="1" s="1"/>
  <c r="Z105" i="1" s="1"/>
  <c r="R21" i="1"/>
  <c r="S21" i="1" s="1"/>
  <c r="Z21" i="1" s="1"/>
  <c r="R29" i="1"/>
  <c r="S29" i="1" s="1"/>
  <c r="Z29" i="1" s="1"/>
  <c r="R37" i="1"/>
  <c r="S37" i="1" s="1"/>
  <c r="Z37" i="1" s="1"/>
  <c r="R45" i="1"/>
  <c r="S45" i="1" s="1"/>
  <c r="Z45" i="1" s="1"/>
  <c r="R53" i="1"/>
  <c r="S53" i="1" s="1"/>
  <c r="Z53" i="1" s="1"/>
  <c r="R61" i="1"/>
  <c r="S61" i="1" s="1"/>
  <c r="Z61" i="1" s="1"/>
  <c r="R69" i="1"/>
  <c r="S69" i="1" s="1"/>
  <c r="Z69" i="1" s="1"/>
  <c r="R77" i="1"/>
  <c r="S77" i="1" s="1"/>
  <c r="Z77" i="1" s="1"/>
  <c r="R85" i="1"/>
  <c r="S85" i="1" s="1"/>
  <c r="Z85" i="1" s="1"/>
  <c r="R93" i="1"/>
  <c r="S93" i="1" s="1"/>
  <c r="Z93" i="1" s="1"/>
  <c r="R101" i="1"/>
  <c r="S101" i="1" s="1"/>
  <c r="Z101" i="1" s="1"/>
  <c r="R109" i="1"/>
  <c r="S109" i="1" s="1"/>
  <c r="Z109" i="1" s="1"/>
  <c r="R117" i="1"/>
  <c r="S117" i="1" s="1"/>
  <c r="Z117" i="1" s="1"/>
  <c r="R125" i="1"/>
  <c r="S125" i="1" s="1"/>
  <c r="Z125" i="1" s="1"/>
  <c r="R133" i="1"/>
  <c r="S133" i="1" s="1"/>
  <c r="Z133" i="1" s="1"/>
  <c r="R141" i="1"/>
  <c r="S141" i="1" s="1"/>
  <c r="Z141" i="1" s="1"/>
  <c r="R149" i="1"/>
  <c r="S149" i="1" s="1"/>
  <c r="Z149" i="1" s="1"/>
  <c r="R157" i="1"/>
  <c r="S157" i="1" s="1"/>
  <c r="Z157" i="1" s="1"/>
  <c r="R165" i="1"/>
  <c r="S165" i="1" s="1"/>
  <c r="Z165" i="1" s="1"/>
  <c r="R173" i="1"/>
  <c r="S173" i="1" s="1"/>
  <c r="Z173" i="1" s="1"/>
  <c r="R181" i="1"/>
  <c r="S181" i="1" s="1"/>
  <c r="Z181" i="1" s="1"/>
  <c r="R189" i="1"/>
  <c r="S189" i="1" s="1"/>
  <c r="Z189" i="1" s="1"/>
  <c r="R197" i="1"/>
  <c r="S197" i="1" s="1"/>
  <c r="Z197" i="1" s="1"/>
  <c r="R205" i="1"/>
  <c r="S205" i="1" s="1"/>
  <c r="Z205" i="1" s="1"/>
  <c r="R213" i="1"/>
  <c r="S213" i="1" s="1"/>
  <c r="Z213" i="1" s="1"/>
  <c r="R221" i="1"/>
  <c r="S221" i="1" s="1"/>
  <c r="Z221" i="1" s="1"/>
  <c r="R229" i="1"/>
  <c r="S229" i="1" s="1"/>
  <c r="Z229" i="1" s="1"/>
  <c r="R237" i="1"/>
  <c r="S237" i="1" s="1"/>
  <c r="Z237" i="1" s="1"/>
  <c r="R245" i="1"/>
  <c r="S245" i="1" s="1"/>
  <c r="Z245" i="1" s="1"/>
  <c r="R253" i="1"/>
  <c r="S253" i="1" s="1"/>
  <c r="Z253" i="1" s="1"/>
  <c r="R261" i="1"/>
  <c r="S261" i="1" s="1"/>
  <c r="Z261" i="1" s="1"/>
  <c r="R269" i="1"/>
  <c r="S269" i="1" s="1"/>
  <c r="Z269" i="1" s="1"/>
  <c r="R277" i="1"/>
  <c r="S277" i="1" s="1"/>
  <c r="Z277" i="1" s="1"/>
  <c r="R285" i="1"/>
  <c r="S285" i="1" s="1"/>
  <c r="Z285" i="1" s="1"/>
  <c r="R293" i="1"/>
  <c r="S293" i="1" s="1"/>
  <c r="Z293" i="1" s="1"/>
  <c r="R301" i="1"/>
  <c r="S301" i="1" s="1"/>
  <c r="Z301" i="1" s="1"/>
  <c r="R309" i="1"/>
  <c r="S309" i="1" s="1"/>
  <c r="Z309" i="1" s="1"/>
  <c r="R317" i="1"/>
  <c r="S317" i="1" s="1"/>
  <c r="Z317" i="1" s="1"/>
  <c r="R325" i="1"/>
  <c r="S325" i="1" s="1"/>
  <c r="Z325" i="1" s="1"/>
  <c r="R333" i="1"/>
  <c r="S333" i="1" s="1"/>
  <c r="Z333" i="1" s="1"/>
  <c r="R341" i="1"/>
  <c r="S341" i="1" s="1"/>
  <c r="Z341" i="1" s="1"/>
  <c r="R349" i="1"/>
  <c r="S349" i="1" s="1"/>
  <c r="Z349" i="1" s="1"/>
  <c r="R357" i="1"/>
  <c r="S357" i="1" s="1"/>
  <c r="Z357" i="1" s="1"/>
  <c r="R365" i="1"/>
  <c r="S365" i="1" s="1"/>
  <c r="Z365" i="1" s="1"/>
  <c r="R373" i="1"/>
  <c r="S373" i="1" s="1"/>
  <c r="Z373" i="1" s="1"/>
  <c r="R381" i="1"/>
  <c r="S381" i="1" s="1"/>
  <c r="Z381" i="1" s="1"/>
  <c r="R389" i="1"/>
  <c r="S389" i="1" s="1"/>
  <c r="Z389" i="1" s="1"/>
  <c r="R397" i="1"/>
  <c r="S397" i="1" s="1"/>
  <c r="Z397" i="1" s="1"/>
  <c r="R405" i="1"/>
  <c r="S405" i="1" s="1"/>
  <c r="Z405" i="1" s="1"/>
  <c r="R413" i="1"/>
  <c r="S413" i="1" s="1"/>
  <c r="Z413" i="1" s="1"/>
  <c r="R421" i="1"/>
  <c r="S421" i="1" s="1"/>
  <c r="Z421" i="1" s="1"/>
  <c r="R429" i="1"/>
  <c r="S429" i="1" s="1"/>
  <c r="Z429" i="1" s="1"/>
  <c r="R437" i="1"/>
  <c r="S437" i="1" s="1"/>
  <c r="Z437" i="1" s="1"/>
  <c r="R445" i="1"/>
  <c r="S445" i="1" s="1"/>
  <c r="Z445" i="1" s="1"/>
  <c r="R453" i="1"/>
  <c r="S453" i="1" s="1"/>
  <c r="Z453" i="1" s="1"/>
  <c r="R461" i="1"/>
  <c r="S461" i="1" s="1"/>
  <c r="Z461" i="1" s="1"/>
  <c r="R469" i="1"/>
  <c r="S469" i="1" s="1"/>
  <c r="Z469" i="1" s="1"/>
  <c r="R477" i="1"/>
  <c r="S477" i="1" s="1"/>
  <c r="Z477" i="1" s="1"/>
  <c r="R485" i="1"/>
  <c r="S485" i="1" s="1"/>
  <c r="Z485" i="1" s="1"/>
  <c r="R493" i="1"/>
  <c r="S493" i="1" s="1"/>
  <c r="Z493" i="1" s="1"/>
  <c r="R501" i="1"/>
  <c r="S501" i="1" s="1"/>
  <c r="Z501" i="1" s="1"/>
  <c r="R509" i="1"/>
  <c r="S509" i="1" s="1"/>
  <c r="Z509" i="1" s="1"/>
  <c r="R517" i="1"/>
  <c r="S517" i="1" s="1"/>
  <c r="Z517" i="1" s="1"/>
  <c r="R525" i="1"/>
  <c r="S525" i="1" s="1"/>
  <c r="Z525" i="1" s="1"/>
  <c r="R533" i="1"/>
  <c r="S533" i="1" s="1"/>
  <c r="Z533" i="1" s="1"/>
  <c r="R541" i="1"/>
  <c r="S541" i="1" s="1"/>
  <c r="Z541" i="1" s="1"/>
  <c r="R549" i="1"/>
  <c r="S549" i="1" s="1"/>
  <c r="Z549" i="1" s="1"/>
  <c r="R557" i="1"/>
  <c r="S557" i="1" s="1"/>
  <c r="Z557" i="1" s="1"/>
  <c r="R565" i="1"/>
  <c r="S565" i="1" s="1"/>
  <c r="Z565" i="1" s="1"/>
  <c r="R573" i="1"/>
  <c r="S573" i="1" s="1"/>
  <c r="Z573" i="1" s="1"/>
  <c r="R581" i="1"/>
  <c r="S581" i="1" s="1"/>
  <c r="Z581" i="1" s="1"/>
  <c r="R589" i="1"/>
  <c r="S589" i="1" s="1"/>
  <c r="Z589" i="1" s="1"/>
  <c r="R597" i="1"/>
  <c r="S597" i="1" s="1"/>
  <c r="Z597" i="1" s="1"/>
  <c r="R605" i="1"/>
  <c r="S605" i="1" s="1"/>
  <c r="Z605" i="1" s="1"/>
  <c r="R613" i="1"/>
  <c r="S613" i="1" s="1"/>
  <c r="Z613" i="1" s="1"/>
  <c r="R621" i="1"/>
  <c r="S621" i="1" s="1"/>
  <c r="Z621" i="1" s="1"/>
  <c r="R629" i="1"/>
  <c r="S629" i="1" s="1"/>
  <c r="Z629" i="1" s="1"/>
  <c r="R637" i="1"/>
  <c r="S637" i="1" s="1"/>
  <c r="Z637" i="1" s="1"/>
  <c r="R645" i="1"/>
  <c r="S645" i="1" s="1"/>
  <c r="Z645" i="1" s="1"/>
  <c r="R653" i="1"/>
  <c r="S653" i="1" s="1"/>
  <c r="Z653" i="1" s="1"/>
  <c r="R661" i="1"/>
  <c r="S661" i="1" s="1"/>
  <c r="Z661" i="1" s="1"/>
  <c r="R22" i="1"/>
  <c r="S22" i="1" s="1"/>
  <c r="Z22" i="1" s="1"/>
  <c r="R30" i="1"/>
  <c r="S30" i="1" s="1"/>
  <c r="Z30" i="1" s="1"/>
  <c r="R38" i="1"/>
  <c r="S38" i="1" s="1"/>
  <c r="Z38" i="1" s="1"/>
  <c r="R46" i="1"/>
  <c r="S46" i="1" s="1"/>
  <c r="Z46" i="1" s="1"/>
  <c r="R54" i="1"/>
  <c r="S54" i="1" s="1"/>
  <c r="Z54" i="1" s="1"/>
  <c r="R62" i="1"/>
  <c r="S62" i="1" s="1"/>
  <c r="Z62" i="1" s="1"/>
  <c r="R70" i="1"/>
  <c r="S70" i="1" s="1"/>
  <c r="Z70" i="1" s="1"/>
  <c r="R78" i="1"/>
  <c r="S78" i="1" s="1"/>
  <c r="Z78" i="1" s="1"/>
  <c r="R86" i="1"/>
  <c r="S86" i="1" s="1"/>
  <c r="Z86" i="1" s="1"/>
  <c r="R94" i="1"/>
  <c r="S94" i="1" s="1"/>
  <c r="Z94" i="1" s="1"/>
  <c r="R102" i="1"/>
  <c r="S102" i="1" s="1"/>
  <c r="Z102" i="1" s="1"/>
  <c r="R110" i="1"/>
  <c r="S110" i="1" s="1"/>
  <c r="Z110" i="1" s="1"/>
  <c r="R118" i="1"/>
  <c r="S118" i="1" s="1"/>
  <c r="Z118" i="1" s="1"/>
  <c r="R126" i="1"/>
  <c r="S126" i="1" s="1"/>
  <c r="Z126" i="1" s="1"/>
  <c r="R134" i="1"/>
  <c r="S134" i="1" s="1"/>
  <c r="Z134" i="1" s="1"/>
  <c r="R142" i="1"/>
  <c r="S142" i="1" s="1"/>
  <c r="Z142" i="1" s="1"/>
  <c r="R150" i="1"/>
  <c r="S150" i="1" s="1"/>
  <c r="Z150" i="1" s="1"/>
  <c r="R158" i="1"/>
  <c r="S158" i="1" s="1"/>
  <c r="Z158" i="1" s="1"/>
  <c r="R166" i="1"/>
  <c r="S166" i="1" s="1"/>
  <c r="Z166" i="1" s="1"/>
  <c r="R174" i="1"/>
  <c r="S174" i="1" s="1"/>
  <c r="Z174" i="1" s="1"/>
  <c r="R182" i="1"/>
  <c r="S182" i="1" s="1"/>
  <c r="Z182" i="1" s="1"/>
  <c r="R190" i="1"/>
  <c r="S190" i="1" s="1"/>
  <c r="Z190" i="1" s="1"/>
  <c r="R198" i="1"/>
  <c r="S198" i="1" s="1"/>
  <c r="Z198" i="1" s="1"/>
  <c r="R206" i="1"/>
  <c r="S206" i="1" s="1"/>
  <c r="Z206" i="1" s="1"/>
  <c r="R214" i="1"/>
  <c r="S214" i="1" s="1"/>
  <c r="Z214" i="1" s="1"/>
  <c r="R222" i="1"/>
  <c r="S222" i="1" s="1"/>
  <c r="Z222" i="1" s="1"/>
  <c r="R230" i="1"/>
  <c r="S230" i="1" s="1"/>
  <c r="Z230" i="1" s="1"/>
  <c r="R238" i="1"/>
  <c r="S238" i="1" s="1"/>
  <c r="Z238" i="1" s="1"/>
  <c r="R246" i="1"/>
  <c r="S246" i="1" s="1"/>
  <c r="Z246" i="1" s="1"/>
  <c r="R254" i="1"/>
  <c r="S254" i="1" s="1"/>
  <c r="Z254" i="1" s="1"/>
  <c r="R262" i="1"/>
  <c r="S262" i="1" s="1"/>
  <c r="Z262" i="1" s="1"/>
  <c r="R270" i="1"/>
  <c r="S270" i="1" s="1"/>
  <c r="Z270" i="1" s="1"/>
  <c r="R278" i="1"/>
  <c r="S278" i="1" s="1"/>
  <c r="Z278" i="1" s="1"/>
  <c r="R286" i="1"/>
  <c r="S286" i="1" s="1"/>
  <c r="Z286" i="1" s="1"/>
  <c r="R294" i="1"/>
  <c r="S294" i="1" s="1"/>
  <c r="Z294" i="1" s="1"/>
  <c r="R302" i="1"/>
  <c r="S302" i="1" s="1"/>
  <c r="Z302" i="1" s="1"/>
  <c r="R310" i="1"/>
  <c r="S310" i="1" s="1"/>
  <c r="Z310" i="1" s="1"/>
  <c r="R318" i="1"/>
  <c r="S318" i="1" s="1"/>
  <c r="Z318" i="1" s="1"/>
  <c r="R326" i="1"/>
  <c r="S326" i="1" s="1"/>
  <c r="Z326" i="1" s="1"/>
  <c r="R334" i="1"/>
  <c r="S334" i="1" s="1"/>
  <c r="Z334" i="1" s="1"/>
  <c r="R342" i="1"/>
  <c r="S342" i="1" s="1"/>
  <c r="Z342" i="1" s="1"/>
  <c r="R350" i="1"/>
  <c r="S350" i="1" s="1"/>
  <c r="Z350" i="1" s="1"/>
  <c r="R358" i="1"/>
  <c r="S358" i="1" s="1"/>
  <c r="Z358" i="1" s="1"/>
  <c r="R366" i="1"/>
  <c r="S366" i="1" s="1"/>
  <c r="Z366" i="1" s="1"/>
  <c r="R374" i="1"/>
  <c r="S374" i="1" s="1"/>
  <c r="Z374" i="1" s="1"/>
  <c r="R382" i="1"/>
  <c r="S382" i="1" s="1"/>
  <c r="Z382" i="1" s="1"/>
  <c r="R390" i="1"/>
  <c r="S390" i="1" s="1"/>
  <c r="Z390" i="1" s="1"/>
  <c r="R398" i="1"/>
  <c r="S398" i="1" s="1"/>
  <c r="Z398" i="1" s="1"/>
  <c r="R406" i="1"/>
  <c r="S406" i="1" s="1"/>
  <c r="Z406" i="1" s="1"/>
  <c r="R414" i="1"/>
  <c r="S414" i="1" s="1"/>
  <c r="Z414" i="1" s="1"/>
  <c r="R422" i="1"/>
  <c r="S422" i="1" s="1"/>
  <c r="Z422" i="1" s="1"/>
  <c r="R430" i="1"/>
  <c r="S430" i="1" s="1"/>
  <c r="Z430" i="1" s="1"/>
  <c r="R438" i="1"/>
  <c r="S438" i="1" s="1"/>
  <c r="Z438" i="1" s="1"/>
  <c r="R446" i="1"/>
  <c r="S446" i="1" s="1"/>
  <c r="Z446" i="1" s="1"/>
  <c r="R454" i="1"/>
  <c r="S454" i="1" s="1"/>
  <c r="Z454" i="1" s="1"/>
  <c r="R462" i="1"/>
  <c r="S462" i="1" s="1"/>
  <c r="Z462" i="1" s="1"/>
  <c r="R470" i="1"/>
  <c r="S470" i="1" s="1"/>
  <c r="Z470" i="1" s="1"/>
  <c r="R478" i="1"/>
  <c r="S478" i="1" s="1"/>
  <c r="Z478" i="1" s="1"/>
  <c r="R486" i="1"/>
  <c r="S486" i="1" s="1"/>
  <c r="Z486" i="1" s="1"/>
  <c r="R494" i="1"/>
  <c r="S494" i="1" s="1"/>
  <c r="Z494" i="1" s="1"/>
  <c r="R502" i="1"/>
  <c r="S502" i="1" s="1"/>
  <c r="Z502" i="1" s="1"/>
  <c r="R510" i="1"/>
  <c r="S510" i="1" s="1"/>
  <c r="Z510" i="1" s="1"/>
  <c r="R518" i="1"/>
  <c r="S518" i="1" s="1"/>
  <c r="Z518" i="1" s="1"/>
  <c r="R526" i="1"/>
  <c r="S526" i="1" s="1"/>
  <c r="Z526" i="1" s="1"/>
  <c r="R534" i="1"/>
  <c r="S534" i="1" s="1"/>
  <c r="Z534" i="1" s="1"/>
  <c r="R542" i="1"/>
  <c r="S542" i="1" s="1"/>
  <c r="Z542" i="1" s="1"/>
  <c r="R550" i="1"/>
  <c r="S550" i="1" s="1"/>
  <c r="Z550" i="1" s="1"/>
  <c r="R558" i="1"/>
  <c r="S558" i="1" s="1"/>
  <c r="Z558" i="1" s="1"/>
  <c r="R566" i="1"/>
  <c r="S566" i="1" s="1"/>
  <c r="Z566" i="1" s="1"/>
  <c r="R574" i="1"/>
  <c r="S574" i="1" s="1"/>
  <c r="Z574" i="1" s="1"/>
  <c r="R582" i="1"/>
  <c r="S582" i="1" s="1"/>
  <c r="Z582" i="1" s="1"/>
  <c r="R590" i="1"/>
  <c r="S590" i="1" s="1"/>
  <c r="Z590" i="1" s="1"/>
  <c r="R598" i="1"/>
  <c r="S598" i="1" s="1"/>
  <c r="Z598" i="1" s="1"/>
  <c r="R606" i="1"/>
  <c r="S606" i="1" s="1"/>
  <c r="Z606" i="1" s="1"/>
  <c r="R614" i="1"/>
  <c r="S614" i="1" s="1"/>
  <c r="Z614" i="1" s="1"/>
  <c r="R622" i="1"/>
  <c r="S622" i="1" s="1"/>
  <c r="Z622" i="1" s="1"/>
  <c r="R630" i="1"/>
  <c r="S630" i="1" s="1"/>
  <c r="Z630" i="1" s="1"/>
  <c r="R638" i="1"/>
  <c r="S638" i="1" s="1"/>
  <c r="Z638" i="1" s="1"/>
  <c r="R646" i="1"/>
  <c r="S646" i="1" s="1"/>
  <c r="Z646" i="1" s="1"/>
  <c r="R654" i="1"/>
  <c r="S654" i="1" s="1"/>
  <c r="Z654" i="1" s="1"/>
  <c r="R662" i="1"/>
  <c r="S662" i="1" s="1"/>
  <c r="Z662" i="1" s="1"/>
  <c r="R23" i="1"/>
  <c r="S23" i="1" s="1"/>
  <c r="Z23" i="1" s="1"/>
  <c r="R31" i="1"/>
  <c r="S31" i="1" s="1"/>
  <c r="Z31" i="1" s="1"/>
  <c r="R39" i="1"/>
  <c r="S39" i="1" s="1"/>
  <c r="Z39" i="1" s="1"/>
  <c r="R47" i="1"/>
  <c r="S47" i="1" s="1"/>
  <c r="Z47" i="1" s="1"/>
  <c r="R55" i="1"/>
  <c r="S55" i="1" s="1"/>
  <c r="Z55" i="1" s="1"/>
  <c r="R63" i="1"/>
  <c r="S63" i="1" s="1"/>
  <c r="Z63" i="1" s="1"/>
  <c r="R71" i="1"/>
  <c r="S71" i="1" s="1"/>
  <c r="Z71" i="1" s="1"/>
  <c r="R79" i="1"/>
  <c r="S79" i="1" s="1"/>
  <c r="Z79" i="1" s="1"/>
  <c r="R87" i="1"/>
  <c r="S87" i="1" s="1"/>
  <c r="Z87" i="1" s="1"/>
  <c r="R95" i="1"/>
  <c r="S95" i="1" s="1"/>
  <c r="Z95" i="1" s="1"/>
  <c r="R103" i="1"/>
  <c r="S103" i="1" s="1"/>
  <c r="Z103" i="1" s="1"/>
  <c r="R111" i="1"/>
  <c r="S111" i="1" s="1"/>
  <c r="Z111" i="1" s="1"/>
  <c r="R119" i="1"/>
  <c r="S119" i="1" s="1"/>
  <c r="Z119" i="1" s="1"/>
  <c r="R127" i="1"/>
  <c r="S127" i="1" s="1"/>
  <c r="Z127" i="1" s="1"/>
  <c r="R135" i="1"/>
  <c r="S135" i="1" s="1"/>
  <c r="Z135" i="1" s="1"/>
  <c r="R143" i="1"/>
  <c r="S143" i="1" s="1"/>
  <c r="Z143" i="1" s="1"/>
  <c r="R151" i="1"/>
  <c r="S151" i="1" s="1"/>
  <c r="Z151" i="1" s="1"/>
  <c r="R159" i="1"/>
  <c r="S159" i="1" s="1"/>
  <c r="Z159" i="1" s="1"/>
  <c r="R167" i="1"/>
  <c r="S167" i="1" s="1"/>
  <c r="Z167" i="1" s="1"/>
  <c r="R175" i="1"/>
  <c r="S175" i="1" s="1"/>
  <c r="Z175" i="1" s="1"/>
  <c r="R183" i="1"/>
  <c r="S183" i="1" s="1"/>
  <c r="Z183" i="1" s="1"/>
  <c r="R191" i="1"/>
  <c r="S191" i="1" s="1"/>
  <c r="Z191" i="1" s="1"/>
  <c r="R199" i="1"/>
  <c r="S199" i="1" s="1"/>
  <c r="Z199" i="1" s="1"/>
  <c r="R207" i="1"/>
  <c r="S207" i="1" s="1"/>
  <c r="Z207" i="1" s="1"/>
  <c r="R215" i="1"/>
  <c r="S215" i="1" s="1"/>
  <c r="Z215" i="1" s="1"/>
  <c r="R223" i="1"/>
  <c r="S223" i="1" s="1"/>
  <c r="Z223" i="1" s="1"/>
  <c r="R231" i="1"/>
  <c r="S231" i="1" s="1"/>
  <c r="Z231" i="1" s="1"/>
  <c r="R239" i="1"/>
  <c r="S239" i="1" s="1"/>
  <c r="Z239" i="1" s="1"/>
  <c r="R247" i="1"/>
  <c r="S247" i="1" s="1"/>
  <c r="Z247" i="1" s="1"/>
  <c r="R255" i="1"/>
  <c r="S255" i="1" s="1"/>
  <c r="Z255" i="1" s="1"/>
  <c r="R263" i="1"/>
  <c r="S263" i="1" s="1"/>
  <c r="Z263" i="1" s="1"/>
  <c r="R271" i="1"/>
  <c r="S271" i="1" s="1"/>
  <c r="Z271" i="1" s="1"/>
  <c r="R279" i="1"/>
  <c r="S279" i="1" s="1"/>
  <c r="Z279" i="1" s="1"/>
  <c r="R287" i="1"/>
  <c r="S287" i="1" s="1"/>
  <c r="Z287" i="1" s="1"/>
  <c r="R295" i="1"/>
  <c r="S295" i="1" s="1"/>
  <c r="Z295" i="1" s="1"/>
  <c r="R303" i="1"/>
  <c r="S303" i="1" s="1"/>
  <c r="Z303" i="1" s="1"/>
  <c r="R311" i="1"/>
  <c r="S311" i="1" s="1"/>
  <c r="Z311" i="1" s="1"/>
  <c r="R319" i="1"/>
  <c r="S319" i="1" s="1"/>
  <c r="Z319" i="1" s="1"/>
  <c r="R327" i="1"/>
  <c r="S327" i="1" s="1"/>
  <c r="Z327" i="1" s="1"/>
  <c r="R335" i="1"/>
  <c r="S335" i="1" s="1"/>
  <c r="Z335" i="1" s="1"/>
  <c r="R343" i="1"/>
  <c r="S343" i="1" s="1"/>
  <c r="Z343" i="1" s="1"/>
  <c r="R351" i="1"/>
  <c r="S351" i="1" s="1"/>
  <c r="Z351" i="1" s="1"/>
  <c r="R359" i="1"/>
  <c r="S359" i="1" s="1"/>
  <c r="Z359" i="1" s="1"/>
  <c r="R367" i="1"/>
  <c r="S367" i="1" s="1"/>
  <c r="Z367" i="1" s="1"/>
  <c r="R375" i="1"/>
  <c r="S375" i="1" s="1"/>
  <c r="Z375" i="1" s="1"/>
  <c r="R383" i="1"/>
  <c r="S383" i="1" s="1"/>
  <c r="Z383" i="1" s="1"/>
  <c r="R391" i="1"/>
  <c r="S391" i="1" s="1"/>
  <c r="Z391" i="1" s="1"/>
  <c r="R399" i="1"/>
  <c r="S399" i="1" s="1"/>
  <c r="Z399" i="1" s="1"/>
  <c r="R407" i="1"/>
  <c r="S407" i="1" s="1"/>
  <c r="Z407" i="1" s="1"/>
  <c r="R415" i="1"/>
  <c r="S415" i="1" s="1"/>
  <c r="Z415" i="1" s="1"/>
  <c r="R423" i="1"/>
  <c r="S423" i="1" s="1"/>
  <c r="Z423" i="1" s="1"/>
  <c r="R431" i="1"/>
  <c r="S431" i="1" s="1"/>
  <c r="Z431" i="1" s="1"/>
  <c r="R439" i="1"/>
  <c r="S439" i="1" s="1"/>
  <c r="Z439" i="1" s="1"/>
  <c r="R447" i="1"/>
  <c r="S447" i="1" s="1"/>
  <c r="Z447" i="1" s="1"/>
  <c r="R455" i="1"/>
  <c r="S455" i="1" s="1"/>
  <c r="Z455" i="1" s="1"/>
  <c r="R463" i="1"/>
  <c r="S463" i="1" s="1"/>
  <c r="Z463" i="1" s="1"/>
  <c r="R471" i="1"/>
  <c r="S471" i="1" s="1"/>
  <c r="Z471" i="1" s="1"/>
  <c r="R479" i="1"/>
  <c r="S479" i="1" s="1"/>
  <c r="Z479" i="1" s="1"/>
  <c r="R487" i="1"/>
  <c r="S487" i="1" s="1"/>
  <c r="Z487" i="1" s="1"/>
  <c r="R495" i="1"/>
  <c r="S495" i="1" s="1"/>
  <c r="Z495" i="1" s="1"/>
  <c r="R503" i="1"/>
  <c r="S503" i="1" s="1"/>
  <c r="Z503" i="1" s="1"/>
  <c r="R511" i="1"/>
  <c r="S511" i="1" s="1"/>
  <c r="Z511" i="1" s="1"/>
  <c r="R519" i="1"/>
  <c r="S519" i="1" s="1"/>
  <c r="Z519" i="1" s="1"/>
  <c r="R527" i="1"/>
  <c r="S527" i="1" s="1"/>
  <c r="Z527" i="1" s="1"/>
  <c r="R535" i="1"/>
  <c r="S535" i="1" s="1"/>
  <c r="Z535" i="1" s="1"/>
  <c r="R543" i="1"/>
  <c r="S543" i="1" s="1"/>
  <c r="Z543" i="1" s="1"/>
  <c r="R551" i="1"/>
  <c r="S551" i="1" s="1"/>
  <c r="Z551" i="1" s="1"/>
  <c r="R559" i="1"/>
  <c r="S559" i="1" s="1"/>
  <c r="Z559" i="1" s="1"/>
  <c r="R567" i="1"/>
  <c r="S567" i="1" s="1"/>
  <c r="Z567" i="1" s="1"/>
  <c r="R575" i="1"/>
  <c r="S575" i="1" s="1"/>
  <c r="Z575" i="1" s="1"/>
  <c r="R583" i="1"/>
  <c r="S583" i="1" s="1"/>
  <c r="Z583" i="1" s="1"/>
  <c r="R591" i="1"/>
  <c r="S591" i="1" s="1"/>
  <c r="Z591" i="1" s="1"/>
  <c r="R599" i="1"/>
  <c r="S599" i="1" s="1"/>
  <c r="Z599" i="1" s="1"/>
  <c r="R607" i="1"/>
  <c r="S607" i="1" s="1"/>
  <c r="Z607" i="1" s="1"/>
  <c r="R615" i="1"/>
  <c r="S615" i="1" s="1"/>
  <c r="Z615" i="1" s="1"/>
  <c r="R623" i="1"/>
  <c r="S623" i="1" s="1"/>
  <c r="Z623" i="1" s="1"/>
  <c r="R631" i="1"/>
  <c r="S631" i="1" s="1"/>
  <c r="Z631" i="1" s="1"/>
  <c r="R639" i="1"/>
  <c r="S639" i="1" s="1"/>
  <c r="Z639" i="1" s="1"/>
  <c r="R647" i="1"/>
  <c r="S647" i="1" s="1"/>
  <c r="Z647" i="1" s="1"/>
  <c r="R655" i="1"/>
  <c r="S655" i="1" s="1"/>
  <c r="Z655" i="1" s="1"/>
  <c r="R24" i="1"/>
  <c r="S24" i="1" s="1"/>
  <c r="Z24" i="1" s="1"/>
  <c r="R32" i="1"/>
  <c r="S32" i="1" s="1"/>
  <c r="Z32" i="1" s="1"/>
  <c r="R40" i="1"/>
  <c r="S40" i="1" s="1"/>
  <c r="Z40" i="1" s="1"/>
  <c r="R48" i="1"/>
  <c r="S48" i="1" s="1"/>
  <c r="Z48" i="1" s="1"/>
  <c r="R56" i="1"/>
  <c r="S56" i="1" s="1"/>
  <c r="Z56" i="1" s="1"/>
  <c r="R64" i="1"/>
  <c r="S64" i="1" s="1"/>
  <c r="Z64" i="1" s="1"/>
  <c r="R72" i="1"/>
  <c r="S72" i="1" s="1"/>
  <c r="Z72" i="1" s="1"/>
  <c r="R80" i="1"/>
  <c r="S80" i="1" s="1"/>
  <c r="Z80" i="1" s="1"/>
  <c r="R88" i="1"/>
  <c r="S88" i="1" s="1"/>
  <c r="Z88" i="1" s="1"/>
  <c r="R96" i="1"/>
  <c r="S96" i="1" s="1"/>
  <c r="Z96" i="1" s="1"/>
  <c r="R104" i="1"/>
  <c r="S104" i="1" s="1"/>
  <c r="Z104" i="1" s="1"/>
  <c r="R112" i="1"/>
  <c r="S112" i="1" s="1"/>
  <c r="Z112" i="1" s="1"/>
  <c r="R120" i="1"/>
  <c r="S120" i="1" s="1"/>
  <c r="Z120" i="1" s="1"/>
  <c r="R128" i="1"/>
  <c r="S128" i="1" s="1"/>
  <c r="Z128" i="1" s="1"/>
  <c r="R136" i="1"/>
  <c r="S136" i="1" s="1"/>
  <c r="Z136" i="1" s="1"/>
  <c r="R144" i="1"/>
  <c r="S144" i="1" s="1"/>
  <c r="Z144" i="1" s="1"/>
  <c r="R152" i="1"/>
  <c r="S152" i="1" s="1"/>
  <c r="Z152" i="1" s="1"/>
  <c r="R160" i="1"/>
  <c r="S160" i="1" s="1"/>
  <c r="Z160" i="1" s="1"/>
  <c r="R168" i="1"/>
  <c r="S168" i="1" s="1"/>
  <c r="Z168" i="1" s="1"/>
  <c r="R176" i="1"/>
  <c r="S176" i="1" s="1"/>
  <c r="Z176" i="1" s="1"/>
  <c r="R184" i="1"/>
  <c r="S184" i="1" s="1"/>
  <c r="Z184" i="1" s="1"/>
  <c r="R192" i="1"/>
  <c r="S192" i="1" s="1"/>
  <c r="Z192" i="1" s="1"/>
  <c r="R200" i="1"/>
  <c r="S200" i="1" s="1"/>
  <c r="Z200" i="1" s="1"/>
  <c r="R208" i="1"/>
  <c r="S208" i="1" s="1"/>
  <c r="Z208" i="1" s="1"/>
  <c r="R216" i="1"/>
  <c r="S216" i="1" s="1"/>
  <c r="Z216" i="1" s="1"/>
  <c r="R224" i="1"/>
  <c r="S224" i="1" s="1"/>
  <c r="Z224" i="1" s="1"/>
  <c r="R232" i="1"/>
  <c r="S232" i="1" s="1"/>
  <c r="Z232" i="1" s="1"/>
  <c r="R240" i="1"/>
  <c r="S240" i="1" s="1"/>
  <c r="Z240" i="1" s="1"/>
  <c r="R248" i="1"/>
  <c r="S248" i="1" s="1"/>
  <c r="Z248" i="1" s="1"/>
  <c r="R256" i="1"/>
  <c r="S256" i="1" s="1"/>
  <c r="Z256" i="1" s="1"/>
  <c r="R264" i="1"/>
  <c r="S264" i="1" s="1"/>
  <c r="Z264" i="1" s="1"/>
  <c r="R272" i="1"/>
  <c r="S272" i="1" s="1"/>
  <c r="Z272" i="1" s="1"/>
  <c r="R280" i="1"/>
  <c r="S280" i="1" s="1"/>
  <c r="Z280" i="1" s="1"/>
  <c r="R288" i="1"/>
  <c r="S288" i="1" s="1"/>
  <c r="Z288" i="1" s="1"/>
  <c r="R296" i="1"/>
  <c r="S296" i="1" s="1"/>
  <c r="Z296" i="1" s="1"/>
  <c r="R304" i="1"/>
  <c r="S304" i="1" s="1"/>
  <c r="Z304" i="1" s="1"/>
  <c r="R312" i="1"/>
  <c r="S312" i="1" s="1"/>
  <c r="Z312" i="1" s="1"/>
  <c r="R320" i="1"/>
  <c r="S320" i="1" s="1"/>
  <c r="Z320" i="1" s="1"/>
  <c r="R328" i="1"/>
  <c r="S328" i="1" s="1"/>
  <c r="Z328" i="1" s="1"/>
  <c r="R336" i="1"/>
  <c r="S336" i="1" s="1"/>
  <c r="Z336" i="1" s="1"/>
  <c r="R344" i="1"/>
  <c r="S344" i="1" s="1"/>
  <c r="Z344" i="1" s="1"/>
  <c r="R352" i="1"/>
  <c r="S352" i="1" s="1"/>
  <c r="Z352" i="1" s="1"/>
  <c r="R360" i="1"/>
  <c r="S360" i="1" s="1"/>
  <c r="Z360" i="1" s="1"/>
  <c r="R368" i="1"/>
  <c r="S368" i="1" s="1"/>
  <c r="Z368" i="1" s="1"/>
  <c r="R376" i="1"/>
  <c r="S376" i="1" s="1"/>
  <c r="Z376" i="1" s="1"/>
  <c r="R384" i="1"/>
  <c r="S384" i="1" s="1"/>
  <c r="Z384" i="1" s="1"/>
  <c r="R392" i="1"/>
  <c r="S392" i="1" s="1"/>
  <c r="Z392" i="1" s="1"/>
  <c r="R400" i="1"/>
  <c r="S400" i="1" s="1"/>
  <c r="Z400" i="1" s="1"/>
  <c r="R408" i="1"/>
  <c r="S408" i="1" s="1"/>
  <c r="Z408" i="1" s="1"/>
  <c r="R416" i="1"/>
  <c r="S416" i="1" s="1"/>
  <c r="Z416" i="1" s="1"/>
  <c r="R424" i="1"/>
  <c r="S424" i="1" s="1"/>
  <c r="Z424" i="1" s="1"/>
  <c r="R432" i="1"/>
  <c r="S432" i="1" s="1"/>
  <c r="Z432" i="1" s="1"/>
  <c r="R440" i="1"/>
  <c r="S440" i="1" s="1"/>
  <c r="Z440" i="1" s="1"/>
  <c r="R448" i="1"/>
  <c r="S448" i="1" s="1"/>
  <c r="Z448" i="1" s="1"/>
  <c r="R456" i="1"/>
  <c r="S456" i="1" s="1"/>
  <c r="Z456" i="1" s="1"/>
  <c r="R464" i="1"/>
  <c r="S464" i="1" s="1"/>
  <c r="Z464" i="1" s="1"/>
  <c r="R472" i="1"/>
  <c r="S472" i="1" s="1"/>
  <c r="Z472" i="1" s="1"/>
  <c r="R480" i="1"/>
  <c r="S480" i="1" s="1"/>
  <c r="Z480" i="1" s="1"/>
  <c r="R488" i="1"/>
  <c r="S488" i="1" s="1"/>
  <c r="Z488" i="1" s="1"/>
  <c r="R496" i="1"/>
  <c r="S496" i="1" s="1"/>
  <c r="Z496" i="1" s="1"/>
  <c r="R504" i="1"/>
  <c r="S504" i="1" s="1"/>
  <c r="Z504" i="1" s="1"/>
  <c r="R512" i="1"/>
  <c r="S512" i="1" s="1"/>
  <c r="Z512" i="1" s="1"/>
  <c r="R520" i="1"/>
  <c r="S520" i="1" s="1"/>
  <c r="Z520" i="1" s="1"/>
  <c r="R528" i="1"/>
  <c r="S528" i="1" s="1"/>
  <c r="Z528" i="1" s="1"/>
  <c r="R536" i="1"/>
  <c r="S536" i="1" s="1"/>
  <c r="Z536" i="1" s="1"/>
  <c r="R544" i="1"/>
  <c r="S544" i="1" s="1"/>
  <c r="Z544" i="1" s="1"/>
  <c r="R552" i="1"/>
  <c r="S552" i="1" s="1"/>
  <c r="Z552" i="1" s="1"/>
  <c r="R560" i="1"/>
  <c r="S560" i="1" s="1"/>
  <c r="Z560" i="1" s="1"/>
  <c r="R568" i="1"/>
  <c r="S568" i="1" s="1"/>
  <c r="Z568" i="1" s="1"/>
  <c r="R576" i="1"/>
  <c r="S576" i="1" s="1"/>
  <c r="Z576" i="1" s="1"/>
  <c r="R584" i="1"/>
  <c r="S584" i="1" s="1"/>
  <c r="Z584" i="1" s="1"/>
  <c r="R592" i="1"/>
  <c r="S592" i="1" s="1"/>
  <c r="Z592" i="1" s="1"/>
  <c r="R600" i="1"/>
  <c r="S600" i="1" s="1"/>
  <c r="Z600" i="1" s="1"/>
  <c r="R608" i="1"/>
  <c r="S608" i="1" s="1"/>
  <c r="Z608" i="1" s="1"/>
  <c r="R616" i="1"/>
  <c r="S616" i="1" s="1"/>
  <c r="Z616" i="1" s="1"/>
  <c r="R624" i="1"/>
  <c r="S624" i="1" s="1"/>
  <c r="Z624" i="1" s="1"/>
  <c r="R632" i="1"/>
  <c r="S632" i="1" s="1"/>
  <c r="Z632" i="1" s="1"/>
  <c r="R640" i="1"/>
  <c r="S640" i="1" s="1"/>
  <c r="Z640" i="1" s="1"/>
  <c r="R648" i="1"/>
  <c r="S648" i="1" s="1"/>
  <c r="Z648" i="1" s="1"/>
  <c r="R656" i="1"/>
  <c r="S656" i="1" s="1"/>
  <c r="Z656" i="1" s="1"/>
  <c r="R25" i="1"/>
  <c r="S25" i="1" s="1"/>
  <c r="Z25" i="1" s="1"/>
  <c r="R81" i="1"/>
  <c r="S81" i="1" s="1"/>
  <c r="Z81" i="1" s="1"/>
  <c r="R97" i="1"/>
  <c r="S97" i="1" s="1"/>
  <c r="Z97" i="1" s="1"/>
  <c r="R113" i="1"/>
  <c r="S113" i="1" s="1"/>
  <c r="Z113" i="1" s="1"/>
  <c r="R41" i="1"/>
  <c r="S41" i="1" s="1"/>
  <c r="Z41" i="1" s="1"/>
  <c r="R161" i="1"/>
  <c r="S161" i="1" s="1"/>
  <c r="Z161" i="1" s="1"/>
  <c r="R225" i="1"/>
  <c r="S225" i="1" s="1"/>
  <c r="Z225" i="1" s="1"/>
  <c r="R289" i="1"/>
  <c r="S289" i="1" s="1"/>
  <c r="Z289" i="1" s="1"/>
  <c r="R353" i="1"/>
  <c r="S353" i="1" s="1"/>
  <c r="Z353" i="1" s="1"/>
  <c r="R417" i="1"/>
  <c r="S417" i="1" s="1"/>
  <c r="Z417" i="1" s="1"/>
  <c r="R481" i="1"/>
  <c r="S481" i="1" s="1"/>
  <c r="Z481" i="1" s="1"/>
  <c r="R545" i="1"/>
  <c r="S545" i="1" s="1"/>
  <c r="Z545" i="1" s="1"/>
  <c r="R609" i="1"/>
  <c r="S609" i="1" s="1"/>
  <c r="Z609" i="1" s="1"/>
  <c r="R249" i="1"/>
  <c r="S249" i="1" s="1"/>
  <c r="Z249" i="1" s="1"/>
  <c r="R569" i="1"/>
  <c r="S569" i="1" s="1"/>
  <c r="Z569" i="1" s="1"/>
  <c r="R321" i="1"/>
  <c r="S321" i="1" s="1"/>
  <c r="Z321" i="1" s="1"/>
  <c r="R513" i="1"/>
  <c r="S513" i="1" s="1"/>
  <c r="Z513" i="1" s="1"/>
  <c r="R641" i="1"/>
  <c r="S641" i="1" s="1"/>
  <c r="Z641" i="1" s="1"/>
  <c r="R657" i="1"/>
  <c r="S657" i="1" s="1"/>
  <c r="Z657" i="1" s="1"/>
  <c r="R217" i="1"/>
  <c r="S217" i="1" s="1"/>
  <c r="Z217" i="1" s="1"/>
  <c r="R409" i="1"/>
  <c r="S409" i="1" s="1"/>
  <c r="Z409" i="1" s="1"/>
  <c r="R57" i="1"/>
  <c r="S57" i="1" s="1"/>
  <c r="Z57" i="1" s="1"/>
  <c r="R169" i="1"/>
  <c r="S169" i="1" s="1"/>
  <c r="Z169" i="1" s="1"/>
  <c r="R233" i="1"/>
  <c r="S233" i="1" s="1"/>
  <c r="Z233" i="1" s="1"/>
  <c r="R297" i="1"/>
  <c r="S297" i="1" s="1"/>
  <c r="Z297" i="1" s="1"/>
  <c r="R361" i="1"/>
  <c r="S361" i="1" s="1"/>
  <c r="Z361" i="1" s="1"/>
  <c r="R425" i="1"/>
  <c r="S425" i="1" s="1"/>
  <c r="Z425" i="1" s="1"/>
  <c r="R489" i="1"/>
  <c r="S489" i="1" s="1"/>
  <c r="Z489" i="1" s="1"/>
  <c r="R553" i="1"/>
  <c r="S553" i="1" s="1"/>
  <c r="Z553" i="1" s="1"/>
  <c r="R617" i="1"/>
  <c r="S617" i="1" s="1"/>
  <c r="Z617" i="1" s="1"/>
  <c r="R185" i="1"/>
  <c r="S185" i="1" s="1"/>
  <c r="Z185" i="1" s="1"/>
  <c r="R377" i="1"/>
  <c r="S377" i="1" s="1"/>
  <c r="Z377" i="1" s="1"/>
  <c r="R441" i="1"/>
  <c r="S441" i="1" s="1"/>
  <c r="Z441" i="1" s="1"/>
  <c r="R633" i="1"/>
  <c r="S633" i="1" s="1"/>
  <c r="Z633" i="1" s="1"/>
  <c r="R193" i="1"/>
  <c r="S193" i="1" s="1"/>
  <c r="Z193" i="1" s="1"/>
  <c r="R385" i="1"/>
  <c r="S385" i="1" s="1"/>
  <c r="Z385" i="1" s="1"/>
  <c r="R529" i="1"/>
  <c r="S529" i="1" s="1"/>
  <c r="Z529" i="1" s="1"/>
  <c r="R153" i="1"/>
  <c r="S153" i="1" s="1"/>
  <c r="Z153" i="1" s="1"/>
  <c r="R473" i="1"/>
  <c r="S473" i="1" s="1"/>
  <c r="Z473" i="1" s="1"/>
  <c r="R65" i="1"/>
  <c r="S65" i="1" s="1"/>
  <c r="Z65" i="1" s="1"/>
  <c r="R177" i="1"/>
  <c r="S177" i="1" s="1"/>
  <c r="Z177" i="1" s="1"/>
  <c r="R241" i="1"/>
  <c r="S241" i="1" s="1"/>
  <c r="Z241" i="1" s="1"/>
  <c r="R305" i="1"/>
  <c r="S305" i="1" s="1"/>
  <c r="Z305" i="1" s="1"/>
  <c r="R369" i="1"/>
  <c r="S369" i="1" s="1"/>
  <c r="Z369" i="1" s="1"/>
  <c r="R433" i="1"/>
  <c r="S433" i="1" s="1"/>
  <c r="Z433" i="1" s="1"/>
  <c r="R497" i="1"/>
  <c r="S497" i="1" s="1"/>
  <c r="Z497" i="1" s="1"/>
  <c r="R561" i="1"/>
  <c r="S561" i="1" s="1"/>
  <c r="Z561" i="1" s="1"/>
  <c r="R625" i="1"/>
  <c r="S625" i="1" s="1"/>
  <c r="Z625" i="1" s="1"/>
  <c r="R121" i="1"/>
  <c r="S121" i="1" s="1"/>
  <c r="Z121" i="1" s="1"/>
  <c r="R313" i="1"/>
  <c r="S313" i="1" s="1"/>
  <c r="Z313" i="1" s="1"/>
  <c r="R505" i="1"/>
  <c r="S505" i="1" s="1"/>
  <c r="Z505" i="1" s="1"/>
  <c r="R257" i="1"/>
  <c r="S257" i="1" s="1"/>
  <c r="Z257" i="1" s="1"/>
  <c r="R449" i="1"/>
  <c r="S449" i="1" s="1"/>
  <c r="Z449" i="1" s="1"/>
  <c r="R577" i="1"/>
  <c r="S577" i="1" s="1"/>
  <c r="Z577" i="1" s="1"/>
  <c r="R465" i="1"/>
  <c r="S465" i="1" s="1"/>
  <c r="Z465" i="1" s="1"/>
  <c r="R33" i="1"/>
  <c r="S33" i="1" s="1"/>
  <c r="Z33" i="1" s="1"/>
  <c r="R601" i="1"/>
  <c r="S601" i="1" s="1"/>
  <c r="Z601" i="1" s="1"/>
  <c r="R129" i="1"/>
  <c r="S129" i="1" s="1"/>
  <c r="Z129" i="1" s="1"/>
  <c r="R137" i="1"/>
  <c r="S137" i="1" s="1"/>
  <c r="Z137" i="1" s="1"/>
  <c r="R201" i="1"/>
  <c r="S201" i="1" s="1"/>
  <c r="Z201" i="1" s="1"/>
  <c r="R265" i="1"/>
  <c r="S265" i="1" s="1"/>
  <c r="Z265" i="1" s="1"/>
  <c r="R329" i="1"/>
  <c r="S329" i="1" s="1"/>
  <c r="Z329" i="1" s="1"/>
  <c r="R393" i="1"/>
  <c r="S393" i="1" s="1"/>
  <c r="Z393" i="1" s="1"/>
  <c r="R457" i="1"/>
  <c r="S457" i="1" s="1"/>
  <c r="Z457" i="1" s="1"/>
  <c r="R521" i="1"/>
  <c r="S521" i="1" s="1"/>
  <c r="Z521" i="1" s="1"/>
  <c r="R585" i="1"/>
  <c r="S585" i="1" s="1"/>
  <c r="Z585" i="1" s="1"/>
  <c r="R649" i="1"/>
  <c r="S649" i="1" s="1"/>
  <c r="Z649" i="1" s="1"/>
  <c r="R337" i="1"/>
  <c r="S337" i="1" s="1"/>
  <c r="Z337" i="1" s="1"/>
  <c r="R593" i="1"/>
  <c r="S593" i="1" s="1"/>
  <c r="Z593" i="1" s="1"/>
  <c r="R281" i="1"/>
  <c r="S281" i="1" s="1"/>
  <c r="Z281" i="1" s="1"/>
  <c r="R345" i="1"/>
  <c r="S345" i="1" s="1"/>
  <c r="Z345" i="1" s="1"/>
  <c r="R537" i="1"/>
  <c r="S537" i="1" s="1"/>
  <c r="Z537" i="1" s="1"/>
  <c r="R145" i="1"/>
  <c r="S145" i="1" s="1"/>
  <c r="Z145" i="1" s="1"/>
  <c r="R209" i="1"/>
  <c r="S209" i="1" s="1"/>
  <c r="Z209" i="1" s="1"/>
  <c r="R273" i="1"/>
  <c r="S273" i="1" s="1"/>
  <c r="Z273" i="1" s="1"/>
  <c r="R401" i="1"/>
  <c r="S401" i="1" s="1"/>
  <c r="Z401" i="1" s="1"/>
  <c r="AD18" i="1"/>
  <c r="AE18" i="1" s="1"/>
  <c r="AI18" i="1" s="1"/>
  <c r="AD26" i="1"/>
  <c r="AE26" i="1" s="1"/>
  <c r="AD34" i="1"/>
  <c r="AE34" i="1" s="1"/>
  <c r="AD42" i="1"/>
  <c r="AE42" i="1" s="1"/>
  <c r="AD50" i="1"/>
  <c r="AE50" i="1" s="1"/>
  <c r="AD58" i="1"/>
  <c r="AE58" i="1" s="1"/>
  <c r="AD66" i="1"/>
  <c r="AE66" i="1" s="1"/>
  <c r="AD74" i="1"/>
  <c r="AE74" i="1" s="1"/>
  <c r="AD82" i="1"/>
  <c r="AE82" i="1" s="1"/>
  <c r="AD90" i="1"/>
  <c r="AE90" i="1" s="1"/>
  <c r="AD98" i="1"/>
  <c r="AE98" i="1" s="1"/>
  <c r="AD106" i="1"/>
  <c r="AE106" i="1" s="1"/>
  <c r="AD114" i="1"/>
  <c r="AE114" i="1" s="1"/>
  <c r="AD122" i="1"/>
  <c r="AE122" i="1" s="1"/>
  <c r="AD130" i="1"/>
  <c r="AE130" i="1" s="1"/>
  <c r="AD138" i="1"/>
  <c r="AE138" i="1" s="1"/>
  <c r="AD146" i="1"/>
  <c r="AE146" i="1" s="1"/>
  <c r="AD154" i="1"/>
  <c r="AE154" i="1" s="1"/>
  <c r="AD162" i="1"/>
  <c r="AE162" i="1" s="1"/>
  <c r="AD170" i="1"/>
  <c r="AE170" i="1" s="1"/>
  <c r="AD178" i="1"/>
  <c r="AE178" i="1" s="1"/>
  <c r="AD186" i="1"/>
  <c r="AE186" i="1" s="1"/>
  <c r="AD194" i="1"/>
  <c r="AE194" i="1" s="1"/>
  <c r="AD202" i="1"/>
  <c r="AE202" i="1" s="1"/>
  <c r="AD210" i="1"/>
  <c r="AE210" i="1" s="1"/>
  <c r="AD218" i="1"/>
  <c r="AE218" i="1" s="1"/>
  <c r="AD226" i="1"/>
  <c r="AE226" i="1" s="1"/>
  <c r="AD234" i="1"/>
  <c r="AE234" i="1" s="1"/>
  <c r="AD242" i="1"/>
  <c r="AE242" i="1" s="1"/>
  <c r="AD250" i="1"/>
  <c r="AE250" i="1" s="1"/>
  <c r="AD258" i="1"/>
  <c r="AE258" i="1" s="1"/>
  <c r="AD266" i="1"/>
  <c r="AE266" i="1" s="1"/>
  <c r="AD274" i="1"/>
  <c r="AE274" i="1" s="1"/>
  <c r="AD282" i="1"/>
  <c r="AE282" i="1" s="1"/>
  <c r="AD290" i="1"/>
  <c r="AE290" i="1" s="1"/>
  <c r="AD298" i="1"/>
  <c r="AE298" i="1" s="1"/>
  <c r="AD306" i="1"/>
  <c r="AE306" i="1" s="1"/>
  <c r="AD314" i="1"/>
  <c r="AE314" i="1" s="1"/>
  <c r="AD322" i="1"/>
  <c r="AE322" i="1" s="1"/>
  <c r="AD330" i="1"/>
  <c r="AE330" i="1" s="1"/>
  <c r="AD338" i="1"/>
  <c r="AE338" i="1" s="1"/>
  <c r="AD346" i="1"/>
  <c r="AE346" i="1" s="1"/>
  <c r="AD354" i="1"/>
  <c r="AE354" i="1" s="1"/>
  <c r="AD362" i="1"/>
  <c r="AE362" i="1" s="1"/>
  <c r="AD370" i="1"/>
  <c r="AE370" i="1" s="1"/>
  <c r="AD378" i="1"/>
  <c r="AE378" i="1" s="1"/>
  <c r="AD386" i="1"/>
  <c r="AE386" i="1" s="1"/>
  <c r="AD394" i="1"/>
  <c r="AE394" i="1" s="1"/>
  <c r="AD402" i="1"/>
  <c r="AE402" i="1" s="1"/>
  <c r="AD410" i="1"/>
  <c r="AE410" i="1" s="1"/>
  <c r="AD418" i="1"/>
  <c r="AE418" i="1" s="1"/>
  <c r="AD426" i="1"/>
  <c r="AE426" i="1" s="1"/>
  <c r="AD434" i="1"/>
  <c r="AE434" i="1" s="1"/>
  <c r="AD442" i="1"/>
  <c r="AE442" i="1" s="1"/>
  <c r="AD450" i="1"/>
  <c r="AE450" i="1" s="1"/>
  <c r="AD458" i="1"/>
  <c r="AE458" i="1" s="1"/>
  <c r="AD466" i="1"/>
  <c r="AE466" i="1" s="1"/>
  <c r="AD474" i="1"/>
  <c r="AE474" i="1" s="1"/>
  <c r="AD482" i="1"/>
  <c r="AE482" i="1" s="1"/>
  <c r="AD490" i="1"/>
  <c r="AE490" i="1" s="1"/>
  <c r="AD498" i="1"/>
  <c r="AE498" i="1" s="1"/>
  <c r="AD506" i="1"/>
  <c r="AE506" i="1" s="1"/>
  <c r="AD514" i="1"/>
  <c r="AE514" i="1" s="1"/>
  <c r="AD522" i="1"/>
  <c r="AE522" i="1" s="1"/>
  <c r="AD530" i="1"/>
  <c r="AE530" i="1" s="1"/>
  <c r="AD538" i="1"/>
  <c r="AE538" i="1" s="1"/>
  <c r="AD546" i="1"/>
  <c r="AE546" i="1" s="1"/>
  <c r="AD554" i="1"/>
  <c r="AE554" i="1" s="1"/>
  <c r="AD562" i="1"/>
  <c r="AE562" i="1" s="1"/>
  <c r="AD570" i="1"/>
  <c r="AE570" i="1" s="1"/>
  <c r="AD578" i="1"/>
  <c r="AE578" i="1" s="1"/>
  <c r="AD586" i="1"/>
  <c r="AE586" i="1" s="1"/>
  <c r="AD594" i="1"/>
  <c r="AE594" i="1" s="1"/>
  <c r="AD602" i="1"/>
  <c r="AE602" i="1" s="1"/>
  <c r="AD610" i="1"/>
  <c r="AE610" i="1" s="1"/>
  <c r="AD618" i="1"/>
  <c r="AE618" i="1" s="1"/>
  <c r="AD626" i="1"/>
  <c r="AE626" i="1" s="1"/>
  <c r="AD634" i="1"/>
  <c r="AE634" i="1" s="1"/>
  <c r="AD642" i="1"/>
  <c r="AE642" i="1" s="1"/>
  <c r="AD650" i="1"/>
  <c r="AE650" i="1" s="1"/>
  <c r="AD658" i="1"/>
  <c r="AE658" i="1" s="1"/>
  <c r="AD29" i="1"/>
  <c r="AE29" i="1" s="1"/>
  <c r="AD19" i="1"/>
  <c r="AE19" i="1" s="1"/>
  <c r="AD27" i="1"/>
  <c r="AE27" i="1" s="1"/>
  <c r="AD35" i="1"/>
  <c r="AE35" i="1" s="1"/>
  <c r="AD43" i="1"/>
  <c r="AE43" i="1" s="1"/>
  <c r="AD51" i="1"/>
  <c r="AE51" i="1" s="1"/>
  <c r="AD59" i="1"/>
  <c r="AE59" i="1" s="1"/>
  <c r="AD67" i="1"/>
  <c r="AE67" i="1" s="1"/>
  <c r="AD75" i="1"/>
  <c r="AE75" i="1" s="1"/>
  <c r="AD83" i="1"/>
  <c r="AE83" i="1" s="1"/>
  <c r="AD91" i="1"/>
  <c r="AE91" i="1" s="1"/>
  <c r="AD99" i="1"/>
  <c r="AE99" i="1" s="1"/>
  <c r="AD107" i="1"/>
  <c r="AE107" i="1" s="1"/>
  <c r="AD115" i="1"/>
  <c r="AE115" i="1" s="1"/>
  <c r="AD123" i="1"/>
  <c r="AE123" i="1" s="1"/>
  <c r="AD131" i="1"/>
  <c r="AE131" i="1" s="1"/>
  <c r="AD139" i="1"/>
  <c r="AE139" i="1" s="1"/>
  <c r="AD147" i="1"/>
  <c r="AE147" i="1" s="1"/>
  <c r="AD155" i="1"/>
  <c r="AE155" i="1" s="1"/>
  <c r="AD163" i="1"/>
  <c r="AE163" i="1" s="1"/>
  <c r="AD171" i="1"/>
  <c r="AE171" i="1" s="1"/>
  <c r="AD179" i="1"/>
  <c r="AE179" i="1" s="1"/>
  <c r="AD187" i="1"/>
  <c r="AE187" i="1" s="1"/>
  <c r="AD195" i="1"/>
  <c r="AE195" i="1" s="1"/>
  <c r="AD203" i="1"/>
  <c r="AE203" i="1" s="1"/>
  <c r="AD211" i="1"/>
  <c r="AE211" i="1" s="1"/>
  <c r="AD219" i="1"/>
  <c r="AE219" i="1" s="1"/>
  <c r="AD227" i="1"/>
  <c r="AE227" i="1" s="1"/>
  <c r="AD235" i="1"/>
  <c r="AE235" i="1" s="1"/>
  <c r="AD243" i="1"/>
  <c r="AE243" i="1" s="1"/>
  <c r="AD251" i="1"/>
  <c r="AE251" i="1" s="1"/>
  <c r="AD259" i="1"/>
  <c r="AE259" i="1" s="1"/>
  <c r="AD267" i="1"/>
  <c r="AE267" i="1" s="1"/>
  <c r="AD275" i="1"/>
  <c r="AE275" i="1" s="1"/>
  <c r="AD283" i="1"/>
  <c r="AE283" i="1" s="1"/>
  <c r="AD291" i="1"/>
  <c r="AE291" i="1" s="1"/>
  <c r="AD299" i="1"/>
  <c r="AE299" i="1" s="1"/>
  <c r="AD307" i="1"/>
  <c r="AE307" i="1" s="1"/>
  <c r="AD315" i="1"/>
  <c r="AE315" i="1" s="1"/>
  <c r="AD323" i="1"/>
  <c r="AE323" i="1" s="1"/>
  <c r="AD331" i="1"/>
  <c r="AE331" i="1" s="1"/>
  <c r="AD339" i="1"/>
  <c r="AE339" i="1" s="1"/>
  <c r="AD347" i="1"/>
  <c r="AE347" i="1" s="1"/>
  <c r="AD355" i="1"/>
  <c r="AE355" i="1" s="1"/>
  <c r="AD363" i="1"/>
  <c r="AE363" i="1" s="1"/>
  <c r="AD371" i="1"/>
  <c r="AE371" i="1" s="1"/>
  <c r="AD379" i="1"/>
  <c r="AE379" i="1" s="1"/>
  <c r="AD387" i="1"/>
  <c r="AE387" i="1" s="1"/>
  <c r="AD395" i="1"/>
  <c r="AE395" i="1" s="1"/>
  <c r="AD403" i="1"/>
  <c r="AE403" i="1" s="1"/>
  <c r="AD411" i="1"/>
  <c r="AE411" i="1" s="1"/>
  <c r="AD419" i="1"/>
  <c r="AE419" i="1" s="1"/>
  <c r="AD427" i="1"/>
  <c r="AE427" i="1" s="1"/>
  <c r="AD435" i="1"/>
  <c r="AE435" i="1" s="1"/>
  <c r="AD443" i="1"/>
  <c r="AE443" i="1" s="1"/>
  <c r="AD451" i="1"/>
  <c r="AE451" i="1" s="1"/>
  <c r="AD459" i="1"/>
  <c r="AE459" i="1" s="1"/>
  <c r="AD467" i="1"/>
  <c r="AE467" i="1" s="1"/>
  <c r="AD475" i="1"/>
  <c r="AE475" i="1" s="1"/>
  <c r="AD483" i="1"/>
  <c r="AE483" i="1" s="1"/>
  <c r="AD491" i="1"/>
  <c r="AE491" i="1" s="1"/>
  <c r="AD499" i="1"/>
  <c r="AE499" i="1" s="1"/>
  <c r="AD507" i="1"/>
  <c r="AE507" i="1" s="1"/>
  <c r="AD515" i="1"/>
  <c r="AE515" i="1" s="1"/>
  <c r="AD523" i="1"/>
  <c r="AE523" i="1" s="1"/>
  <c r="AD531" i="1"/>
  <c r="AE531" i="1" s="1"/>
  <c r="AD539" i="1"/>
  <c r="AE539" i="1" s="1"/>
  <c r="AD547" i="1"/>
  <c r="AE547" i="1" s="1"/>
  <c r="AD555" i="1"/>
  <c r="AE555" i="1" s="1"/>
  <c r="AD563" i="1"/>
  <c r="AE563" i="1" s="1"/>
  <c r="AD571" i="1"/>
  <c r="AE571" i="1" s="1"/>
  <c r="AD579" i="1"/>
  <c r="AE579" i="1" s="1"/>
  <c r="AD587" i="1"/>
  <c r="AE587" i="1" s="1"/>
  <c r="AD595" i="1"/>
  <c r="AE595" i="1" s="1"/>
  <c r="AD603" i="1"/>
  <c r="AE603" i="1" s="1"/>
  <c r="AD611" i="1"/>
  <c r="AE611" i="1" s="1"/>
  <c r="AD619" i="1"/>
  <c r="AE619" i="1" s="1"/>
  <c r="AD627" i="1"/>
  <c r="AE627" i="1" s="1"/>
  <c r="AD635" i="1"/>
  <c r="AE635" i="1" s="1"/>
  <c r="AD643" i="1"/>
  <c r="AE643" i="1" s="1"/>
  <c r="AD651" i="1"/>
  <c r="AE651" i="1" s="1"/>
  <c r="AD659" i="1"/>
  <c r="AE659" i="1" s="1"/>
  <c r="AD20" i="1"/>
  <c r="AE20" i="1" s="1"/>
  <c r="AD28" i="1"/>
  <c r="AE28" i="1" s="1"/>
  <c r="AD36" i="1"/>
  <c r="AE36" i="1" s="1"/>
  <c r="AD44" i="1"/>
  <c r="AE44" i="1" s="1"/>
  <c r="AD52" i="1"/>
  <c r="AE52" i="1" s="1"/>
  <c r="AD60" i="1"/>
  <c r="AE60" i="1" s="1"/>
  <c r="AD68" i="1"/>
  <c r="AE68" i="1" s="1"/>
  <c r="AD76" i="1"/>
  <c r="AE76" i="1" s="1"/>
  <c r="AD84" i="1"/>
  <c r="AE84" i="1" s="1"/>
  <c r="AD92" i="1"/>
  <c r="AE92" i="1" s="1"/>
  <c r="AD100" i="1"/>
  <c r="AE100" i="1" s="1"/>
  <c r="AD108" i="1"/>
  <c r="AE108" i="1" s="1"/>
  <c r="AD116" i="1"/>
  <c r="AE116" i="1" s="1"/>
  <c r="AD124" i="1"/>
  <c r="AE124" i="1" s="1"/>
  <c r="AD132" i="1"/>
  <c r="AE132" i="1" s="1"/>
  <c r="AD140" i="1"/>
  <c r="AE140" i="1" s="1"/>
  <c r="AD148" i="1"/>
  <c r="AE148" i="1" s="1"/>
  <c r="AD156" i="1"/>
  <c r="AE156" i="1" s="1"/>
  <c r="AD164" i="1"/>
  <c r="AE164" i="1" s="1"/>
  <c r="AD172" i="1"/>
  <c r="AE172" i="1" s="1"/>
  <c r="AD180" i="1"/>
  <c r="AE180" i="1" s="1"/>
  <c r="AD188" i="1"/>
  <c r="AE188" i="1" s="1"/>
  <c r="AD196" i="1"/>
  <c r="AE196" i="1" s="1"/>
  <c r="AD204" i="1"/>
  <c r="AE204" i="1" s="1"/>
  <c r="AD212" i="1"/>
  <c r="AE212" i="1" s="1"/>
  <c r="AD220" i="1"/>
  <c r="AE220" i="1" s="1"/>
  <c r="AD228" i="1"/>
  <c r="AE228" i="1" s="1"/>
  <c r="AD236" i="1"/>
  <c r="AE236" i="1" s="1"/>
  <c r="AD244" i="1"/>
  <c r="AE244" i="1" s="1"/>
  <c r="AD252" i="1"/>
  <c r="AE252" i="1" s="1"/>
  <c r="AD260" i="1"/>
  <c r="AE260" i="1" s="1"/>
  <c r="AD268" i="1"/>
  <c r="AE268" i="1" s="1"/>
  <c r="AD276" i="1"/>
  <c r="AE276" i="1" s="1"/>
  <c r="AD284" i="1"/>
  <c r="AE284" i="1" s="1"/>
  <c r="AD292" i="1"/>
  <c r="AE292" i="1" s="1"/>
  <c r="AD300" i="1"/>
  <c r="AE300" i="1" s="1"/>
  <c r="AD308" i="1"/>
  <c r="AE308" i="1" s="1"/>
  <c r="AD316" i="1"/>
  <c r="AE316" i="1" s="1"/>
  <c r="AD324" i="1"/>
  <c r="AE324" i="1" s="1"/>
  <c r="AD332" i="1"/>
  <c r="AE332" i="1" s="1"/>
  <c r="AD340" i="1"/>
  <c r="AE340" i="1" s="1"/>
  <c r="AD348" i="1"/>
  <c r="AE348" i="1" s="1"/>
  <c r="AD356" i="1"/>
  <c r="AE356" i="1" s="1"/>
  <c r="AD364" i="1"/>
  <c r="AE364" i="1" s="1"/>
  <c r="AD372" i="1"/>
  <c r="AE372" i="1" s="1"/>
  <c r="AD380" i="1"/>
  <c r="AE380" i="1" s="1"/>
  <c r="AD388" i="1"/>
  <c r="AE388" i="1" s="1"/>
  <c r="AD396" i="1"/>
  <c r="AE396" i="1" s="1"/>
  <c r="AD404" i="1"/>
  <c r="AE404" i="1" s="1"/>
  <c r="AD412" i="1"/>
  <c r="AE412" i="1" s="1"/>
  <c r="AD420" i="1"/>
  <c r="AE420" i="1" s="1"/>
  <c r="AD428" i="1"/>
  <c r="AE428" i="1" s="1"/>
  <c r="AD436" i="1"/>
  <c r="AE436" i="1" s="1"/>
  <c r="AD444" i="1"/>
  <c r="AE444" i="1" s="1"/>
  <c r="AD452" i="1"/>
  <c r="AE452" i="1" s="1"/>
  <c r="AD460" i="1"/>
  <c r="AE460" i="1" s="1"/>
  <c r="AD468" i="1"/>
  <c r="AE468" i="1" s="1"/>
  <c r="AD476" i="1"/>
  <c r="AE476" i="1" s="1"/>
  <c r="AD484" i="1"/>
  <c r="AE484" i="1" s="1"/>
  <c r="AD492" i="1"/>
  <c r="AE492" i="1" s="1"/>
  <c r="AD500" i="1"/>
  <c r="AE500" i="1" s="1"/>
  <c r="AD508" i="1"/>
  <c r="AE508" i="1" s="1"/>
  <c r="AD516" i="1"/>
  <c r="AE516" i="1" s="1"/>
  <c r="AD524" i="1"/>
  <c r="AE524" i="1" s="1"/>
  <c r="AD532" i="1"/>
  <c r="AE532" i="1" s="1"/>
  <c r="AD540" i="1"/>
  <c r="AE540" i="1" s="1"/>
  <c r="AD548" i="1"/>
  <c r="AE548" i="1" s="1"/>
  <c r="AD556" i="1"/>
  <c r="AE556" i="1" s="1"/>
  <c r="AD564" i="1"/>
  <c r="AE564" i="1" s="1"/>
  <c r="AD572" i="1"/>
  <c r="AE572" i="1" s="1"/>
  <c r="AD580" i="1"/>
  <c r="AE580" i="1" s="1"/>
  <c r="AD588" i="1"/>
  <c r="AE588" i="1" s="1"/>
  <c r="AD596" i="1"/>
  <c r="AE596" i="1" s="1"/>
  <c r="AD604" i="1"/>
  <c r="AE604" i="1" s="1"/>
  <c r="AD612" i="1"/>
  <c r="AE612" i="1" s="1"/>
  <c r="AD620" i="1"/>
  <c r="AE620" i="1" s="1"/>
  <c r="AD628" i="1"/>
  <c r="AE628" i="1" s="1"/>
  <c r="AD636" i="1"/>
  <c r="AE636" i="1" s="1"/>
  <c r="AD644" i="1"/>
  <c r="AE644" i="1" s="1"/>
  <c r="AD652" i="1"/>
  <c r="AE652" i="1" s="1"/>
  <c r="AD660" i="1"/>
  <c r="AE660" i="1" s="1"/>
  <c r="AD21" i="1"/>
  <c r="AE21" i="1" s="1"/>
  <c r="AD37" i="1"/>
  <c r="AE37" i="1" s="1"/>
  <c r="AD45" i="1"/>
  <c r="AE45" i="1" s="1"/>
  <c r="AD53" i="1"/>
  <c r="AE53" i="1" s="1"/>
  <c r="AD22" i="1"/>
  <c r="AE22" i="1" s="1"/>
  <c r="AD30" i="1"/>
  <c r="AE30" i="1" s="1"/>
  <c r="AD38" i="1"/>
  <c r="AE38" i="1" s="1"/>
  <c r="AD46" i="1"/>
  <c r="AE46" i="1" s="1"/>
  <c r="AD54" i="1"/>
  <c r="AE54" i="1" s="1"/>
  <c r="AD62" i="1"/>
  <c r="AE62" i="1" s="1"/>
  <c r="AD70" i="1"/>
  <c r="AE70" i="1" s="1"/>
  <c r="AD78" i="1"/>
  <c r="AE78" i="1" s="1"/>
  <c r="AD86" i="1"/>
  <c r="AE86" i="1" s="1"/>
  <c r="AD94" i="1"/>
  <c r="AE94" i="1" s="1"/>
  <c r="AD102" i="1"/>
  <c r="AE102" i="1" s="1"/>
  <c r="AD110" i="1"/>
  <c r="AE110" i="1" s="1"/>
  <c r="AD118" i="1"/>
  <c r="AE118" i="1" s="1"/>
  <c r="AD126" i="1"/>
  <c r="AE126" i="1" s="1"/>
  <c r="AD134" i="1"/>
  <c r="AE134" i="1" s="1"/>
  <c r="AD142" i="1"/>
  <c r="AE142" i="1" s="1"/>
  <c r="AD150" i="1"/>
  <c r="AE150" i="1" s="1"/>
  <c r="AD158" i="1"/>
  <c r="AE158" i="1" s="1"/>
  <c r="AD166" i="1"/>
  <c r="AE166" i="1" s="1"/>
  <c r="AD174" i="1"/>
  <c r="AE174" i="1" s="1"/>
  <c r="AD182" i="1"/>
  <c r="AE182" i="1" s="1"/>
  <c r="AD190" i="1"/>
  <c r="AE190" i="1" s="1"/>
  <c r="AD198" i="1"/>
  <c r="AE198" i="1" s="1"/>
  <c r="AD206" i="1"/>
  <c r="AE206" i="1" s="1"/>
  <c r="AD214" i="1"/>
  <c r="AE214" i="1" s="1"/>
  <c r="AD222" i="1"/>
  <c r="AE222" i="1" s="1"/>
  <c r="AD230" i="1"/>
  <c r="AE230" i="1" s="1"/>
  <c r="AD238" i="1"/>
  <c r="AE238" i="1" s="1"/>
  <c r="AD246" i="1"/>
  <c r="AE246" i="1" s="1"/>
  <c r="AD254" i="1"/>
  <c r="AE254" i="1" s="1"/>
  <c r="AD262" i="1"/>
  <c r="AE262" i="1" s="1"/>
  <c r="AD270" i="1"/>
  <c r="AE270" i="1" s="1"/>
  <c r="AD278" i="1"/>
  <c r="AE278" i="1" s="1"/>
  <c r="AD286" i="1"/>
  <c r="AE286" i="1" s="1"/>
  <c r="AD294" i="1"/>
  <c r="AE294" i="1" s="1"/>
  <c r="AD302" i="1"/>
  <c r="AE302" i="1" s="1"/>
  <c r="AD310" i="1"/>
  <c r="AE310" i="1" s="1"/>
  <c r="AD318" i="1"/>
  <c r="AE318" i="1" s="1"/>
  <c r="AD326" i="1"/>
  <c r="AE326" i="1" s="1"/>
  <c r="AD334" i="1"/>
  <c r="AE334" i="1" s="1"/>
  <c r="AD342" i="1"/>
  <c r="AE342" i="1" s="1"/>
  <c r="AD350" i="1"/>
  <c r="AE350" i="1" s="1"/>
  <c r="AD358" i="1"/>
  <c r="AE358" i="1" s="1"/>
  <c r="AD366" i="1"/>
  <c r="AE366" i="1" s="1"/>
  <c r="AD374" i="1"/>
  <c r="AE374" i="1" s="1"/>
  <c r="AD382" i="1"/>
  <c r="AE382" i="1" s="1"/>
  <c r="AD390" i="1"/>
  <c r="AE390" i="1" s="1"/>
  <c r="AD398" i="1"/>
  <c r="AE398" i="1" s="1"/>
  <c r="AD406" i="1"/>
  <c r="AE406" i="1" s="1"/>
  <c r="AD414" i="1"/>
  <c r="AE414" i="1" s="1"/>
  <c r="AD422" i="1"/>
  <c r="AE422" i="1" s="1"/>
  <c r="AD430" i="1"/>
  <c r="AE430" i="1" s="1"/>
  <c r="AD438" i="1"/>
  <c r="AE438" i="1" s="1"/>
  <c r="AD446" i="1"/>
  <c r="AE446" i="1" s="1"/>
  <c r="AD454" i="1"/>
  <c r="AE454" i="1" s="1"/>
  <c r="AD462" i="1"/>
  <c r="AE462" i="1" s="1"/>
  <c r="AD470" i="1"/>
  <c r="AE470" i="1" s="1"/>
  <c r="AD478" i="1"/>
  <c r="AE478" i="1" s="1"/>
  <c r="AD486" i="1"/>
  <c r="AE486" i="1" s="1"/>
  <c r="AD494" i="1"/>
  <c r="AE494" i="1" s="1"/>
  <c r="AD502" i="1"/>
  <c r="AE502" i="1" s="1"/>
  <c r="AD510" i="1"/>
  <c r="AE510" i="1" s="1"/>
  <c r="AD518" i="1"/>
  <c r="AE518" i="1" s="1"/>
  <c r="AD526" i="1"/>
  <c r="AE526" i="1" s="1"/>
  <c r="AD534" i="1"/>
  <c r="AE534" i="1" s="1"/>
  <c r="AD542" i="1"/>
  <c r="AE542" i="1" s="1"/>
  <c r="AD550" i="1"/>
  <c r="AE550" i="1" s="1"/>
  <c r="AD558" i="1"/>
  <c r="AE558" i="1" s="1"/>
  <c r="AD566" i="1"/>
  <c r="AE566" i="1" s="1"/>
  <c r="AD574" i="1"/>
  <c r="AE574" i="1" s="1"/>
  <c r="AD582" i="1"/>
  <c r="AE582" i="1" s="1"/>
  <c r="AD590" i="1"/>
  <c r="AE590" i="1" s="1"/>
  <c r="AD598" i="1"/>
  <c r="AE598" i="1" s="1"/>
  <c r="AD606" i="1"/>
  <c r="AE606" i="1" s="1"/>
  <c r="AD614" i="1"/>
  <c r="AE614" i="1" s="1"/>
  <c r="AD622" i="1"/>
  <c r="AE622" i="1" s="1"/>
  <c r="AD630" i="1"/>
  <c r="AE630" i="1" s="1"/>
  <c r="AD638" i="1"/>
  <c r="AE638" i="1" s="1"/>
  <c r="AD646" i="1"/>
  <c r="AE646" i="1" s="1"/>
  <c r="AD654" i="1"/>
  <c r="AE654" i="1" s="1"/>
  <c r="AD662" i="1"/>
  <c r="AE662" i="1" s="1"/>
  <c r="AD33" i="1"/>
  <c r="AE33" i="1" s="1"/>
  <c r="AD23" i="1"/>
  <c r="AE23" i="1" s="1"/>
  <c r="AD31" i="1"/>
  <c r="AE31" i="1" s="1"/>
  <c r="AD39" i="1"/>
  <c r="AE39" i="1" s="1"/>
  <c r="AD47" i="1"/>
  <c r="AE47" i="1" s="1"/>
  <c r="AD55" i="1"/>
  <c r="AE55" i="1" s="1"/>
  <c r="AD63" i="1"/>
  <c r="AE63" i="1" s="1"/>
  <c r="AD71" i="1"/>
  <c r="AE71" i="1" s="1"/>
  <c r="AD79" i="1"/>
  <c r="AE79" i="1" s="1"/>
  <c r="AD87" i="1"/>
  <c r="AE87" i="1" s="1"/>
  <c r="AD95" i="1"/>
  <c r="AE95" i="1" s="1"/>
  <c r="AD103" i="1"/>
  <c r="AE103" i="1" s="1"/>
  <c r="AD111" i="1"/>
  <c r="AE111" i="1" s="1"/>
  <c r="AD119" i="1"/>
  <c r="AE119" i="1" s="1"/>
  <c r="AD127" i="1"/>
  <c r="AE127" i="1" s="1"/>
  <c r="AD135" i="1"/>
  <c r="AE135" i="1" s="1"/>
  <c r="AD143" i="1"/>
  <c r="AE143" i="1" s="1"/>
  <c r="AD151" i="1"/>
  <c r="AE151" i="1" s="1"/>
  <c r="AD159" i="1"/>
  <c r="AE159" i="1" s="1"/>
  <c r="AD167" i="1"/>
  <c r="AE167" i="1" s="1"/>
  <c r="AD175" i="1"/>
  <c r="AE175" i="1" s="1"/>
  <c r="AD183" i="1"/>
  <c r="AE183" i="1" s="1"/>
  <c r="AD191" i="1"/>
  <c r="AE191" i="1" s="1"/>
  <c r="AD199" i="1"/>
  <c r="AE199" i="1" s="1"/>
  <c r="AD207" i="1"/>
  <c r="AE207" i="1" s="1"/>
  <c r="AD215" i="1"/>
  <c r="AE215" i="1" s="1"/>
  <c r="AD223" i="1"/>
  <c r="AE223" i="1" s="1"/>
  <c r="AD231" i="1"/>
  <c r="AE231" i="1" s="1"/>
  <c r="AD239" i="1"/>
  <c r="AE239" i="1" s="1"/>
  <c r="AD247" i="1"/>
  <c r="AE247" i="1" s="1"/>
  <c r="AD255" i="1"/>
  <c r="AE255" i="1" s="1"/>
  <c r="AD263" i="1"/>
  <c r="AE263" i="1" s="1"/>
  <c r="AD271" i="1"/>
  <c r="AE271" i="1" s="1"/>
  <c r="AD279" i="1"/>
  <c r="AE279" i="1" s="1"/>
  <c r="AD287" i="1"/>
  <c r="AE287" i="1" s="1"/>
  <c r="AD295" i="1"/>
  <c r="AE295" i="1" s="1"/>
  <c r="AD303" i="1"/>
  <c r="AE303" i="1" s="1"/>
  <c r="AD311" i="1"/>
  <c r="AE311" i="1" s="1"/>
  <c r="AD319" i="1"/>
  <c r="AE319" i="1" s="1"/>
  <c r="AD327" i="1"/>
  <c r="AE327" i="1" s="1"/>
  <c r="AD335" i="1"/>
  <c r="AE335" i="1" s="1"/>
  <c r="AD343" i="1"/>
  <c r="AE343" i="1" s="1"/>
  <c r="AD351" i="1"/>
  <c r="AE351" i="1" s="1"/>
  <c r="AD359" i="1"/>
  <c r="AE359" i="1" s="1"/>
  <c r="AD367" i="1"/>
  <c r="AE367" i="1" s="1"/>
  <c r="AD375" i="1"/>
  <c r="AE375" i="1" s="1"/>
  <c r="AD383" i="1"/>
  <c r="AE383" i="1" s="1"/>
  <c r="AD391" i="1"/>
  <c r="AE391" i="1" s="1"/>
  <c r="AD399" i="1"/>
  <c r="AE399" i="1" s="1"/>
  <c r="AD407" i="1"/>
  <c r="AE407" i="1" s="1"/>
  <c r="AD415" i="1"/>
  <c r="AE415" i="1" s="1"/>
  <c r="AD423" i="1"/>
  <c r="AE423" i="1" s="1"/>
  <c r="AD431" i="1"/>
  <c r="AE431" i="1" s="1"/>
  <c r="AD439" i="1"/>
  <c r="AE439" i="1" s="1"/>
  <c r="AD447" i="1"/>
  <c r="AE447" i="1" s="1"/>
  <c r="AD455" i="1"/>
  <c r="AE455" i="1" s="1"/>
  <c r="AD463" i="1"/>
  <c r="AE463" i="1" s="1"/>
  <c r="AD471" i="1"/>
  <c r="AE471" i="1" s="1"/>
  <c r="AD479" i="1"/>
  <c r="AE479" i="1" s="1"/>
  <c r="AD487" i="1"/>
  <c r="AE487" i="1" s="1"/>
  <c r="AD495" i="1"/>
  <c r="AE495" i="1" s="1"/>
  <c r="AD503" i="1"/>
  <c r="AE503" i="1" s="1"/>
  <c r="AD511" i="1"/>
  <c r="AE511" i="1" s="1"/>
  <c r="AD519" i="1"/>
  <c r="AE519" i="1" s="1"/>
  <c r="AD527" i="1"/>
  <c r="AE527" i="1" s="1"/>
  <c r="AD535" i="1"/>
  <c r="AE535" i="1" s="1"/>
  <c r="AD543" i="1"/>
  <c r="AE543" i="1" s="1"/>
  <c r="AD551" i="1"/>
  <c r="AE551" i="1" s="1"/>
  <c r="AD559" i="1"/>
  <c r="AE559" i="1" s="1"/>
  <c r="AD567" i="1"/>
  <c r="AE567" i="1" s="1"/>
  <c r="AD575" i="1"/>
  <c r="AE575" i="1" s="1"/>
  <c r="AD583" i="1"/>
  <c r="AE583" i="1" s="1"/>
  <c r="AD591" i="1"/>
  <c r="AE591" i="1" s="1"/>
  <c r="AD599" i="1"/>
  <c r="AE599" i="1" s="1"/>
  <c r="AD607" i="1"/>
  <c r="AE607" i="1" s="1"/>
  <c r="AD615" i="1"/>
  <c r="AE615" i="1" s="1"/>
  <c r="AD623" i="1"/>
  <c r="AE623" i="1" s="1"/>
  <c r="AD631" i="1"/>
  <c r="AE631" i="1" s="1"/>
  <c r="AD639" i="1"/>
  <c r="AE639" i="1" s="1"/>
  <c r="AD647" i="1"/>
  <c r="AE647" i="1" s="1"/>
  <c r="AD655" i="1"/>
  <c r="AE655" i="1" s="1"/>
  <c r="AD25" i="1"/>
  <c r="AE25" i="1" s="1"/>
  <c r="AD24" i="1"/>
  <c r="AE24" i="1" s="1"/>
  <c r="AD32" i="1"/>
  <c r="AE32" i="1" s="1"/>
  <c r="AD40" i="1"/>
  <c r="AE40" i="1" s="1"/>
  <c r="AD48" i="1"/>
  <c r="AE48" i="1" s="1"/>
  <c r="AD56" i="1"/>
  <c r="AE56" i="1" s="1"/>
  <c r="AD64" i="1"/>
  <c r="AE64" i="1" s="1"/>
  <c r="AD72" i="1"/>
  <c r="AE72" i="1" s="1"/>
  <c r="AD80" i="1"/>
  <c r="AE80" i="1" s="1"/>
  <c r="AD88" i="1"/>
  <c r="AE88" i="1" s="1"/>
  <c r="AD96" i="1"/>
  <c r="AE96" i="1" s="1"/>
  <c r="AD104" i="1"/>
  <c r="AE104" i="1" s="1"/>
  <c r="AD112" i="1"/>
  <c r="AE112" i="1" s="1"/>
  <c r="AD120" i="1"/>
  <c r="AE120" i="1" s="1"/>
  <c r="AD128" i="1"/>
  <c r="AE128" i="1" s="1"/>
  <c r="AD136" i="1"/>
  <c r="AE136" i="1" s="1"/>
  <c r="AD144" i="1"/>
  <c r="AE144" i="1" s="1"/>
  <c r="AD152" i="1"/>
  <c r="AE152" i="1" s="1"/>
  <c r="AD160" i="1"/>
  <c r="AE160" i="1" s="1"/>
  <c r="AD168" i="1"/>
  <c r="AE168" i="1" s="1"/>
  <c r="AD176" i="1"/>
  <c r="AE176" i="1" s="1"/>
  <c r="AD184" i="1"/>
  <c r="AE184" i="1" s="1"/>
  <c r="AD192" i="1"/>
  <c r="AE192" i="1" s="1"/>
  <c r="AD200" i="1"/>
  <c r="AE200" i="1" s="1"/>
  <c r="AD208" i="1"/>
  <c r="AE208" i="1" s="1"/>
  <c r="AD216" i="1"/>
  <c r="AE216" i="1" s="1"/>
  <c r="AD224" i="1"/>
  <c r="AE224" i="1" s="1"/>
  <c r="AD232" i="1"/>
  <c r="AE232" i="1" s="1"/>
  <c r="AD240" i="1"/>
  <c r="AE240" i="1" s="1"/>
  <c r="AD248" i="1"/>
  <c r="AE248" i="1" s="1"/>
  <c r="AD256" i="1"/>
  <c r="AE256" i="1" s="1"/>
  <c r="AD264" i="1"/>
  <c r="AE264" i="1" s="1"/>
  <c r="AD272" i="1"/>
  <c r="AE272" i="1" s="1"/>
  <c r="AD280" i="1"/>
  <c r="AE280" i="1" s="1"/>
  <c r="AD288" i="1"/>
  <c r="AE288" i="1" s="1"/>
  <c r="AD296" i="1"/>
  <c r="AE296" i="1" s="1"/>
  <c r="AD304" i="1"/>
  <c r="AE304" i="1" s="1"/>
  <c r="AD312" i="1"/>
  <c r="AE312" i="1" s="1"/>
  <c r="AD320" i="1"/>
  <c r="AE320" i="1" s="1"/>
  <c r="AD328" i="1"/>
  <c r="AE328" i="1" s="1"/>
  <c r="AD336" i="1"/>
  <c r="AE336" i="1" s="1"/>
  <c r="AD344" i="1"/>
  <c r="AE344" i="1" s="1"/>
  <c r="AD352" i="1"/>
  <c r="AE352" i="1" s="1"/>
  <c r="AD360" i="1"/>
  <c r="AE360" i="1" s="1"/>
  <c r="AD368" i="1"/>
  <c r="AE368" i="1" s="1"/>
  <c r="AD376" i="1"/>
  <c r="AE376" i="1" s="1"/>
  <c r="AD384" i="1"/>
  <c r="AE384" i="1" s="1"/>
  <c r="AD392" i="1"/>
  <c r="AE392" i="1" s="1"/>
  <c r="AD400" i="1"/>
  <c r="AE400" i="1" s="1"/>
  <c r="AD408" i="1"/>
  <c r="AE408" i="1" s="1"/>
  <c r="AD416" i="1"/>
  <c r="AE416" i="1" s="1"/>
  <c r="AD424" i="1"/>
  <c r="AE424" i="1" s="1"/>
  <c r="AD432" i="1"/>
  <c r="AE432" i="1" s="1"/>
  <c r="AD440" i="1"/>
  <c r="AE440" i="1" s="1"/>
  <c r="AD448" i="1"/>
  <c r="AE448" i="1" s="1"/>
  <c r="AD456" i="1"/>
  <c r="AE456" i="1" s="1"/>
  <c r="AD464" i="1"/>
  <c r="AE464" i="1" s="1"/>
  <c r="AD472" i="1"/>
  <c r="AE472" i="1" s="1"/>
  <c r="AD480" i="1"/>
  <c r="AE480" i="1" s="1"/>
  <c r="AD488" i="1"/>
  <c r="AE488" i="1" s="1"/>
  <c r="AD496" i="1"/>
  <c r="AE496" i="1" s="1"/>
  <c r="AD504" i="1"/>
  <c r="AE504" i="1" s="1"/>
  <c r="AD512" i="1"/>
  <c r="AE512" i="1" s="1"/>
  <c r="AD520" i="1"/>
  <c r="AE520" i="1" s="1"/>
  <c r="AD528" i="1"/>
  <c r="AE528" i="1" s="1"/>
  <c r="AD536" i="1"/>
  <c r="AE536" i="1" s="1"/>
  <c r="AD544" i="1"/>
  <c r="AE544" i="1" s="1"/>
  <c r="AD552" i="1"/>
  <c r="AE552" i="1" s="1"/>
  <c r="AD560" i="1"/>
  <c r="AE560" i="1" s="1"/>
  <c r="AD568" i="1"/>
  <c r="AE568" i="1" s="1"/>
  <c r="AD576" i="1"/>
  <c r="AE576" i="1" s="1"/>
  <c r="AD584" i="1"/>
  <c r="AE584" i="1" s="1"/>
  <c r="AD592" i="1"/>
  <c r="AE592" i="1" s="1"/>
  <c r="AD600" i="1"/>
  <c r="AE600" i="1" s="1"/>
  <c r="AD608" i="1"/>
  <c r="AE608" i="1" s="1"/>
  <c r="AD616" i="1"/>
  <c r="AE616" i="1" s="1"/>
  <c r="AD624" i="1"/>
  <c r="AE624" i="1" s="1"/>
  <c r="AD632" i="1"/>
  <c r="AE632" i="1" s="1"/>
  <c r="AD640" i="1"/>
  <c r="AE640" i="1" s="1"/>
  <c r="AD648" i="1"/>
  <c r="AE648" i="1" s="1"/>
  <c r="AD656" i="1"/>
  <c r="AE656" i="1" s="1"/>
  <c r="AD57" i="1"/>
  <c r="AE57" i="1" s="1"/>
  <c r="AD89" i="1"/>
  <c r="AE89" i="1" s="1"/>
  <c r="AD121" i="1"/>
  <c r="AE121" i="1" s="1"/>
  <c r="AD153" i="1"/>
  <c r="AE153" i="1" s="1"/>
  <c r="AD185" i="1"/>
  <c r="AE185" i="1" s="1"/>
  <c r="AD217" i="1"/>
  <c r="AE217" i="1" s="1"/>
  <c r="AD249" i="1"/>
  <c r="AE249" i="1" s="1"/>
  <c r="AD281" i="1"/>
  <c r="AE281" i="1" s="1"/>
  <c r="AD313" i="1"/>
  <c r="AE313" i="1" s="1"/>
  <c r="AD345" i="1"/>
  <c r="AE345" i="1" s="1"/>
  <c r="AD377" i="1"/>
  <c r="AE377" i="1" s="1"/>
  <c r="AD409" i="1"/>
  <c r="AE409" i="1" s="1"/>
  <c r="AD441" i="1"/>
  <c r="AE441" i="1" s="1"/>
  <c r="AD473" i="1"/>
  <c r="AE473" i="1" s="1"/>
  <c r="AD505" i="1"/>
  <c r="AE505" i="1" s="1"/>
  <c r="AD537" i="1"/>
  <c r="AE537" i="1" s="1"/>
  <c r="AD569" i="1"/>
  <c r="AE569" i="1" s="1"/>
  <c r="AD601" i="1"/>
  <c r="AE601" i="1" s="1"/>
  <c r="AD633" i="1"/>
  <c r="AE633" i="1" s="1"/>
  <c r="AD161" i="1"/>
  <c r="AE161" i="1" s="1"/>
  <c r="AD417" i="1"/>
  <c r="AE417" i="1" s="1"/>
  <c r="AD513" i="1"/>
  <c r="AE513" i="1" s="1"/>
  <c r="AD609" i="1"/>
  <c r="AE609" i="1" s="1"/>
  <c r="AD101" i="1"/>
  <c r="AE101" i="1" s="1"/>
  <c r="AD133" i="1"/>
  <c r="AE133" i="1" s="1"/>
  <c r="AD229" i="1"/>
  <c r="AE229" i="1" s="1"/>
  <c r="AD293" i="1"/>
  <c r="AE293" i="1" s="1"/>
  <c r="AD389" i="1"/>
  <c r="AE389" i="1" s="1"/>
  <c r="AD453" i="1"/>
  <c r="AE453" i="1" s="1"/>
  <c r="AD549" i="1"/>
  <c r="AE549" i="1" s="1"/>
  <c r="AD309" i="1"/>
  <c r="AE309" i="1" s="1"/>
  <c r="AD565" i="1"/>
  <c r="AE565" i="1" s="1"/>
  <c r="AD61" i="1"/>
  <c r="AE61" i="1" s="1"/>
  <c r="AD93" i="1"/>
  <c r="AE93" i="1" s="1"/>
  <c r="AD125" i="1"/>
  <c r="AE125" i="1" s="1"/>
  <c r="AD157" i="1"/>
  <c r="AE157" i="1" s="1"/>
  <c r="AD189" i="1"/>
  <c r="AE189" i="1" s="1"/>
  <c r="AD221" i="1"/>
  <c r="AE221" i="1" s="1"/>
  <c r="AD253" i="1"/>
  <c r="AE253" i="1" s="1"/>
  <c r="AD285" i="1"/>
  <c r="AE285" i="1" s="1"/>
  <c r="AD317" i="1"/>
  <c r="AE317" i="1" s="1"/>
  <c r="AD349" i="1"/>
  <c r="AE349" i="1" s="1"/>
  <c r="AD381" i="1"/>
  <c r="AE381" i="1" s="1"/>
  <c r="AD413" i="1"/>
  <c r="AE413" i="1" s="1"/>
  <c r="AD445" i="1"/>
  <c r="AE445" i="1" s="1"/>
  <c r="AD477" i="1"/>
  <c r="AE477" i="1" s="1"/>
  <c r="AD509" i="1"/>
  <c r="AE509" i="1" s="1"/>
  <c r="AD541" i="1"/>
  <c r="AE541" i="1" s="1"/>
  <c r="AD573" i="1"/>
  <c r="AE573" i="1" s="1"/>
  <c r="AD605" i="1"/>
  <c r="AE605" i="1" s="1"/>
  <c r="AD637" i="1"/>
  <c r="AE637" i="1" s="1"/>
  <c r="AD193" i="1"/>
  <c r="AE193" i="1" s="1"/>
  <c r="AD385" i="1"/>
  <c r="AE385" i="1" s="1"/>
  <c r="AD481" i="1"/>
  <c r="AE481" i="1" s="1"/>
  <c r="AD545" i="1"/>
  <c r="AE545" i="1" s="1"/>
  <c r="AD641" i="1"/>
  <c r="AE641" i="1" s="1"/>
  <c r="AD69" i="1"/>
  <c r="AE69" i="1" s="1"/>
  <c r="AD165" i="1"/>
  <c r="AE165" i="1" s="1"/>
  <c r="AD197" i="1"/>
  <c r="AE197" i="1" s="1"/>
  <c r="AD261" i="1"/>
  <c r="AE261" i="1" s="1"/>
  <c r="AD325" i="1"/>
  <c r="AE325" i="1" s="1"/>
  <c r="AD357" i="1"/>
  <c r="AE357" i="1" s="1"/>
  <c r="AD421" i="1"/>
  <c r="AE421" i="1" s="1"/>
  <c r="AD485" i="1"/>
  <c r="AE485" i="1" s="1"/>
  <c r="AD517" i="1"/>
  <c r="AE517" i="1" s="1"/>
  <c r="AD581" i="1"/>
  <c r="AE581" i="1" s="1"/>
  <c r="AD645" i="1"/>
  <c r="AE645" i="1" s="1"/>
  <c r="AD277" i="1"/>
  <c r="AE277" i="1" s="1"/>
  <c r="AD597" i="1"/>
  <c r="AE597" i="1" s="1"/>
  <c r="AD65" i="1"/>
  <c r="AE65" i="1" s="1"/>
  <c r="AD97" i="1"/>
  <c r="AE97" i="1" s="1"/>
  <c r="AD129" i="1"/>
  <c r="AE129" i="1" s="1"/>
  <c r="AD225" i="1"/>
  <c r="AE225" i="1" s="1"/>
  <c r="AD257" i="1"/>
  <c r="AE257" i="1" s="1"/>
  <c r="AD289" i="1"/>
  <c r="AE289" i="1" s="1"/>
  <c r="AD321" i="1"/>
  <c r="AE321" i="1" s="1"/>
  <c r="AD353" i="1"/>
  <c r="AE353" i="1" s="1"/>
  <c r="AD449" i="1"/>
  <c r="AE449" i="1" s="1"/>
  <c r="AD577" i="1"/>
  <c r="AE577" i="1" s="1"/>
  <c r="AD613" i="1"/>
  <c r="AE613" i="1" s="1"/>
  <c r="AD437" i="1"/>
  <c r="AE437" i="1" s="1"/>
  <c r="AD73" i="1"/>
  <c r="AE73" i="1" s="1"/>
  <c r="AD105" i="1"/>
  <c r="AE105" i="1" s="1"/>
  <c r="AD137" i="1"/>
  <c r="AE137" i="1" s="1"/>
  <c r="AD169" i="1"/>
  <c r="AE169" i="1" s="1"/>
  <c r="AD201" i="1"/>
  <c r="AE201" i="1" s="1"/>
  <c r="AD233" i="1"/>
  <c r="AE233" i="1" s="1"/>
  <c r="AD265" i="1"/>
  <c r="AE265" i="1" s="1"/>
  <c r="AD297" i="1"/>
  <c r="AE297" i="1" s="1"/>
  <c r="AD329" i="1"/>
  <c r="AE329" i="1" s="1"/>
  <c r="AD361" i="1"/>
  <c r="AE361" i="1" s="1"/>
  <c r="AD393" i="1"/>
  <c r="AE393" i="1" s="1"/>
  <c r="AD425" i="1"/>
  <c r="AE425" i="1" s="1"/>
  <c r="AD457" i="1"/>
  <c r="AE457" i="1" s="1"/>
  <c r="AD489" i="1"/>
  <c r="AE489" i="1" s="1"/>
  <c r="AD521" i="1"/>
  <c r="AE521" i="1" s="1"/>
  <c r="AD553" i="1"/>
  <c r="AE553" i="1" s="1"/>
  <c r="AD585" i="1"/>
  <c r="AE585" i="1" s="1"/>
  <c r="AD617" i="1"/>
  <c r="AE617" i="1" s="1"/>
  <c r="AD649" i="1"/>
  <c r="AE649" i="1" s="1"/>
  <c r="AD81" i="1"/>
  <c r="AE81" i="1" s="1"/>
  <c r="AD145" i="1"/>
  <c r="AE145" i="1" s="1"/>
  <c r="AD209" i="1"/>
  <c r="AE209" i="1" s="1"/>
  <c r="AD273" i="1"/>
  <c r="AE273" i="1" s="1"/>
  <c r="AD337" i="1"/>
  <c r="AE337" i="1" s="1"/>
  <c r="AD433" i="1"/>
  <c r="AE433" i="1" s="1"/>
  <c r="AD529" i="1"/>
  <c r="AE529" i="1" s="1"/>
  <c r="AD593" i="1"/>
  <c r="AE593" i="1" s="1"/>
  <c r="AD625" i="1"/>
  <c r="AE625" i="1" s="1"/>
  <c r="AD85" i="1"/>
  <c r="AE85" i="1" s="1"/>
  <c r="AD117" i="1"/>
  <c r="AE117" i="1" s="1"/>
  <c r="AD181" i="1"/>
  <c r="AE181" i="1" s="1"/>
  <c r="AD341" i="1"/>
  <c r="AE341" i="1" s="1"/>
  <c r="AD405" i="1"/>
  <c r="AE405" i="1" s="1"/>
  <c r="AD501" i="1"/>
  <c r="AE501" i="1" s="1"/>
  <c r="AD629" i="1"/>
  <c r="AE629" i="1" s="1"/>
  <c r="AD77" i="1"/>
  <c r="AE77" i="1" s="1"/>
  <c r="AD109" i="1"/>
  <c r="AE109" i="1" s="1"/>
  <c r="AD141" i="1"/>
  <c r="AE141" i="1" s="1"/>
  <c r="AD173" i="1"/>
  <c r="AE173" i="1" s="1"/>
  <c r="AD205" i="1"/>
  <c r="AE205" i="1" s="1"/>
  <c r="AD237" i="1"/>
  <c r="AE237" i="1" s="1"/>
  <c r="AD269" i="1"/>
  <c r="AE269" i="1" s="1"/>
  <c r="AD301" i="1"/>
  <c r="AE301" i="1" s="1"/>
  <c r="AD333" i="1"/>
  <c r="AE333" i="1" s="1"/>
  <c r="AD365" i="1"/>
  <c r="AE365" i="1" s="1"/>
  <c r="AD397" i="1"/>
  <c r="AE397" i="1" s="1"/>
  <c r="AD429" i="1"/>
  <c r="AE429" i="1" s="1"/>
  <c r="AD461" i="1"/>
  <c r="AE461" i="1" s="1"/>
  <c r="AD493" i="1"/>
  <c r="AE493" i="1" s="1"/>
  <c r="AD525" i="1"/>
  <c r="AE525" i="1" s="1"/>
  <c r="AD557" i="1"/>
  <c r="AE557" i="1" s="1"/>
  <c r="AD589" i="1"/>
  <c r="AE589" i="1" s="1"/>
  <c r="AD621" i="1"/>
  <c r="AE621" i="1" s="1"/>
  <c r="AD653" i="1"/>
  <c r="AE653" i="1" s="1"/>
  <c r="AD41" i="1"/>
  <c r="AE41" i="1" s="1"/>
  <c r="AD113" i="1"/>
  <c r="AE113" i="1" s="1"/>
  <c r="AD177" i="1"/>
  <c r="AE177" i="1" s="1"/>
  <c r="AD241" i="1"/>
  <c r="AE241" i="1" s="1"/>
  <c r="AD305" i="1"/>
  <c r="AE305" i="1" s="1"/>
  <c r="AD369" i="1"/>
  <c r="AE369" i="1" s="1"/>
  <c r="AD401" i="1"/>
  <c r="AE401" i="1" s="1"/>
  <c r="AD465" i="1"/>
  <c r="AE465" i="1" s="1"/>
  <c r="AD497" i="1"/>
  <c r="AE497" i="1" s="1"/>
  <c r="AD561" i="1"/>
  <c r="AE561" i="1" s="1"/>
  <c r="AD657" i="1"/>
  <c r="AE657" i="1" s="1"/>
  <c r="AD49" i="1"/>
  <c r="AE49" i="1" s="1"/>
  <c r="AD149" i="1"/>
  <c r="AE149" i="1" s="1"/>
  <c r="AD213" i="1"/>
  <c r="AE213" i="1" s="1"/>
  <c r="AD245" i="1"/>
  <c r="AE245" i="1" s="1"/>
  <c r="AD373" i="1"/>
  <c r="AE373" i="1" s="1"/>
  <c r="AD469" i="1"/>
  <c r="AE469" i="1" s="1"/>
  <c r="AD533" i="1"/>
  <c r="AE533" i="1" s="1"/>
  <c r="AD661" i="1"/>
  <c r="AE661" i="1" s="1"/>
  <c r="A32" i="1"/>
  <c r="A41" i="1"/>
  <c r="A29" i="1"/>
  <c r="F29" i="1" s="1"/>
  <c r="G29" i="1" s="1"/>
  <c r="A43" i="1"/>
  <c r="A40" i="1"/>
  <c r="A37" i="1"/>
  <c r="F37" i="1" s="1"/>
  <c r="G37" i="1" s="1"/>
  <c r="A33" i="1"/>
  <c r="A39" i="1"/>
  <c r="A42" i="1"/>
  <c r="A35" i="1"/>
  <c r="F36" i="1" s="1"/>
  <c r="A31" i="1"/>
  <c r="A34" i="1"/>
  <c r="A38" i="1"/>
  <c r="A30" i="1"/>
  <c r="X3" i="3"/>
  <c r="W4" i="3" s="1"/>
  <c r="S154" i="1"/>
  <c r="Z154" i="1" s="1"/>
  <c r="S290" i="1"/>
  <c r="Z290" i="1" s="1"/>
  <c r="S106" i="1"/>
  <c r="Z106" i="1" s="1"/>
  <c r="S42" i="1"/>
  <c r="Z42" i="1" s="1"/>
  <c r="S170" i="1"/>
  <c r="Z170" i="1" s="1"/>
  <c r="S98" i="1"/>
  <c r="Z98" i="1" s="1"/>
  <c r="S155" i="1"/>
  <c r="Z155" i="1" s="1"/>
  <c r="S34" i="1"/>
  <c r="Z34" i="1" s="1"/>
  <c r="S162" i="1"/>
  <c r="Z162" i="1" s="1"/>
  <c r="AI19" i="1" l="1"/>
  <c r="AI20" i="1" s="1"/>
  <c r="AI21" i="1" s="1"/>
  <c r="AI22" i="1" s="1"/>
  <c r="AI23" i="1" s="1"/>
  <c r="AI24" i="1" s="1"/>
  <c r="AI25" i="1" s="1"/>
  <c r="AI26" i="1" s="1"/>
  <c r="AI27" i="1" s="1"/>
  <c r="AI28" i="1" s="1"/>
  <c r="AI29" i="1" s="1"/>
  <c r="AI30" i="1" s="1"/>
  <c r="AI31" i="1" s="1"/>
  <c r="AI32" i="1" s="1"/>
  <c r="AI33" i="1" s="1"/>
  <c r="AI34" i="1" s="1"/>
  <c r="AI35" i="1" s="1"/>
  <c r="AI36" i="1" s="1"/>
  <c r="AI37" i="1" s="1"/>
  <c r="AI38" i="1" s="1"/>
  <c r="AI39" i="1" s="1"/>
  <c r="AI40" i="1" s="1"/>
  <c r="AI41" i="1" s="1"/>
  <c r="AI42" i="1" s="1"/>
  <c r="AI43" i="1" s="1"/>
  <c r="AI44" i="1" s="1"/>
  <c r="AI45" i="1" s="1"/>
  <c r="AI46" i="1" s="1"/>
  <c r="AI47" i="1" s="1"/>
  <c r="AI48" i="1" s="1"/>
  <c r="AI49" i="1" s="1"/>
  <c r="AI50" i="1" s="1"/>
  <c r="AI51" i="1" s="1"/>
  <c r="AI52" i="1" s="1"/>
  <c r="AI53" i="1" s="1"/>
  <c r="AI54" i="1" s="1"/>
  <c r="AI55" i="1" s="1"/>
  <c r="AI56" i="1" s="1"/>
  <c r="AI57" i="1" s="1"/>
  <c r="AI58" i="1" s="1"/>
  <c r="AI59" i="1" s="1"/>
  <c r="AI60" i="1" s="1"/>
  <c r="AI61" i="1" s="1"/>
  <c r="AI62" i="1" s="1"/>
  <c r="AI63" i="1" s="1"/>
  <c r="AI64" i="1" s="1"/>
  <c r="AI65" i="1" s="1"/>
  <c r="AI66" i="1" s="1"/>
  <c r="AI67" i="1" s="1"/>
  <c r="AI68" i="1" s="1"/>
  <c r="AI69" i="1" s="1"/>
  <c r="AI70" i="1" s="1"/>
  <c r="AI71" i="1" s="1"/>
  <c r="AI72" i="1" s="1"/>
  <c r="AI73" i="1" s="1"/>
  <c r="AI74" i="1" s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94" i="1" s="1"/>
  <c r="AI95" i="1" s="1"/>
  <c r="AI96" i="1" s="1"/>
  <c r="AI97" i="1" s="1"/>
  <c r="AI98" i="1" s="1"/>
  <c r="AI99" i="1" s="1"/>
  <c r="AI100" i="1" s="1"/>
  <c r="AI101" i="1" s="1"/>
  <c r="AI102" i="1" s="1"/>
  <c r="AI103" i="1" s="1"/>
  <c r="AI104" i="1" s="1"/>
  <c r="AI105" i="1" s="1"/>
  <c r="AI106" i="1" s="1"/>
  <c r="AI107" i="1" s="1"/>
  <c r="AI108" i="1" s="1"/>
  <c r="AI109" i="1" s="1"/>
  <c r="AI110" i="1" s="1"/>
  <c r="AI111" i="1" s="1"/>
  <c r="AI112" i="1" s="1"/>
  <c r="AI113" i="1" s="1"/>
  <c r="AI114" i="1" s="1"/>
  <c r="AI115" i="1" s="1"/>
  <c r="AI116" i="1" s="1"/>
  <c r="AI117" i="1" s="1"/>
  <c r="AI118" i="1" s="1"/>
  <c r="AI119" i="1" s="1"/>
  <c r="AI120" i="1" s="1"/>
  <c r="AI121" i="1" s="1"/>
  <c r="AI122" i="1" s="1"/>
  <c r="AI123" i="1" s="1"/>
  <c r="AI124" i="1" s="1"/>
  <c r="AI125" i="1" s="1"/>
  <c r="AI126" i="1" s="1"/>
  <c r="AI127" i="1" s="1"/>
  <c r="AI128" i="1" s="1"/>
  <c r="AI129" i="1" s="1"/>
  <c r="AI130" i="1" s="1"/>
  <c r="AI131" i="1" s="1"/>
  <c r="AI132" i="1" s="1"/>
  <c r="AI133" i="1" s="1"/>
  <c r="AI134" i="1" s="1"/>
  <c r="AI135" i="1" s="1"/>
  <c r="AI136" i="1" s="1"/>
  <c r="AI137" i="1" s="1"/>
  <c r="AI138" i="1" s="1"/>
  <c r="AI139" i="1" s="1"/>
  <c r="AI140" i="1" s="1"/>
  <c r="AI141" i="1" s="1"/>
  <c r="AI142" i="1" s="1"/>
  <c r="AI143" i="1" s="1"/>
  <c r="AI144" i="1" s="1"/>
  <c r="AI145" i="1" s="1"/>
  <c r="AI146" i="1" s="1"/>
  <c r="AI147" i="1" s="1"/>
  <c r="AI148" i="1" s="1"/>
  <c r="AI149" i="1" s="1"/>
  <c r="AI150" i="1" s="1"/>
  <c r="AI151" i="1" s="1"/>
  <c r="AI152" i="1" s="1"/>
  <c r="AI153" i="1" s="1"/>
  <c r="AI154" i="1" s="1"/>
  <c r="AI155" i="1" s="1"/>
  <c r="AI156" i="1" s="1"/>
  <c r="AI157" i="1" s="1"/>
  <c r="AI158" i="1" s="1"/>
  <c r="AI159" i="1" s="1"/>
  <c r="AI160" i="1" s="1"/>
  <c r="AI161" i="1" s="1"/>
  <c r="AI162" i="1" s="1"/>
  <c r="AI163" i="1" s="1"/>
  <c r="AI164" i="1" s="1"/>
  <c r="AI165" i="1" s="1"/>
  <c r="AI166" i="1" s="1"/>
  <c r="AI167" i="1" s="1"/>
  <c r="AI168" i="1" s="1"/>
  <c r="AI169" i="1" s="1"/>
  <c r="AI170" i="1" s="1"/>
  <c r="AI171" i="1" s="1"/>
  <c r="AI172" i="1" s="1"/>
  <c r="AI173" i="1" s="1"/>
  <c r="AI174" i="1" s="1"/>
  <c r="AI175" i="1" s="1"/>
  <c r="AI176" i="1" s="1"/>
  <c r="AI177" i="1" s="1"/>
  <c r="AI178" i="1" s="1"/>
  <c r="AI179" i="1" s="1"/>
  <c r="AI180" i="1" s="1"/>
  <c r="AI181" i="1" s="1"/>
  <c r="AI182" i="1" s="1"/>
  <c r="AI183" i="1" s="1"/>
  <c r="AI184" i="1" s="1"/>
  <c r="AI185" i="1" s="1"/>
  <c r="AI186" i="1" s="1"/>
  <c r="AI187" i="1" s="1"/>
  <c r="AI188" i="1" s="1"/>
  <c r="AI189" i="1" s="1"/>
  <c r="AI190" i="1" s="1"/>
  <c r="AI191" i="1" s="1"/>
  <c r="AI192" i="1" s="1"/>
  <c r="AI193" i="1" s="1"/>
  <c r="AI194" i="1" s="1"/>
  <c r="AI195" i="1" s="1"/>
  <c r="AI196" i="1" s="1"/>
  <c r="AI197" i="1" s="1"/>
  <c r="AI198" i="1" s="1"/>
  <c r="AI199" i="1" s="1"/>
  <c r="AI200" i="1" s="1"/>
  <c r="AI201" i="1" s="1"/>
  <c r="AI202" i="1" s="1"/>
  <c r="AI203" i="1" s="1"/>
  <c r="AI204" i="1" s="1"/>
  <c r="AI205" i="1" s="1"/>
  <c r="AI206" i="1" s="1"/>
  <c r="AI207" i="1" s="1"/>
  <c r="AI208" i="1" s="1"/>
  <c r="AI209" i="1" s="1"/>
  <c r="AI210" i="1" s="1"/>
  <c r="AI211" i="1" s="1"/>
  <c r="AI212" i="1" s="1"/>
  <c r="AI213" i="1" s="1"/>
  <c r="AI214" i="1" s="1"/>
  <c r="AI215" i="1" s="1"/>
  <c r="AI216" i="1" s="1"/>
  <c r="AI217" i="1" s="1"/>
  <c r="AI218" i="1" s="1"/>
  <c r="AI219" i="1" s="1"/>
  <c r="AI220" i="1" s="1"/>
  <c r="AI221" i="1" s="1"/>
  <c r="AI222" i="1" s="1"/>
  <c r="AI223" i="1" s="1"/>
  <c r="AI224" i="1" s="1"/>
  <c r="AI225" i="1" s="1"/>
  <c r="AI226" i="1" s="1"/>
  <c r="AI227" i="1" s="1"/>
  <c r="AI228" i="1" s="1"/>
  <c r="AI229" i="1" s="1"/>
  <c r="AI230" i="1" s="1"/>
  <c r="AI231" i="1" s="1"/>
  <c r="AI232" i="1" s="1"/>
  <c r="AI233" i="1" s="1"/>
  <c r="AI234" i="1" s="1"/>
  <c r="AI235" i="1" s="1"/>
  <c r="AI236" i="1" s="1"/>
  <c r="AI237" i="1" s="1"/>
  <c r="AI238" i="1" s="1"/>
  <c r="AI239" i="1" s="1"/>
  <c r="AI240" i="1" s="1"/>
  <c r="AI241" i="1" s="1"/>
  <c r="AI242" i="1" s="1"/>
  <c r="AI243" i="1" s="1"/>
  <c r="AI244" i="1" s="1"/>
  <c r="AI245" i="1" s="1"/>
  <c r="AI246" i="1" s="1"/>
  <c r="AI247" i="1" s="1"/>
  <c r="AI248" i="1" s="1"/>
  <c r="AI249" i="1" s="1"/>
  <c r="AI250" i="1" s="1"/>
  <c r="AI251" i="1" s="1"/>
  <c r="AI252" i="1" s="1"/>
  <c r="AI253" i="1" s="1"/>
  <c r="AI254" i="1" s="1"/>
  <c r="AI255" i="1" s="1"/>
  <c r="AI256" i="1" s="1"/>
  <c r="AI257" i="1" s="1"/>
  <c r="AI258" i="1" s="1"/>
  <c r="AI259" i="1" s="1"/>
  <c r="AI260" i="1" s="1"/>
  <c r="AI261" i="1" s="1"/>
  <c r="AI262" i="1" s="1"/>
  <c r="AI263" i="1" s="1"/>
  <c r="AI264" i="1" s="1"/>
  <c r="AI265" i="1" s="1"/>
  <c r="AI266" i="1" s="1"/>
  <c r="AI267" i="1" s="1"/>
  <c r="AI268" i="1" s="1"/>
  <c r="AI269" i="1" s="1"/>
  <c r="AI270" i="1" s="1"/>
  <c r="AI271" i="1" s="1"/>
  <c r="AI272" i="1" s="1"/>
  <c r="AI273" i="1" s="1"/>
  <c r="AI274" i="1" s="1"/>
  <c r="AI275" i="1" s="1"/>
  <c r="AI276" i="1" s="1"/>
  <c r="AI277" i="1" s="1"/>
  <c r="AI278" i="1" s="1"/>
  <c r="AI279" i="1" s="1"/>
  <c r="AI280" i="1" s="1"/>
  <c r="AI281" i="1" s="1"/>
  <c r="AI282" i="1" s="1"/>
  <c r="AI283" i="1" s="1"/>
  <c r="AI284" i="1" s="1"/>
  <c r="AI285" i="1" s="1"/>
  <c r="AI286" i="1" s="1"/>
  <c r="AI287" i="1" s="1"/>
  <c r="AI288" i="1" s="1"/>
  <c r="AI289" i="1" s="1"/>
  <c r="AI290" i="1" s="1"/>
  <c r="AI291" i="1" s="1"/>
  <c r="AI292" i="1" s="1"/>
  <c r="AI293" i="1" s="1"/>
  <c r="AI294" i="1" s="1"/>
  <c r="AI295" i="1" s="1"/>
  <c r="AI296" i="1" s="1"/>
  <c r="AI297" i="1" s="1"/>
  <c r="AI298" i="1" s="1"/>
  <c r="AI299" i="1" s="1"/>
  <c r="AI300" i="1" s="1"/>
  <c r="AI301" i="1" s="1"/>
  <c r="AI302" i="1" s="1"/>
  <c r="AI303" i="1" s="1"/>
  <c r="AI304" i="1" s="1"/>
  <c r="AI305" i="1" s="1"/>
  <c r="AI306" i="1" s="1"/>
  <c r="AI307" i="1" s="1"/>
  <c r="AI308" i="1" s="1"/>
  <c r="AI309" i="1" s="1"/>
  <c r="AI310" i="1" s="1"/>
  <c r="AI311" i="1" s="1"/>
  <c r="AI312" i="1" s="1"/>
  <c r="AI313" i="1" s="1"/>
  <c r="AI314" i="1" s="1"/>
  <c r="AI315" i="1" s="1"/>
  <c r="AI316" i="1" s="1"/>
  <c r="AI317" i="1" s="1"/>
  <c r="AI318" i="1" s="1"/>
  <c r="AI319" i="1" s="1"/>
  <c r="AI320" i="1" s="1"/>
  <c r="AI321" i="1" s="1"/>
  <c r="AI322" i="1" s="1"/>
  <c r="AI323" i="1" s="1"/>
  <c r="AI324" i="1" s="1"/>
  <c r="AI325" i="1" s="1"/>
  <c r="AI326" i="1" s="1"/>
  <c r="AI327" i="1" s="1"/>
  <c r="AI328" i="1" s="1"/>
  <c r="AI329" i="1" s="1"/>
  <c r="AI330" i="1" s="1"/>
  <c r="AI331" i="1" s="1"/>
  <c r="AI332" i="1" s="1"/>
  <c r="AI333" i="1" s="1"/>
  <c r="AI334" i="1" s="1"/>
  <c r="AI335" i="1" s="1"/>
  <c r="AI336" i="1" s="1"/>
  <c r="AI337" i="1" s="1"/>
  <c r="AI338" i="1" s="1"/>
  <c r="AI339" i="1" s="1"/>
  <c r="AI340" i="1" s="1"/>
  <c r="AI341" i="1" s="1"/>
  <c r="AI342" i="1" s="1"/>
  <c r="AI343" i="1" s="1"/>
  <c r="AI344" i="1" s="1"/>
  <c r="AI345" i="1" s="1"/>
  <c r="AI346" i="1" s="1"/>
  <c r="AI347" i="1" s="1"/>
  <c r="AI348" i="1" s="1"/>
  <c r="AI349" i="1" s="1"/>
  <c r="AI350" i="1" s="1"/>
  <c r="AI351" i="1" s="1"/>
  <c r="AI352" i="1" s="1"/>
  <c r="AI353" i="1" s="1"/>
  <c r="AI354" i="1" s="1"/>
  <c r="AI355" i="1" s="1"/>
  <c r="AI356" i="1" s="1"/>
  <c r="AI357" i="1" s="1"/>
  <c r="AI358" i="1" s="1"/>
  <c r="AI359" i="1" s="1"/>
  <c r="AI360" i="1" s="1"/>
  <c r="AI361" i="1" s="1"/>
  <c r="AI362" i="1" s="1"/>
  <c r="AI363" i="1" s="1"/>
  <c r="AI364" i="1" s="1"/>
  <c r="AI365" i="1" s="1"/>
  <c r="AI366" i="1" s="1"/>
  <c r="AI367" i="1" s="1"/>
  <c r="AI368" i="1" s="1"/>
  <c r="AI369" i="1" s="1"/>
  <c r="AI370" i="1" s="1"/>
  <c r="AI371" i="1" s="1"/>
  <c r="AI372" i="1" s="1"/>
  <c r="AI373" i="1" s="1"/>
  <c r="AI374" i="1" s="1"/>
  <c r="AI375" i="1" s="1"/>
  <c r="AI376" i="1" s="1"/>
  <c r="AI377" i="1" s="1"/>
  <c r="AI378" i="1" s="1"/>
  <c r="AI379" i="1" s="1"/>
  <c r="AI380" i="1" s="1"/>
  <c r="AI381" i="1" s="1"/>
  <c r="AI382" i="1" s="1"/>
  <c r="AI383" i="1" s="1"/>
  <c r="AI384" i="1" s="1"/>
  <c r="AI385" i="1" s="1"/>
  <c r="AI386" i="1" s="1"/>
  <c r="AI387" i="1" s="1"/>
  <c r="AI388" i="1" s="1"/>
  <c r="AI389" i="1" s="1"/>
  <c r="AI390" i="1" s="1"/>
  <c r="AI391" i="1" s="1"/>
  <c r="AI392" i="1" s="1"/>
  <c r="AI393" i="1" s="1"/>
  <c r="AI394" i="1" s="1"/>
  <c r="AI395" i="1" s="1"/>
  <c r="AI396" i="1" s="1"/>
  <c r="AI397" i="1" s="1"/>
  <c r="AI398" i="1" s="1"/>
  <c r="AI399" i="1" s="1"/>
  <c r="AI400" i="1" s="1"/>
  <c r="AI401" i="1" s="1"/>
  <c r="AI402" i="1" s="1"/>
  <c r="AI403" i="1" s="1"/>
  <c r="AI404" i="1" s="1"/>
  <c r="AI405" i="1" s="1"/>
  <c r="AI406" i="1" s="1"/>
  <c r="AI407" i="1" s="1"/>
  <c r="AI408" i="1" s="1"/>
  <c r="AI409" i="1" s="1"/>
  <c r="AI410" i="1" s="1"/>
  <c r="AI411" i="1" s="1"/>
  <c r="AI412" i="1" s="1"/>
  <c r="AI413" i="1" s="1"/>
  <c r="AI414" i="1" s="1"/>
  <c r="AI415" i="1" s="1"/>
  <c r="AI416" i="1" s="1"/>
  <c r="AI417" i="1" s="1"/>
  <c r="AI418" i="1" s="1"/>
  <c r="AI419" i="1" s="1"/>
  <c r="AI420" i="1" s="1"/>
  <c r="AI421" i="1" s="1"/>
  <c r="AI422" i="1" s="1"/>
  <c r="AI423" i="1" s="1"/>
  <c r="AI424" i="1" s="1"/>
  <c r="AI425" i="1" s="1"/>
  <c r="AI426" i="1" s="1"/>
  <c r="AI427" i="1" s="1"/>
  <c r="AI428" i="1" s="1"/>
  <c r="AI429" i="1" s="1"/>
  <c r="AI430" i="1" s="1"/>
  <c r="AI431" i="1" s="1"/>
  <c r="AI432" i="1" s="1"/>
  <c r="AI433" i="1" s="1"/>
  <c r="AI434" i="1" s="1"/>
  <c r="AI435" i="1" s="1"/>
  <c r="AI436" i="1" s="1"/>
  <c r="AI437" i="1" s="1"/>
  <c r="AI438" i="1" s="1"/>
  <c r="AI439" i="1" s="1"/>
  <c r="AI440" i="1" s="1"/>
  <c r="AI441" i="1" s="1"/>
  <c r="AI442" i="1" s="1"/>
  <c r="AI443" i="1" s="1"/>
  <c r="AI444" i="1" s="1"/>
  <c r="AI445" i="1" s="1"/>
  <c r="AI446" i="1" s="1"/>
  <c r="AI447" i="1" s="1"/>
  <c r="AI448" i="1" s="1"/>
  <c r="AI449" i="1" s="1"/>
  <c r="AI450" i="1" s="1"/>
  <c r="AI451" i="1" s="1"/>
  <c r="AI452" i="1" s="1"/>
  <c r="AI453" i="1" s="1"/>
  <c r="AI454" i="1" s="1"/>
  <c r="AI455" i="1" s="1"/>
  <c r="AI456" i="1" s="1"/>
  <c r="AI457" i="1" s="1"/>
  <c r="AI458" i="1" s="1"/>
  <c r="AI459" i="1" s="1"/>
  <c r="AI460" i="1" s="1"/>
  <c r="AI461" i="1" s="1"/>
  <c r="AI462" i="1" s="1"/>
  <c r="AI463" i="1" s="1"/>
  <c r="AI464" i="1" s="1"/>
  <c r="AI465" i="1" s="1"/>
  <c r="AI466" i="1" s="1"/>
  <c r="AI467" i="1" s="1"/>
  <c r="AI468" i="1" s="1"/>
  <c r="AI469" i="1" s="1"/>
  <c r="AI470" i="1" s="1"/>
  <c r="AI471" i="1" s="1"/>
  <c r="AI472" i="1" s="1"/>
  <c r="AI473" i="1" s="1"/>
  <c r="AI474" i="1" s="1"/>
  <c r="AI475" i="1" s="1"/>
  <c r="AI476" i="1" s="1"/>
  <c r="AI477" i="1" s="1"/>
  <c r="AI478" i="1" s="1"/>
  <c r="AI479" i="1" s="1"/>
  <c r="AI480" i="1" s="1"/>
  <c r="AI481" i="1" s="1"/>
  <c r="AI482" i="1" s="1"/>
  <c r="AI483" i="1" s="1"/>
  <c r="AI484" i="1" s="1"/>
  <c r="AI485" i="1" s="1"/>
  <c r="AI486" i="1" s="1"/>
  <c r="AI487" i="1" s="1"/>
  <c r="AI488" i="1" s="1"/>
  <c r="AI489" i="1" s="1"/>
  <c r="AI490" i="1" s="1"/>
  <c r="AI491" i="1" s="1"/>
  <c r="AI492" i="1" s="1"/>
  <c r="AI493" i="1" s="1"/>
  <c r="AI494" i="1" s="1"/>
  <c r="AI495" i="1" s="1"/>
  <c r="AI496" i="1" s="1"/>
  <c r="AI497" i="1" s="1"/>
  <c r="AI498" i="1" s="1"/>
  <c r="AI499" i="1" s="1"/>
  <c r="AI500" i="1" s="1"/>
  <c r="AI501" i="1" s="1"/>
  <c r="AI502" i="1" s="1"/>
  <c r="AI503" i="1" s="1"/>
  <c r="AI504" i="1" s="1"/>
  <c r="AI505" i="1" s="1"/>
  <c r="AI506" i="1" s="1"/>
  <c r="AI507" i="1" s="1"/>
  <c r="AI508" i="1" s="1"/>
  <c r="AI509" i="1" s="1"/>
  <c r="AI510" i="1" s="1"/>
  <c r="AI511" i="1" s="1"/>
  <c r="AI512" i="1" s="1"/>
  <c r="AI513" i="1" s="1"/>
  <c r="AI514" i="1" s="1"/>
  <c r="AI515" i="1" s="1"/>
  <c r="AI516" i="1" s="1"/>
  <c r="AI517" i="1" s="1"/>
  <c r="AI518" i="1" s="1"/>
  <c r="AI519" i="1" s="1"/>
  <c r="AI520" i="1" s="1"/>
  <c r="AI521" i="1" s="1"/>
  <c r="AI522" i="1" s="1"/>
  <c r="AI523" i="1" s="1"/>
  <c r="AI524" i="1" s="1"/>
  <c r="AI525" i="1" s="1"/>
  <c r="AI526" i="1" s="1"/>
  <c r="AI527" i="1" s="1"/>
  <c r="AI528" i="1" s="1"/>
  <c r="AI529" i="1" s="1"/>
  <c r="AI530" i="1" s="1"/>
  <c r="AI531" i="1" s="1"/>
  <c r="AI532" i="1" s="1"/>
  <c r="AI533" i="1" s="1"/>
  <c r="AI534" i="1" s="1"/>
  <c r="AI535" i="1" s="1"/>
  <c r="AI536" i="1" s="1"/>
  <c r="AI537" i="1" s="1"/>
  <c r="AI538" i="1" s="1"/>
  <c r="AI539" i="1" s="1"/>
  <c r="AI540" i="1" s="1"/>
  <c r="AI541" i="1" s="1"/>
  <c r="AI542" i="1" s="1"/>
  <c r="AI543" i="1" s="1"/>
  <c r="AI544" i="1" s="1"/>
  <c r="AI545" i="1" s="1"/>
  <c r="AI546" i="1" s="1"/>
  <c r="AI547" i="1" s="1"/>
  <c r="AI548" i="1" s="1"/>
  <c r="AI549" i="1" s="1"/>
  <c r="AI550" i="1" s="1"/>
  <c r="AI551" i="1" s="1"/>
  <c r="AI552" i="1" s="1"/>
  <c r="AI553" i="1" s="1"/>
  <c r="AI554" i="1" s="1"/>
  <c r="AI555" i="1" s="1"/>
  <c r="AI556" i="1" s="1"/>
  <c r="AI557" i="1" s="1"/>
  <c r="AI558" i="1" s="1"/>
  <c r="AI559" i="1" s="1"/>
  <c r="AI560" i="1" s="1"/>
  <c r="AI561" i="1" s="1"/>
  <c r="AI562" i="1" s="1"/>
  <c r="AI563" i="1" s="1"/>
  <c r="AI564" i="1" s="1"/>
  <c r="AI565" i="1" s="1"/>
  <c r="AI566" i="1" s="1"/>
  <c r="AI567" i="1" s="1"/>
  <c r="AI568" i="1" s="1"/>
  <c r="AI569" i="1" s="1"/>
  <c r="AI570" i="1" s="1"/>
  <c r="AI571" i="1" s="1"/>
  <c r="AI572" i="1" s="1"/>
  <c r="AI573" i="1" s="1"/>
  <c r="AI574" i="1" s="1"/>
  <c r="AI575" i="1" s="1"/>
  <c r="AI576" i="1" s="1"/>
  <c r="AI577" i="1" s="1"/>
  <c r="AI578" i="1" s="1"/>
  <c r="AI579" i="1" s="1"/>
  <c r="AI580" i="1" s="1"/>
  <c r="AI581" i="1" s="1"/>
  <c r="AI582" i="1" s="1"/>
  <c r="AI583" i="1" s="1"/>
  <c r="AI584" i="1" s="1"/>
  <c r="AI585" i="1" s="1"/>
  <c r="AI586" i="1" s="1"/>
  <c r="AI587" i="1" s="1"/>
  <c r="AI588" i="1" s="1"/>
  <c r="AI589" i="1" s="1"/>
  <c r="AI590" i="1" s="1"/>
  <c r="AI591" i="1" s="1"/>
  <c r="AI592" i="1" s="1"/>
  <c r="AI593" i="1" s="1"/>
  <c r="AI594" i="1" s="1"/>
  <c r="AI595" i="1" s="1"/>
  <c r="AI596" i="1" s="1"/>
  <c r="AI597" i="1" s="1"/>
  <c r="AI598" i="1" s="1"/>
  <c r="AI599" i="1" s="1"/>
  <c r="AI600" i="1" s="1"/>
  <c r="AI601" i="1" s="1"/>
  <c r="AI602" i="1" s="1"/>
  <c r="AI603" i="1" s="1"/>
  <c r="AI604" i="1" s="1"/>
  <c r="AI605" i="1" s="1"/>
  <c r="AI606" i="1" s="1"/>
  <c r="AI607" i="1" s="1"/>
  <c r="AI608" i="1" s="1"/>
  <c r="AI609" i="1" s="1"/>
  <c r="AI610" i="1" s="1"/>
  <c r="AI611" i="1" s="1"/>
  <c r="AI612" i="1" s="1"/>
  <c r="AI613" i="1" s="1"/>
  <c r="AI614" i="1" s="1"/>
  <c r="AI615" i="1" s="1"/>
  <c r="AI616" i="1" s="1"/>
  <c r="AI617" i="1" s="1"/>
  <c r="AI618" i="1" s="1"/>
  <c r="AI619" i="1" s="1"/>
  <c r="AI620" i="1" s="1"/>
  <c r="AI621" i="1" s="1"/>
  <c r="AI622" i="1" s="1"/>
  <c r="AI623" i="1" s="1"/>
  <c r="AI624" i="1" s="1"/>
  <c r="AI625" i="1" s="1"/>
  <c r="AI626" i="1" s="1"/>
  <c r="AI627" i="1" s="1"/>
  <c r="AI628" i="1" s="1"/>
  <c r="AI629" i="1" s="1"/>
  <c r="AI630" i="1" s="1"/>
  <c r="AI631" i="1" s="1"/>
  <c r="AI632" i="1" s="1"/>
  <c r="AI633" i="1" s="1"/>
  <c r="AI634" i="1" s="1"/>
  <c r="AI635" i="1" s="1"/>
  <c r="AI636" i="1" s="1"/>
  <c r="AI637" i="1" s="1"/>
  <c r="AI638" i="1" s="1"/>
  <c r="AI639" i="1" s="1"/>
  <c r="AI640" i="1" s="1"/>
  <c r="AI641" i="1" s="1"/>
  <c r="AI642" i="1" s="1"/>
  <c r="AI643" i="1" s="1"/>
  <c r="AI644" i="1" s="1"/>
  <c r="AI645" i="1" s="1"/>
  <c r="AI646" i="1" s="1"/>
  <c r="AI647" i="1" s="1"/>
  <c r="AI648" i="1" s="1"/>
  <c r="AI649" i="1" s="1"/>
  <c r="AI650" i="1" s="1"/>
  <c r="AI651" i="1" s="1"/>
  <c r="AI652" i="1" s="1"/>
  <c r="AI653" i="1" s="1"/>
  <c r="AI654" i="1" s="1"/>
  <c r="AI655" i="1" s="1"/>
  <c r="AI656" i="1" s="1"/>
  <c r="AI657" i="1" s="1"/>
  <c r="AI658" i="1" s="1"/>
  <c r="AI659" i="1" s="1"/>
  <c r="AI660" i="1" s="1"/>
  <c r="AI661" i="1" s="1"/>
  <c r="AI662" i="1" s="1"/>
  <c r="W18" i="1"/>
  <c r="W19" i="1" s="1"/>
  <c r="W20" i="1" s="1"/>
  <c r="W21" i="1" s="1"/>
  <c r="W22" i="1" s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W35" i="1" s="1"/>
  <c r="W36" i="1" s="1"/>
  <c r="W37" i="1" s="1"/>
  <c r="W38" i="1" s="1"/>
  <c r="W39" i="1" s="1"/>
  <c r="W40" i="1" s="1"/>
  <c r="W41" i="1" s="1"/>
  <c r="W42" i="1" s="1"/>
  <c r="W43" i="1" s="1"/>
  <c r="W44" i="1" s="1"/>
  <c r="W45" i="1" s="1"/>
  <c r="W46" i="1" s="1"/>
  <c r="W47" i="1" s="1"/>
  <c r="W48" i="1" s="1"/>
  <c r="W49" i="1" s="1"/>
  <c r="W50" i="1" s="1"/>
  <c r="W51" i="1" s="1"/>
  <c r="W52" i="1" s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W105" i="1" s="1"/>
  <c r="W106" i="1" s="1"/>
  <c r="W107" i="1" s="1"/>
  <c r="W108" i="1" s="1"/>
  <c r="W109" i="1" s="1"/>
  <c r="W110" i="1" s="1"/>
  <c r="W111" i="1" s="1"/>
  <c r="W112" i="1" s="1"/>
  <c r="W113" i="1" s="1"/>
  <c r="W114" i="1" s="1"/>
  <c r="W115" i="1" s="1"/>
  <c r="W116" i="1" s="1"/>
  <c r="W117" i="1" s="1"/>
  <c r="W118" i="1" s="1"/>
  <c r="W119" i="1" s="1"/>
  <c r="W120" i="1" s="1"/>
  <c r="W121" i="1" s="1"/>
  <c r="W122" i="1" s="1"/>
  <c r="W123" i="1" s="1"/>
  <c r="W124" i="1" s="1"/>
  <c r="W125" i="1" s="1"/>
  <c r="W126" i="1" s="1"/>
  <c r="W127" i="1" s="1"/>
  <c r="W128" i="1" s="1"/>
  <c r="W129" i="1" s="1"/>
  <c r="W130" i="1" s="1"/>
  <c r="W131" i="1" s="1"/>
  <c r="W132" i="1" s="1"/>
  <c r="W133" i="1" s="1"/>
  <c r="W134" i="1" s="1"/>
  <c r="W135" i="1" s="1"/>
  <c r="W136" i="1" s="1"/>
  <c r="W137" i="1" s="1"/>
  <c r="W138" i="1" s="1"/>
  <c r="W139" i="1" s="1"/>
  <c r="W140" i="1" s="1"/>
  <c r="W141" i="1" s="1"/>
  <c r="W142" i="1" s="1"/>
  <c r="W143" i="1" s="1"/>
  <c r="W144" i="1" s="1"/>
  <c r="W145" i="1" s="1"/>
  <c r="W146" i="1" s="1"/>
  <c r="W147" i="1" s="1"/>
  <c r="W148" i="1" s="1"/>
  <c r="W149" i="1" s="1"/>
  <c r="W150" i="1" s="1"/>
  <c r="W151" i="1" s="1"/>
  <c r="W152" i="1" s="1"/>
  <c r="W153" i="1" s="1"/>
  <c r="W154" i="1" s="1"/>
  <c r="W155" i="1" s="1"/>
  <c r="W156" i="1" s="1"/>
  <c r="W157" i="1" s="1"/>
  <c r="W158" i="1" s="1"/>
  <c r="W159" i="1" s="1"/>
  <c r="W160" i="1" s="1"/>
  <c r="W161" i="1" s="1"/>
  <c r="W162" i="1" s="1"/>
  <c r="W163" i="1" s="1"/>
  <c r="W164" i="1" s="1"/>
  <c r="W165" i="1" s="1"/>
  <c r="W166" i="1" s="1"/>
  <c r="W167" i="1" s="1"/>
  <c r="W168" i="1" s="1"/>
  <c r="W169" i="1" s="1"/>
  <c r="W170" i="1" s="1"/>
  <c r="W171" i="1" s="1"/>
  <c r="W172" i="1" s="1"/>
  <c r="W173" i="1" s="1"/>
  <c r="W174" i="1" s="1"/>
  <c r="W175" i="1" s="1"/>
  <c r="W176" i="1" s="1"/>
  <c r="W177" i="1" s="1"/>
  <c r="W178" i="1" s="1"/>
  <c r="W179" i="1" s="1"/>
  <c r="W180" i="1" s="1"/>
  <c r="W181" i="1" s="1"/>
  <c r="W182" i="1" s="1"/>
  <c r="W183" i="1" s="1"/>
  <c r="W184" i="1" s="1"/>
  <c r="W185" i="1" s="1"/>
  <c r="W186" i="1" s="1"/>
  <c r="W187" i="1" s="1"/>
  <c r="W188" i="1" s="1"/>
  <c r="W189" i="1" s="1"/>
  <c r="W190" i="1" s="1"/>
  <c r="W191" i="1" s="1"/>
  <c r="W192" i="1" s="1"/>
  <c r="W193" i="1" s="1"/>
  <c r="W194" i="1" s="1"/>
  <c r="W195" i="1" s="1"/>
  <c r="W196" i="1" s="1"/>
  <c r="W197" i="1" s="1"/>
  <c r="W198" i="1" s="1"/>
  <c r="W199" i="1" s="1"/>
  <c r="W200" i="1" s="1"/>
  <c r="W201" i="1" s="1"/>
  <c r="W202" i="1" s="1"/>
  <c r="W203" i="1" s="1"/>
  <c r="W204" i="1" s="1"/>
  <c r="W205" i="1" s="1"/>
  <c r="W206" i="1" s="1"/>
  <c r="W207" i="1" s="1"/>
  <c r="W208" i="1" s="1"/>
  <c r="W209" i="1" s="1"/>
  <c r="W210" i="1" s="1"/>
  <c r="W211" i="1" s="1"/>
  <c r="W212" i="1" s="1"/>
  <c r="W213" i="1" s="1"/>
  <c r="W214" i="1" s="1"/>
  <c r="W215" i="1" s="1"/>
  <c r="W216" i="1" s="1"/>
  <c r="W217" i="1" s="1"/>
  <c r="W218" i="1" s="1"/>
  <c r="W219" i="1" s="1"/>
  <c r="W220" i="1" s="1"/>
  <c r="W221" i="1" s="1"/>
  <c r="W222" i="1" s="1"/>
  <c r="W223" i="1" s="1"/>
  <c r="W224" i="1" s="1"/>
  <c r="W225" i="1" s="1"/>
  <c r="W226" i="1" s="1"/>
  <c r="W227" i="1" s="1"/>
  <c r="W228" i="1" s="1"/>
  <c r="W229" i="1" s="1"/>
  <c r="W230" i="1" s="1"/>
  <c r="W231" i="1" s="1"/>
  <c r="W232" i="1" s="1"/>
  <c r="W233" i="1" s="1"/>
  <c r="W234" i="1" s="1"/>
  <c r="W235" i="1" s="1"/>
  <c r="W236" i="1" s="1"/>
  <c r="W237" i="1" s="1"/>
  <c r="W238" i="1" s="1"/>
  <c r="W239" i="1" s="1"/>
  <c r="W240" i="1" s="1"/>
  <c r="W241" i="1" s="1"/>
  <c r="W242" i="1" s="1"/>
  <c r="W243" i="1" s="1"/>
  <c r="W244" i="1" s="1"/>
  <c r="W245" i="1" s="1"/>
  <c r="W246" i="1" s="1"/>
  <c r="W247" i="1" s="1"/>
  <c r="W248" i="1" s="1"/>
  <c r="W249" i="1" s="1"/>
  <c r="W250" i="1" s="1"/>
  <c r="W251" i="1" s="1"/>
  <c r="W252" i="1" s="1"/>
  <c r="W253" i="1" s="1"/>
  <c r="W254" i="1" s="1"/>
  <c r="W255" i="1" s="1"/>
  <c r="W256" i="1" s="1"/>
  <c r="W257" i="1" s="1"/>
  <c r="W258" i="1" s="1"/>
  <c r="W259" i="1" s="1"/>
  <c r="W260" i="1" s="1"/>
  <c r="W261" i="1" s="1"/>
  <c r="W262" i="1" s="1"/>
  <c r="W263" i="1" s="1"/>
  <c r="W264" i="1" s="1"/>
  <c r="W265" i="1" s="1"/>
  <c r="W266" i="1" s="1"/>
  <c r="W267" i="1" s="1"/>
  <c r="W268" i="1" s="1"/>
  <c r="W269" i="1" s="1"/>
  <c r="W270" i="1" s="1"/>
  <c r="W271" i="1" s="1"/>
  <c r="W272" i="1" s="1"/>
  <c r="W273" i="1" s="1"/>
  <c r="W274" i="1" s="1"/>
  <c r="W275" i="1" s="1"/>
  <c r="W276" i="1" s="1"/>
  <c r="W277" i="1" s="1"/>
  <c r="W278" i="1" s="1"/>
  <c r="W279" i="1" s="1"/>
  <c r="W280" i="1" s="1"/>
  <c r="W281" i="1" s="1"/>
  <c r="W282" i="1" s="1"/>
  <c r="W283" i="1" s="1"/>
  <c r="W284" i="1" s="1"/>
  <c r="W285" i="1" s="1"/>
  <c r="W286" i="1" s="1"/>
  <c r="W287" i="1" s="1"/>
  <c r="W288" i="1" s="1"/>
  <c r="W289" i="1" s="1"/>
  <c r="W290" i="1" s="1"/>
  <c r="W291" i="1" s="1"/>
  <c r="W292" i="1" s="1"/>
  <c r="W293" i="1" s="1"/>
  <c r="W294" i="1" s="1"/>
  <c r="W295" i="1" s="1"/>
  <c r="W296" i="1" s="1"/>
  <c r="W297" i="1" s="1"/>
  <c r="W298" i="1" s="1"/>
  <c r="W299" i="1" s="1"/>
  <c r="W300" i="1" s="1"/>
  <c r="W301" i="1" s="1"/>
  <c r="W302" i="1" s="1"/>
  <c r="W303" i="1" s="1"/>
  <c r="W304" i="1" s="1"/>
  <c r="W305" i="1" s="1"/>
  <c r="W306" i="1" s="1"/>
  <c r="W307" i="1" s="1"/>
  <c r="W308" i="1" s="1"/>
  <c r="W309" i="1" s="1"/>
  <c r="W310" i="1" s="1"/>
  <c r="W311" i="1" s="1"/>
  <c r="W312" i="1" s="1"/>
  <c r="W313" i="1" s="1"/>
  <c r="W314" i="1" s="1"/>
  <c r="W315" i="1" s="1"/>
  <c r="W316" i="1" s="1"/>
  <c r="W317" i="1" s="1"/>
  <c r="W318" i="1" s="1"/>
  <c r="W319" i="1" s="1"/>
  <c r="W320" i="1" s="1"/>
  <c r="W321" i="1" s="1"/>
  <c r="W322" i="1" s="1"/>
  <c r="W323" i="1" s="1"/>
  <c r="W324" i="1" s="1"/>
  <c r="W325" i="1" s="1"/>
  <c r="W326" i="1" s="1"/>
  <c r="W327" i="1" s="1"/>
  <c r="W328" i="1" s="1"/>
  <c r="W329" i="1" s="1"/>
  <c r="W330" i="1" s="1"/>
  <c r="W331" i="1" s="1"/>
  <c r="W332" i="1" s="1"/>
  <c r="W333" i="1" s="1"/>
  <c r="W334" i="1" s="1"/>
  <c r="W335" i="1" s="1"/>
  <c r="W336" i="1" s="1"/>
  <c r="W337" i="1" s="1"/>
  <c r="W338" i="1" s="1"/>
  <c r="W339" i="1" s="1"/>
  <c r="W340" i="1" s="1"/>
  <c r="W341" i="1" s="1"/>
  <c r="W342" i="1" s="1"/>
  <c r="W343" i="1" s="1"/>
  <c r="W344" i="1" s="1"/>
  <c r="W345" i="1" s="1"/>
  <c r="W346" i="1" s="1"/>
  <c r="W347" i="1" s="1"/>
  <c r="W348" i="1" s="1"/>
  <c r="W349" i="1" s="1"/>
  <c r="W350" i="1" s="1"/>
  <c r="W351" i="1" s="1"/>
  <c r="W352" i="1" s="1"/>
  <c r="W353" i="1" s="1"/>
  <c r="W354" i="1" s="1"/>
  <c r="W355" i="1" s="1"/>
  <c r="W356" i="1" s="1"/>
  <c r="W357" i="1" s="1"/>
  <c r="W358" i="1" s="1"/>
  <c r="W359" i="1" s="1"/>
  <c r="W360" i="1" s="1"/>
  <c r="W361" i="1" s="1"/>
  <c r="W362" i="1" s="1"/>
  <c r="W363" i="1" s="1"/>
  <c r="W364" i="1" s="1"/>
  <c r="W365" i="1" s="1"/>
  <c r="W366" i="1" s="1"/>
  <c r="W367" i="1" s="1"/>
  <c r="W368" i="1" s="1"/>
  <c r="W369" i="1" s="1"/>
  <c r="W370" i="1" s="1"/>
  <c r="W371" i="1" s="1"/>
  <c r="W372" i="1" s="1"/>
  <c r="W373" i="1" s="1"/>
  <c r="W374" i="1" s="1"/>
  <c r="W375" i="1" s="1"/>
  <c r="W376" i="1" s="1"/>
  <c r="W377" i="1" s="1"/>
  <c r="W378" i="1" s="1"/>
  <c r="W379" i="1" s="1"/>
  <c r="W380" i="1" s="1"/>
  <c r="W381" i="1" s="1"/>
  <c r="W382" i="1" s="1"/>
  <c r="W383" i="1" s="1"/>
  <c r="W384" i="1" s="1"/>
  <c r="W385" i="1" s="1"/>
  <c r="W386" i="1" s="1"/>
  <c r="W387" i="1" s="1"/>
  <c r="W388" i="1" s="1"/>
  <c r="W389" i="1" s="1"/>
  <c r="W390" i="1" s="1"/>
  <c r="W391" i="1" s="1"/>
  <c r="W392" i="1" s="1"/>
  <c r="W393" i="1" s="1"/>
  <c r="W394" i="1" s="1"/>
  <c r="W395" i="1" s="1"/>
  <c r="W396" i="1" s="1"/>
  <c r="W397" i="1" s="1"/>
  <c r="W398" i="1" s="1"/>
  <c r="W399" i="1" s="1"/>
  <c r="W400" i="1" s="1"/>
  <c r="W401" i="1" s="1"/>
  <c r="W402" i="1" s="1"/>
  <c r="W403" i="1" s="1"/>
  <c r="W404" i="1" s="1"/>
  <c r="W405" i="1" s="1"/>
  <c r="W406" i="1" s="1"/>
  <c r="W407" i="1" s="1"/>
  <c r="W408" i="1" s="1"/>
  <c r="W409" i="1" s="1"/>
  <c r="W410" i="1" s="1"/>
  <c r="W411" i="1" s="1"/>
  <c r="W412" i="1" s="1"/>
  <c r="W413" i="1" s="1"/>
  <c r="W414" i="1" s="1"/>
  <c r="W415" i="1" s="1"/>
  <c r="W416" i="1" s="1"/>
  <c r="W417" i="1" s="1"/>
  <c r="W418" i="1" s="1"/>
  <c r="W419" i="1" s="1"/>
  <c r="W420" i="1" s="1"/>
  <c r="W421" i="1" s="1"/>
  <c r="W422" i="1" s="1"/>
  <c r="W423" i="1" s="1"/>
  <c r="W424" i="1" s="1"/>
  <c r="W425" i="1" s="1"/>
  <c r="W426" i="1" s="1"/>
  <c r="W427" i="1" s="1"/>
  <c r="W428" i="1" s="1"/>
  <c r="W429" i="1" s="1"/>
  <c r="W430" i="1" s="1"/>
  <c r="W431" i="1" s="1"/>
  <c r="W432" i="1" s="1"/>
  <c r="W433" i="1" s="1"/>
  <c r="W434" i="1" s="1"/>
  <c r="W435" i="1" s="1"/>
  <c r="W436" i="1" s="1"/>
  <c r="W437" i="1" s="1"/>
  <c r="W438" i="1" s="1"/>
  <c r="W439" i="1" s="1"/>
  <c r="W440" i="1" s="1"/>
  <c r="W441" i="1" s="1"/>
  <c r="W442" i="1" s="1"/>
  <c r="W443" i="1" s="1"/>
  <c r="W444" i="1" s="1"/>
  <c r="W445" i="1" s="1"/>
  <c r="W446" i="1" s="1"/>
  <c r="W447" i="1" s="1"/>
  <c r="W448" i="1" s="1"/>
  <c r="W449" i="1" s="1"/>
  <c r="W450" i="1" s="1"/>
  <c r="W451" i="1" s="1"/>
  <c r="W452" i="1" s="1"/>
  <c r="W453" i="1" s="1"/>
  <c r="W454" i="1" s="1"/>
  <c r="W455" i="1" s="1"/>
  <c r="W456" i="1" s="1"/>
  <c r="W457" i="1" s="1"/>
  <c r="W458" i="1" s="1"/>
  <c r="W459" i="1" s="1"/>
  <c r="W460" i="1" s="1"/>
  <c r="W461" i="1" s="1"/>
  <c r="W462" i="1" s="1"/>
  <c r="W463" i="1" s="1"/>
  <c r="W464" i="1" s="1"/>
  <c r="W465" i="1" s="1"/>
  <c r="W466" i="1" s="1"/>
  <c r="W467" i="1" s="1"/>
  <c r="W468" i="1" s="1"/>
  <c r="W469" i="1" s="1"/>
  <c r="W470" i="1" s="1"/>
  <c r="W471" i="1" s="1"/>
  <c r="W472" i="1" s="1"/>
  <c r="W473" i="1" s="1"/>
  <c r="W474" i="1" s="1"/>
  <c r="W475" i="1" s="1"/>
  <c r="W476" i="1" s="1"/>
  <c r="W477" i="1" s="1"/>
  <c r="W478" i="1" s="1"/>
  <c r="W479" i="1" s="1"/>
  <c r="W480" i="1" s="1"/>
  <c r="W481" i="1" s="1"/>
  <c r="W482" i="1" s="1"/>
  <c r="W483" i="1" s="1"/>
  <c r="W484" i="1" s="1"/>
  <c r="W485" i="1" s="1"/>
  <c r="W486" i="1" s="1"/>
  <c r="W487" i="1" s="1"/>
  <c r="W488" i="1" s="1"/>
  <c r="W489" i="1" s="1"/>
  <c r="W490" i="1" s="1"/>
  <c r="W491" i="1" s="1"/>
  <c r="W492" i="1" s="1"/>
  <c r="W493" i="1" s="1"/>
  <c r="W494" i="1" s="1"/>
  <c r="W495" i="1" s="1"/>
  <c r="W496" i="1" s="1"/>
  <c r="W497" i="1" s="1"/>
  <c r="W498" i="1" s="1"/>
  <c r="W499" i="1" s="1"/>
  <c r="W500" i="1" s="1"/>
  <c r="W501" i="1" s="1"/>
  <c r="W502" i="1" s="1"/>
  <c r="W503" i="1" s="1"/>
  <c r="W504" i="1" s="1"/>
  <c r="W505" i="1" s="1"/>
  <c r="W506" i="1" s="1"/>
  <c r="W507" i="1" s="1"/>
  <c r="W508" i="1" s="1"/>
  <c r="W509" i="1" s="1"/>
  <c r="W510" i="1" s="1"/>
  <c r="W511" i="1" s="1"/>
  <c r="W512" i="1" s="1"/>
  <c r="W513" i="1" s="1"/>
  <c r="W514" i="1" s="1"/>
  <c r="W515" i="1" s="1"/>
  <c r="W516" i="1" s="1"/>
  <c r="W517" i="1" s="1"/>
  <c r="W518" i="1" s="1"/>
  <c r="W519" i="1" s="1"/>
  <c r="W520" i="1" s="1"/>
  <c r="W521" i="1" s="1"/>
  <c r="W522" i="1" s="1"/>
  <c r="W523" i="1" s="1"/>
  <c r="W524" i="1" s="1"/>
  <c r="W525" i="1" s="1"/>
  <c r="W526" i="1" s="1"/>
  <c r="W527" i="1" s="1"/>
  <c r="W528" i="1" s="1"/>
  <c r="W529" i="1" s="1"/>
  <c r="W530" i="1" s="1"/>
  <c r="W531" i="1" s="1"/>
  <c r="W532" i="1" s="1"/>
  <c r="W533" i="1" s="1"/>
  <c r="W534" i="1" s="1"/>
  <c r="W535" i="1" s="1"/>
  <c r="W536" i="1" s="1"/>
  <c r="W537" i="1" s="1"/>
  <c r="W538" i="1" s="1"/>
  <c r="W539" i="1" s="1"/>
  <c r="W540" i="1" s="1"/>
  <c r="W541" i="1" s="1"/>
  <c r="W542" i="1" s="1"/>
  <c r="W543" i="1" s="1"/>
  <c r="W544" i="1" s="1"/>
  <c r="W545" i="1" s="1"/>
  <c r="W546" i="1" s="1"/>
  <c r="W547" i="1" s="1"/>
  <c r="W548" i="1" s="1"/>
  <c r="W549" i="1" s="1"/>
  <c r="W550" i="1" s="1"/>
  <c r="W551" i="1" s="1"/>
  <c r="W552" i="1" s="1"/>
  <c r="W553" i="1" s="1"/>
  <c r="W554" i="1" s="1"/>
  <c r="W555" i="1" s="1"/>
  <c r="W556" i="1" s="1"/>
  <c r="W557" i="1" s="1"/>
  <c r="W558" i="1" s="1"/>
  <c r="W559" i="1" s="1"/>
  <c r="W560" i="1" s="1"/>
  <c r="W561" i="1" s="1"/>
  <c r="W562" i="1" s="1"/>
  <c r="W563" i="1" s="1"/>
  <c r="W564" i="1" s="1"/>
  <c r="W565" i="1" s="1"/>
  <c r="W566" i="1" s="1"/>
  <c r="W567" i="1" s="1"/>
  <c r="W568" i="1" s="1"/>
  <c r="W569" i="1" s="1"/>
  <c r="W570" i="1" s="1"/>
  <c r="W571" i="1" s="1"/>
  <c r="W572" i="1" s="1"/>
  <c r="W573" i="1" s="1"/>
  <c r="W574" i="1" s="1"/>
  <c r="W575" i="1" s="1"/>
  <c r="W576" i="1" s="1"/>
  <c r="W577" i="1" s="1"/>
  <c r="W578" i="1" s="1"/>
  <c r="W579" i="1" s="1"/>
  <c r="W580" i="1" s="1"/>
  <c r="W581" i="1" s="1"/>
  <c r="W582" i="1" s="1"/>
  <c r="W583" i="1" s="1"/>
  <c r="W584" i="1" s="1"/>
  <c r="W585" i="1" s="1"/>
  <c r="W586" i="1" s="1"/>
  <c r="W587" i="1" s="1"/>
  <c r="W588" i="1" s="1"/>
  <c r="W589" i="1" s="1"/>
  <c r="W590" i="1" s="1"/>
  <c r="W591" i="1" s="1"/>
  <c r="W592" i="1" s="1"/>
  <c r="W593" i="1" s="1"/>
  <c r="W594" i="1" s="1"/>
  <c r="W595" i="1" s="1"/>
  <c r="W596" i="1" s="1"/>
  <c r="W597" i="1" s="1"/>
  <c r="W598" i="1" s="1"/>
  <c r="W599" i="1" s="1"/>
  <c r="W600" i="1" s="1"/>
  <c r="W601" i="1" s="1"/>
  <c r="W602" i="1" s="1"/>
  <c r="W603" i="1" s="1"/>
  <c r="W604" i="1" s="1"/>
  <c r="W605" i="1" s="1"/>
  <c r="W606" i="1" s="1"/>
  <c r="W607" i="1" s="1"/>
  <c r="W608" i="1" s="1"/>
  <c r="W609" i="1" s="1"/>
  <c r="W610" i="1" s="1"/>
  <c r="W611" i="1" s="1"/>
  <c r="W612" i="1" s="1"/>
  <c r="W613" i="1" s="1"/>
  <c r="W614" i="1" s="1"/>
  <c r="W615" i="1" s="1"/>
  <c r="W616" i="1" s="1"/>
  <c r="W617" i="1" s="1"/>
  <c r="W618" i="1" s="1"/>
  <c r="W619" i="1" s="1"/>
  <c r="W620" i="1" s="1"/>
  <c r="W621" i="1" s="1"/>
  <c r="W622" i="1" s="1"/>
  <c r="W623" i="1" s="1"/>
  <c r="W624" i="1" s="1"/>
  <c r="W625" i="1" s="1"/>
  <c r="W626" i="1" s="1"/>
  <c r="W627" i="1" s="1"/>
  <c r="W628" i="1" s="1"/>
  <c r="W629" i="1" s="1"/>
  <c r="W630" i="1" s="1"/>
  <c r="W631" i="1" s="1"/>
  <c r="W632" i="1" s="1"/>
  <c r="W633" i="1" s="1"/>
  <c r="W634" i="1" s="1"/>
  <c r="W635" i="1" s="1"/>
  <c r="W636" i="1" s="1"/>
  <c r="W637" i="1" s="1"/>
  <c r="W638" i="1" s="1"/>
  <c r="W639" i="1" s="1"/>
  <c r="W640" i="1" s="1"/>
  <c r="W641" i="1" s="1"/>
  <c r="W642" i="1" s="1"/>
  <c r="W643" i="1" s="1"/>
  <c r="W644" i="1" s="1"/>
  <c r="W645" i="1" s="1"/>
  <c r="W646" i="1" s="1"/>
  <c r="W647" i="1" s="1"/>
  <c r="W648" i="1" s="1"/>
  <c r="W649" i="1" s="1"/>
  <c r="W650" i="1" s="1"/>
  <c r="W651" i="1" s="1"/>
  <c r="W652" i="1" s="1"/>
  <c r="W653" i="1" s="1"/>
  <c r="W654" i="1" s="1"/>
  <c r="W655" i="1" s="1"/>
  <c r="W656" i="1" s="1"/>
  <c r="W657" i="1" s="1"/>
  <c r="W658" i="1" s="1"/>
  <c r="W659" i="1" s="1"/>
  <c r="W660" i="1" s="1"/>
  <c r="W661" i="1" s="1"/>
  <c r="W662" i="1" s="1"/>
  <c r="AJ18" i="1"/>
  <c r="AJ19" i="1" s="1"/>
  <c r="AJ20" i="1" s="1"/>
  <c r="AJ21" i="1" s="1"/>
  <c r="AJ22" i="1" s="1"/>
  <c r="AJ23" i="1" s="1"/>
  <c r="AJ24" i="1" s="1"/>
  <c r="AJ25" i="1" s="1"/>
  <c r="AJ26" i="1" s="1"/>
  <c r="AJ27" i="1" s="1"/>
  <c r="AJ28" i="1" s="1"/>
  <c r="AJ29" i="1" s="1"/>
  <c r="AJ30" i="1" s="1"/>
  <c r="AJ31" i="1" s="1"/>
  <c r="AJ32" i="1" s="1"/>
  <c r="AJ33" i="1" s="1"/>
  <c r="AJ34" i="1" s="1"/>
  <c r="AJ35" i="1" s="1"/>
  <c r="AJ36" i="1" s="1"/>
  <c r="AJ37" i="1" s="1"/>
  <c r="AJ38" i="1" s="1"/>
  <c r="AJ39" i="1" s="1"/>
  <c r="AJ40" i="1" s="1"/>
  <c r="AJ41" i="1" s="1"/>
  <c r="AJ42" i="1" s="1"/>
  <c r="AJ43" i="1" s="1"/>
  <c r="AJ44" i="1" s="1"/>
  <c r="AJ45" i="1" s="1"/>
  <c r="AJ46" i="1" s="1"/>
  <c r="AJ47" i="1" s="1"/>
  <c r="AJ48" i="1" s="1"/>
  <c r="AJ49" i="1" s="1"/>
  <c r="AJ50" i="1" s="1"/>
  <c r="AJ51" i="1" s="1"/>
  <c r="AJ52" i="1" s="1"/>
  <c r="AJ53" i="1" s="1"/>
  <c r="AJ54" i="1" s="1"/>
  <c r="AJ55" i="1" s="1"/>
  <c r="AJ56" i="1" s="1"/>
  <c r="AJ57" i="1" s="1"/>
  <c r="AJ58" i="1" s="1"/>
  <c r="AJ59" i="1" s="1"/>
  <c r="AJ60" i="1" s="1"/>
  <c r="AJ61" i="1" s="1"/>
  <c r="AJ62" i="1" s="1"/>
  <c r="AJ63" i="1" s="1"/>
  <c r="AJ64" i="1" s="1"/>
  <c r="AJ65" i="1" s="1"/>
  <c r="AJ66" i="1" s="1"/>
  <c r="AJ67" i="1" s="1"/>
  <c r="AJ68" i="1" s="1"/>
  <c r="AJ69" i="1" s="1"/>
  <c r="AJ70" i="1" s="1"/>
  <c r="AJ71" i="1" s="1"/>
  <c r="AJ72" i="1" s="1"/>
  <c r="AJ73" i="1" s="1"/>
  <c r="AJ74" i="1" s="1"/>
  <c r="AJ75" i="1" s="1"/>
  <c r="AJ76" i="1" s="1"/>
  <c r="AJ77" i="1" s="1"/>
  <c r="AJ78" i="1" s="1"/>
  <c r="AJ79" i="1" s="1"/>
  <c r="AJ80" i="1" s="1"/>
  <c r="AJ81" i="1" s="1"/>
  <c r="AJ82" i="1" s="1"/>
  <c r="AJ83" i="1" s="1"/>
  <c r="AJ84" i="1" s="1"/>
  <c r="AJ85" i="1" s="1"/>
  <c r="AJ86" i="1" s="1"/>
  <c r="AJ87" i="1" s="1"/>
  <c r="AJ88" i="1" s="1"/>
  <c r="AJ89" i="1" s="1"/>
  <c r="AJ90" i="1" s="1"/>
  <c r="AJ91" i="1" s="1"/>
  <c r="AJ92" i="1" s="1"/>
  <c r="AJ93" i="1" s="1"/>
  <c r="AJ94" i="1" s="1"/>
  <c r="AJ95" i="1" s="1"/>
  <c r="AJ96" i="1" s="1"/>
  <c r="AJ97" i="1" s="1"/>
  <c r="AJ98" i="1" s="1"/>
  <c r="AJ99" i="1" s="1"/>
  <c r="AJ100" i="1" s="1"/>
  <c r="AJ101" i="1" s="1"/>
  <c r="AJ102" i="1" s="1"/>
  <c r="AJ103" i="1" s="1"/>
  <c r="AJ104" i="1" s="1"/>
  <c r="AJ105" i="1" s="1"/>
  <c r="AJ106" i="1" s="1"/>
  <c r="AJ107" i="1" s="1"/>
  <c r="AJ108" i="1" s="1"/>
  <c r="AJ109" i="1" s="1"/>
  <c r="AJ110" i="1" s="1"/>
  <c r="AJ111" i="1" s="1"/>
  <c r="AJ112" i="1" s="1"/>
  <c r="AJ113" i="1" s="1"/>
  <c r="AJ114" i="1" s="1"/>
  <c r="AJ115" i="1" s="1"/>
  <c r="AJ116" i="1" s="1"/>
  <c r="AJ117" i="1" s="1"/>
  <c r="AJ118" i="1" s="1"/>
  <c r="AJ119" i="1" s="1"/>
  <c r="AJ120" i="1" s="1"/>
  <c r="AJ121" i="1" s="1"/>
  <c r="AJ122" i="1" s="1"/>
  <c r="AJ123" i="1" s="1"/>
  <c r="AJ124" i="1" s="1"/>
  <c r="AJ125" i="1" s="1"/>
  <c r="AJ126" i="1" s="1"/>
  <c r="AJ127" i="1" s="1"/>
  <c r="AJ128" i="1" s="1"/>
  <c r="AJ129" i="1" s="1"/>
  <c r="AJ130" i="1" s="1"/>
  <c r="AJ131" i="1" s="1"/>
  <c r="AJ132" i="1" s="1"/>
  <c r="AJ133" i="1" s="1"/>
  <c r="AJ134" i="1" s="1"/>
  <c r="AJ135" i="1" s="1"/>
  <c r="AJ136" i="1" s="1"/>
  <c r="AJ137" i="1" s="1"/>
  <c r="AJ138" i="1" s="1"/>
  <c r="AJ139" i="1" s="1"/>
  <c r="AJ140" i="1" s="1"/>
  <c r="AJ141" i="1" s="1"/>
  <c r="AJ142" i="1" s="1"/>
  <c r="AJ143" i="1" s="1"/>
  <c r="AJ144" i="1" s="1"/>
  <c r="AJ145" i="1" s="1"/>
  <c r="AJ146" i="1" s="1"/>
  <c r="AJ147" i="1" s="1"/>
  <c r="AJ148" i="1" s="1"/>
  <c r="AJ149" i="1" s="1"/>
  <c r="AJ150" i="1" s="1"/>
  <c r="AJ151" i="1" s="1"/>
  <c r="AJ152" i="1" s="1"/>
  <c r="AJ153" i="1" s="1"/>
  <c r="AJ154" i="1" s="1"/>
  <c r="AJ155" i="1" s="1"/>
  <c r="AJ156" i="1" s="1"/>
  <c r="AJ157" i="1" s="1"/>
  <c r="AJ158" i="1" s="1"/>
  <c r="AJ159" i="1" s="1"/>
  <c r="AJ160" i="1" s="1"/>
  <c r="AJ161" i="1" s="1"/>
  <c r="AJ162" i="1" s="1"/>
  <c r="AJ163" i="1" s="1"/>
  <c r="AJ164" i="1" s="1"/>
  <c r="AJ165" i="1" s="1"/>
  <c r="AJ166" i="1" s="1"/>
  <c r="AJ167" i="1" s="1"/>
  <c r="AJ168" i="1" s="1"/>
  <c r="AJ169" i="1" s="1"/>
  <c r="AJ170" i="1" s="1"/>
  <c r="AJ171" i="1" s="1"/>
  <c r="AJ172" i="1" s="1"/>
  <c r="AJ173" i="1" s="1"/>
  <c r="AJ174" i="1" s="1"/>
  <c r="AJ175" i="1" s="1"/>
  <c r="AJ176" i="1" s="1"/>
  <c r="AJ177" i="1" s="1"/>
  <c r="AJ178" i="1" s="1"/>
  <c r="AJ179" i="1" s="1"/>
  <c r="AJ180" i="1" s="1"/>
  <c r="AJ181" i="1" s="1"/>
  <c r="AJ182" i="1" s="1"/>
  <c r="AJ183" i="1" s="1"/>
  <c r="AJ184" i="1" s="1"/>
  <c r="AJ185" i="1" s="1"/>
  <c r="AJ186" i="1" s="1"/>
  <c r="AJ187" i="1" s="1"/>
  <c r="AJ188" i="1" s="1"/>
  <c r="AJ189" i="1" s="1"/>
  <c r="AJ190" i="1" s="1"/>
  <c r="AJ191" i="1" s="1"/>
  <c r="AJ192" i="1" s="1"/>
  <c r="AJ193" i="1" s="1"/>
  <c r="AJ194" i="1" s="1"/>
  <c r="AJ195" i="1" s="1"/>
  <c r="AJ196" i="1" s="1"/>
  <c r="AJ197" i="1" s="1"/>
  <c r="AJ198" i="1" s="1"/>
  <c r="AJ199" i="1" s="1"/>
  <c r="AJ200" i="1" s="1"/>
  <c r="AJ201" i="1" s="1"/>
  <c r="AJ202" i="1" s="1"/>
  <c r="AJ203" i="1" s="1"/>
  <c r="AJ204" i="1" s="1"/>
  <c r="AJ205" i="1" s="1"/>
  <c r="AJ206" i="1" s="1"/>
  <c r="AJ207" i="1" s="1"/>
  <c r="AJ208" i="1" s="1"/>
  <c r="AJ209" i="1" s="1"/>
  <c r="AJ210" i="1" s="1"/>
  <c r="AJ211" i="1" s="1"/>
  <c r="AJ212" i="1" s="1"/>
  <c r="AJ213" i="1" s="1"/>
  <c r="AJ214" i="1" s="1"/>
  <c r="AJ215" i="1" s="1"/>
  <c r="AJ216" i="1" s="1"/>
  <c r="AJ217" i="1" s="1"/>
  <c r="AJ218" i="1" s="1"/>
  <c r="AJ219" i="1" s="1"/>
  <c r="AJ220" i="1" s="1"/>
  <c r="AJ221" i="1" s="1"/>
  <c r="AJ222" i="1" s="1"/>
  <c r="AJ223" i="1" s="1"/>
  <c r="AJ224" i="1" s="1"/>
  <c r="AJ225" i="1" s="1"/>
  <c r="AJ226" i="1" s="1"/>
  <c r="AJ227" i="1" s="1"/>
  <c r="AJ228" i="1" s="1"/>
  <c r="AJ229" i="1" s="1"/>
  <c r="AJ230" i="1" s="1"/>
  <c r="AJ231" i="1" s="1"/>
  <c r="AJ232" i="1" s="1"/>
  <c r="AJ233" i="1" s="1"/>
  <c r="AJ234" i="1" s="1"/>
  <c r="AJ235" i="1" s="1"/>
  <c r="AJ236" i="1" s="1"/>
  <c r="AJ237" i="1" s="1"/>
  <c r="AJ238" i="1" s="1"/>
  <c r="AJ239" i="1" s="1"/>
  <c r="AJ240" i="1" s="1"/>
  <c r="AJ241" i="1" s="1"/>
  <c r="AJ242" i="1" s="1"/>
  <c r="AJ243" i="1" s="1"/>
  <c r="AJ244" i="1" s="1"/>
  <c r="AJ245" i="1" s="1"/>
  <c r="AJ246" i="1" s="1"/>
  <c r="AJ247" i="1" s="1"/>
  <c r="AJ248" i="1" s="1"/>
  <c r="AJ249" i="1" s="1"/>
  <c r="AJ250" i="1" s="1"/>
  <c r="AJ251" i="1" s="1"/>
  <c r="AJ252" i="1" s="1"/>
  <c r="AJ253" i="1" s="1"/>
  <c r="AJ254" i="1" s="1"/>
  <c r="AJ255" i="1" s="1"/>
  <c r="AJ256" i="1" s="1"/>
  <c r="AJ257" i="1" s="1"/>
  <c r="AJ258" i="1" s="1"/>
  <c r="AJ259" i="1" s="1"/>
  <c r="AJ260" i="1" s="1"/>
  <c r="AJ261" i="1" s="1"/>
  <c r="AJ262" i="1" s="1"/>
  <c r="AJ263" i="1" s="1"/>
  <c r="AJ264" i="1" s="1"/>
  <c r="AJ265" i="1" s="1"/>
  <c r="AJ266" i="1" s="1"/>
  <c r="AJ267" i="1" s="1"/>
  <c r="AJ268" i="1" s="1"/>
  <c r="AJ269" i="1" s="1"/>
  <c r="AJ270" i="1" s="1"/>
  <c r="AJ271" i="1" s="1"/>
  <c r="AJ272" i="1" s="1"/>
  <c r="AJ273" i="1" s="1"/>
  <c r="AJ274" i="1" s="1"/>
  <c r="AJ275" i="1" s="1"/>
  <c r="AJ276" i="1" s="1"/>
  <c r="AJ277" i="1" s="1"/>
  <c r="AJ278" i="1" s="1"/>
  <c r="AJ279" i="1" s="1"/>
  <c r="AJ280" i="1" s="1"/>
  <c r="AJ281" i="1" s="1"/>
  <c r="AJ282" i="1" s="1"/>
  <c r="AJ283" i="1" s="1"/>
  <c r="AJ284" i="1" s="1"/>
  <c r="AJ285" i="1" s="1"/>
  <c r="AJ286" i="1" s="1"/>
  <c r="AJ287" i="1" s="1"/>
  <c r="AJ288" i="1" s="1"/>
  <c r="AJ289" i="1" s="1"/>
  <c r="AJ290" i="1" s="1"/>
  <c r="AJ291" i="1" s="1"/>
  <c r="AJ292" i="1" s="1"/>
  <c r="AJ293" i="1" s="1"/>
  <c r="AJ294" i="1" s="1"/>
  <c r="AJ295" i="1" s="1"/>
  <c r="AJ296" i="1" s="1"/>
  <c r="AJ297" i="1" s="1"/>
  <c r="AJ298" i="1" s="1"/>
  <c r="AJ299" i="1" s="1"/>
  <c r="AJ300" i="1" s="1"/>
  <c r="AJ301" i="1" s="1"/>
  <c r="AJ302" i="1" s="1"/>
  <c r="AJ303" i="1" s="1"/>
  <c r="AJ304" i="1" s="1"/>
  <c r="AJ305" i="1" s="1"/>
  <c r="AJ306" i="1" s="1"/>
  <c r="AJ307" i="1" s="1"/>
  <c r="AJ308" i="1" s="1"/>
  <c r="AJ309" i="1" s="1"/>
  <c r="AJ310" i="1" s="1"/>
  <c r="AJ311" i="1" s="1"/>
  <c r="AJ312" i="1" s="1"/>
  <c r="AJ313" i="1" s="1"/>
  <c r="AJ314" i="1" s="1"/>
  <c r="AJ315" i="1" s="1"/>
  <c r="AJ316" i="1" s="1"/>
  <c r="AJ317" i="1" s="1"/>
  <c r="AJ318" i="1" s="1"/>
  <c r="AJ319" i="1" s="1"/>
  <c r="AJ320" i="1" s="1"/>
  <c r="AJ321" i="1" s="1"/>
  <c r="AJ322" i="1" s="1"/>
  <c r="AJ323" i="1" s="1"/>
  <c r="AJ324" i="1" s="1"/>
  <c r="AJ325" i="1" s="1"/>
  <c r="AJ326" i="1" s="1"/>
  <c r="AJ327" i="1" s="1"/>
  <c r="AJ328" i="1" s="1"/>
  <c r="AJ329" i="1" s="1"/>
  <c r="AJ330" i="1" s="1"/>
  <c r="AJ331" i="1" s="1"/>
  <c r="AJ332" i="1" s="1"/>
  <c r="AJ333" i="1" s="1"/>
  <c r="AJ334" i="1" s="1"/>
  <c r="AJ335" i="1" s="1"/>
  <c r="AJ336" i="1" s="1"/>
  <c r="AJ337" i="1" s="1"/>
  <c r="AJ338" i="1" s="1"/>
  <c r="AJ339" i="1" s="1"/>
  <c r="AJ340" i="1" s="1"/>
  <c r="AJ341" i="1" s="1"/>
  <c r="AJ342" i="1" s="1"/>
  <c r="AJ343" i="1" s="1"/>
  <c r="AJ344" i="1" s="1"/>
  <c r="AJ345" i="1" s="1"/>
  <c r="AJ346" i="1" s="1"/>
  <c r="AJ347" i="1" s="1"/>
  <c r="AJ348" i="1" s="1"/>
  <c r="AJ349" i="1" s="1"/>
  <c r="AJ350" i="1" s="1"/>
  <c r="AJ351" i="1" s="1"/>
  <c r="AJ352" i="1" s="1"/>
  <c r="AJ353" i="1" s="1"/>
  <c r="AJ354" i="1" s="1"/>
  <c r="AJ355" i="1" s="1"/>
  <c r="AJ356" i="1" s="1"/>
  <c r="AJ357" i="1" s="1"/>
  <c r="AJ358" i="1" s="1"/>
  <c r="AJ359" i="1" s="1"/>
  <c r="AJ360" i="1" s="1"/>
  <c r="AJ361" i="1" s="1"/>
  <c r="AJ362" i="1" s="1"/>
  <c r="AJ363" i="1" s="1"/>
  <c r="AJ364" i="1" s="1"/>
  <c r="AJ365" i="1" s="1"/>
  <c r="AJ366" i="1" s="1"/>
  <c r="AJ367" i="1" s="1"/>
  <c r="AJ368" i="1" s="1"/>
  <c r="AJ369" i="1" s="1"/>
  <c r="AJ370" i="1" s="1"/>
  <c r="AJ371" i="1" s="1"/>
  <c r="AJ372" i="1" s="1"/>
  <c r="AJ373" i="1" s="1"/>
  <c r="AJ374" i="1" s="1"/>
  <c r="AJ375" i="1" s="1"/>
  <c r="AJ376" i="1" s="1"/>
  <c r="AJ377" i="1" s="1"/>
  <c r="AJ378" i="1" s="1"/>
  <c r="AJ379" i="1" s="1"/>
  <c r="AJ380" i="1" s="1"/>
  <c r="AJ381" i="1" s="1"/>
  <c r="AJ382" i="1" s="1"/>
  <c r="AJ383" i="1" s="1"/>
  <c r="AJ384" i="1" s="1"/>
  <c r="AJ385" i="1" s="1"/>
  <c r="AJ386" i="1" s="1"/>
  <c r="AJ387" i="1" s="1"/>
  <c r="AJ388" i="1" s="1"/>
  <c r="AJ389" i="1" s="1"/>
  <c r="AJ390" i="1" s="1"/>
  <c r="AJ391" i="1" s="1"/>
  <c r="AJ392" i="1" s="1"/>
  <c r="AJ393" i="1" s="1"/>
  <c r="AJ394" i="1" s="1"/>
  <c r="AJ395" i="1" s="1"/>
  <c r="AJ396" i="1" s="1"/>
  <c r="AJ397" i="1" s="1"/>
  <c r="AJ398" i="1" s="1"/>
  <c r="AJ399" i="1" s="1"/>
  <c r="AJ400" i="1" s="1"/>
  <c r="AJ401" i="1" s="1"/>
  <c r="AJ402" i="1" s="1"/>
  <c r="AJ403" i="1" s="1"/>
  <c r="AJ404" i="1" s="1"/>
  <c r="AJ405" i="1" s="1"/>
  <c r="AJ406" i="1" s="1"/>
  <c r="AJ407" i="1" s="1"/>
  <c r="AJ408" i="1" s="1"/>
  <c r="AJ409" i="1" s="1"/>
  <c r="AJ410" i="1" s="1"/>
  <c r="AJ411" i="1" s="1"/>
  <c r="AJ412" i="1" s="1"/>
  <c r="AJ413" i="1" s="1"/>
  <c r="AJ414" i="1" s="1"/>
  <c r="AJ415" i="1" s="1"/>
  <c r="AJ416" i="1" s="1"/>
  <c r="AJ417" i="1" s="1"/>
  <c r="AJ418" i="1" s="1"/>
  <c r="AJ419" i="1" s="1"/>
  <c r="AJ420" i="1" s="1"/>
  <c r="AJ421" i="1" s="1"/>
  <c r="AJ422" i="1" s="1"/>
  <c r="AJ423" i="1" s="1"/>
  <c r="AJ424" i="1" s="1"/>
  <c r="AJ425" i="1" s="1"/>
  <c r="AJ426" i="1" s="1"/>
  <c r="AJ427" i="1" s="1"/>
  <c r="AJ428" i="1" s="1"/>
  <c r="AJ429" i="1" s="1"/>
  <c r="AJ430" i="1" s="1"/>
  <c r="AJ431" i="1" s="1"/>
  <c r="AJ432" i="1" s="1"/>
  <c r="AJ433" i="1" s="1"/>
  <c r="AJ434" i="1" s="1"/>
  <c r="AJ435" i="1" s="1"/>
  <c r="AJ436" i="1" s="1"/>
  <c r="AJ437" i="1" s="1"/>
  <c r="AJ438" i="1" s="1"/>
  <c r="AJ439" i="1" s="1"/>
  <c r="AJ440" i="1" s="1"/>
  <c r="AJ441" i="1" s="1"/>
  <c r="AJ442" i="1" s="1"/>
  <c r="AJ443" i="1" s="1"/>
  <c r="AJ444" i="1" s="1"/>
  <c r="AJ445" i="1" s="1"/>
  <c r="AJ446" i="1" s="1"/>
  <c r="AJ447" i="1" s="1"/>
  <c r="AJ448" i="1" s="1"/>
  <c r="AJ449" i="1" s="1"/>
  <c r="AJ450" i="1" s="1"/>
  <c r="AJ451" i="1" s="1"/>
  <c r="AJ452" i="1" s="1"/>
  <c r="AJ453" i="1" s="1"/>
  <c r="AJ454" i="1" s="1"/>
  <c r="AJ455" i="1" s="1"/>
  <c r="AJ456" i="1" s="1"/>
  <c r="AJ457" i="1" s="1"/>
  <c r="AJ458" i="1" s="1"/>
  <c r="AJ459" i="1" s="1"/>
  <c r="AJ460" i="1" s="1"/>
  <c r="AJ461" i="1" s="1"/>
  <c r="AJ462" i="1" s="1"/>
  <c r="AJ463" i="1" s="1"/>
  <c r="AJ464" i="1" s="1"/>
  <c r="AJ465" i="1" s="1"/>
  <c r="AJ466" i="1" s="1"/>
  <c r="AJ467" i="1" s="1"/>
  <c r="AJ468" i="1" s="1"/>
  <c r="AJ469" i="1" s="1"/>
  <c r="AJ470" i="1" s="1"/>
  <c r="AJ471" i="1" s="1"/>
  <c r="AJ472" i="1" s="1"/>
  <c r="AJ473" i="1" s="1"/>
  <c r="AJ474" i="1" s="1"/>
  <c r="AJ475" i="1" s="1"/>
  <c r="AJ476" i="1" s="1"/>
  <c r="AJ477" i="1" s="1"/>
  <c r="AJ478" i="1" s="1"/>
  <c r="AJ479" i="1" s="1"/>
  <c r="AJ480" i="1" s="1"/>
  <c r="AJ481" i="1" s="1"/>
  <c r="AJ482" i="1" s="1"/>
  <c r="AJ483" i="1" s="1"/>
  <c r="AJ484" i="1" s="1"/>
  <c r="AJ485" i="1" s="1"/>
  <c r="AJ486" i="1" s="1"/>
  <c r="AJ487" i="1" s="1"/>
  <c r="AJ488" i="1" s="1"/>
  <c r="AJ489" i="1" s="1"/>
  <c r="AJ490" i="1" s="1"/>
  <c r="AJ491" i="1" s="1"/>
  <c r="AJ492" i="1" s="1"/>
  <c r="AJ493" i="1" s="1"/>
  <c r="AJ494" i="1" s="1"/>
  <c r="AJ495" i="1" s="1"/>
  <c r="AJ496" i="1" s="1"/>
  <c r="AJ497" i="1" s="1"/>
  <c r="AJ498" i="1" s="1"/>
  <c r="AJ499" i="1" s="1"/>
  <c r="AJ500" i="1" s="1"/>
  <c r="AJ501" i="1" s="1"/>
  <c r="AJ502" i="1" s="1"/>
  <c r="AJ503" i="1" s="1"/>
  <c r="AJ504" i="1" s="1"/>
  <c r="AJ505" i="1" s="1"/>
  <c r="AJ506" i="1" s="1"/>
  <c r="AJ507" i="1" s="1"/>
  <c r="AJ508" i="1" s="1"/>
  <c r="AJ509" i="1" s="1"/>
  <c r="AJ510" i="1" s="1"/>
  <c r="AJ511" i="1" s="1"/>
  <c r="AJ512" i="1" s="1"/>
  <c r="AJ513" i="1" s="1"/>
  <c r="AJ514" i="1" s="1"/>
  <c r="AJ515" i="1" s="1"/>
  <c r="AJ516" i="1" s="1"/>
  <c r="AJ517" i="1" s="1"/>
  <c r="AJ518" i="1" s="1"/>
  <c r="AJ519" i="1" s="1"/>
  <c r="AJ520" i="1" s="1"/>
  <c r="AJ521" i="1" s="1"/>
  <c r="AJ522" i="1" s="1"/>
  <c r="AJ523" i="1" s="1"/>
  <c r="AJ524" i="1" s="1"/>
  <c r="AJ525" i="1" s="1"/>
  <c r="AJ526" i="1" s="1"/>
  <c r="AJ527" i="1" s="1"/>
  <c r="AJ528" i="1" s="1"/>
  <c r="AJ529" i="1" s="1"/>
  <c r="AJ530" i="1" s="1"/>
  <c r="AJ531" i="1" s="1"/>
  <c r="AJ532" i="1" s="1"/>
  <c r="AJ533" i="1" s="1"/>
  <c r="AJ534" i="1" s="1"/>
  <c r="AJ535" i="1" s="1"/>
  <c r="AJ536" i="1" s="1"/>
  <c r="AJ537" i="1" s="1"/>
  <c r="AJ538" i="1" s="1"/>
  <c r="AJ539" i="1" s="1"/>
  <c r="AJ540" i="1" s="1"/>
  <c r="AJ541" i="1" s="1"/>
  <c r="AJ542" i="1" s="1"/>
  <c r="AJ543" i="1" s="1"/>
  <c r="AJ544" i="1" s="1"/>
  <c r="AJ545" i="1" s="1"/>
  <c r="AJ546" i="1" s="1"/>
  <c r="AJ547" i="1" s="1"/>
  <c r="AJ548" i="1" s="1"/>
  <c r="AJ549" i="1" s="1"/>
  <c r="AJ550" i="1" s="1"/>
  <c r="AJ551" i="1" s="1"/>
  <c r="AJ552" i="1" s="1"/>
  <c r="AJ553" i="1" s="1"/>
  <c r="AJ554" i="1" s="1"/>
  <c r="AJ555" i="1" s="1"/>
  <c r="AJ556" i="1" s="1"/>
  <c r="AJ557" i="1" s="1"/>
  <c r="AJ558" i="1" s="1"/>
  <c r="AJ559" i="1" s="1"/>
  <c r="AJ560" i="1" s="1"/>
  <c r="AJ561" i="1" s="1"/>
  <c r="AJ562" i="1" s="1"/>
  <c r="AJ563" i="1" s="1"/>
  <c r="AJ564" i="1" s="1"/>
  <c r="AJ565" i="1" s="1"/>
  <c r="AJ566" i="1" s="1"/>
  <c r="AJ567" i="1" s="1"/>
  <c r="AJ568" i="1" s="1"/>
  <c r="AJ569" i="1" s="1"/>
  <c r="AJ570" i="1" s="1"/>
  <c r="AJ571" i="1" s="1"/>
  <c r="AJ572" i="1" s="1"/>
  <c r="AJ573" i="1" s="1"/>
  <c r="AJ574" i="1" s="1"/>
  <c r="AJ575" i="1" s="1"/>
  <c r="AJ576" i="1" s="1"/>
  <c r="AJ577" i="1" s="1"/>
  <c r="AJ578" i="1" s="1"/>
  <c r="AJ579" i="1" s="1"/>
  <c r="AJ580" i="1" s="1"/>
  <c r="AJ581" i="1" s="1"/>
  <c r="AJ582" i="1" s="1"/>
  <c r="AJ583" i="1" s="1"/>
  <c r="AJ584" i="1" s="1"/>
  <c r="AJ585" i="1" s="1"/>
  <c r="AJ586" i="1" s="1"/>
  <c r="AJ587" i="1" s="1"/>
  <c r="AJ588" i="1" s="1"/>
  <c r="AJ589" i="1" s="1"/>
  <c r="AJ590" i="1" s="1"/>
  <c r="AJ591" i="1" s="1"/>
  <c r="AJ592" i="1" s="1"/>
  <c r="AJ593" i="1" s="1"/>
  <c r="AJ594" i="1" s="1"/>
  <c r="AJ595" i="1" s="1"/>
  <c r="AJ596" i="1" s="1"/>
  <c r="AJ597" i="1" s="1"/>
  <c r="AJ598" i="1" s="1"/>
  <c r="AJ599" i="1" s="1"/>
  <c r="AJ600" i="1" s="1"/>
  <c r="AJ601" i="1" s="1"/>
  <c r="AJ602" i="1" s="1"/>
  <c r="AJ603" i="1" s="1"/>
  <c r="AJ604" i="1" s="1"/>
  <c r="AJ605" i="1" s="1"/>
  <c r="AJ606" i="1" s="1"/>
  <c r="AJ607" i="1" s="1"/>
  <c r="AJ608" i="1" s="1"/>
  <c r="AJ609" i="1" s="1"/>
  <c r="AJ610" i="1" s="1"/>
  <c r="AJ611" i="1" s="1"/>
  <c r="AJ612" i="1" s="1"/>
  <c r="AJ613" i="1" s="1"/>
  <c r="AJ614" i="1" s="1"/>
  <c r="AJ615" i="1" s="1"/>
  <c r="AJ616" i="1" s="1"/>
  <c r="AJ617" i="1" s="1"/>
  <c r="AJ618" i="1" s="1"/>
  <c r="AJ619" i="1" s="1"/>
  <c r="AJ620" i="1" s="1"/>
  <c r="AJ621" i="1" s="1"/>
  <c r="AJ622" i="1" s="1"/>
  <c r="AJ623" i="1" s="1"/>
  <c r="AJ624" i="1" s="1"/>
  <c r="AJ625" i="1" s="1"/>
  <c r="AJ626" i="1" s="1"/>
  <c r="AJ627" i="1" s="1"/>
  <c r="AJ628" i="1" s="1"/>
  <c r="AJ629" i="1" s="1"/>
  <c r="AJ630" i="1" s="1"/>
  <c r="AJ631" i="1" s="1"/>
  <c r="AJ632" i="1" s="1"/>
  <c r="AJ633" i="1" s="1"/>
  <c r="AJ634" i="1" s="1"/>
  <c r="AJ635" i="1" s="1"/>
  <c r="AJ636" i="1" s="1"/>
  <c r="AJ637" i="1" s="1"/>
  <c r="AJ638" i="1" s="1"/>
  <c r="AJ639" i="1" s="1"/>
  <c r="AJ640" i="1" s="1"/>
  <c r="AJ641" i="1" s="1"/>
  <c r="AJ642" i="1" s="1"/>
  <c r="AJ643" i="1" s="1"/>
  <c r="AJ644" i="1" s="1"/>
  <c r="AJ645" i="1" s="1"/>
  <c r="AJ646" i="1" s="1"/>
  <c r="AJ647" i="1" s="1"/>
  <c r="AJ648" i="1" s="1"/>
  <c r="AJ649" i="1" s="1"/>
  <c r="AJ650" i="1" s="1"/>
  <c r="AJ651" i="1" s="1"/>
  <c r="AJ652" i="1" s="1"/>
  <c r="AJ653" i="1" s="1"/>
  <c r="AJ654" i="1" s="1"/>
  <c r="AJ655" i="1" s="1"/>
  <c r="AJ656" i="1" s="1"/>
  <c r="AJ657" i="1" s="1"/>
  <c r="AJ658" i="1" s="1"/>
  <c r="AJ659" i="1" s="1"/>
  <c r="AJ660" i="1" s="1"/>
  <c r="AJ661" i="1" s="1"/>
  <c r="AJ662" i="1" s="1"/>
  <c r="AK18" i="1"/>
  <c r="AK19" i="1" s="1"/>
  <c r="AK20" i="1" s="1"/>
  <c r="AK21" i="1" s="1"/>
  <c r="AK22" i="1" s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AK86" i="1" s="1"/>
  <c r="AK87" i="1" s="1"/>
  <c r="AK88" i="1" s="1"/>
  <c r="AK89" i="1" s="1"/>
  <c r="AK90" i="1" s="1"/>
  <c r="AK91" i="1" s="1"/>
  <c r="AK92" i="1" s="1"/>
  <c r="AK93" i="1" s="1"/>
  <c r="AK94" i="1" s="1"/>
  <c r="AK95" i="1" s="1"/>
  <c r="AK96" i="1" s="1"/>
  <c r="AK97" i="1" s="1"/>
  <c r="AK98" i="1" s="1"/>
  <c r="AK99" i="1" s="1"/>
  <c r="AK100" i="1" s="1"/>
  <c r="AK101" i="1" s="1"/>
  <c r="AK102" i="1" s="1"/>
  <c r="AK103" i="1" s="1"/>
  <c r="AK104" i="1" s="1"/>
  <c r="AK105" i="1" s="1"/>
  <c r="AK106" i="1" s="1"/>
  <c r="AK107" i="1" s="1"/>
  <c r="AK108" i="1" s="1"/>
  <c r="AK109" i="1" s="1"/>
  <c r="AK110" i="1" s="1"/>
  <c r="AK111" i="1" s="1"/>
  <c r="AK112" i="1" s="1"/>
  <c r="AK113" i="1" s="1"/>
  <c r="AK114" i="1" s="1"/>
  <c r="AK115" i="1" s="1"/>
  <c r="AK116" i="1" s="1"/>
  <c r="AK117" i="1" s="1"/>
  <c r="AK118" i="1" s="1"/>
  <c r="AK119" i="1" s="1"/>
  <c r="AK120" i="1" s="1"/>
  <c r="AK121" i="1" s="1"/>
  <c r="AK122" i="1" s="1"/>
  <c r="AK123" i="1" s="1"/>
  <c r="AK124" i="1" s="1"/>
  <c r="AK125" i="1" s="1"/>
  <c r="AK126" i="1" s="1"/>
  <c r="AK127" i="1" s="1"/>
  <c r="AK128" i="1" s="1"/>
  <c r="AK129" i="1" s="1"/>
  <c r="AK130" i="1" s="1"/>
  <c r="AK131" i="1" s="1"/>
  <c r="AK132" i="1" s="1"/>
  <c r="AK133" i="1" s="1"/>
  <c r="AK134" i="1" s="1"/>
  <c r="AK135" i="1" s="1"/>
  <c r="AK136" i="1" s="1"/>
  <c r="AK137" i="1" s="1"/>
  <c r="AK138" i="1" s="1"/>
  <c r="AK139" i="1" s="1"/>
  <c r="AK140" i="1" s="1"/>
  <c r="AK141" i="1" s="1"/>
  <c r="AK142" i="1" s="1"/>
  <c r="AK143" i="1" s="1"/>
  <c r="AK144" i="1" s="1"/>
  <c r="AK145" i="1" s="1"/>
  <c r="AK146" i="1" s="1"/>
  <c r="AK147" i="1" s="1"/>
  <c r="AK148" i="1" s="1"/>
  <c r="AK149" i="1" s="1"/>
  <c r="AK150" i="1" s="1"/>
  <c r="AK151" i="1" s="1"/>
  <c r="AK152" i="1" s="1"/>
  <c r="AK153" i="1" s="1"/>
  <c r="AK154" i="1" s="1"/>
  <c r="AK155" i="1" s="1"/>
  <c r="AK156" i="1" s="1"/>
  <c r="AK157" i="1" s="1"/>
  <c r="AK158" i="1" s="1"/>
  <c r="AK159" i="1" s="1"/>
  <c r="AK160" i="1" s="1"/>
  <c r="AK161" i="1" s="1"/>
  <c r="AK162" i="1" s="1"/>
  <c r="AK163" i="1" s="1"/>
  <c r="AK164" i="1" s="1"/>
  <c r="AK165" i="1" s="1"/>
  <c r="AK166" i="1" s="1"/>
  <c r="AK167" i="1" s="1"/>
  <c r="AK168" i="1" s="1"/>
  <c r="AK169" i="1" s="1"/>
  <c r="AK170" i="1" s="1"/>
  <c r="AK171" i="1" s="1"/>
  <c r="AK172" i="1" s="1"/>
  <c r="AK173" i="1" s="1"/>
  <c r="AK174" i="1" s="1"/>
  <c r="AK175" i="1" s="1"/>
  <c r="AK176" i="1" s="1"/>
  <c r="AK177" i="1" s="1"/>
  <c r="AK178" i="1" s="1"/>
  <c r="AK179" i="1" s="1"/>
  <c r="AK180" i="1" s="1"/>
  <c r="AK181" i="1" s="1"/>
  <c r="AK182" i="1" s="1"/>
  <c r="AK183" i="1" s="1"/>
  <c r="AK184" i="1" s="1"/>
  <c r="AK185" i="1" s="1"/>
  <c r="AK186" i="1" s="1"/>
  <c r="AK187" i="1" s="1"/>
  <c r="AK188" i="1" s="1"/>
  <c r="AK189" i="1" s="1"/>
  <c r="AK190" i="1" s="1"/>
  <c r="AK191" i="1" s="1"/>
  <c r="AK192" i="1" s="1"/>
  <c r="AK193" i="1" s="1"/>
  <c r="AK194" i="1" s="1"/>
  <c r="AK195" i="1" s="1"/>
  <c r="AK196" i="1" s="1"/>
  <c r="AK197" i="1" s="1"/>
  <c r="AK198" i="1" s="1"/>
  <c r="AK199" i="1" s="1"/>
  <c r="AK200" i="1" s="1"/>
  <c r="AK201" i="1" s="1"/>
  <c r="AK202" i="1" s="1"/>
  <c r="AK203" i="1" s="1"/>
  <c r="AK204" i="1" s="1"/>
  <c r="AK205" i="1" s="1"/>
  <c r="AK206" i="1" s="1"/>
  <c r="AK207" i="1" s="1"/>
  <c r="AK208" i="1" s="1"/>
  <c r="AK209" i="1" s="1"/>
  <c r="AK210" i="1" s="1"/>
  <c r="AK211" i="1" s="1"/>
  <c r="AK212" i="1" s="1"/>
  <c r="AK213" i="1" s="1"/>
  <c r="AK214" i="1" s="1"/>
  <c r="AK215" i="1" s="1"/>
  <c r="AK216" i="1" s="1"/>
  <c r="AK217" i="1" s="1"/>
  <c r="AK218" i="1" s="1"/>
  <c r="AK219" i="1" s="1"/>
  <c r="AK220" i="1" s="1"/>
  <c r="AK221" i="1" s="1"/>
  <c r="AK222" i="1" s="1"/>
  <c r="AK223" i="1" s="1"/>
  <c r="AK224" i="1" s="1"/>
  <c r="AK225" i="1" s="1"/>
  <c r="AK226" i="1" s="1"/>
  <c r="AK227" i="1" s="1"/>
  <c r="AK228" i="1" s="1"/>
  <c r="AK229" i="1" s="1"/>
  <c r="AK230" i="1" s="1"/>
  <c r="AK231" i="1" s="1"/>
  <c r="AK232" i="1" s="1"/>
  <c r="AK233" i="1" s="1"/>
  <c r="AK234" i="1" s="1"/>
  <c r="AK235" i="1" s="1"/>
  <c r="AK236" i="1" s="1"/>
  <c r="AK237" i="1" s="1"/>
  <c r="AK238" i="1" s="1"/>
  <c r="AK239" i="1" s="1"/>
  <c r="AK240" i="1" s="1"/>
  <c r="AK241" i="1" s="1"/>
  <c r="AK242" i="1" s="1"/>
  <c r="AK243" i="1" s="1"/>
  <c r="AK244" i="1" s="1"/>
  <c r="AK245" i="1" s="1"/>
  <c r="AK246" i="1" s="1"/>
  <c r="AK247" i="1" s="1"/>
  <c r="AK248" i="1" s="1"/>
  <c r="AK249" i="1" s="1"/>
  <c r="AK250" i="1" s="1"/>
  <c r="AK251" i="1" s="1"/>
  <c r="AK252" i="1" s="1"/>
  <c r="AK253" i="1" s="1"/>
  <c r="AK254" i="1" s="1"/>
  <c r="AK255" i="1" s="1"/>
  <c r="AK256" i="1" s="1"/>
  <c r="AK257" i="1" s="1"/>
  <c r="AK258" i="1" s="1"/>
  <c r="AK259" i="1" s="1"/>
  <c r="AK260" i="1" s="1"/>
  <c r="AK261" i="1" s="1"/>
  <c r="AK262" i="1" s="1"/>
  <c r="AK263" i="1" s="1"/>
  <c r="AK264" i="1" s="1"/>
  <c r="AK265" i="1" s="1"/>
  <c r="AK266" i="1" s="1"/>
  <c r="AK267" i="1" s="1"/>
  <c r="AK268" i="1" s="1"/>
  <c r="AK269" i="1" s="1"/>
  <c r="AK270" i="1" s="1"/>
  <c r="AK271" i="1" s="1"/>
  <c r="AK272" i="1" s="1"/>
  <c r="AK273" i="1" s="1"/>
  <c r="AK274" i="1" s="1"/>
  <c r="AK275" i="1" s="1"/>
  <c r="AK276" i="1" s="1"/>
  <c r="AK277" i="1" s="1"/>
  <c r="AK278" i="1" s="1"/>
  <c r="AK279" i="1" s="1"/>
  <c r="AK280" i="1" s="1"/>
  <c r="AK281" i="1" s="1"/>
  <c r="AK282" i="1" s="1"/>
  <c r="AK283" i="1" s="1"/>
  <c r="AK284" i="1" s="1"/>
  <c r="AK285" i="1" s="1"/>
  <c r="AK286" i="1" s="1"/>
  <c r="AK287" i="1" s="1"/>
  <c r="AK288" i="1" s="1"/>
  <c r="AK289" i="1" s="1"/>
  <c r="AK290" i="1" s="1"/>
  <c r="AK291" i="1" s="1"/>
  <c r="AK292" i="1" s="1"/>
  <c r="AK293" i="1" s="1"/>
  <c r="AK294" i="1" s="1"/>
  <c r="AK295" i="1" s="1"/>
  <c r="AK296" i="1" s="1"/>
  <c r="AK297" i="1" s="1"/>
  <c r="AK298" i="1" s="1"/>
  <c r="AK299" i="1" s="1"/>
  <c r="AK300" i="1" s="1"/>
  <c r="AK301" i="1" s="1"/>
  <c r="AK302" i="1" s="1"/>
  <c r="AK303" i="1" s="1"/>
  <c r="AK304" i="1" s="1"/>
  <c r="AK305" i="1" s="1"/>
  <c r="AK306" i="1" s="1"/>
  <c r="AK307" i="1" s="1"/>
  <c r="AK308" i="1" s="1"/>
  <c r="AK309" i="1" s="1"/>
  <c r="AK310" i="1" s="1"/>
  <c r="AK311" i="1" s="1"/>
  <c r="AK312" i="1" s="1"/>
  <c r="AK313" i="1" s="1"/>
  <c r="AK314" i="1" s="1"/>
  <c r="AK315" i="1" s="1"/>
  <c r="AK316" i="1" s="1"/>
  <c r="AK317" i="1" s="1"/>
  <c r="AK318" i="1" s="1"/>
  <c r="AK319" i="1" s="1"/>
  <c r="AK320" i="1" s="1"/>
  <c r="AK321" i="1" s="1"/>
  <c r="AK322" i="1" s="1"/>
  <c r="AK323" i="1" s="1"/>
  <c r="AK324" i="1" s="1"/>
  <c r="AK325" i="1" s="1"/>
  <c r="AK326" i="1" s="1"/>
  <c r="AK327" i="1" s="1"/>
  <c r="AK328" i="1" s="1"/>
  <c r="AK329" i="1" s="1"/>
  <c r="AK330" i="1" s="1"/>
  <c r="AK331" i="1" s="1"/>
  <c r="AK332" i="1" s="1"/>
  <c r="AK333" i="1" s="1"/>
  <c r="AK334" i="1" s="1"/>
  <c r="AK335" i="1" s="1"/>
  <c r="AK336" i="1" s="1"/>
  <c r="AK337" i="1" s="1"/>
  <c r="AK338" i="1" s="1"/>
  <c r="AK339" i="1" s="1"/>
  <c r="AK340" i="1" s="1"/>
  <c r="AK341" i="1" s="1"/>
  <c r="AK342" i="1" s="1"/>
  <c r="AK343" i="1" s="1"/>
  <c r="AK344" i="1" s="1"/>
  <c r="AK345" i="1" s="1"/>
  <c r="AK346" i="1" s="1"/>
  <c r="AK347" i="1" s="1"/>
  <c r="AK348" i="1" s="1"/>
  <c r="AK349" i="1" s="1"/>
  <c r="AK350" i="1" s="1"/>
  <c r="AK351" i="1" s="1"/>
  <c r="AK352" i="1" s="1"/>
  <c r="AK353" i="1" s="1"/>
  <c r="AK354" i="1" s="1"/>
  <c r="AK355" i="1" s="1"/>
  <c r="AK356" i="1" s="1"/>
  <c r="AK357" i="1" s="1"/>
  <c r="AK358" i="1" s="1"/>
  <c r="AK359" i="1" s="1"/>
  <c r="AK360" i="1" s="1"/>
  <c r="AK361" i="1" s="1"/>
  <c r="AK362" i="1" s="1"/>
  <c r="AK363" i="1" s="1"/>
  <c r="AK364" i="1" s="1"/>
  <c r="AK365" i="1" s="1"/>
  <c r="AK366" i="1" s="1"/>
  <c r="AK367" i="1" s="1"/>
  <c r="AK368" i="1" s="1"/>
  <c r="AK369" i="1" s="1"/>
  <c r="AK370" i="1" s="1"/>
  <c r="AK371" i="1" s="1"/>
  <c r="AK372" i="1" s="1"/>
  <c r="AK373" i="1" s="1"/>
  <c r="AK374" i="1" s="1"/>
  <c r="AK375" i="1" s="1"/>
  <c r="AK376" i="1" s="1"/>
  <c r="AK377" i="1" s="1"/>
  <c r="AK378" i="1" s="1"/>
  <c r="AK379" i="1" s="1"/>
  <c r="AK380" i="1" s="1"/>
  <c r="AK381" i="1" s="1"/>
  <c r="AK382" i="1" s="1"/>
  <c r="AK383" i="1" s="1"/>
  <c r="AK384" i="1" s="1"/>
  <c r="AK385" i="1" s="1"/>
  <c r="AK386" i="1" s="1"/>
  <c r="AK387" i="1" s="1"/>
  <c r="AK388" i="1" s="1"/>
  <c r="AK389" i="1" s="1"/>
  <c r="AK390" i="1" s="1"/>
  <c r="AK391" i="1" s="1"/>
  <c r="AK392" i="1" s="1"/>
  <c r="AK393" i="1" s="1"/>
  <c r="AK394" i="1" s="1"/>
  <c r="AK395" i="1" s="1"/>
  <c r="AK396" i="1" s="1"/>
  <c r="AK397" i="1" s="1"/>
  <c r="AK398" i="1" s="1"/>
  <c r="AK399" i="1" s="1"/>
  <c r="AK400" i="1" s="1"/>
  <c r="AK401" i="1" s="1"/>
  <c r="AK402" i="1" s="1"/>
  <c r="AK403" i="1" s="1"/>
  <c r="AK404" i="1" s="1"/>
  <c r="AK405" i="1" s="1"/>
  <c r="AK406" i="1" s="1"/>
  <c r="AK407" i="1" s="1"/>
  <c r="AK408" i="1" s="1"/>
  <c r="AK409" i="1" s="1"/>
  <c r="AK410" i="1" s="1"/>
  <c r="AK411" i="1" s="1"/>
  <c r="AK412" i="1" s="1"/>
  <c r="AK413" i="1" s="1"/>
  <c r="AK414" i="1" s="1"/>
  <c r="AK415" i="1" s="1"/>
  <c r="AK416" i="1" s="1"/>
  <c r="AK417" i="1" s="1"/>
  <c r="AK418" i="1" s="1"/>
  <c r="AK419" i="1" s="1"/>
  <c r="AK420" i="1" s="1"/>
  <c r="AK421" i="1" s="1"/>
  <c r="AK422" i="1" s="1"/>
  <c r="AK423" i="1" s="1"/>
  <c r="AK424" i="1" s="1"/>
  <c r="AK425" i="1" s="1"/>
  <c r="AK426" i="1" s="1"/>
  <c r="AK427" i="1" s="1"/>
  <c r="AK428" i="1" s="1"/>
  <c r="AK429" i="1" s="1"/>
  <c r="AK430" i="1" s="1"/>
  <c r="AK431" i="1" s="1"/>
  <c r="AK432" i="1" s="1"/>
  <c r="AK433" i="1" s="1"/>
  <c r="AK434" i="1" s="1"/>
  <c r="AK435" i="1" s="1"/>
  <c r="AK436" i="1" s="1"/>
  <c r="AK437" i="1" s="1"/>
  <c r="AK438" i="1" s="1"/>
  <c r="AK439" i="1" s="1"/>
  <c r="AK440" i="1" s="1"/>
  <c r="AK441" i="1" s="1"/>
  <c r="AK442" i="1" s="1"/>
  <c r="AK443" i="1" s="1"/>
  <c r="AK444" i="1" s="1"/>
  <c r="AK445" i="1" s="1"/>
  <c r="AK446" i="1" s="1"/>
  <c r="AK447" i="1" s="1"/>
  <c r="AK448" i="1" s="1"/>
  <c r="AK449" i="1" s="1"/>
  <c r="AK450" i="1" s="1"/>
  <c r="AK451" i="1" s="1"/>
  <c r="AK452" i="1" s="1"/>
  <c r="AK453" i="1" s="1"/>
  <c r="AK454" i="1" s="1"/>
  <c r="AK455" i="1" s="1"/>
  <c r="AK456" i="1" s="1"/>
  <c r="AK457" i="1" s="1"/>
  <c r="AK458" i="1" s="1"/>
  <c r="AK459" i="1" s="1"/>
  <c r="AK460" i="1" s="1"/>
  <c r="AK461" i="1" s="1"/>
  <c r="AK462" i="1" s="1"/>
  <c r="AK463" i="1" s="1"/>
  <c r="AK464" i="1" s="1"/>
  <c r="AK465" i="1" s="1"/>
  <c r="AK466" i="1" s="1"/>
  <c r="AK467" i="1" s="1"/>
  <c r="AK468" i="1" s="1"/>
  <c r="AK469" i="1" s="1"/>
  <c r="AK470" i="1" s="1"/>
  <c r="AK471" i="1" s="1"/>
  <c r="AK472" i="1" s="1"/>
  <c r="AK473" i="1" s="1"/>
  <c r="AK474" i="1" s="1"/>
  <c r="AK475" i="1" s="1"/>
  <c r="AK476" i="1" s="1"/>
  <c r="AK477" i="1" s="1"/>
  <c r="AK478" i="1" s="1"/>
  <c r="AK479" i="1" s="1"/>
  <c r="AK480" i="1" s="1"/>
  <c r="AK481" i="1" s="1"/>
  <c r="AK482" i="1" s="1"/>
  <c r="AK483" i="1" s="1"/>
  <c r="AK484" i="1" s="1"/>
  <c r="AK485" i="1" s="1"/>
  <c r="AK486" i="1" s="1"/>
  <c r="AK487" i="1" s="1"/>
  <c r="AK488" i="1" s="1"/>
  <c r="AK489" i="1" s="1"/>
  <c r="AK490" i="1" s="1"/>
  <c r="AK491" i="1" s="1"/>
  <c r="AK492" i="1" s="1"/>
  <c r="AK493" i="1" s="1"/>
  <c r="AK494" i="1" s="1"/>
  <c r="AK495" i="1" s="1"/>
  <c r="AK496" i="1" s="1"/>
  <c r="AK497" i="1" s="1"/>
  <c r="AK498" i="1" s="1"/>
  <c r="AK499" i="1" s="1"/>
  <c r="AK500" i="1" s="1"/>
  <c r="AK501" i="1" s="1"/>
  <c r="AK502" i="1" s="1"/>
  <c r="AK503" i="1" s="1"/>
  <c r="AK504" i="1" s="1"/>
  <c r="AK505" i="1" s="1"/>
  <c r="AK506" i="1" s="1"/>
  <c r="AK507" i="1" s="1"/>
  <c r="AK508" i="1" s="1"/>
  <c r="AK509" i="1" s="1"/>
  <c r="AK510" i="1" s="1"/>
  <c r="AK511" i="1" s="1"/>
  <c r="AK512" i="1" s="1"/>
  <c r="AK513" i="1" s="1"/>
  <c r="AK514" i="1" s="1"/>
  <c r="AK515" i="1" s="1"/>
  <c r="AK516" i="1" s="1"/>
  <c r="AK517" i="1" s="1"/>
  <c r="AK518" i="1" s="1"/>
  <c r="AK519" i="1" s="1"/>
  <c r="AK520" i="1" s="1"/>
  <c r="AK521" i="1" s="1"/>
  <c r="AK522" i="1" s="1"/>
  <c r="AK523" i="1" s="1"/>
  <c r="AK524" i="1" s="1"/>
  <c r="AK525" i="1" s="1"/>
  <c r="AK526" i="1" s="1"/>
  <c r="AK527" i="1" s="1"/>
  <c r="AK528" i="1" s="1"/>
  <c r="AK529" i="1" s="1"/>
  <c r="AK530" i="1" s="1"/>
  <c r="AK531" i="1" s="1"/>
  <c r="AK532" i="1" s="1"/>
  <c r="AK533" i="1" s="1"/>
  <c r="AK534" i="1" s="1"/>
  <c r="AK535" i="1" s="1"/>
  <c r="AK536" i="1" s="1"/>
  <c r="AK537" i="1" s="1"/>
  <c r="AK538" i="1" s="1"/>
  <c r="AK539" i="1" s="1"/>
  <c r="AK540" i="1" s="1"/>
  <c r="AK541" i="1" s="1"/>
  <c r="AK542" i="1" s="1"/>
  <c r="AK543" i="1" s="1"/>
  <c r="AK544" i="1" s="1"/>
  <c r="AK545" i="1" s="1"/>
  <c r="AK546" i="1" s="1"/>
  <c r="AK547" i="1" s="1"/>
  <c r="AK548" i="1" s="1"/>
  <c r="AK549" i="1" s="1"/>
  <c r="AK550" i="1" s="1"/>
  <c r="AK551" i="1" s="1"/>
  <c r="AK552" i="1" s="1"/>
  <c r="AK553" i="1" s="1"/>
  <c r="AK554" i="1" s="1"/>
  <c r="AK555" i="1" s="1"/>
  <c r="AK556" i="1" s="1"/>
  <c r="AK557" i="1" s="1"/>
  <c r="AK558" i="1" s="1"/>
  <c r="AK559" i="1" s="1"/>
  <c r="AK560" i="1" s="1"/>
  <c r="AK561" i="1" s="1"/>
  <c r="AK562" i="1" s="1"/>
  <c r="AK563" i="1" s="1"/>
  <c r="AK564" i="1" s="1"/>
  <c r="AK565" i="1" s="1"/>
  <c r="AK566" i="1" s="1"/>
  <c r="AK567" i="1" s="1"/>
  <c r="AK568" i="1" s="1"/>
  <c r="AK569" i="1" s="1"/>
  <c r="AK570" i="1" s="1"/>
  <c r="AK571" i="1" s="1"/>
  <c r="AK572" i="1" s="1"/>
  <c r="AK573" i="1" s="1"/>
  <c r="AK574" i="1" s="1"/>
  <c r="AK575" i="1" s="1"/>
  <c r="AK576" i="1" s="1"/>
  <c r="AK577" i="1" s="1"/>
  <c r="AK578" i="1" s="1"/>
  <c r="AK579" i="1" s="1"/>
  <c r="AK580" i="1" s="1"/>
  <c r="AK581" i="1" s="1"/>
  <c r="AK582" i="1" s="1"/>
  <c r="AK583" i="1" s="1"/>
  <c r="AK584" i="1" s="1"/>
  <c r="AK585" i="1" s="1"/>
  <c r="AK586" i="1" s="1"/>
  <c r="AK587" i="1" s="1"/>
  <c r="AK588" i="1" s="1"/>
  <c r="AK589" i="1" s="1"/>
  <c r="AK590" i="1" s="1"/>
  <c r="AK591" i="1" s="1"/>
  <c r="AK592" i="1" s="1"/>
  <c r="AK593" i="1" s="1"/>
  <c r="AK594" i="1" s="1"/>
  <c r="AK595" i="1" s="1"/>
  <c r="AK596" i="1" s="1"/>
  <c r="AK597" i="1" s="1"/>
  <c r="AK598" i="1" s="1"/>
  <c r="AK599" i="1" s="1"/>
  <c r="AK600" i="1" s="1"/>
  <c r="AK601" i="1" s="1"/>
  <c r="AK602" i="1" s="1"/>
  <c r="AK603" i="1" s="1"/>
  <c r="AK604" i="1" s="1"/>
  <c r="AK605" i="1" s="1"/>
  <c r="AK606" i="1" s="1"/>
  <c r="AK607" i="1" s="1"/>
  <c r="AK608" i="1" s="1"/>
  <c r="AK609" i="1" s="1"/>
  <c r="AK610" i="1" s="1"/>
  <c r="AK611" i="1" s="1"/>
  <c r="AK612" i="1" s="1"/>
  <c r="AK613" i="1" s="1"/>
  <c r="AK614" i="1" s="1"/>
  <c r="AK615" i="1" s="1"/>
  <c r="AK616" i="1" s="1"/>
  <c r="AK617" i="1" s="1"/>
  <c r="AK618" i="1" s="1"/>
  <c r="AK619" i="1" s="1"/>
  <c r="AK620" i="1" s="1"/>
  <c r="AK621" i="1" s="1"/>
  <c r="AK622" i="1" s="1"/>
  <c r="AK623" i="1" s="1"/>
  <c r="AK624" i="1" s="1"/>
  <c r="AK625" i="1" s="1"/>
  <c r="AK626" i="1" s="1"/>
  <c r="AK627" i="1" s="1"/>
  <c r="AK628" i="1" s="1"/>
  <c r="AK629" i="1" s="1"/>
  <c r="AK630" i="1" s="1"/>
  <c r="AK631" i="1" s="1"/>
  <c r="AK632" i="1" s="1"/>
  <c r="AK633" i="1" s="1"/>
  <c r="AK634" i="1" s="1"/>
  <c r="AK635" i="1" s="1"/>
  <c r="AK636" i="1" s="1"/>
  <c r="AK637" i="1" s="1"/>
  <c r="AK638" i="1" s="1"/>
  <c r="AK639" i="1" s="1"/>
  <c r="AK640" i="1" s="1"/>
  <c r="AK641" i="1" s="1"/>
  <c r="AK642" i="1" s="1"/>
  <c r="AK643" i="1" s="1"/>
  <c r="AK644" i="1" s="1"/>
  <c r="AK645" i="1" s="1"/>
  <c r="AK646" i="1" s="1"/>
  <c r="AK647" i="1" s="1"/>
  <c r="AK648" i="1" s="1"/>
  <c r="AK649" i="1" s="1"/>
  <c r="AK650" i="1" s="1"/>
  <c r="AK651" i="1" s="1"/>
  <c r="AK652" i="1" s="1"/>
  <c r="AK653" i="1" s="1"/>
  <c r="AK654" i="1" s="1"/>
  <c r="AK655" i="1" s="1"/>
  <c r="AK656" i="1" s="1"/>
  <c r="AK657" i="1" s="1"/>
  <c r="AK658" i="1" s="1"/>
  <c r="AK659" i="1" s="1"/>
  <c r="AK660" i="1" s="1"/>
  <c r="AK661" i="1" s="1"/>
  <c r="AK662" i="1" s="1"/>
  <c r="X18" i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X38" i="1" s="1"/>
  <c r="X39" i="1" s="1"/>
  <c r="X40" i="1" s="1"/>
  <c r="X41" i="1" s="1"/>
  <c r="X42" i="1" s="1"/>
  <c r="X43" i="1" s="1"/>
  <c r="X44" i="1" s="1"/>
  <c r="X45" i="1" s="1"/>
  <c r="X46" i="1" s="1"/>
  <c r="X47" i="1" s="1"/>
  <c r="X48" i="1" s="1"/>
  <c r="X49" i="1" s="1"/>
  <c r="X50" i="1" s="1"/>
  <c r="X51" i="1" s="1"/>
  <c r="X52" i="1" s="1"/>
  <c r="X53" i="1" s="1"/>
  <c r="X54" i="1" s="1"/>
  <c r="X55" i="1" s="1"/>
  <c r="X56" i="1" s="1"/>
  <c r="X57" i="1" s="1"/>
  <c r="X58" i="1" s="1"/>
  <c r="X59" i="1" s="1"/>
  <c r="X60" i="1" s="1"/>
  <c r="X61" i="1" s="1"/>
  <c r="X62" i="1" s="1"/>
  <c r="X63" i="1" s="1"/>
  <c r="X64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X105" i="1" s="1"/>
  <c r="X106" i="1" s="1"/>
  <c r="X107" i="1" s="1"/>
  <c r="X108" i="1" s="1"/>
  <c r="X109" i="1" s="1"/>
  <c r="X110" i="1" s="1"/>
  <c r="X111" i="1" s="1"/>
  <c r="X112" i="1" s="1"/>
  <c r="X113" i="1" s="1"/>
  <c r="X114" i="1" s="1"/>
  <c r="X115" i="1" s="1"/>
  <c r="X116" i="1" s="1"/>
  <c r="X117" i="1" s="1"/>
  <c r="X118" i="1" s="1"/>
  <c r="X119" i="1" s="1"/>
  <c r="X120" i="1" s="1"/>
  <c r="X121" i="1" s="1"/>
  <c r="X122" i="1" s="1"/>
  <c r="X123" i="1" s="1"/>
  <c r="X124" i="1" s="1"/>
  <c r="X125" i="1" s="1"/>
  <c r="X126" i="1" s="1"/>
  <c r="X127" i="1" s="1"/>
  <c r="X128" i="1" s="1"/>
  <c r="X129" i="1" s="1"/>
  <c r="X130" i="1" s="1"/>
  <c r="X131" i="1" s="1"/>
  <c r="X132" i="1" s="1"/>
  <c r="X133" i="1" s="1"/>
  <c r="X134" i="1" s="1"/>
  <c r="X135" i="1" s="1"/>
  <c r="X136" i="1" s="1"/>
  <c r="X137" i="1" s="1"/>
  <c r="X138" i="1" s="1"/>
  <c r="X139" i="1" s="1"/>
  <c r="X140" i="1" s="1"/>
  <c r="X141" i="1" s="1"/>
  <c r="X142" i="1" s="1"/>
  <c r="X143" i="1" s="1"/>
  <c r="X144" i="1" s="1"/>
  <c r="X145" i="1" s="1"/>
  <c r="X146" i="1" s="1"/>
  <c r="X147" i="1" s="1"/>
  <c r="X148" i="1" s="1"/>
  <c r="X149" i="1" s="1"/>
  <c r="X150" i="1" s="1"/>
  <c r="X151" i="1" s="1"/>
  <c r="X152" i="1" s="1"/>
  <c r="X153" i="1" s="1"/>
  <c r="X154" i="1" s="1"/>
  <c r="X155" i="1" s="1"/>
  <c r="X156" i="1" s="1"/>
  <c r="X157" i="1" s="1"/>
  <c r="X158" i="1" s="1"/>
  <c r="X159" i="1" s="1"/>
  <c r="X160" i="1" s="1"/>
  <c r="X161" i="1" s="1"/>
  <c r="X162" i="1" s="1"/>
  <c r="X163" i="1" s="1"/>
  <c r="X164" i="1" s="1"/>
  <c r="X165" i="1" s="1"/>
  <c r="X166" i="1" s="1"/>
  <c r="X167" i="1" s="1"/>
  <c r="X168" i="1" s="1"/>
  <c r="X169" i="1" s="1"/>
  <c r="X170" i="1" s="1"/>
  <c r="X171" i="1" s="1"/>
  <c r="X172" i="1" s="1"/>
  <c r="X173" i="1" s="1"/>
  <c r="X174" i="1" s="1"/>
  <c r="X175" i="1" s="1"/>
  <c r="X176" i="1" s="1"/>
  <c r="X177" i="1" s="1"/>
  <c r="X178" i="1" s="1"/>
  <c r="X179" i="1" s="1"/>
  <c r="X180" i="1" s="1"/>
  <c r="X181" i="1" s="1"/>
  <c r="X182" i="1" s="1"/>
  <c r="X183" i="1" s="1"/>
  <c r="X184" i="1" s="1"/>
  <c r="X185" i="1" s="1"/>
  <c r="X186" i="1" s="1"/>
  <c r="X187" i="1" s="1"/>
  <c r="X188" i="1" s="1"/>
  <c r="X189" i="1" s="1"/>
  <c r="X190" i="1" s="1"/>
  <c r="X191" i="1" s="1"/>
  <c r="X192" i="1" s="1"/>
  <c r="X193" i="1" s="1"/>
  <c r="X194" i="1" s="1"/>
  <c r="X195" i="1" s="1"/>
  <c r="X196" i="1" s="1"/>
  <c r="X197" i="1" s="1"/>
  <c r="X198" i="1" s="1"/>
  <c r="X199" i="1" s="1"/>
  <c r="X200" i="1" s="1"/>
  <c r="X201" i="1" s="1"/>
  <c r="X202" i="1" s="1"/>
  <c r="X203" i="1" s="1"/>
  <c r="X204" i="1" s="1"/>
  <c r="X205" i="1" s="1"/>
  <c r="X206" i="1" s="1"/>
  <c r="X207" i="1" s="1"/>
  <c r="X208" i="1" s="1"/>
  <c r="X209" i="1" s="1"/>
  <c r="X210" i="1" s="1"/>
  <c r="X211" i="1" s="1"/>
  <c r="X212" i="1" s="1"/>
  <c r="X213" i="1" s="1"/>
  <c r="X214" i="1" s="1"/>
  <c r="X215" i="1" s="1"/>
  <c r="X216" i="1" s="1"/>
  <c r="X217" i="1" s="1"/>
  <c r="X218" i="1" s="1"/>
  <c r="X219" i="1" s="1"/>
  <c r="X220" i="1" s="1"/>
  <c r="X221" i="1" s="1"/>
  <c r="X222" i="1" s="1"/>
  <c r="X223" i="1" s="1"/>
  <c r="X224" i="1" s="1"/>
  <c r="X225" i="1" s="1"/>
  <c r="X226" i="1" s="1"/>
  <c r="X227" i="1" s="1"/>
  <c r="X228" i="1" s="1"/>
  <c r="X229" i="1" s="1"/>
  <c r="X230" i="1" s="1"/>
  <c r="X231" i="1" s="1"/>
  <c r="X232" i="1" s="1"/>
  <c r="X233" i="1" s="1"/>
  <c r="X234" i="1" s="1"/>
  <c r="X235" i="1" s="1"/>
  <c r="X236" i="1" s="1"/>
  <c r="X237" i="1" s="1"/>
  <c r="X238" i="1" s="1"/>
  <c r="X239" i="1" s="1"/>
  <c r="X240" i="1" s="1"/>
  <c r="X241" i="1" s="1"/>
  <c r="X242" i="1" s="1"/>
  <c r="X243" i="1" s="1"/>
  <c r="X244" i="1" s="1"/>
  <c r="X245" i="1" s="1"/>
  <c r="X246" i="1" s="1"/>
  <c r="X247" i="1" s="1"/>
  <c r="X248" i="1" s="1"/>
  <c r="X249" i="1" s="1"/>
  <c r="X250" i="1" s="1"/>
  <c r="X251" i="1" s="1"/>
  <c r="X252" i="1" s="1"/>
  <c r="X253" i="1" s="1"/>
  <c r="X254" i="1" s="1"/>
  <c r="X255" i="1" s="1"/>
  <c r="X256" i="1" s="1"/>
  <c r="X257" i="1" s="1"/>
  <c r="X258" i="1" s="1"/>
  <c r="X259" i="1" s="1"/>
  <c r="X260" i="1" s="1"/>
  <c r="X261" i="1" s="1"/>
  <c r="X262" i="1" s="1"/>
  <c r="X263" i="1" s="1"/>
  <c r="X264" i="1" s="1"/>
  <c r="X265" i="1" s="1"/>
  <c r="X266" i="1" s="1"/>
  <c r="X267" i="1" s="1"/>
  <c r="X268" i="1" s="1"/>
  <c r="X269" i="1" s="1"/>
  <c r="X270" i="1" s="1"/>
  <c r="X271" i="1" s="1"/>
  <c r="X272" i="1" s="1"/>
  <c r="X273" i="1" s="1"/>
  <c r="X274" i="1" s="1"/>
  <c r="X275" i="1" s="1"/>
  <c r="X276" i="1" s="1"/>
  <c r="X277" i="1" s="1"/>
  <c r="X278" i="1" s="1"/>
  <c r="X279" i="1" s="1"/>
  <c r="X280" i="1" s="1"/>
  <c r="X281" i="1" s="1"/>
  <c r="X282" i="1" s="1"/>
  <c r="X283" i="1" s="1"/>
  <c r="X284" i="1" s="1"/>
  <c r="X285" i="1" s="1"/>
  <c r="X286" i="1" s="1"/>
  <c r="X287" i="1" s="1"/>
  <c r="X288" i="1" s="1"/>
  <c r="X289" i="1" s="1"/>
  <c r="X290" i="1" s="1"/>
  <c r="X291" i="1" s="1"/>
  <c r="X292" i="1" s="1"/>
  <c r="X293" i="1" s="1"/>
  <c r="X294" i="1" s="1"/>
  <c r="X295" i="1" s="1"/>
  <c r="X296" i="1" s="1"/>
  <c r="X297" i="1" s="1"/>
  <c r="X298" i="1" s="1"/>
  <c r="X299" i="1" s="1"/>
  <c r="X300" i="1" s="1"/>
  <c r="X301" i="1" s="1"/>
  <c r="X302" i="1" s="1"/>
  <c r="X303" i="1" s="1"/>
  <c r="X304" i="1" s="1"/>
  <c r="X305" i="1" s="1"/>
  <c r="X306" i="1" s="1"/>
  <c r="X307" i="1" s="1"/>
  <c r="X308" i="1" s="1"/>
  <c r="X309" i="1" s="1"/>
  <c r="X310" i="1" s="1"/>
  <c r="X311" i="1" s="1"/>
  <c r="X312" i="1" s="1"/>
  <c r="X313" i="1" s="1"/>
  <c r="X314" i="1" s="1"/>
  <c r="X315" i="1" s="1"/>
  <c r="X316" i="1" s="1"/>
  <c r="X317" i="1" s="1"/>
  <c r="X318" i="1" s="1"/>
  <c r="X319" i="1" s="1"/>
  <c r="X320" i="1" s="1"/>
  <c r="X321" i="1" s="1"/>
  <c r="X322" i="1" s="1"/>
  <c r="X323" i="1" s="1"/>
  <c r="X324" i="1" s="1"/>
  <c r="X325" i="1" s="1"/>
  <c r="X326" i="1" s="1"/>
  <c r="X327" i="1" s="1"/>
  <c r="X328" i="1" s="1"/>
  <c r="X329" i="1" s="1"/>
  <c r="X330" i="1" s="1"/>
  <c r="X331" i="1" s="1"/>
  <c r="X332" i="1" s="1"/>
  <c r="X333" i="1" s="1"/>
  <c r="X334" i="1" s="1"/>
  <c r="X335" i="1" s="1"/>
  <c r="X336" i="1" s="1"/>
  <c r="X337" i="1" s="1"/>
  <c r="X338" i="1" s="1"/>
  <c r="X339" i="1" s="1"/>
  <c r="X340" i="1" s="1"/>
  <c r="X341" i="1" s="1"/>
  <c r="X342" i="1" s="1"/>
  <c r="X343" i="1" s="1"/>
  <c r="X344" i="1" s="1"/>
  <c r="X345" i="1" s="1"/>
  <c r="X346" i="1" s="1"/>
  <c r="X347" i="1" s="1"/>
  <c r="X348" i="1" s="1"/>
  <c r="X349" i="1" s="1"/>
  <c r="X350" i="1" s="1"/>
  <c r="X351" i="1" s="1"/>
  <c r="X352" i="1" s="1"/>
  <c r="X353" i="1" s="1"/>
  <c r="X354" i="1" s="1"/>
  <c r="X355" i="1" s="1"/>
  <c r="X356" i="1" s="1"/>
  <c r="X357" i="1" s="1"/>
  <c r="X358" i="1" s="1"/>
  <c r="X359" i="1" s="1"/>
  <c r="X360" i="1" s="1"/>
  <c r="X361" i="1" s="1"/>
  <c r="X362" i="1" s="1"/>
  <c r="X363" i="1" s="1"/>
  <c r="X364" i="1" s="1"/>
  <c r="X365" i="1" s="1"/>
  <c r="X366" i="1" s="1"/>
  <c r="X367" i="1" s="1"/>
  <c r="X368" i="1" s="1"/>
  <c r="X369" i="1" s="1"/>
  <c r="X370" i="1" s="1"/>
  <c r="X371" i="1" s="1"/>
  <c r="X372" i="1" s="1"/>
  <c r="X373" i="1" s="1"/>
  <c r="X374" i="1" s="1"/>
  <c r="X375" i="1" s="1"/>
  <c r="X376" i="1" s="1"/>
  <c r="X377" i="1" s="1"/>
  <c r="X378" i="1" s="1"/>
  <c r="X379" i="1" s="1"/>
  <c r="X380" i="1" s="1"/>
  <c r="X381" i="1" s="1"/>
  <c r="X382" i="1" s="1"/>
  <c r="X383" i="1" s="1"/>
  <c r="X384" i="1" s="1"/>
  <c r="X385" i="1" s="1"/>
  <c r="X386" i="1" s="1"/>
  <c r="X387" i="1" s="1"/>
  <c r="X388" i="1" s="1"/>
  <c r="X389" i="1" s="1"/>
  <c r="X390" i="1" s="1"/>
  <c r="X391" i="1" s="1"/>
  <c r="X392" i="1" s="1"/>
  <c r="X393" i="1" s="1"/>
  <c r="X394" i="1" s="1"/>
  <c r="X395" i="1" s="1"/>
  <c r="X396" i="1" s="1"/>
  <c r="X397" i="1" s="1"/>
  <c r="X398" i="1" s="1"/>
  <c r="X399" i="1" s="1"/>
  <c r="X400" i="1" s="1"/>
  <c r="X401" i="1" s="1"/>
  <c r="X402" i="1" s="1"/>
  <c r="X403" i="1" s="1"/>
  <c r="X404" i="1" s="1"/>
  <c r="X405" i="1" s="1"/>
  <c r="X406" i="1" s="1"/>
  <c r="X407" i="1" s="1"/>
  <c r="X408" i="1" s="1"/>
  <c r="X409" i="1" s="1"/>
  <c r="X410" i="1" s="1"/>
  <c r="X411" i="1" s="1"/>
  <c r="X412" i="1" s="1"/>
  <c r="X413" i="1" s="1"/>
  <c r="X414" i="1" s="1"/>
  <c r="X415" i="1" s="1"/>
  <c r="X416" i="1" s="1"/>
  <c r="X417" i="1" s="1"/>
  <c r="X418" i="1" s="1"/>
  <c r="X419" i="1" s="1"/>
  <c r="X420" i="1" s="1"/>
  <c r="X421" i="1" s="1"/>
  <c r="X422" i="1" s="1"/>
  <c r="X423" i="1" s="1"/>
  <c r="X424" i="1" s="1"/>
  <c r="X425" i="1" s="1"/>
  <c r="X426" i="1" s="1"/>
  <c r="X427" i="1" s="1"/>
  <c r="X428" i="1" s="1"/>
  <c r="X429" i="1" s="1"/>
  <c r="X430" i="1" s="1"/>
  <c r="X431" i="1" s="1"/>
  <c r="X432" i="1" s="1"/>
  <c r="X433" i="1" s="1"/>
  <c r="X434" i="1" s="1"/>
  <c r="X435" i="1" s="1"/>
  <c r="X436" i="1" s="1"/>
  <c r="X437" i="1" s="1"/>
  <c r="X438" i="1" s="1"/>
  <c r="X439" i="1" s="1"/>
  <c r="X440" i="1" s="1"/>
  <c r="X441" i="1" s="1"/>
  <c r="X442" i="1" s="1"/>
  <c r="X443" i="1" s="1"/>
  <c r="X444" i="1" s="1"/>
  <c r="X445" i="1" s="1"/>
  <c r="X446" i="1" s="1"/>
  <c r="X447" i="1" s="1"/>
  <c r="X448" i="1" s="1"/>
  <c r="X449" i="1" s="1"/>
  <c r="X450" i="1" s="1"/>
  <c r="X451" i="1" s="1"/>
  <c r="X452" i="1" s="1"/>
  <c r="X453" i="1" s="1"/>
  <c r="X454" i="1" s="1"/>
  <c r="X455" i="1" s="1"/>
  <c r="X456" i="1" s="1"/>
  <c r="X457" i="1" s="1"/>
  <c r="X458" i="1" s="1"/>
  <c r="X459" i="1" s="1"/>
  <c r="X460" i="1" s="1"/>
  <c r="X461" i="1" s="1"/>
  <c r="X462" i="1" s="1"/>
  <c r="X463" i="1" s="1"/>
  <c r="X464" i="1" s="1"/>
  <c r="X465" i="1" s="1"/>
  <c r="X466" i="1" s="1"/>
  <c r="X467" i="1" s="1"/>
  <c r="X468" i="1" s="1"/>
  <c r="X469" i="1" s="1"/>
  <c r="X470" i="1" s="1"/>
  <c r="X471" i="1" s="1"/>
  <c r="X472" i="1" s="1"/>
  <c r="X473" i="1" s="1"/>
  <c r="X474" i="1" s="1"/>
  <c r="X475" i="1" s="1"/>
  <c r="X476" i="1" s="1"/>
  <c r="X477" i="1" s="1"/>
  <c r="X478" i="1" s="1"/>
  <c r="X479" i="1" s="1"/>
  <c r="X480" i="1" s="1"/>
  <c r="X481" i="1" s="1"/>
  <c r="X482" i="1" s="1"/>
  <c r="X483" i="1" s="1"/>
  <c r="X484" i="1" s="1"/>
  <c r="X485" i="1" s="1"/>
  <c r="X486" i="1" s="1"/>
  <c r="X487" i="1" s="1"/>
  <c r="X488" i="1" s="1"/>
  <c r="X489" i="1" s="1"/>
  <c r="X490" i="1" s="1"/>
  <c r="X491" i="1" s="1"/>
  <c r="X492" i="1" s="1"/>
  <c r="X493" i="1" s="1"/>
  <c r="X494" i="1" s="1"/>
  <c r="X495" i="1" s="1"/>
  <c r="X496" i="1" s="1"/>
  <c r="X497" i="1" s="1"/>
  <c r="X498" i="1" s="1"/>
  <c r="X499" i="1" s="1"/>
  <c r="X500" i="1" s="1"/>
  <c r="X501" i="1" s="1"/>
  <c r="X502" i="1" s="1"/>
  <c r="X503" i="1" s="1"/>
  <c r="X504" i="1" s="1"/>
  <c r="X505" i="1" s="1"/>
  <c r="X506" i="1" s="1"/>
  <c r="X507" i="1" s="1"/>
  <c r="X508" i="1" s="1"/>
  <c r="X509" i="1" s="1"/>
  <c r="X510" i="1" s="1"/>
  <c r="X511" i="1" s="1"/>
  <c r="X512" i="1" s="1"/>
  <c r="X513" i="1" s="1"/>
  <c r="X514" i="1" s="1"/>
  <c r="X515" i="1" s="1"/>
  <c r="X516" i="1" s="1"/>
  <c r="X517" i="1" s="1"/>
  <c r="X518" i="1" s="1"/>
  <c r="X519" i="1" s="1"/>
  <c r="X520" i="1" s="1"/>
  <c r="X521" i="1" s="1"/>
  <c r="X522" i="1" s="1"/>
  <c r="X523" i="1" s="1"/>
  <c r="X524" i="1" s="1"/>
  <c r="X525" i="1" s="1"/>
  <c r="X526" i="1" s="1"/>
  <c r="X527" i="1" s="1"/>
  <c r="X528" i="1" s="1"/>
  <c r="X529" i="1" s="1"/>
  <c r="X530" i="1" s="1"/>
  <c r="X531" i="1" s="1"/>
  <c r="X532" i="1" s="1"/>
  <c r="X533" i="1" s="1"/>
  <c r="X534" i="1" s="1"/>
  <c r="X535" i="1" s="1"/>
  <c r="X536" i="1" s="1"/>
  <c r="X537" i="1" s="1"/>
  <c r="X538" i="1" s="1"/>
  <c r="X539" i="1" s="1"/>
  <c r="X540" i="1" s="1"/>
  <c r="X541" i="1" s="1"/>
  <c r="X542" i="1" s="1"/>
  <c r="X543" i="1" s="1"/>
  <c r="X544" i="1" s="1"/>
  <c r="X545" i="1" s="1"/>
  <c r="X546" i="1" s="1"/>
  <c r="X547" i="1" s="1"/>
  <c r="X548" i="1" s="1"/>
  <c r="X549" i="1" s="1"/>
  <c r="X550" i="1" s="1"/>
  <c r="X551" i="1" s="1"/>
  <c r="X552" i="1" s="1"/>
  <c r="X553" i="1" s="1"/>
  <c r="X554" i="1" s="1"/>
  <c r="X555" i="1" s="1"/>
  <c r="X556" i="1" s="1"/>
  <c r="X557" i="1" s="1"/>
  <c r="X558" i="1" s="1"/>
  <c r="X559" i="1" s="1"/>
  <c r="X560" i="1" s="1"/>
  <c r="X561" i="1" s="1"/>
  <c r="X562" i="1" s="1"/>
  <c r="X563" i="1" s="1"/>
  <c r="X564" i="1" s="1"/>
  <c r="X565" i="1" s="1"/>
  <c r="X566" i="1" s="1"/>
  <c r="X567" i="1" s="1"/>
  <c r="X568" i="1" s="1"/>
  <c r="X569" i="1" s="1"/>
  <c r="X570" i="1" s="1"/>
  <c r="X571" i="1" s="1"/>
  <c r="X572" i="1" s="1"/>
  <c r="X573" i="1" s="1"/>
  <c r="X574" i="1" s="1"/>
  <c r="X575" i="1" s="1"/>
  <c r="X576" i="1" s="1"/>
  <c r="X577" i="1" s="1"/>
  <c r="X578" i="1" s="1"/>
  <c r="X579" i="1" s="1"/>
  <c r="X580" i="1" s="1"/>
  <c r="X581" i="1" s="1"/>
  <c r="X582" i="1" s="1"/>
  <c r="X583" i="1" s="1"/>
  <c r="X584" i="1" s="1"/>
  <c r="X585" i="1" s="1"/>
  <c r="X586" i="1" s="1"/>
  <c r="X587" i="1" s="1"/>
  <c r="X588" i="1" s="1"/>
  <c r="X589" i="1" s="1"/>
  <c r="X590" i="1" s="1"/>
  <c r="X591" i="1" s="1"/>
  <c r="X592" i="1" s="1"/>
  <c r="X593" i="1" s="1"/>
  <c r="X594" i="1" s="1"/>
  <c r="X595" i="1" s="1"/>
  <c r="X596" i="1" s="1"/>
  <c r="X597" i="1" s="1"/>
  <c r="X598" i="1" s="1"/>
  <c r="X599" i="1" s="1"/>
  <c r="X600" i="1" s="1"/>
  <c r="X601" i="1" s="1"/>
  <c r="X602" i="1" s="1"/>
  <c r="X603" i="1" s="1"/>
  <c r="X604" i="1" s="1"/>
  <c r="X605" i="1" s="1"/>
  <c r="X606" i="1" s="1"/>
  <c r="X607" i="1" s="1"/>
  <c r="X608" i="1" s="1"/>
  <c r="X609" i="1" s="1"/>
  <c r="X610" i="1" s="1"/>
  <c r="X611" i="1" s="1"/>
  <c r="X612" i="1" s="1"/>
  <c r="X613" i="1" s="1"/>
  <c r="X614" i="1" s="1"/>
  <c r="X615" i="1" s="1"/>
  <c r="X616" i="1" s="1"/>
  <c r="X617" i="1" s="1"/>
  <c r="X618" i="1" s="1"/>
  <c r="X619" i="1" s="1"/>
  <c r="X620" i="1" s="1"/>
  <c r="X621" i="1" s="1"/>
  <c r="X622" i="1" s="1"/>
  <c r="X623" i="1" s="1"/>
  <c r="X624" i="1" s="1"/>
  <c r="X625" i="1" s="1"/>
  <c r="X626" i="1" s="1"/>
  <c r="X627" i="1" s="1"/>
  <c r="X628" i="1" s="1"/>
  <c r="X629" i="1" s="1"/>
  <c r="X630" i="1" s="1"/>
  <c r="X631" i="1" s="1"/>
  <c r="X632" i="1" s="1"/>
  <c r="X633" i="1" s="1"/>
  <c r="X634" i="1" s="1"/>
  <c r="X635" i="1" s="1"/>
  <c r="X636" i="1" s="1"/>
  <c r="X637" i="1" s="1"/>
  <c r="X638" i="1" s="1"/>
  <c r="X639" i="1" s="1"/>
  <c r="X640" i="1" s="1"/>
  <c r="X641" i="1" s="1"/>
  <c r="X642" i="1" s="1"/>
  <c r="X643" i="1" s="1"/>
  <c r="X644" i="1" s="1"/>
  <c r="X645" i="1" s="1"/>
  <c r="X646" i="1" s="1"/>
  <c r="X647" i="1" s="1"/>
  <c r="X648" i="1" s="1"/>
  <c r="X649" i="1" s="1"/>
  <c r="X650" i="1" s="1"/>
  <c r="X651" i="1" s="1"/>
  <c r="X652" i="1" s="1"/>
  <c r="X653" i="1" s="1"/>
  <c r="X654" i="1" s="1"/>
  <c r="X655" i="1" s="1"/>
  <c r="X656" i="1" s="1"/>
  <c r="X657" i="1" s="1"/>
  <c r="X658" i="1" s="1"/>
  <c r="X659" i="1" s="1"/>
  <c r="X660" i="1" s="1"/>
  <c r="X661" i="1" s="1"/>
  <c r="X662" i="1" s="1"/>
  <c r="Y18" i="1"/>
  <c r="Y19" i="1" s="1"/>
  <c r="Y20" i="1" s="1"/>
  <c r="Y21" i="1" s="1"/>
  <c r="Y22" i="1" s="1"/>
  <c r="Y23" i="1" s="1"/>
  <c r="Y24" i="1" s="1"/>
  <c r="Y25" i="1" s="1"/>
  <c r="Y26" i="1" s="1"/>
  <c r="Y27" i="1" s="1"/>
  <c r="Y28" i="1" s="1"/>
  <c r="Y29" i="1" s="1"/>
  <c r="Y30" i="1" s="1"/>
  <c r="Y31" i="1" s="1"/>
  <c r="Y32" i="1" s="1"/>
  <c r="Y33" i="1" s="1"/>
  <c r="Y34" i="1" s="1"/>
  <c r="Y35" i="1" s="1"/>
  <c r="Y36" i="1" s="1"/>
  <c r="Y37" i="1" s="1"/>
  <c r="Y38" i="1" s="1"/>
  <c r="Y39" i="1" s="1"/>
  <c r="Y40" i="1" s="1"/>
  <c r="Y41" i="1" s="1"/>
  <c r="Y42" i="1" s="1"/>
  <c r="Y43" i="1" s="1"/>
  <c r="Y44" i="1" s="1"/>
  <c r="Y45" i="1" s="1"/>
  <c r="Y46" i="1" s="1"/>
  <c r="Y47" i="1" s="1"/>
  <c r="Y48" i="1" s="1"/>
  <c r="Y49" i="1" s="1"/>
  <c r="Y50" i="1" s="1"/>
  <c r="Y51" i="1" s="1"/>
  <c r="Y52" i="1" s="1"/>
  <c r="Y53" i="1" s="1"/>
  <c r="Y54" i="1" s="1"/>
  <c r="Y55" i="1" s="1"/>
  <c r="Y56" i="1" s="1"/>
  <c r="Y57" i="1" s="1"/>
  <c r="Y58" i="1" s="1"/>
  <c r="Y59" i="1" s="1"/>
  <c r="Y60" i="1" s="1"/>
  <c r="Y61" i="1" s="1"/>
  <c r="Y62" i="1" s="1"/>
  <c r="Y63" i="1" s="1"/>
  <c r="Y64" i="1" s="1"/>
  <c r="Y65" i="1" s="1"/>
  <c r="Y66" i="1" s="1"/>
  <c r="Y67" i="1" s="1"/>
  <c r="Y68" i="1" s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Y98" i="1" s="1"/>
  <c r="Y99" i="1" s="1"/>
  <c r="Y100" i="1" s="1"/>
  <c r="Y101" i="1" s="1"/>
  <c r="Y102" i="1" s="1"/>
  <c r="Y103" i="1" s="1"/>
  <c r="Y104" i="1" s="1"/>
  <c r="Y105" i="1" s="1"/>
  <c r="Y106" i="1" s="1"/>
  <c r="Y107" i="1" s="1"/>
  <c r="Y108" i="1" s="1"/>
  <c r="Y109" i="1" s="1"/>
  <c r="Y110" i="1" s="1"/>
  <c r="Y111" i="1" s="1"/>
  <c r="Y112" i="1" s="1"/>
  <c r="Y113" i="1" s="1"/>
  <c r="Y114" i="1" s="1"/>
  <c r="Y115" i="1" s="1"/>
  <c r="Y116" i="1" s="1"/>
  <c r="Y117" i="1" s="1"/>
  <c r="Y118" i="1" s="1"/>
  <c r="Y119" i="1" s="1"/>
  <c r="Y120" i="1" s="1"/>
  <c r="Y121" i="1" s="1"/>
  <c r="Y122" i="1" s="1"/>
  <c r="Y123" i="1" s="1"/>
  <c r="Y124" i="1" s="1"/>
  <c r="Y125" i="1" s="1"/>
  <c r="Y126" i="1" s="1"/>
  <c r="Y127" i="1" s="1"/>
  <c r="Y128" i="1" s="1"/>
  <c r="Y129" i="1" s="1"/>
  <c r="Y130" i="1" s="1"/>
  <c r="Y131" i="1" s="1"/>
  <c r="Y132" i="1" s="1"/>
  <c r="Y133" i="1" s="1"/>
  <c r="Y134" i="1" s="1"/>
  <c r="Y135" i="1" s="1"/>
  <c r="Y136" i="1" s="1"/>
  <c r="Y137" i="1" s="1"/>
  <c r="Y138" i="1" s="1"/>
  <c r="Y139" i="1" s="1"/>
  <c r="Y140" i="1" s="1"/>
  <c r="Y141" i="1" s="1"/>
  <c r="Y142" i="1" s="1"/>
  <c r="Y143" i="1" s="1"/>
  <c r="Y144" i="1" s="1"/>
  <c r="Y145" i="1" s="1"/>
  <c r="Y146" i="1" s="1"/>
  <c r="Y147" i="1" s="1"/>
  <c r="Y148" i="1" s="1"/>
  <c r="Y149" i="1" s="1"/>
  <c r="Y150" i="1" s="1"/>
  <c r="Y151" i="1" s="1"/>
  <c r="Y152" i="1" s="1"/>
  <c r="Y153" i="1" s="1"/>
  <c r="Y154" i="1" s="1"/>
  <c r="Y155" i="1" s="1"/>
  <c r="Y156" i="1" s="1"/>
  <c r="Y157" i="1" s="1"/>
  <c r="Y158" i="1" s="1"/>
  <c r="Y159" i="1" s="1"/>
  <c r="Y160" i="1" s="1"/>
  <c r="Y161" i="1" s="1"/>
  <c r="Y162" i="1" s="1"/>
  <c r="Y163" i="1" s="1"/>
  <c r="Y164" i="1" s="1"/>
  <c r="Y165" i="1" s="1"/>
  <c r="Y166" i="1" s="1"/>
  <c r="Y167" i="1" s="1"/>
  <c r="Y168" i="1" s="1"/>
  <c r="Y169" i="1" s="1"/>
  <c r="Y170" i="1" s="1"/>
  <c r="Y171" i="1" s="1"/>
  <c r="Y172" i="1" s="1"/>
  <c r="Y173" i="1" s="1"/>
  <c r="Y174" i="1" s="1"/>
  <c r="Y175" i="1" s="1"/>
  <c r="Y176" i="1" s="1"/>
  <c r="Y177" i="1" s="1"/>
  <c r="Y178" i="1" s="1"/>
  <c r="Y179" i="1" s="1"/>
  <c r="Y180" i="1" s="1"/>
  <c r="Y181" i="1" s="1"/>
  <c r="Y182" i="1" s="1"/>
  <c r="Y183" i="1" s="1"/>
  <c r="Y184" i="1" s="1"/>
  <c r="Y185" i="1" s="1"/>
  <c r="Y186" i="1" s="1"/>
  <c r="Y187" i="1" s="1"/>
  <c r="Y188" i="1" s="1"/>
  <c r="Y189" i="1" s="1"/>
  <c r="Y190" i="1" s="1"/>
  <c r="Y191" i="1" s="1"/>
  <c r="Y192" i="1" s="1"/>
  <c r="Y193" i="1" s="1"/>
  <c r="Y194" i="1" s="1"/>
  <c r="Y195" i="1" s="1"/>
  <c r="Y196" i="1" s="1"/>
  <c r="Y197" i="1" s="1"/>
  <c r="Y198" i="1" s="1"/>
  <c r="Y199" i="1" s="1"/>
  <c r="Y200" i="1" s="1"/>
  <c r="Y201" i="1" s="1"/>
  <c r="Y202" i="1" s="1"/>
  <c r="Y203" i="1" s="1"/>
  <c r="Y204" i="1" s="1"/>
  <c r="Y205" i="1" s="1"/>
  <c r="Y206" i="1" s="1"/>
  <c r="Y207" i="1" s="1"/>
  <c r="Y208" i="1" s="1"/>
  <c r="Y209" i="1" s="1"/>
  <c r="Y210" i="1" s="1"/>
  <c r="Y211" i="1" s="1"/>
  <c r="Y212" i="1" s="1"/>
  <c r="Y213" i="1" s="1"/>
  <c r="Y214" i="1" s="1"/>
  <c r="Y215" i="1" s="1"/>
  <c r="Y216" i="1" s="1"/>
  <c r="Y217" i="1" s="1"/>
  <c r="Y218" i="1" s="1"/>
  <c r="Y219" i="1" s="1"/>
  <c r="Y220" i="1" s="1"/>
  <c r="Y221" i="1" s="1"/>
  <c r="Y222" i="1" s="1"/>
  <c r="Y223" i="1" s="1"/>
  <c r="Y224" i="1" s="1"/>
  <c r="Y225" i="1" s="1"/>
  <c r="Y226" i="1" s="1"/>
  <c r="Y227" i="1" s="1"/>
  <c r="Y228" i="1" s="1"/>
  <c r="Y229" i="1" s="1"/>
  <c r="Y230" i="1" s="1"/>
  <c r="Y231" i="1" s="1"/>
  <c r="Y232" i="1" s="1"/>
  <c r="Y233" i="1" s="1"/>
  <c r="Y234" i="1" s="1"/>
  <c r="Y235" i="1" s="1"/>
  <c r="Y236" i="1" s="1"/>
  <c r="Y237" i="1" s="1"/>
  <c r="Y238" i="1" s="1"/>
  <c r="Y239" i="1" s="1"/>
  <c r="Y240" i="1" s="1"/>
  <c r="Y241" i="1" s="1"/>
  <c r="Y242" i="1" s="1"/>
  <c r="Y243" i="1" s="1"/>
  <c r="Y244" i="1" s="1"/>
  <c r="Y245" i="1" s="1"/>
  <c r="Y246" i="1" s="1"/>
  <c r="Y247" i="1" s="1"/>
  <c r="Y248" i="1" s="1"/>
  <c r="Y249" i="1" s="1"/>
  <c r="Y250" i="1" s="1"/>
  <c r="Y251" i="1" s="1"/>
  <c r="Y252" i="1" s="1"/>
  <c r="Y253" i="1" s="1"/>
  <c r="Y254" i="1" s="1"/>
  <c r="Y255" i="1" s="1"/>
  <c r="Y256" i="1" s="1"/>
  <c r="Y257" i="1" s="1"/>
  <c r="Y258" i="1" s="1"/>
  <c r="Y259" i="1" s="1"/>
  <c r="Y260" i="1" s="1"/>
  <c r="Y261" i="1" s="1"/>
  <c r="Y262" i="1" s="1"/>
  <c r="Y263" i="1" s="1"/>
  <c r="Y264" i="1" s="1"/>
  <c r="Y265" i="1" s="1"/>
  <c r="Y266" i="1" s="1"/>
  <c r="Y267" i="1" s="1"/>
  <c r="Y268" i="1" s="1"/>
  <c r="Y269" i="1" s="1"/>
  <c r="Y270" i="1" s="1"/>
  <c r="Y271" i="1" s="1"/>
  <c r="Y272" i="1" s="1"/>
  <c r="Y273" i="1" s="1"/>
  <c r="Y274" i="1" s="1"/>
  <c r="Y275" i="1" s="1"/>
  <c r="Y276" i="1" s="1"/>
  <c r="Y277" i="1" s="1"/>
  <c r="Y278" i="1" s="1"/>
  <c r="Y279" i="1" s="1"/>
  <c r="Y280" i="1" s="1"/>
  <c r="Y281" i="1" s="1"/>
  <c r="Y282" i="1" s="1"/>
  <c r="Y283" i="1" s="1"/>
  <c r="Y284" i="1" s="1"/>
  <c r="Y285" i="1" s="1"/>
  <c r="Y286" i="1" s="1"/>
  <c r="Y287" i="1" s="1"/>
  <c r="Y288" i="1" s="1"/>
  <c r="Y289" i="1" s="1"/>
  <c r="Y290" i="1" s="1"/>
  <c r="Y291" i="1" s="1"/>
  <c r="Y292" i="1" s="1"/>
  <c r="Y293" i="1" s="1"/>
  <c r="Y294" i="1" s="1"/>
  <c r="Y295" i="1" s="1"/>
  <c r="Y296" i="1" s="1"/>
  <c r="Y297" i="1" s="1"/>
  <c r="Y298" i="1" s="1"/>
  <c r="Y299" i="1" s="1"/>
  <c r="Y300" i="1" s="1"/>
  <c r="Y301" i="1" s="1"/>
  <c r="Y302" i="1" s="1"/>
  <c r="Y303" i="1" s="1"/>
  <c r="Y304" i="1" s="1"/>
  <c r="Y305" i="1" s="1"/>
  <c r="Y306" i="1" s="1"/>
  <c r="Y307" i="1" s="1"/>
  <c r="Y308" i="1" s="1"/>
  <c r="Y309" i="1" s="1"/>
  <c r="Y310" i="1" s="1"/>
  <c r="Y311" i="1" s="1"/>
  <c r="Y312" i="1" s="1"/>
  <c r="Y313" i="1" s="1"/>
  <c r="Y314" i="1" s="1"/>
  <c r="Y315" i="1" s="1"/>
  <c r="Y316" i="1" s="1"/>
  <c r="Y317" i="1" s="1"/>
  <c r="Y318" i="1" s="1"/>
  <c r="Y319" i="1" s="1"/>
  <c r="Y320" i="1" s="1"/>
  <c r="Y321" i="1" s="1"/>
  <c r="Y322" i="1" s="1"/>
  <c r="Y323" i="1" s="1"/>
  <c r="Y324" i="1" s="1"/>
  <c r="Y325" i="1" s="1"/>
  <c r="Y326" i="1" s="1"/>
  <c r="Y327" i="1" s="1"/>
  <c r="Y328" i="1" s="1"/>
  <c r="Y329" i="1" s="1"/>
  <c r="Y330" i="1" s="1"/>
  <c r="Y331" i="1" s="1"/>
  <c r="Y332" i="1" s="1"/>
  <c r="Y333" i="1" s="1"/>
  <c r="Y334" i="1" s="1"/>
  <c r="Y335" i="1" s="1"/>
  <c r="Y336" i="1" s="1"/>
  <c r="Y337" i="1" s="1"/>
  <c r="Y338" i="1" s="1"/>
  <c r="Y339" i="1" s="1"/>
  <c r="Y340" i="1" s="1"/>
  <c r="Y341" i="1" s="1"/>
  <c r="Y342" i="1" s="1"/>
  <c r="Y343" i="1" s="1"/>
  <c r="Y344" i="1" s="1"/>
  <c r="Y345" i="1" s="1"/>
  <c r="Y346" i="1" s="1"/>
  <c r="Y347" i="1" s="1"/>
  <c r="Y348" i="1" s="1"/>
  <c r="Y349" i="1" s="1"/>
  <c r="Y350" i="1" s="1"/>
  <c r="Y351" i="1" s="1"/>
  <c r="Y352" i="1" s="1"/>
  <c r="Y353" i="1" s="1"/>
  <c r="Y354" i="1" s="1"/>
  <c r="Y355" i="1" s="1"/>
  <c r="Y356" i="1" s="1"/>
  <c r="Y357" i="1" s="1"/>
  <c r="Y358" i="1" s="1"/>
  <c r="Y359" i="1" s="1"/>
  <c r="Y360" i="1" s="1"/>
  <c r="Y361" i="1" s="1"/>
  <c r="Y362" i="1" s="1"/>
  <c r="Y363" i="1" s="1"/>
  <c r="Y364" i="1" s="1"/>
  <c r="Y365" i="1" s="1"/>
  <c r="Y366" i="1" s="1"/>
  <c r="Y367" i="1" s="1"/>
  <c r="Y368" i="1" s="1"/>
  <c r="Y369" i="1" s="1"/>
  <c r="Y370" i="1" s="1"/>
  <c r="Y371" i="1" s="1"/>
  <c r="Y372" i="1" s="1"/>
  <c r="Y373" i="1" s="1"/>
  <c r="Y374" i="1" s="1"/>
  <c r="Y375" i="1" s="1"/>
  <c r="Y376" i="1" s="1"/>
  <c r="Y377" i="1" s="1"/>
  <c r="Y378" i="1" s="1"/>
  <c r="Y379" i="1" s="1"/>
  <c r="Y380" i="1" s="1"/>
  <c r="Y381" i="1" s="1"/>
  <c r="Y382" i="1" s="1"/>
  <c r="Y383" i="1" s="1"/>
  <c r="Y384" i="1" s="1"/>
  <c r="Y385" i="1" s="1"/>
  <c r="Y386" i="1" s="1"/>
  <c r="Y387" i="1" s="1"/>
  <c r="Y388" i="1" s="1"/>
  <c r="Y389" i="1" s="1"/>
  <c r="Y390" i="1" s="1"/>
  <c r="Y391" i="1" s="1"/>
  <c r="Y392" i="1" s="1"/>
  <c r="Y393" i="1" s="1"/>
  <c r="Y394" i="1" s="1"/>
  <c r="Y395" i="1" s="1"/>
  <c r="Y396" i="1" s="1"/>
  <c r="Y397" i="1" s="1"/>
  <c r="Y398" i="1" s="1"/>
  <c r="Y399" i="1" s="1"/>
  <c r="Y400" i="1" s="1"/>
  <c r="Y401" i="1" s="1"/>
  <c r="Y402" i="1" s="1"/>
  <c r="Y403" i="1" s="1"/>
  <c r="Y404" i="1" s="1"/>
  <c r="Y405" i="1" s="1"/>
  <c r="Y406" i="1" s="1"/>
  <c r="Y407" i="1" s="1"/>
  <c r="Y408" i="1" s="1"/>
  <c r="Y409" i="1" s="1"/>
  <c r="Y410" i="1" s="1"/>
  <c r="Y411" i="1" s="1"/>
  <c r="Y412" i="1" s="1"/>
  <c r="Y413" i="1" s="1"/>
  <c r="Y414" i="1" s="1"/>
  <c r="Y415" i="1" s="1"/>
  <c r="Y416" i="1" s="1"/>
  <c r="Y417" i="1" s="1"/>
  <c r="Y418" i="1" s="1"/>
  <c r="Y419" i="1" s="1"/>
  <c r="Y420" i="1" s="1"/>
  <c r="Y421" i="1" s="1"/>
  <c r="Y422" i="1" s="1"/>
  <c r="Y423" i="1" s="1"/>
  <c r="Y424" i="1" s="1"/>
  <c r="Y425" i="1" s="1"/>
  <c r="Y426" i="1" s="1"/>
  <c r="Y427" i="1" s="1"/>
  <c r="Y428" i="1" s="1"/>
  <c r="Y429" i="1" s="1"/>
  <c r="Y430" i="1" s="1"/>
  <c r="Y431" i="1" s="1"/>
  <c r="Y432" i="1" s="1"/>
  <c r="Y433" i="1" s="1"/>
  <c r="Y434" i="1" s="1"/>
  <c r="Y435" i="1" s="1"/>
  <c r="Y436" i="1" s="1"/>
  <c r="Y437" i="1" s="1"/>
  <c r="Y438" i="1" s="1"/>
  <c r="Y439" i="1" s="1"/>
  <c r="Y440" i="1" s="1"/>
  <c r="Y441" i="1" s="1"/>
  <c r="Y442" i="1" s="1"/>
  <c r="Y443" i="1" s="1"/>
  <c r="Y444" i="1" s="1"/>
  <c r="Y445" i="1" s="1"/>
  <c r="Y446" i="1" s="1"/>
  <c r="Y447" i="1" s="1"/>
  <c r="Y448" i="1" s="1"/>
  <c r="Y449" i="1" s="1"/>
  <c r="Y450" i="1" s="1"/>
  <c r="Y451" i="1" s="1"/>
  <c r="Y452" i="1" s="1"/>
  <c r="Y453" i="1" s="1"/>
  <c r="Y454" i="1" s="1"/>
  <c r="Y455" i="1" s="1"/>
  <c r="Y456" i="1" s="1"/>
  <c r="Y457" i="1" s="1"/>
  <c r="Y458" i="1" s="1"/>
  <c r="Y459" i="1" s="1"/>
  <c r="Y460" i="1" s="1"/>
  <c r="Y461" i="1" s="1"/>
  <c r="Y462" i="1" s="1"/>
  <c r="Y463" i="1" s="1"/>
  <c r="Y464" i="1" s="1"/>
  <c r="Y465" i="1" s="1"/>
  <c r="Y466" i="1" s="1"/>
  <c r="Y467" i="1" s="1"/>
  <c r="Y468" i="1" s="1"/>
  <c r="Y469" i="1" s="1"/>
  <c r="Y470" i="1" s="1"/>
  <c r="Y471" i="1" s="1"/>
  <c r="Y472" i="1" s="1"/>
  <c r="Y473" i="1" s="1"/>
  <c r="Y474" i="1" s="1"/>
  <c r="Y475" i="1" s="1"/>
  <c r="Y476" i="1" s="1"/>
  <c r="Y477" i="1" s="1"/>
  <c r="Y478" i="1" s="1"/>
  <c r="Y479" i="1" s="1"/>
  <c r="Y480" i="1" s="1"/>
  <c r="Y481" i="1" s="1"/>
  <c r="Y482" i="1" s="1"/>
  <c r="Y483" i="1" s="1"/>
  <c r="Y484" i="1" s="1"/>
  <c r="Y485" i="1" s="1"/>
  <c r="Y486" i="1" s="1"/>
  <c r="Y487" i="1" s="1"/>
  <c r="Y488" i="1" s="1"/>
  <c r="Y489" i="1" s="1"/>
  <c r="Y490" i="1" s="1"/>
  <c r="Y491" i="1" s="1"/>
  <c r="Y492" i="1" s="1"/>
  <c r="Y493" i="1" s="1"/>
  <c r="Y494" i="1" s="1"/>
  <c r="Y495" i="1" s="1"/>
  <c r="Y496" i="1" s="1"/>
  <c r="Y497" i="1" s="1"/>
  <c r="Y498" i="1" s="1"/>
  <c r="Y499" i="1" s="1"/>
  <c r="Y500" i="1" s="1"/>
  <c r="Y501" i="1" s="1"/>
  <c r="Y502" i="1" s="1"/>
  <c r="Y503" i="1" s="1"/>
  <c r="Y504" i="1" s="1"/>
  <c r="Y505" i="1" s="1"/>
  <c r="Y506" i="1" s="1"/>
  <c r="Y507" i="1" s="1"/>
  <c r="Y508" i="1" s="1"/>
  <c r="Y509" i="1" s="1"/>
  <c r="Y510" i="1" s="1"/>
  <c r="Y511" i="1" s="1"/>
  <c r="Y512" i="1" s="1"/>
  <c r="Y513" i="1" s="1"/>
  <c r="Y514" i="1" s="1"/>
  <c r="Y515" i="1" s="1"/>
  <c r="Y516" i="1" s="1"/>
  <c r="Y517" i="1" s="1"/>
  <c r="Y518" i="1" s="1"/>
  <c r="Y519" i="1" s="1"/>
  <c r="Y520" i="1" s="1"/>
  <c r="Y521" i="1" s="1"/>
  <c r="Y522" i="1" s="1"/>
  <c r="Y523" i="1" s="1"/>
  <c r="Y524" i="1" s="1"/>
  <c r="Y525" i="1" s="1"/>
  <c r="Y526" i="1" s="1"/>
  <c r="Y527" i="1" s="1"/>
  <c r="Y528" i="1" s="1"/>
  <c r="Y529" i="1" s="1"/>
  <c r="Y530" i="1" s="1"/>
  <c r="Y531" i="1" s="1"/>
  <c r="Y532" i="1" s="1"/>
  <c r="Y533" i="1" s="1"/>
  <c r="Y534" i="1" s="1"/>
  <c r="Y535" i="1" s="1"/>
  <c r="Y536" i="1" s="1"/>
  <c r="Y537" i="1" s="1"/>
  <c r="Y538" i="1" s="1"/>
  <c r="Y539" i="1" s="1"/>
  <c r="Y540" i="1" s="1"/>
  <c r="Y541" i="1" s="1"/>
  <c r="Y542" i="1" s="1"/>
  <c r="Y543" i="1" s="1"/>
  <c r="Y544" i="1" s="1"/>
  <c r="Y545" i="1" s="1"/>
  <c r="Y546" i="1" s="1"/>
  <c r="Y547" i="1" s="1"/>
  <c r="Y548" i="1" s="1"/>
  <c r="Y549" i="1" s="1"/>
  <c r="Y550" i="1" s="1"/>
  <c r="Y551" i="1" s="1"/>
  <c r="Y552" i="1" s="1"/>
  <c r="Y553" i="1" s="1"/>
  <c r="Y554" i="1" s="1"/>
  <c r="Y555" i="1" s="1"/>
  <c r="Y556" i="1" s="1"/>
  <c r="Y557" i="1" s="1"/>
  <c r="Y558" i="1" s="1"/>
  <c r="Y559" i="1" s="1"/>
  <c r="Y560" i="1" s="1"/>
  <c r="Y561" i="1" s="1"/>
  <c r="Y562" i="1" s="1"/>
  <c r="Y563" i="1" s="1"/>
  <c r="Y564" i="1" s="1"/>
  <c r="Y565" i="1" s="1"/>
  <c r="Y566" i="1" s="1"/>
  <c r="Y567" i="1" s="1"/>
  <c r="Y568" i="1" s="1"/>
  <c r="Y569" i="1" s="1"/>
  <c r="Y570" i="1" s="1"/>
  <c r="Y571" i="1" s="1"/>
  <c r="Y572" i="1" s="1"/>
  <c r="Y573" i="1" s="1"/>
  <c r="Y574" i="1" s="1"/>
  <c r="Y575" i="1" s="1"/>
  <c r="Y576" i="1" s="1"/>
  <c r="Y577" i="1" s="1"/>
  <c r="Y578" i="1" s="1"/>
  <c r="Y579" i="1" s="1"/>
  <c r="Y580" i="1" s="1"/>
  <c r="Y581" i="1" s="1"/>
  <c r="Y582" i="1" s="1"/>
  <c r="Y583" i="1" s="1"/>
  <c r="Y584" i="1" s="1"/>
  <c r="Y585" i="1" s="1"/>
  <c r="Y586" i="1" s="1"/>
  <c r="Y587" i="1" s="1"/>
  <c r="Y588" i="1" s="1"/>
  <c r="Y589" i="1" s="1"/>
  <c r="Y590" i="1" s="1"/>
  <c r="Y591" i="1" s="1"/>
  <c r="Y592" i="1" s="1"/>
  <c r="Y593" i="1" s="1"/>
  <c r="Y594" i="1" s="1"/>
  <c r="Y595" i="1" s="1"/>
  <c r="Y596" i="1" s="1"/>
  <c r="Y597" i="1" s="1"/>
  <c r="Y598" i="1" s="1"/>
  <c r="Y599" i="1" s="1"/>
  <c r="Y600" i="1" s="1"/>
  <c r="Y601" i="1" s="1"/>
  <c r="Y602" i="1" s="1"/>
  <c r="Y603" i="1" s="1"/>
  <c r="Y604" i="1" s="1"/>
  <c r="Y605" i="1" s="1"/>
  <c r="Y606" i="1" s="1"/>
  <c r="Y607" i="1" s="1"/>
  <c r="Y608" i="1" s="1"/>
  <c r="Y609" i="1" s="1"/>
  <c r="Y610" i="1" s="1"/>
  <c r="Y611" i="1" s="1"/>
  <c r="Y612" i="1" s="1"/>
  <c r="Y613" i="1" s="1"/>
  <c r="Y614" i="1" s="1"/>
  <c r="Y615" i="1" s="1"/>
  <c r="Y616" i="1" s="1"/>
  <c r="Y617" i="1" s="1"/>
  <c r="Y618" i="1" s="1"/>
  <c r="Y619" i="1" s="1"/>
  <c r="Y620" i="1" s="1"/>
  <c r="Y621" i="1" s="1"/>
  <c r="Y622" i="1" s="1"/>
  <c r="Y623" i="1" s="1"/>
  <c r="Y624" i="1" s="1"/>
  <c r="Y625" i="1" s="1"/>
  <c r="Y626" i="1" s="1"/>
  <c r="Y627" i="1" s="1"/>
  <c r="Y628" i="1" s="1"/>
  <c r="Y629" i="1" s="1"/>
  <c r="Y630" i="1" s="1"/>
  <c r="Y631" i="1" s="1"/>
  <c r="Y632" i="1" s="1"/>
  <c r="Y633" i="1" s="1"/>
  <c r="Y634" i="1" s="1"/>
  <c r="Y635" i="1" s="1"/>
  <c r="Y636" i="1" s="1"/>
  <c r="Y637" i="1" s="1"/>
  <c r="Y638" i="1" s="1"/>
  <c r="Y639" i="1" s="1"/>
  <c r="Y640" i="1" s="1"/>
  <c r="Y641" i="1" s="1"/>
  <c r="Y642" i="1" s="1"/>
  <c r="Y643" i="1" s="1"/>
  <c r="Y644" i="1" s="1"/>
  <c r="Y645" i="1" s="1"/>
  <c r="Y646" i="1" s="1"/>
  <c r="Y647" i="1" s="1"/>
  <c r="Y648" i="1" s="1"/>
  <c r="Y649" i="1" s="1"/>
  <c r="Y650" i="1" s="1"/>
  <c r="Y651" i="1" s="1"/>
  <c r="Y652" i="1" s="1"/>
  <c r="Y653" i="1" s="1"/>
  <c r="Y654" i="1" s="1"/>
  <c r="Y655" i="1" s="1"/>
  <c r="Y656" i="1" s="1"/>
  <c r="Y657" i="1" s="1"/>
  <c r="Y658" i="1" s="1"/>
  <c r="Y659" i="1" s="1"/>
  <c r="Y660" i="1" s="1"/>
  <c r="Y661" i="1" s="1"/>
  <c r="Y662" i="1" s="1"/>
  <c r="F43" i="1"/>
  <c r="G43" i="1" s="1"/>
  <c r="F41" i="1"/>
  <c r="G41" i="1" s="1"/>
  <c r="F42" i="1"/>
  <c r="G42" i="1" s="1"/>
  <c r="W3" i="3"/>
  <c r="F35" i="1"/>
  <c r="H35" i="1" s="1"/>
  <c r="F32" i="1"/>
  <c r="G32" i="1" s="1"/>
  <c r="AC648" i="1"/>
  <c r="U648" i="1"/>
  <c r="T648" i="1"/>
  <c r="AB648" i="1"/>
  <c r="V648" i="1"/>
  <c r="AB519" i="1"/>
  <c r="T519" i="1"/>
  <c r="U519" i="1"/>
  <c r="V519" i="1"/>
  <c r="AC519" i="1"/>
  <c r="T462" i="1"/>
  <c r="U462" i="1"/>
  <c r="V462" i="1"/>
  <c r="AB462" i="1"/>
  <c r="AC462" i="1"/>
  <c r="AB533" i="1"/>
  <c r="T533" i="1"/>
  <c r="U533" i="1"/>
  <c r="AC533" i="1"/>
  <c r="V533" i="1"/>
  <c r="AB572" i="1"/>
  <c r="AC572" i="1"/>
  <c r="U572" i="1"/>
  <c r="V572" i="1"/>
  <c r="T572" i="1"/>
  <c r="AB577" i="1"/>
  <c r="AC577" i="1"/>
  <c r="U577" i="1"/>
  <c r="V577" i="1"/>
  <c r="T577" i="1"/>
  <c r="AB497" i="1"/>
  <c r="T497" i="1"/>
  <c r="AC497" i="1"/>
  <c r="V497" i="1"/>
  <c r="U497" i="1"/>
  <c r="AC617" i="1"/>
  <c r="U617" i="1"/>
  <c r="T617" i="1"/>
  <c r="V617" i="1"/>
  <c r="AB617" i="1"/>
  <c r="AC640" i="1"/>
  <c r="AB640" i="1"/>
  <c r="T640" i="1"/>
  <c r="U640" i="1"/>
  <c r="V640" i="1"/>
  <c r="AB576" i="1"/>
  <c r="AC576" i="1"/>
  <c r="U576" i="1"/>
  <c r="V576" i="1"/>
  <c r="T576" i="1"/>
  <c r="AB512" i="1"/>
  <c r="T512" i="1"/>
  <c r="V512" i="1"/>
  <c r="AC512" i="1"/>
  <c r="U512" i="1"/>
  <c r="T448" i="1"/>
  <c r="U448" i="1"/>
  <c r="V448" i="1"/>
  <c r="AB448" i="1"/>
  <c r="AC448" i="1"/>
  <c r="AC639" i="1"/>
  <c r="U639" i="1"/>
  <c r="AB639" i="1"/>
  <c r="T639" i="1"/>
  <c r="V639" i="1"/>
  <c r="AB575" i="1"/>
  <c r="AC575" i="1"/>
  <c r="U575" i="1"/>
  <c r="V575" i="1"/>
  <c r="T575" i="1"/>
  <c r="AB511" i="1"/>
  <c r="T511" i="1"/>
  <c r="U511" i="1"/>
  <c r="V511" i="1"/>
  <c r="AC511" i="1"/>
  <c r="T447" i="1"/>
  <c r="U447" i="1"/>
  <c r="V447" i="1"/>
  <c r="AB447" i="1"/>
  <c r="AC447" i="1"/>
  <c r="AC646" i="1"/>
  <c r="U646" i="1"/>
  <c r="T646" i="1"/>
  <c r="V646" i="1"/>
  <c r="AB646" i="1"/>
  <c r="AB582" i="1"/>
  <c r="AC582" i="1"/>
  <c r="U582" i="1"/>
  <c r="V582" i="1"/>
  <c r="T582" i="1"/>
  <c r="AB518" i="1"/>
  <c r="T518" i="1"/>
  <c r="U518" i="1"/>
  <c r="AC518" i="1"/>
  <c r="V518" i="1"/>
  <c r="T454" i="1"/>
  <c r="U454" i="1"/>
  <c r="V454" i="1"/>
  <c r="AB454" i="1"/>
  <c r="AC454" i="1"/>
  <c r="AB653" i="1"/>
  <c r="AC653" i="1"/>
  <c r="U653" i="1"/>
  <c r="T653" i="1"/>
  <c r="V653" i="1"/>
  <c r="AB589" i="1"/>
  <c r="AC589" i="1"/>
  <c r="U589" i="1"/>
  <c r="V589" i="1"/>
  <c r="T589" i="1"/>
  <c r="AB525" i="1"/>
  <c r="T525" i="1"/>
  <c r="U525" i="1"/>
  <c r="AC525" i="1"/>
  <c r="V525" i="1"/>
  <c r="T461" i="1"/>
  <c r="U461" i="1"/>
  <c r="V461" i="1"/>
  <c r="AB461" i="1"/>
  <c r="AC461" i="1"/>
  <c r="T397" i="1"/>
  <c r="U397" i="1"/>
  <c r="V397" i="1"/>
  <c r="AB397" i="1"/>
  <c r="AC397" i="1"/>
  <c r="AC628" i="1"/>
  <c r="U628" i="1"/>
  <c r="T628" i="1"/>
  <c r="AB628" i="1"/>
  <c r="V628" i="1"/>
  <c r="AB564" i="1"/>
  <c r="AC564" i="1"/>
  <c r="U564" i="1"/>
  <c r="V564" i="1"/>
  <c r="T564" i="1"/>
  <c r="AB500" i="1"/>
  <c r="T500" i="1"/>
  <c r="V500" i="1"/>
  <c r="AC500" i="1"/>
  <c r="U500" i="1"/>
  <c r="T436" i="1"/>
  <c r="U436" i="1"/>
  <c r="V436" i="1"/>
  <c r="AB436" i="1"/>
  <c r="AC436" i="1"/>
  <c r="AC635" i="1"/>
  <c r="T635" i="1"/>
  <c r="U635" i="1"/>
  <c r="V635" i="1"/>
  <c r="AB635" i="1"/>
  <c r="AB571" i="1"/>
  <c r="AC571" i="1"/>
  <c r="U571" i="1"/>
  <c r="V571" i="1"/>
  <c r="T571" i="1"/>
  <c r="AB507" i="1"/>
  <c r="T507" i="1"/>
  <c r="U507" i="1"/>
  <c r="V507" i="1"/>
  <c r="AC507" i="1"/>
  <c r="T443" i="1"/>
  <c r="U443" i="1"/>
  <c r="V443" i="1"/>
  <c r="AB443" i="1"/>
  <c r="AC443" i="1"/>
  <c r="AC642" i="1"/>
  <c r="U642" i="1"/>
  <c r="T642" i="1"/>
  <c r="V642" i="1"/>
  <c r="AB642" i="1"/>
  <c r="AB578" i="1"/>
  <c r="AC578" i="1"/>
  <c r="U578" i="1"/>
  <c r="V578" i="1"/>
  <c r="T578" i="1"/>
  <c r="AB514" i="1"/>
  <c r="T514" i="1"/>
  <c r="U514" i="1"/>
  <c r="V514" i="1"/>
  <c r="AC514" i="1"/>
  <c r="T450" i="1"/>
  <c r="U450" i="1"/>
  <c r="V450" i="1"/>
  <c r="AB450" i="1"/>
  <c r="AC450" i="1"/>
  <c r="T473" i="1"/>
  <c r="U473" i="1"/>
  <c r="V473" i="1"/>
  <c r="AB473" i="1"/>
  <c r="AC473" i="1"/>
  <c r="AB520" i="1"/>
  <c r="T520" i="1"/>
  <c r="V520" i="1"/>
  <c r="AC520" i="1"/>
  <c r="U520" i="1"/>
  <c r="T455" i="1"/>
  <c r="U455" i="1"/>
  <c r="V455" i="1"/>
  <c r="AB455" i="1"/>
  <c r="AC455" i="1"/>
  <c r="T405" i="1"/>
  <c r="U405" i="1"/>
  <c r="V405" i="1"/>
  <c r="AB405" i="1"/>
  <c r="AC405" i="1"/>
  <c r="AB508" i="1"/>
  <c r="T508" i="1"/>
  <c r="V508" i="1"/>
  <c r="AC508" i="1"/>
  <c r="U508" i="1"/>
  <c r="AB593" i="1"/>
  <c r="AC593" i="1"/>
  <c r="U593" i="1"/>
  <c r="V593" i="1"/>
  <c r="T593" i="1"/>
  <c r="T449" i="1"/>
  <c r="U449" i="1"/>
  <c r="V449" i="1"/>
  <c r="AB449" i="1"/>
  <c r="AC449" i="1"/>
  <c r="T433" i="1"/>
  <c r="U433" i="1"/>
  <c r="V433" i="1"/>
  <c r="AB433" i="1"/>
  <c r="AC433" i="1"/>
  <c r="AB529" i="1"/>
  <c r="T529" i="1"/>
  <c r="AC529" i="1"/>
  <c r="V529" i="1"/>
  <c r="U529" i="1"/>
  <c r="AB553" i="1"/>
  <c r="T553" i="1"/>
  <c r="AC553" i="1"/>
  <c r="U553" i="1"/>
  <c r="V553" i="1"/>
  <c r="T409" i="1"/>
  <c r="U409" i="1"/>
  <c r="V409" i="1"/>
  <c r="AB409" i="1"/>
  <c r="AC409" i="1"/>
  <c r="AB609" i="1"/>
  <c r="AC609" i="1"/>
  <c r="U609" i="1"/>
  <c r="T609" i="1"/>
  <c r="V609" i="1"/>
  <c r="AC632" i="1"/>
  <c r="U632" i="1"/>
  <c r="T632" i="1"/>
  <c r="V632" i="1"/>
  <c r="AB632" i="1"/>
  <c r="AB568" i="1"/>
  <c r="AC568" i="1"/>
  <c r="U568" i="1"/>
  <c r="V568" i="1"/>
  <c r="T568" i="1"/>
  <c r="AB504" i="1"/>
  <c r="T504" i="1"/>
  <c r="V504" i="1"/>
  <c r="AC504" i="1"/>
  <c r="U504" i="1"/>
  <c r="T440" i="1"/>
  <c r="U440" i="1"/>
  <c r="V440" i="1"/>
  <c r="AB440" i="1"/>
  <c r="AC440" i="1"/>
  <c r="AB631" i="1"/>
  <c r="AC631" i="1"/>
  <c r="U631" i="1"/>
  <c r="T631" i="1"/>
  <c r="V631" i="1"/>
  <c r="AB567" i="1"/>
  <c r="AC567" i="1"/>
  <c r="U567" i="1"/>
  <c r="V567" i="1"/>
  <c r="T567" i="1"/>
  <c r="AB503" i="1"/>
  <c r="T503" i="1"/>
  <c r="U503" i="1"/>
  <c r="V503" i="1"/>
  <c r="AC503" i="1"/>
  <c r="T439" i="1"/>
  <c r="U439" i="1"/>
  <c r="V439" i="1"/>
  <c r="AB439" i="1"/>
  <c r="AC439" i="1"/>
  <c r="AB638" i="1"/>
  <c r="AC638" i="1"/>
  <c r="T638" i="1"/>
  <c r="U638" i="1"/>
  <c r="V638" i="1"/>
  <c r="AB574" i="1"/>
  <c r="AC574" i="1"/>
  <c r="U574" i="1"/>
  <c r="V574" i="1"/>
  <c r="T574" i="1"/>
  <c r="AB510" i="1"/>
  <c r="T510" i="1"/>
  <c r="U510" i="1"/>
  <c r="AC510" i="1"/>
  <c r="V510" i="1"/>
  <c r="T446" i="1"/>
  <c r="U446" i="1"/>
  <c r="V446" i="1"/>
  <c r="AB446" i="1"/>
  <c r="AC446" i="1"/>
  <c r="AC645" i="1"/>
  <c r="U645" i="1"/>
  <c r="T645" i="1"/>
  <c r="V645" i="1"/>
  <c r="AB645" i="1"/>
  <c r="AB581" i="1"/>
  <c r="AC581" i="1"/>
  <c r="U581" i="1"/>
  <c r="V581" i="1"/>
  <c r="T581" i="1"/>
  <c r="AB517" i="1"/>
  <c r="T517" i="1"/>
  <c r="U517" i="1"/>
  <c r="AC517" i="1"/>
  <c r="V517" i="1"/>
  <c r="T453" i="1"/>
  <c r="U453" i="1"/>
  <c r="V453" i="1"/>
  <c r="AB453" i="1"/>
  <c r="AC453" i="1"/>
  <c r="AB620" i="1"/>
  <c r="AC620" i="1"/>
  <c r="T620" i="1"/>
  <c r="U620" i="1"/>
  <c r="V620" i="1"/>
  <c r="AB556" i="1"/>
  <c r="AC556" i="1"/>
  <c r="U556" i="1"/>
  <c r="V556" i="1"/>
  <c r="T556" i="1"/>
  <c r="AB492" i="1"/>
  <c r="T492" i="1"/>
  <c r="V492" i="1"/>
  <c r="AC492" i="1"/>
  <c r="U492" i="1"/>
  <c r="T428" i="1"/>
  <c r="U428" i="1"/>
  <c r="V428" i="1"/>
  <c r="AB428" i="1"/>
  <c r="AC428" i="1"/>
  <c r="AB627" i="1"/>
  <c r="AC627" i="1"/>
  <c r="U627" i="1"/>
  <c r="T627" i="1"/>
  <c r="V627" i="1"/>
  <c r="AB563" i="1"/>
  <c r="AC563" i="1"/>
  <c r="U563" i="1"/>
  <c r="V563" i="1"/>
  <c r="T563" i="1"/>
  <c r="AB499" i="1"/>
  <c r="T499" i="1"/>
  <c r="U499" i="1"/>
  <c r="V499" i="1"/>
  <c r="AC499" i="1"/>
  <c r="T435" i="1"/>
  <c r="U435" i="1"/>
  <c r="V435" i="1"/>
  <c r="AB435" i="1"/>
  <c r="AC435" i="1"/>
  <c r="AC634" i="1"/>
  <c r="U634" i="1"/>
  <c r="T634" i="1"/>
  <c r="AB634" i="1"/>
  <c r="V634" i="1"/>
  <c r="AB570" i="1"/>
  <c r="AC570" i="1"/>
  <c r="U570" i="1"/>
  <c r="V570" i="1"/>
  <c r="T570" i="1"/>
  <c r="AB506" i="1"/>
  <c r="T506" i="1"/>
  <c r="U506" i="1"/>
  <c r="V506" i="1"/>
  <c r="AC506" i="1"/>
  <c r="T442" i="1"/>
  <c r="U442" i="1"/>
  <c r="V442" i="1"/>
  <c r="AB442" i="1"/>
  <c r="AC442" i="1"/>
  <c r="AB583" i="1"/>
  <c r="AC583" i="1"/>
  <c r="U583" i="1"/>
  <c r="V583" i="1"/>
  <c r="T583" i="1"/>
  <c r="T398" i="1"/>
  <c r="U398" i="1"/>
  <c r="V398" i="1"/>
  <c r="AB398" i="1"/>
  <c r="AC398" i="1"/>
  <c r="T469" i="1"/>
  <c r="U469" i="1"/>
  <c r="V469" i="1"/>
  <c r="AB469" i="1"/>
  <c r="AC469" i="1"/>
  <c r="AC636" i="1"/>
  <c r="U636" i="1"/>
  <c r="T636" i="1"/>
  <c r="V636" i="1"/>
  <c r="AB636" i="1"/>
  <c r="T444" i="1"/>
  <c r="U444" i="1"/>
  <c r="V444" i="1"/>
  <c r="AB444" i="1"/>
  <c r="AC444" i="1"/>
  <c r="AC643" i="1"/>
  <c r="U643" i="1"/>
  <c r="T643" i="1"/>
  <c r="AB643" i="1"/>
  <c r="V643" i="1"/>
  <c r="AB579" i="1"/>
  <c r="AC579" i="1"/>
  <c r="U579" i="1"/>
  <c r="V579" i="1"/>
  <c r="T579" i="1"/>
  <c r="AB515" i="1"/>
  <c r="T515" i="1"/>
  <c r="U515" i="1"/>
  <c r="V515" i="1"/>
  <c r="AC515" i="1"/>
  <c r="T451" i="1"/>
  <c r="U451" i="1"/>
  <c r="V451" i="1"/>
  <c r="AB451" i="1"/>
  <c r="AC451" i="1"/>
  <c r="AC650" i="1"/>
  <c r="U650" i="1"/>
  <c r="T650" i="1"/>
  <c r="V650" i="1"/>
  <c r="AB650" i="1"/>
  <c r="AB586" i="1"/>
  <c r="AC586" i="1"/>
  <c r="U586" i="1"/>
  <c r="V586" i="1"/>
  <c r="T586" i="1"/>
  <c r="AB522" i="1"/>
  <c r="T522" i="1"/>
  <c r="U522" i="1"/>
  <c r="V522" i="1"/>
  <c r="AC522" i="1"/>
  <c r="T401" i="1"/>
  <c r="U401" i="1"/>
  <c r="V401" i="1"/>
  <c r="AB401" i="1"/>
  <c r="AC401" i="1"/>
  <c r="AB489" i="1"/>
  <c r="T489" i="1"/>
  <c r="AC489" i="1"/>
  <c r="V489" i="1"/>
  <c r="U489" i="1"/>
  <c r="AB545" i="1"/>
  <c r="T545" i="1"/>
  <c r="AC545" i="1"/>
  <c r="U545" i="1"/>
  <c r="V545" i="1"/>
  <c r="AB624" i="1"/>
  <c r="AC624" i="1"/>
  <c r="T624" i="1"/>
  <c r="U624" i="1"/>
  <c r="V624" i="1"/>
  <c r="AB560" i="1"/>
  <c r="AC560" i="1"/>
  <c r="U560" i="1"/>
  <c r="V560" i="1"/>
  <c r="T560" i="1"/>
  <c r="AB496" i="1"/>
  <c r="T496" i="1"/>
  <c r="V496" i="1"/>
  <c r="AC496" i="1"/>
  <c r="U496" i="1"/>
  <c r="T432" i="1"/>
  <c r="U432" i="1"/>
  <c r="V432" i="1"/>
  <c r="AB432" i="1"/>
  <c r="AC432" i="1"/>
  <c r="AB623" i="1"/>
  <c r="AC623" i="1"/>
  <c r="U623" i="1"/>
  <c r="T623" i="1"/>
  <c r="V623" i="1"/>
  <c r="AB559" i="1"/>
  <c r="AC559" i="1"/>
  <c r="U559" i="1"/>
  <c r="V559" i="1"/>
  <c r="T559" i="1"/>
  <c r="AB495" i="1"/>
  <c r="T495" i="1"/>
  <c r="U495" i="1"/>
  <c r="V495" i="1"/>
  <c r="AC495" i="1"/>
  <c r="T431" i="1"/>
  <c r="U431" i="1"/>
  <c r="V431" i="1"/>
  <c r="AB431" i="1"/>
  <c r="AC431" i="1"/>
  <c r="AC630" i="1"/>
  <c r="AB630" i="1"/>
  <c r="T630" i="1"/>
  <c r="U630" i="1"/>
  <c r="V630" i="1"/>
  <c r="AB566" i="1"/>
  <c r="AC566" i="1"/>
  <c r="U566" i="1"/>
  <c r="V566" i="1"/>
  <c r="T566" i="1"/>
  <c r="AB502" i="1"/>
  <c r="T502" i="1"/>
  <c r="U502" i="1"/>
  <c r="V502" i="1"/>
  <c r="AC502" i="1"/>
  <c r="T438" i="1"/>
  <c r="U438" i="1"/>
  <c r="V438" i="1"/>
  <c r="AB438" i="1"/>
  <c r="AC438" i="1"/>
  <c r="AC637" i="1"/>
  <c r="U637" i="1"/>
  <c r="T637" i="1"/>
  <c r="AB637" i="1"/>
  <c r="V637" i="1"/>
  <c r="AB573" i="1"/>
  <c r="AC573" i="1"/>
  <c r="U573" i="1"/>
  <c r="V573" i="1"/>
  <c r="T573" i="1"/>
  <c r="AB509" i="1"/>
  <c r="T509" i="1"/>
  <c r="U509" i="1"/>
  <c r="AC509" i="1"/>
  <c r="V509" i="1"/>
  <c r="T445" i="1"/>
  <c r="U445" i="1"/>
  <c r="V445" i="1"/>
  <c r="AB445" i="1"/>
  <c r="AC445" i="1"/>
  <c r="AC612" i="1"/>
  <c r="U612" i="1"/>
  <c r="AB612" i="1"/>
  <c r="T612" i="1"/>
  <c r="V612" i="1"/>
  <c r="AB548" i="1"/>
  <c r="T548" i="1"/>
  <c r="V548" i="1"/>
  <c r="AC548" i="1"/>
  <c r="U548" i="1"/>
  <c r="AB484" i="1"/>
  <c r="T484" i="1"/>
  <c r="V484" i="1"/>
  <c r="AC484" i="1"/>
  <c r="U484" i="1"/>
  <c r="T420" i="1"/>
  <c r="U420" i="1"/>
  <c r="V420" i="1"/>
  <c r="AB420" i="1"/>
  <c r="AC420" i="1"/>
  <c r="AB619" i="1"/>
  <c r="AC619" i="1"/>
  <c r="U619" i="1"/>
  <c r="T619" i="1"/>
  <c r="V619" i="1"/>
  <c r="T555" i="1"/>
  <c r="AB555" i="1"/>
  <c r="AC555" i="1"/>
  <c r="U555" i="1"/>
  <c r="V555" i="1"/>
  <c r="AB491" i="1"/>
  <c r="T491" i="1"/>
  <c r="U491" i="1"/>
  <c r="V491" i="1"/>
  <c r="AC491" i="1"/>
  <c r="T427" i="1"/>
  <c r="U427" i="1"/>
  <c r="V427" i="1"/>
  <c r="AB427" i="1"/>
  <c r="AC427" i="1"/>
  <c r="AC626" i="1"/>
  <c r="U626" i="1"/>
  <c r="T626" i="1"/>
  <c r="V626" i="1"/>
  <c r="AB626" i="1"/>
  <c r="AB562" i="1"/>
  <c r="AC562" i="1"/>
  <c r="U562" i="1"/>
  <c r="V562" i="1"/>
  <c r="T562" i="1"/>
  <c r="AB498" i="1"/>
  <c r="T498" i="1"/>
  <c r="U498" i="1"/>
  <c r="V498" i="1"/>
  <c r="AC498" i="1"/>
  <c r="T434" i="1"/>
  <c r="U434" i="1"/>
  <c r="V434" i="1"/>
  <c r="AB434" i="1"/>
  <c r="AC434" i="1"/>
  <c r="T456" i="1"/>
  <c r="U456" i="1"/>
  <c r="V456" i="1"/>
  <c r="AB456" i="1"/>
  <c r="AC456" i="1"/>
  <c r="AB526" i="1"/>
  <c r="T526" i="1"/>
  <c r="U526" i="1"/>
  <c r="V526" i="1"/>
  <c r="AC526" i="1"/>
  <c r="AC661" i="1"/>
  <c r="U661" i="1"/>
  <c r="T661" i="1"/>
  <c r="AB661" i="1"/>
  <c r="V661" i="1"/>
  <c r="AC649" i="1"/>
  <c r="U649" i="1"/>
  <c r="AB649" i="1"/>
  <c r="T649" i="1"/>
  <c r="V649" i="1"/>
  <c r="AB505" i="1"/>
  <c r="T505" i="1"/>
  <c r="AC505" i="1"/>
  <c r="U505" i="1"/>
  <c r="V505" i="1"/>
  <c r="T425" i="1"/>
  <c r="U425" i="1"/>
  <c r="V425" i="1"/>
  <c r="AB425" i="1"/>
  <c r="AC425" i="1"/>
  <c r="AC657" i="1"/>
  <c r="AB657" i="1"/>
  <c r="U657" i="1"/>
  <c r="T657" i="1"/>
  <c r="V657" i="1"/>
  <c r="AB481" i="1"/>
  <c r="T481" i="1"/>
  <c r="AC481" i="1"/>
  <c r="U481" i="1"/>
  <c r="V481" i="1"/>
  <c r="AC616" i="1"/>
  <c r="U616" i="1"/>
  <c r="T616" i="1"/>
  <c r="V616" i="1"/>
  <c r="AB616" i="1"/>
  <c r="AB552" i="1"/>
  <c r="T552" i="1"/>
  <c r="V552" i="1"/>
  <c r="AC552" i="1"/>
  <c r="U552" i="1"/>
  <c r="AB488" i="1"/>
  <c r="T488" i="1"/>
  <c r="V488" i="1"/>
  <c r="AC488" i="1"/>
  <c r="U488" i="1"/>
  <c r="T424" i="1"/>
  <c r="U424" i="1"/>
  <c r="V424" i="1"/>
  <c r="AB424" i="1"/>
  <c r="AC424" i="1"/>
  <c r="AB615" i="1"/>
  <c r="AC615" i="1"/>
  <c r="T615" i="1"/>
  <c r="U615" i="1"/>
  <c r="V615" i="1"/>
  <c r="AB551" i="1"/>
  <c r="T551" i="1"/>
  <c r="U551" i="1"/>
  <c r="V551" i="1"/>
  <c r="AC551" i="1"/>
  <c r="AB487" i="1"/>
  <c r="T487" i="1"/>
  <c r="U487" i="1"/>
  <c r="V487" i="1"/>
  <c r="AC487" i="1"/>
  <c r="T423" i="1"/>
  <c r="U423" i="1"/>
  <c r="V423" i="1"/>
  <c r="AB423" i="1"/>
  <c r="AC423" i="1"/>
  <c r="AB622" i="1"/>
  <c r="AC622" i="1"/>
  <c r="U622" i="1"/>
  <c r="T622" i="1"/>
  <c r="V622" i="1"/>
  <c r="AB558" i="1"/>
  <c r="AC558" i="1"/>
  <c r="U558" i="1"/>
  <c r="V558" i="1"/>
  <c r="T558" i="1"/>
  <c r="AB494" i="1"/>
  <c r="T494" i="1"/>
  <c r="U494" i="1"/>
  <c r="V494" i="1"/>
  <c r="AC494" i="1"/>
  <c r="T430" i="1"/>
  <c r="U430" i="1"/>
  <c r="V430" i="1"/>
  <c r="AB430" i="1"/>
  <c r="AC430" i="1"/>
  <c r="AC629" i="1"/>
  <c r="U629" i="1"/>
  <c r="AB629" i="1"/>
  <c r="T629" i="1"/>
  <c r="V629" i="1"/>
  <c r="AB565" i="1"/>
  <c r="AC565" i="1"/>
  <c r="U565" i="1"/>
  <c r="V565" i="1"/>
  <c r="T565" i="1"/>
  <c r="AB501" i="1"/>
  <c r="T501" i="1"/>
  <c r="U501" i="1"/>
  <c r="AC501" i="1"/>
  <c r="V501" i="1"/>
  <c r="T437" i="1"/>
  <c r="U437" i="1"/>
  <c r="V437" i="1"/>
  <c r="AB437" i="1"/>
  <c r="AC437" i="1"/>
  <c r="AB604" i="1"/>
  <c r="AC604" i="1"/>
  <c r="U604" i="1"/>
  <c r="V604" i="1"/>
  <c r="T604" i="1"/>
  <c r="AB540" i="1"/>
  <c r="T540" i="1"/>
  <c r="V540" i="1"/>
  <c r="AC540" i="1"/>
  <c r="U540" i="1"/>
  <c r="T476" i="1"/>
  <c r="U476" i="1"/>
  <c r="V476" i="1"/>
  <c r="AB476" i="1"/>
  <c r="AC476" i="1"/>
  <c r="T412" i="1"/>
  <c r="U412" i="1"/>
  <c r="V412" i="1"/>
  <c r="AB412" i="1"/>
  <c r="AC412" i="1"/>
  <c r="AB611" i="1"/>
  <c r="AC611" i="1"/>
  <c r="U611" i="1"/>
  <c r="T611" i="1"/>
  <c r="V611" i="1"/>
  <c r="AB547" i="1"/>
  <c r="T547" i="1"/>
  <c r="U547" i="1"/>
  <c r="V547" i="1"/>
  <c r="AC547" i="1"/>
  <c r="AB483" i="1"/>
  <c r="T483" i="1"/>
  <c r="U483" i="1"/>
  <c r="V483" i="1"/>
  <c r="AC483" i="1"/>
  <c r="T419" i="1"/>
  <c r="U419" i="1"/>
  <c r="V419" i="1"/>
  <c r="AB419" i="1"/>
  <c r="AC419" i="1"/>
  <c r="AB618" i="1"/>
  <c r="AC618" i="1"/>
  <c r="U618" i="1"/>
  <c r="T618" i="1"/>
  <c r="V618" i="1"/>
  <c r="AB554" i="1"/>
  <c r="T554" i="1"/>
  <c r="U554" i="1"/>
  <c r="V554" i="1"/>
  <c r="AC554" i="1"/>
  <c r="AB490" i="1"/>
  <c r="T490" i="1"/>
  <c r="U490" i="1"/>
  <c r="V490" i="1"/>
  <c r="AC490" i="1"/>
  <c r="T426" i="1"/>
  <c r="U426" i="1"/>
  <c r="V426" i="1"/>
  <c r="AB426" i="1"/>
  <c r="AC426" i="1"/>
  <c r="T465" i="1"/>
  <c r="U465" i="1"/>
  <c r="V465" i="1"/>
  <c r="AB465" i="1"/>
  <c r="AC465" i="1"/>
  <c r="AB584" i="1"/>
  <c r="AC584" i="1"/>
  <c r="U584" i="1"/>
  <c r="V584" i="1"/>
  <c r="T584" i="1"/>
  <c r="AC654" i="1"/>
  <c r="U654" i="1"/>
  <c r="T654" i="1"/>
  <c r="V654" i="1"/>
  <c r="AB654" i="1"/>
  <c r="AB585" i="1"/>
  <c r="AC585" i="1"/>
  <c r="U585" i="1"/>
  <c r="V585" i="1"/>
  <c r="T585" i="1"/>
  <c r="AC633" i="1"/>
  <c r="U633" i="1"/>
  <c r="T633" i="1"/>
  <c r="V633" i="1"/>
  <c r="AB633" i="1"/>
  <c r="AC641" i="1"/>
  <c r="U641" i="1"/>
  <c r="T641" i="1"/>
  <c r="V641" i="1"/>
  <c r="AB641" i="1"/>
  <c r="T417" i="1"/>
  <c r="U417" i="1"/>
  <c r="V417" i="1"/>
  <c r="AB417" i="1"/>
  <c r="AC417" i="1"/>
  <c r="AB608" i="1"/>
  <c r="AC608" i="1"/>
  <c r="U608" i="1"/>
  <c r="T608" i="1"/>
  <c r="V608" i="1"/>
  <c r="AB544" i="1"/>
  <c r="T544" i="1"/>
  <c r="V544" i="1"/>
  <c r="AC544" i="1"/>
  <c r="U544" i="1"/>
  <c r="T480" i="1"/>
  <c r="U480" i="1"/>
  <c r="V480" i="1"/>
  <c r="AB480" i="1"/>
  <c r="AC480" i="1"/>
  <c r="T416" i="1"/>
  <c r="U416" i="1"/>
  <c r="V416" i="1"/>
  <c r="AB416" i="1"/>
  <c r="AC416" i="1"/>
  <c r="AB607" i="1"/>
  <c r="AC607" i="1"/>
  <c r="U607" i="1"/>
  <c r="V607" i="1"/>
  <c r="T607" i="1"/>
  <c r="AB543" i="1"/>
  <c r="T543" i="1"/>
  <c r="U543" i="1"/>
  <c r="V543" i="1"/>
  <c r="AC543" i="1"/>
  <c r="T479" i="1"/>
  <c r="U479" i="1"/>
  <c r="V479" i="1"/>
  <c r="AB479" i="1"/>
  <c r="AC479" i="1"/>
  <c r="T415" i="1"/>
  <c r="U415" i="1"/>
  <c r="V415" i="1"/>
  <c r="AB415" i="1"/>
  <c r="AC415" i="1"/>
  <c r="AC614" i="1"/>
  <c r="U614" i="1"/>
  <c r="T614" i="1"/>
  <c r="AB614" i="1"/>
  <c r="V614" i="1"/>
  <c r="AB550" i="1"/>
  <c r="T550" i="1"/>
  <c r="U550" i="1"/>
  <c r="AC550" i="1"/>
  <c r="V550" i="1"/>
  <c r="AB486" i="1"/>
  <c r="T486" i="1"/>
  <c r="U486" i="1"/>
  <c r="AC486" i="1"/>
  <c r="V486" i="1"/>
  <c r="T422" i="1"/>
  <c r="U422" i="1"/>
  <c r="V422" i="1"/>
  <c r="AB422" i="1"/>
  <c r="AC422" i="1"/>
  <c r="AC621" i="1"/>
  <c r="U621" i="1"/>
  <c r="T621" i="1"/>
  <c r="AB621" i="1"/>
  <c r="V621" i="1"/>
  <c r="AB557" i="1"/>
  <c r="AC557" i="1"/>
  <c r="U557" i="1"/>
  <c r="V557" i="1"/>
  <c r="T557" i="1"/>
  <c r="AB493" i="1"/>
  <c r="T493" i="1"/>
  <c r="U493" i="1"/>
  <c r="AC493" i="1"/>
  <c r="V493" i="1"/>
  <c r="T429" i="1"/>
  <c r="U429" i="1"/>
  <c r="V429" i="1"/>
  <c r="AB429" i="1"/>
  <c r="AC429" i="1"/>
  <c r="AC660" i="1"/>
  <c r="U660" i="1"/>
  <c r="T660" i="1"/>
  <c r="V660" i="1"/>
  <c r="AB660" i="1"/>
  <c r="AB596" i="1"/>
  <c r="AC596" i="1"/>
  <c r="U596" i="1"/>
  <c r="V596" i="1"/>
  <c r="T596" i="1"/>
  <c r="AB532" i="1"/>
  <c r="T532" i="1"/>
  <c r="V532" i="1"/>
  <c r="AC532" i="1"/>
  <c r="U532" i="1"/>
  <c r="T468" i="1"/>
  <c r="U468" i="1"/>
  <c r="V468" i="1"/>
  <c r="AB468" i="1"/>
  <c r="AC468" i="1"/>
  <c r="T404" i="1"/>
  <c r="U404" i="1"/>
  <c r="V404" i="1"/>
  <c r="AB404" i="1"/>
  <c r="AC404" i="1"/>
  <c r="AB603" i="1"/>
  <c r="AC603" i="1"/>
  <c r="U603" i="1"/>
  <c r="V603" i="1"/>
  <c r="T603" i="1"/>
  <c r="AB539" i="1"/>
  <c r="T539" i="1"/>
  <c r="U539" i="1"/>
  <c r="V539" i="1"/>
  <c r="AC539" i="1"/>
  <c r="T475" i="1"/>
  <c r="U475" i="1"/>
  <c r="V475" i="1"/>
  <c r="AB475" i="1"/>
  <c r="AC475" i="1"/>
  <c r="T411" i="1"/>
  <c r="U411" i="1"/>
  <c r="V411" i="1"/>
  <c r="AB411" i="1"/>
  <c r="AC411" i="1"/>
  <c r="AB610" i="1"/>
  <c r="AC610" i="1"/>
  <c r="U610" i="1"/>
  <c r="V610" i="1"/>
  <c r="T610" i="1"/>
  <c r="AB546" i="1"/>
  <c r="T546" i="1"/>
  <c r="U546" i="1"/>
  <c r="V546" i="1"/>
  <c r="AC546" i="1"/>
  <c r="AB482" i="1"/>
  <c r="T482" i="1"/>
  <c r="U482" i="1"/>
  <c r="V482" i="1"/>
  <c r="AC482" i="1"/>
  <c r="T418" i="1"/>
  <c r="U418" i="1"/>
  <c r="V418" i="1"/>
  <c r="AB418" i="1"/>
  <c r="AC418" i="1"/>
  <c r="AB561" i="1"/>
  <c r="AC561" i="1"/>
  <c r="U561" i="1"/>
  <c r="V561" i="1"/>
  <c r="T561" i="1"/>
  <c r="AB590" i="1"/>
  <c r="AC590" i="1"/>
  <c r="U590" i="1"/>
  <c r="V590" i="1"/>
  <c r="T590" i="1"/>
  <c r="AB597" i="1"/>
  <c r="AC597" i="1"/>
  <c r="U597" i="1"/>
  <c r="V597" i="1"/>
  <c r="T597" i="1"/>
  <c r="AB521" i="1"/>
  <c r="T521" i="1"/>
  <c r="AC521" i="1"/>
  <c r="U521" i="1"/>
  <c r="V521" i="1"/>
  <c r="AB601" i="1"/>
  <c r="AC601" i="1"/>
  <c r="U601" i="1"/>
  <c r="V601" i="1"/>
  <c r="T601" i="1"/>
  <c r="T441" i="1"/>
  <c r="U441" i="1"/>
  <c r="V441" i="1"/>
  <c r="AB441" i="1"/>
  <c r="AC441" i="1"/>
  <c r="AB513" i="1"/>
  <c r="T513" i="1"/>
  <c r="AC513" i="1"/>
  <c r="U513" i="1"/>
  <c r="V513" i="1"/>
  <c r="AB600" i="1"/>
  <c r="AC600" i="1"/>
  <c r="U600" i="1"/>
  <c r="V600" i="1"/>
  <c r="T600" i="1"/>
  <c r="AB536" i="1"/>
  <c r="T536" i="1"/>
  <c r="V536" i="1"/>
  <c r="AC536" i="1"/>
  <c r="U536" i="1"/>
  <c r="T472" i="1"/>
  <c r="U472" i="1"/>
  <c r="V472" i="1"/>
  <c r="AB472" i="1"/>
  <c r="AC472" i="1"/>
  <c r="T408" i="1"/>
  <c r="U408" i="1"/>
  <c r="V408" i="1"/>
  <c r="AB408" i="1"/>
  <c r="AC408" i="1"/>
  <c r="AB599" i="1"/>
  <c r="AC599" i="1"/>
  <c r="U599" i="1"/>
  <c r="V599" i="1"/>
  <c r="T599" i="1"/>
  <c r="AB535" i="1"/>
  <c r="T535" i="1"/>
  <c r="U535" i="1"/>
  <c r="V535" i="1"/>
  <c r="AC535" i="1"/>
  <c r="T471" i="1"/>
  <c r="U471" i="1"/>
  <c r="V471" i="1"/>
  <c r="AB471" i="1"/>
  <c r="AC471" i="1"/>
  <c r="T407" i="1"/>
  <c r="U407" i="1"/>
  <c r="V407" i="1"/>
  <c r="AB407" i="1"/>
  <c r="AC407" i="1"/>
  <c r="AB606" i="1"/>
  <c r="AC606" i="1"/>
  <c r="U606" i="1"/>
  <c r="T606" i="1"/>
  <c r="V606" i="1"/>
  <c r="AB542" i="1"/>
  <c r="T542" i="1"/>
  <c r="U542" i="1"/>
  <c r="V542" i="1"/>
  <c r="AC542" i="1"/>
  <c r="T478" i="1"/>
  <c r="U478" i="1"/>
  <c r="V478" i="1"/>
  <c r="AB478" i="1"/>
  <c r="AC478" i="1"/>
  <c r="T414" i="1"/>
  <c r="U414" i="1"/>
  <c r="V414" i="1"/>
  <c r="AB414" i="1"/>
  <c r="AC414" i="1"/>
  <c r="AC613" i="1"/>
  <c r="U613" i="1"/>
  <c r="AB613" i="1"/>
  <c r="T613" i="1"/>
  <c r="V613" i="1"/>
  <c r="AB549" i="1"/>
  <c r="T549" i="1"/>
  <c r="U549" i="1"/>
  <c r="AC549" i="1"/>
  <c r="V549" i="1"/>
  <c r="AB485" i="1"/>
  <c r="T485" i="1"/>
  <c r="U485" i="1"/>
  <c r="AC485" i="1"/>
  <c r="V485" i="1"/>
  <c r="T421" i="1"/>
  <c r="U421" i="1"/>
  <c r="V421" i="1"/>
  <c r="AB421" i="1"/>
  <c r="AC421" i="1"/>
  <c r="AC652" i="1"/>
  <c r="T652" i="1"/>
  <c r="U652" i="1"/>
  <c r="AB652" i="1"/>
  <c r="V652" i="1"/>
  <c r="AB588" i="1"/>
  <c r="AC588" i="1"/>
  <c r="U588" i="1"/>
  <c r="V588" i="1"/>
  <c r="T588" i="1"/>
  <c r="AB524" i="1"/>
  <c r="T524" i="1"/>
  <c r="V524" i="1"/>
  <c r="AC524" i="1"/>
  <c r="U524" i="1"/>
  <c r="T460" i="1"/>
  <c r="U460" i="1"/>
  <c r="V460" i="1"/>
  <c r="AB460" i="1"/>
  <c r="AC460" i="1"/>
  <c r="T396" i="1"/>
  <c r="U396" i="1"/>
  <c r="V396" i="1"/>
  <c r="AB396" i="1"/>
  <c r="AC396" i="1"/>
  <c r="AC659" i="1"/>
  <c r="U659" i="1"/>
  <c r="T659" i="1"/>
  <c r="V659" i="1"/>
  <c r="AB659" i="1"/>
  <c r="AB595" i="1"/>
  <c r="AC595" i="1"/>
  <c r="U595" i="1"/>
  <c r="V595" i="1"/>
  <c r="T595" i="1"/>
  <c r="AB531" i="1"/>
  <c r="T531" i="1"/>
  <c r="U531" i="1"/>
  <c r="V531" i="1"/>
  <c r="AC531" i="1"/>
  <c r="T467" i="1"/>
  <c r="U467" i="1"/>
  <c r="V467" i="1"/>
  <c r="AB467" i="1"/>
  <c r="AC467" i="1"/>
  <c r="T403" i="1"/>
  <c r="U403" i="1"/>
  <c r="V403" i="1"/>
  <c r="AB403" i="1"/>
  <c r="AC403" i="1"/>
  <c r="AB602" i="1"/>
  <c r="AC602" i="1"/>
  <c r="U602" i="1"/>
  <c r="V602" i="1"/>
  <c r="T602" i="1"/>
  <c r="AB538" i="1"/>
  <c r="T538" i="1"/>
  <c r="U538" i="1"/>
  <c r="V538" i="1"/>
  <c r="AC538" i="1"/>
  <c r="T474" i="1"/>
  <c r="U474" i="1"/>
  <c r="V474" i="1"/>
  <c r="AB474" i="1"/>
  <c r="AC474" i="1"/>
  <c r="T410" i="1"/>
  <c r="U410" i="1"/>
  <c r="V410" i="1"/>
  <c r="AB410" i="1"/>
  <c r="AC410" i="1"/>
  <c r="AB569" i="1"/>
  <c r="AC569" i="1"/>
  <c r="U569" i="1"/>
  <c r="V569" i="1"/>
  <c r="T569" i="1"/>
  <c r="AC647" i="1"/>
  <c r="AB647" i="1"/>
  <c r="T647" i="1"/>
  <c r="U647" i="1"/>
  <c r="V647" i="1"/>
  <c r="T458" i="1"/>
  <c r="U458" i="1"/>
  <c r="V458" i="1"/>
  <c r="AB458" i="1"/>
  <c r="AC458" i="1"/>
  <c r="AB537" i="1"/>
  <c r="T537" i="1"/>
  <c r="AC537" i="1"/>
  <c r="U537" i="1"/>
  <c r="V537" i="1"/>
  <c r="T457" i="1"/>
  <c r="U457" i="1"/>
  <c r="V457" i="1"/>
  <c r="AB457" i="1"/>
  <c r="AC457" i="1"/>
  <c r="AC625" i="1"/>
  <c r="U625" i="1"/>
  <c r="T625" i="1"/>
  <c r="V625" i="1"/>
  <c r="AB625" i="1"/>
  <c r="AC656" i="1"/>
  <c r="U656" i="1"/>
  <c r="AB656" i="1"/>
  <c r="T656" i="1"/>
  <c r="V656" i="1"/>
  <c r="AB592" i="1"/>
  <c r="AC592" i="1"/>
  <c r="U592" i="1"/>
  <c r="V592" i="1"/>
  <c r="T592" i="1"/>
  <c r="AB528" i="1"/>
  <c r="T528" i="1"/>
  <c r="V528" i="1"/>
  <c r="AC528" i="1"/>
  <c r="U528" i="1"/>
  <c r="T464" i="1"/>
  <c r="U464" i="1"/>
  <c r="V464" i="1"/>
  <c r="AB464" i="1"/>
  <c r="AC464" i="1"/>
  <c r="T400" i="1"/>
  <c r="U400" i="1"/>
  <c r="V400" i="1"/>
  <c r="AB400" i="1"/>
  <c r="AC400" i="1"/>
  <c r="AC655" i="1"/>
  <c r="T655" i="1"/>
  <c r="U655" i="1"/>
  <c r="V655" i="1"/>
  <c r="AB655" i="1"/>
  <c r="AB591" i="1"/>
  <c r="AC591" i="1"/>
  <c r="U591" i="1"/>
  <c r="V591" i="1"/>
  <c r="T591" i="1"/>
  <c r="AB527" i="1"/>
  <c r="T527" i="1"/>
  <c r="U527" i="1"/>
  <c r="V527" i="1"/>
  <c r="AC527" i="1"/>
  <c r="T463" i="1"/>
  <c r="U463" i="1"/>
  <c r="V463" i="1"/>
  <c r="AB463" i="1"/>
  <c r="AC463" i="1"/>
  <c r="T399" i="1"/>
  <c r="U399" i="1"/>
  <c r="V399" i="1"/>
  <c r="AB399" i="1"/>
  <c r="AC399" i="1"/>
  <c r="AB662" i="1"/>
  <c r="AC662" i="1"/>
  <c r="U662" i="1"/>
  <c r="T662" i="1"/>
  <c r="V662" i="1"/>
  <c r="AB598" i="1"/>
  <c r="AC598" i="1"/>
  <c r="U598" i="1"/>
  <c r="V598" i="1"/>
  <c r="T598" i="1"/>
  <c r="AB534" i="1"/>
  <c r="T534" i="1"/>
  <c r="U534" i="1"/>
  <c r="V534" i="1"/>
  <c r="AC534" i="1"/>
  <c r="T470" i="1"/>
  <c r="U470" i="1"/>
  <c r="V470" i="1"/>
  <c r="AB470" i="1"/>
  <c r="AC470" i="1"/>
  <c r="T406" i="1"/>
  <c r="U406" i="1"/>
  <c r="V406" i="1"/>
  <c r="AB406" i="1"/>
  <c r="AC406" i="1"/>
  <c r="AB605" i="1"/>
  <c r="AC605" i="1"/>
  <c r="U605" i="1"/>
  <c r="V605" i="1"/>
  <c r="T605" i="1"/>
  <c r="AB541" i="1"/>
  <c r="T541" i="1"/>
  <c r="U541" i="1"/>
  <c r="AC541" i="1"/>
  <c r="V541" i="1"/>
  <c r="T477" i="1"/>
  <c r="U477" i="1"/>
  <c r="V477" i="1"/>
  <c r="AB477" i="1"/>
  <c r="AC477" i="1"/>
  <c r="T413" i="1"/>
  <c r="U413" i="1"/>
  <c r="V413" i="1"/>
  <c r="AB413" i="1"/>
  <c r="AC413" i="1"/>
  <c r="AB644" i="1"/>
  <c r="AC644" i="1"/>
  <c r="T644" i="1"/>
  <c r="U644" i="1"/>
  <c r="V644" i="1"/>
  <c r="AB580" i="1"/>
  <c r="AC580" i="1"/>
  <c r="U580" i="1"/>
  <c r="V580" i="1"/>
  <c r="T580" i="1"/>
  <c r="AB516" i="1"/>
  <c r="T516" i="1"/>
  <c r="V516" i="1"/>
  <c r="AC516" i="1"/>
  <c r="U516" i="1"/>
  <c r="T452" i="1"/>
  <c r="U452" i="1"/>
  <c r="V452" i="1"/>
  <c r="AB452" i="1"/>
  <c r="AC452" i="1"/>
  <c r="AC651" i="1"/>
  <c r="U651" i="1"/>
  <c r="T651" i="1"/>
  <c r="V651" i="1"/>
  <c r="AB651" i="1"/>
  <c r="AB587" i="1"/>
  <c r="AC587" i="1"/>
  <c r="U587" i="1"/>
  <c r="V587" i="1"/>
  <c r="T587" i="1"/>
  <c r="AB523" i="1"/>
  <c r="T523" i="1"/>
  <c r="U523" i="1"/>
  <c r="V523" i="1"/>
  <c r="AC523" i="1"/>
  <c r="T459" i="1"/>
  <c r="U459" i="1"/>
  <c r="V459" i="1"/>
  <c r="AB459" i="1"/>
  <c r="AC459" i="1"/>
  <c r="AC658" i="1"/>
  <c r="T658" i="1"/>
  <c r="U658" i="1"/>
  <c r="AB658" i="1"/>
  <c r="V658" i="1"/>
  <c r="AB594" i="1"/>
  <c r="AC594" i="1"/>
  <c r="U594" i="1"/>
  <c r="V594" i="1"/>
  <c r="T594" i="1"/>
  <c r="AB530" i="1"/>
  <c r="T530" i="1"/>
  <c r="U530" i="1"/>
  <c r="V530" i="1"/>
  <c r="AC530" i="1"/>
  <c r="T466" i="1"/>
  <c r="U466" i="1"/>
  <c r="V466" i="1"/>
  <c r="AB466" i="1"/>
  <c r="AC466" i="1"/>
  <c r="T402" i="1"/>
  <c r="U402" i="1"/>
  <c r="V402" i="1"/>
  <c r="AB402" i="1"/>
  <c r="AC402" i="1"/>
  <c r="F38" i="1"/>
  <c r="H38" i="1" s="1"/>
  <c r="AF589" i="1"/>
  <c r="AG589" i="1"/>
  <c r="AH589" i="1"/>
  <c r="AF625" i="1"/>
  <c r="AG625" i="1"/>
  <c r="AH625" i="1"/>
  <c r="AF453" i="1"/>
  <c r="AG453" i="1"/>
  <c r="AH453" i="1"/>
  <c r="AF417" i="1"/>
  <c r="AG417" i="1"/>
  <c r="AH417" i="1"/>
  <c r="AF441" i="1"/>
  <c r="AG441" i="1"/>
  <c r="AH441" i="1"/>
  <c r="AF632" i="1"/>
  <c r="AG632" i="1"/>
  <c r="AH632" i="1"/>
  <c r="AF568" i="1"/>
  <c r="AG568" i="1"/>
  <c r="AH568" i="1"/>
  <c r="AF504" i="1"/>
  <c r="AG504" i="1"/>
  <c r="AH504" i="1"/>
  <c r="AF440" i="1"/>
  <c r="AG440" i="1"/>
  <c r="AH440" i="1"/>
  <c r="AF639" i="1"/>
  <c r="AG639" i="1"/>
  <c r="AH639" i="1"/>
  <c r="AF575" i="1"/>
  <c r="AG575" i="1"/>
  <c r="AH575" i="1"/>
  <c r="AF511" i="1"/>
  <c r="AG511" i="1"/>
  <c r="AH511" i="1"/>
  <c r="AF447" i="1"/>
  <c r="AG447" i="1"/>
  <c r="AH447" i="1"/>
  <c r="AF654" i="1"/>
  <c r="AG654" i="1"/>
  <c r="AH654" i="1"/>
  <c r="AF590" i="1"/>
  <c r="AG590" i="1"/>
  <c r="AH590" i="1"/>
  <c r="AF526" i="1"/>
  <c r="AG526" i="1"/>
  <c r="AH526" i="1"/>
  <c r="AF462" i="1"/>
  <c r="AG462" i="1"/>
  <c r="AH462" i="1"/>
  <c r="AF398" i="1"/>
  <c r="AG398" i="1"/>
  <c r="AH398" i="1"/>
  <c r="AF628" i="1"/>
  <c r="AG628" i="1"/>
  <c r="AH628" i="1"/>
  <c r="AF564" i="1"/>
  <c r="AG564" i="1"/>
  <c r="AH564" i="1"/>
  <c r="AF500" i="1"/>
  <c r="AG500" i="1"/>
  <c r="AH500" i="1"/>
  <c r="AF436" i="1"/>
  <c r="AG436" i="1"/>
  <c r="AH436" i="1"/>
  <c r="AF635" i="1"/>
  <c r="AG635" i="1"/>
  <c r="AH635" i="1"/>
  <c r="AF571" i="1"/>
  <c r="AG571" i="1"/>
  <c r="AH571" i="1"/>
  <c r="AF507" i="1"/>
  <c r="AG507" i="1"/>
  <c r="AH507" i="1"/>
  <c r="AF443" i="1"/>
  <c r="AG443" i="1"/>
  <c r="AH443" i="1"/>
  <c r="AF650" i="1"/>
  <c r="AG650" i="1"/>
  <c r="AH650" i="1"/>
  <c r="AF586" i="1"/>
  <c r="AG586" i="1"/>
  <c r="AH586" i="1"/>
  <c r="AF522" i="1"/>
  <c r="AG522" i="1"/>
  <c r="AH522" i="1"/>
  <c r="AF458" i="1"/>
  <c r="AG458" i="1"/>
  <c r="AH458" i="1"/>
  <c r="AF557" i="1"/>
  <c r="AG557" i="1"/>
  <c r="AH557" i="1"/>
  <c r="AF629" i="1"/>
  <c r="AG629" i="1"/>
  <c r="AH629" i="1"/>
  <c r="AF593" i="1"/>
  <c r="AG593" i="1"/>
  <c r="AH593" i="1"/>
  <c r="AF649" i="1"/>
  <c r="AG649" i="1"/>
  <c r="AH649" i="1"/>
  <c r="AF413" i="1"/>
  <c r="AG413" i="1"/>
  <c r="AH413" i="1"/>
  <c r="AF409" i="1"/>
  <c r="AG409" i="1"/>
  <c r="AH409" i="1"/>
  <c r="AF624" i="1"/>
  <c r="AG624" i="1"/>
  <c r="AH624" i="1"/>
  <c r="AF560" i="1"/>
  <c r="AG560" i="1"/>
  <c r="AH560" i="1"/>
  <c r="AF496" i="1"/>
  <c r="AG496" i="1"/>
  <c r="AH496" i="1"/>
  <c r="AF432" i="1"/>
  <c r="AG432" i="1"/>
  <c r="AH432" i="1"/>
  <c r="AF631" i="1"/>
  <c r="AG631" i="1"/>
  <c r="AH631" i="1"/>
  <c r="AF567" i="1"/>
  <c r="AG567" i="1"/>
  <c r="AH567" i="1"/>
  <c r="AF503" i="1"/>
  <c r="AG503" i="1"/>
  <c r="AH503" i="1"/>
  <c r="AF439" i="1"/>
  <c r="AG439" i="1"/>
  <c r="AH439" i="1"/>
  <c r="AF646" i="1"/>
  <c r="AG646" i="1"/>
  <c r="AH646" i="1"/>
  <c r="AF582" i="1"/>
  <c r="AG582" i="1"/>
  <c r="AH582" i="1"/>
  <c r="AF518" i="1"/>
  <c r="AG518" i="1"/>
  <c r="AH518" i="1"/>
  <c r="AF454" i="1"/>
  <c r="AG454" i="1"/>
  <c r="AH454" i="1"/>
  <c r="AF620" i="1"/>
  <c r="AG620" i="1"/>
  <c r="AH620" i="1"/>
  <c r="AF556" i="1"/>
  <c r="AG556" i="1"/>
  <c r="AH556" i="1"/>
  <c r="AF492" i="1"/>
  <c r="AG492" i="1"/>
  <c r="AH492" i="1"/>
  <c r="AF428" i="1"/>
  <c r="AG428" i="1"/>
  <c r="AH428" i="1"/>
  <c r="AF627" i="1"/>
  <c r="AG627" i="1"/>
  <c r="AH627" i="1"/>
  <c r="AF563" i="1"/>
  <c r="AG563" i="1"/>
  <c r="AH563" i="1"/>
  <c r="AF499" i="1"/>
  <c r="AG499" i="1"/>
  <c r="AH499" i="1"/>
  <c r="AF435" i="1"/>
  <c r="AG435" i="1"/>
  <c r="AH435" i="1"/>
  <c r="AF642" i="1"/>
  <c r="AG642" i="1"/>
  <c r="AH642" i="1"/>
  <c r="AF578" i="1"/>
  <c r="AG578" i="1"/>
  <c r="AH578" i="1"/>
  <c r="AF514" i="1"/>
  <c r="AG514" i="1"/>
  <c r="AH514" i="1"/>
  <c r="AF450" i="1"/>
  <c r="AG450" i="1"/>
  <c r="AH450" i="1"/>
  <c r="B29" i="1"/>
  <c r="H29" i="1" s="1"/>
  <c r="AF525" i="1"/>
  <c r="AG525" i="1"/>
  <c r="AH525" i="1"/>
  <c r="AF501" i="1"/>
  <c r="AG501" i="1"/>
  <c r="AH501" i="1"/>
  <c r="AF529" i="1"/>
  <c r="AG529" i="1"/>
  <c r="AH529" i="1"/>
  <c r="AF617" i="1"/>
  <c r="AG617" i="1"/>
  <c r="AH617" i="1"/>
  <c r="AF645" i="1"/>
  <c r="AG645" i="1"/>
  <c r="AH645" i="1"/>
  <c r="AF637" i="1"/>
  <c r="AG637" i="1"/>
  <c r="AH637" i="1"/>
  <c r="AF633" i="1"/>
  <c r="AG633" i="1"/>
  <c r="AH633" i="1"/>
  <c r="AF616" i="1"/>
  <c r="AG616" i="1"/>
  <c r="AH616" i="1"/>
  <c r="AF552" i="1"/>
  <c r="AG552" i="1"/>
  <c r="AH552" i="1"/>
  <c r="AF488" i="1"/>
  <c r="AG488" i="1"/>
  <c r="AH488" i="1"/>
  <c r="AF424" i="1"/>
  <c r="AG424" i="1"/>
  <c r="AH424" i="1"/>
  <c r="AF623" i="1"/>
  <c r="AG623" i="1"/>
  <c r="AH623" i="1"/>
  <c r="AF559" i="1"/>
  <c r="AG559" i="1"/>
  <c r="AH559" i="1"/>
  <c r="AF495" i="1"/>
  <c r="AG495" i="1"/>
  <c r="AH495" i="1"/>
  <c r="AF431" i="1"/>
  <c r="AG431" i="1"/>
  <c r="AH431" i="1"/>
  <c r="AF638" i="1"/>
  <c r="AG638" i="1"/>
  <c r="AH638" i="1"/>
  <c r="AF574" i="1"/>
  <c r="AG574" i="1"/>
  <c r="AH574" i="1"/>
  <c r="AF510" i="1"/>
  <c r="AG510" i="1"/>
  <c r="AH510" i="1"/>
  <c r="AF446" i="1"/>
  <c r="AG446" i="1"/>
  <c r="AH446" i="1"/>
  <c r="AF612" i="1"/>
  <c r="AG612" i="1"/>
  <c r="AH612" i="1"/>
  <c r="AF548" i="1"/>
  <c r="AG548" i="1"/>
  <c r="AH548" i="1"/>
  <c r="AF484" i="1"/>
  <c r="AG484" i="1"/>
  <c r="AH484" i="1"/>
  <c r="AF420" i="1"/>
  <c r="AG420" i="1"/>
  <c r="AH420" i="1"/>
  <c r="AF619" i="1"/>
  <c r="AG619" i="1"/>
  <c r="AH619" i="1"/>
  <c r="AF555" i="1"/>
  <c r="AG555" i="1"/>
  <c r="AH555" i="1"/>
  <c r="AF491" i="1"/>
  <c r="AG491" i="1"/>
  <c r="AH491" i="1"/>
  <c r="AF427" i="1"/>
  <c r="AG427" i="1"/>
  <c r="AH427" i="1"/>
  <c r="AF634" i="1"/>
  <c r="AG634" i="1"/>
  <c r="AH634" i="1"/>
  <c r="AF570" i="1"/>
  <c r="AG570" i="1"/>
  <c r="AH570" i="1"/>
  <c r="AF506" i="1"/>
  <c r="AG506" i="1"/>
  <c r="AH506" i="1"/>
  <c r="AF442" i="1"/>
  <c r="AG442" i="1"/>
  <c r="AH442" i="1"/>
  <c r="AF597" i="1"/>
  <c r="AG597" i="1"/>
  <c r="AH597" i="1"/>
  <c r="F39" i="1"/>
  <c r="B39" i="1" s="1"/>
  <c r="AF661" i="1"/>
  <c r="AG661" i="1"/>
  <c r="AH661" i="1"/>
  <c r="AF657" i="1"/>
  <c r="AG657" i="1"/>
  <c r="AH657" i="1"/>
  <c r="AF493" i="1"/>
  <c r="AG493" i="1"/>
  <c r="AH493" i="1"/>
  <c r="AF405" i="1"/>
  <c r="AG405" i="1"/>
  <c r="AH405" i="1"/>
  <c r="AF433" i="1"/>
  <c r="AG433" i="1"/>
  <c r="AH433" i="1"/>
  <c r="AF585" i="1"/>
  <c r="AG585" i="1"/>
  <c r="AH585" i="1"/>
  <c r="AF581" i="1"/>
  <c r="AG581" i="1"/>
  <c r="AH581" i="1"/>
  <c r="AF605" i="1"/>
  <c r="AG605" i="1"/>
  <c r="AH605" i="1"/>
  <c r="AF601" i="1"/>
  <c r="AG601" i="1"/>
  <c r="AH601" i="1"/>
  <c r="AF608" i="1"/>
  <c r="AG608" i="1"/>
  <c r="AH608" i="1"/>
  <c r="AF544" i="1"/>
  <c r="AG544" i="1"/>
  <c r="AH544" i="1"/>
  <c r="AF480" i="1"/>
  <c r="AG480" i="1"/>
  <c r="AH480" i="1"/>
  <c r="AF416" i="1"/>
  <c r="AG416" i="1"/>
  <c r="AH416" i="1"/>
  <c r="AF615" i="1"/>
  <c r="AG615" i="1"/>
  <c r="AH615" i="1"/>
  <c r="AF551" i="1"/>
  <c r="AG551" i="1"/>
  <c r="AH551" i="1"/>
  <c r="AF487" i="1"/>
  <c r="AG487" i="1"/>
  <c r="AH487" i="1"/>
  <c r="AF423" i="1"/>
  <c r="AG423" i="1"/>
  <c r="AH423" i="1"/>
  <c r="AF630" i="1"/>
  <c r="AG630" i="1"/>
  <c r="AH630" i="1"/>
  <c r="AF566" i="1"/>
  <c r="AG566" i="1"/>
  <c r="AH566" i="1"/>
  <c r="AF502" i="1"/>
  <c r="AG502" i="1"/>
  <c r="AH502" i="1"/>
  <c r="AF438" i="1"/>
  <c r="AG438" i="1"/>
  <c r="AH438" i="1"/>
  <c r="AF604" i="1"/>
  <c r="AG604" i="1"/>
  <c r="AH604" i="1"/>
  <c r="AF540" i="1"/>
  <c r="AG540" i="1"/>
  <c r="AH540" i="1"/>
  <c r="AF476" i="1"/>
  <c r="AG476" i="1"/>
  <c r="AH476" i="1"/>
  <c r="AF412" i="1"/>
  <c r="AG412" i="1"/>
  <c r="AH412" i="1"/>
  <c r="AF611" i="1"/>
  <c r="AG611" i="1"/>
  <c r="AH611" i="1"/>
  <c r="AF547" i="1"/>
  <c r="AG547" i="1"/>
  <c r="AH547" i="1"/>
  <c r="AF483" i="1"/>
  <c r="AG483" i="1"/>
  <c r="AH483" i="1"/>
  <c r="AF419" i="1"/>
  <c r="AG419" i="1"/>
  <c r="AH419" i="1"/>
  <c r="AF626" i="1"/>
  <c r="AG626" i="1"/>
  <c r="AH626" i="1"/>
  <c r="AF562" i="1"/>
  <c r="AG562" i="1"/>
  <c r="AH562" i="1"/>
  <c r="AF498" i="1"/>
  <c r="AG498" i="1"/>
  <c r="AH498" i="1"/>
  <c r="AF434" i="1"/>
  <c r="AG434" i="1"/>
  <c r="AH434" i="1"/>
  <c r="AF425" i="1"/>
  <c r="AG425" i="1"/>
  <c r="AH425" i="1"/>
  <c r="F33" i="1"/>
  <c r="B33" i="1" s="1"/>
  <c r="AF533" i="1"/>
  <c r="AG533" i="1"/>
  <c r="AH533" i="1"/>
  <c r="AF561" i="1"/>
  <c r="AG561" i="1"/>
  <c r="AH561" i="1"/>
  <c r="AF461" i="1"/>
  <c r="AG461" i="1"/>
  <c r="AH461" i="1"/>
  <c r="AF553" i="1"/>
  <c r="AG553" i="1"/>
  <c r="AH553" i="1"/>
  <c r="AF437" i="1"/>
  <c r="AG437" i="1"/>
  <c r="AH437" i="1"/>
  <c r="AF517" i="1"/>
  <c r="AG517" i="1"/>
  <c r="AH517" i="1"/>
  <c r="AF573" i="1"/>
  <c r="AG573" i="1"/>
  <c r="AH573" i="1"/>
  <c r="AF569" i="1"/>
  <c r="AG569" i="1"/>
  <c r="AH569" i="1"/>
  <c r="AF600" i="1"/>
  <c r="AG600" i="1"/>
  <c r="AH600" i="1"/>
  <c r="AF536" i="1"/>
  <c r="AG536" i="1"/>
  <c r="AH536" i="1"/>
  <c r="AF472" i="1"/>
  <c r="AG472" i="1"/>
  <c r="AH472" i="1"/>
  <c r="AF408" i="1"/>
  <c r="AG408" i="1"/>
  <c r="AH408" i="1"/>
  <c r="AF607" i="1"/>
  <c r="AG607" i="1"/>
  <c r="AH607" i="1"/>
  <c r="AF543" i="1"/>
  <c r="AG543" i="1"/>
  <c r="AH543" i="1"/>
  <c r="AF479" i="1"/>
  <c r="AG479" i="1"/>
  <c r="AH479" i="1"/>
  <c r="AF415" i="1"/>
  <c r="AG415" i="1"/>
  <c r="AH415" i="1"/>
  <c r="AF622" i="1"/>
  <c r="AG622" i="1"/>
  <c r="AH622" i="1"/>
  <c r="AF558" i="1"/>
  <c r="AG558" i="1"/>
  <c r="AH558" i="1"/>
  <c r="AF494" i="1"/>
  <c r="AG494" i="1"/>
  <c r="AH494" i="1"/>
  <c r="AF430" i="1"/>
  <c r="AG430" i="1"/>
  <c r="AH430" i="1"/>
  <c r="AF660" i="1"/>
  <c r="AG660" i="1"/>
  <c r="AH660" i="1"/>
  <c r="AF596" i="1"/>
  <c r="AG596" i="1"/>
  <c r="AH596" i="1"/>
  <c r="AF532" i="1"/>
  <c r="AG532" i="1"/>
  <c r="AH532" i="1"/>
  <c r="AF468" i="1"/>
  <c r="AG468" i="1"/>
  <c r="AH468" i="1"/>
  <c r="AF404" i="1"/>
  <c r="AG404" i="1"/>
  <c r="AH404" i="1"/>
  <c r="AF603" i="1"/>
  <c r="AG603" i="1"/>
  <c r="AH603" i="1"/>
  <c r="AF539" i="1"/>
  <c r="AG539" i="1"/>
  <c r="AH539" i="1"/>
  <c r="AF475" i="1"/>
  <c r="AG475" i="1"/>
  <c r="AH475" i="1"/>
  <c r="AF411" i="1"/>
  <c r="AG411" i="1"/>
  <c r="AH411" i="1"/>
  <c r="AF618" i="1"/>
  <c r="AG618" i="1"/>
  <c r="AH618" i="1"/>
  <c r="AF554" i="1"/>
  <c r="AG554" i="1"/>
  <c r="AH554" i="1"/>
  <c r="AF490" i="1"/>
  <c r="AG490" i="1"/>
  <c r="AH490" i="1"/>
  <c r="AF426" i="1"/>
  <c r="AG426" i="1"/>
  <c r="AH426" i="1"/>
  <c r="AF445" i="1"/>
  <c r="AG445" i="1"/>
  <c r="AH445" i="1"/>
  <c r="F30" i="1"/>
  <c r="G30" i="1" s="1"/>
  <c r="AF469" i="1"/>
  <c r="AG469" i="1"/>
  <c r="AH469" i="1"/>
  <c r="AF497" i="1"/>
  <c r="AG497" i="1"/>
  <c r="AH497" i="1"/>
  <c r="AF429" i="1"/>
  <c r="AG429" i="1"/>
  <c r="AH429" i="1"/>
  <c r="AF521" i="1"/>
  <c r="AG521" i="1"/>
  <c r="AH521" i="1"/>
  <c r="AF613" i="1"/>
  <c r="AG613" i="1"/>
  <c r="AH613" i="1"/>
  <c r="AF485" i="1"/>
  <c r="AG485" i="1"/>
  <c r="AH485" i="1"/>
  <c r="AF641" i="1"/>
  <c r="AG641" i="1"/>
  <c r="AH641" i="1"/>
  <c r="AF541" i="1"/>
  <c r="AG541" i="1"/>
  <c r="AH541" i="1"/>
  <c r="AF565" i="1"/>
  <c r="AG565" i="1"/>
  <c r="AH565" i="1"/>
  <c r="AF537" i="1"/>
  <c r="AG537" i="1"/>
  <c r="AH537" i="1"/>
  <c r="AF656" i="1"/>
  <c r="AG656" i="1"/>
  <c r="AH656" i="1"/>
  <c r="AF592" i="1"/>
  <c r="AG592" i="1"/>
  <c r="AH592" i="1"/>
  <c r="AF528" i="1"/>
  <c r="AG528" i="1"/>
  <c r="AH528" i="1"/>
  <c r="AF464" i="1"/>
  <c r="AG464" i="1"/>
  <c r="AH464" i="1"/>
  <c r="AF400" i="1"/>
  <c r="AG400" i="1"/>
  <c r="AH400" i="1"/>
  <c r="AF599" i="1"/>
  <c r="AG599" i="1"/>
  <c r="AH599" i="1"/>
  <c r="AF535" i="1"/>
  <c r="AG535" i="1"/>
  <c r="AH535" i="1"/>
  <c r="AF471" i="1"/>
  <c r="AG471" i="1"/>
  <c r="AH471" i="1"/>
  <c r="AF407" i="1"/>
  <c r="AG407" i="1"/>
  <c r="AH407" i="1"/>
  <c r="AF614" i="1"/>
  <c r="AG614" i="1"/>
  <c r="AH614" i="1"/>
  <c r="AF550" i="1"/>
  <c r="AG550" i="1"/>
  <c r="AH550" i="1"/>
  <c r="AF486" i="1"/>
  <c r="AG486" i="1"/>
  <c r="AH486" i="1"/>
  <c r="AF422" i="1"/>
  <c r="AG422" i="1"/>
  <c r="AH422" i="1"/>
  <c r="AF652" i="1"/>
  <c r="AG652" i="1"/>
  <c r="AH652" i="1"/>
  <c r="AF588" i="1"/>
  <c r="AG588" i="1"/>
  <c r="AH588" i="1"/>
  <c r="AF524" i="1"/>
  <c r="AG524" i="1"/>
  <c r="AH524" i="1"/>
  <c r="AF460" i="1"/>
  <c r="AG460" i="1"/>
  <c r="AH460" i="1"/>
  <c r="AF396" i="1"/>
  <c r="AG396" i="1"/>
  <c r="AH396" i="1"/>
  <c r="AF659" i="1"/>
  <c r="AG659" i="1"/>
  <c r="AH659" i="1"/>
  <c r="AF595" i="1"/>
  <c r="AG595" i="1"/>
  <c r="AH595" i="1"/>
  <c r="AF531" i="1"/>
  <c r="AG531" i="1"/>
  <c r="AH531" i="1"/>
  <c r="AF467" i="1"/>
  <c r="AG467" i="1"/>
  <c r="AH467" i="1"/>
  <c r="AF403" i="1"/>
  <c r="AG403" i="1"/>
  <c r="AH403" i="1"/>
  <c r="AF610" i="1"/>
  <c r="AG610" i="1"/>
  <c r="AH610" i="1"/>
  <c r="AF546" i="1"/>
  <c r="AG546" i="1"/>
  <c r="AH546" i="1"/>
  <c r="AF482" i="1"/>
  <c r="AG482" i="1"/>
  <c r="AH482" i="1"/>
  <c r="AF418" i="1"/>
  <c r="AG418" i="1"/>
  <c r="AH418" i="1"/>
  <c r="AF465" i="1"/>
  <c r="AG465" i="1"/>
  <c r="AH465" i="1"/>
  <c r="AF653" i="1"/>
  <c r="AG653" i="1"/>
  <c r="AH653" i="1"/>
  <c r="AF397" i="1"/>
  <c r="AG397" i="1"/>
  <c r="AH397" i="1"/>
  <c r="AF489" i="1"/>
  <c r="AG489" i="1"/>
  <c r="AH489" i="1"/>
  <c r="AF577" i="1"/>
  <c r="AG577" i="1"/>
  <c r="AH577" i="1"/>
  <c r="AF421" i="1"/>
  <c r="AG421" i="1"/>
  <c r="AH421" i="1"/>
  <c r="AF545" i="1"/>
  <c r="AG545" i="1"/>
  <c r="AH545" i="1"/>
  <c r="AF509" i="1"/>
  <c r="AG509" i="1"/>
  <c r="AH509" i="1"/>
  <c r="AF609" i="1"/>
  <c r="AG609" i="1"/>
  <c r="AH609" i="1"/>
  <c r="AF505" i="1"/>
  <c r="AG505" i="1"/>
  <c r="AH505" i="1"/>
  <c r="AF648" i="1"/>
  <c r="AG648" i="1"/>
  <c r="AH648" i="1"/>
  <c r="AF584" i="1"/>
  <c r="AG584" i="1"/>
  <c r="AH584" i="1"/>
  <c r="AF520" i="1"/>
  <c r="AG520" i="1"/>
  <c r="AH520" i="1"/>
  <c r="AF456" i="1"/>
  <c r="AG456" i="1"/>
  <c r="AH456" i="1"/>
  <c r="AF655" i="1"/>
  <c r="AG655" i="1"/>
  <c r="AH655" i="1"/>
  <c r="AF591" i="1"/>
  <c r="AG591" i="1"/>
  <c r="AH591" i="1"/>
  <c r="AF527" i="1"/>
  <c r="AG527" i="1"/>
  <c r="AH527" i="1"/>
  <c r="AF463" i="1"/>
  <c r="AG463" i="1"/>
  <c r="AH463" i="1"/>
  <c r="AF399" i="1"/>
  <c r="AG399" i="1"/>
  <c r="AH399" i="1"/>
  <c r="AF606" i="1"/>
  <c r="AG606" i="1"/>
  <c r="AH606" i="1"/>
  <c r="AF542" i="1"/>
  <c r="AG542" i="1"/>
  <c r="AH542" i="1"/>
  <c r="AF478" i="1"/>
  <c r="AG478" i="1"/>
  <c r="AH478" i="1"/>
  <c r="AF414" i="1"/>
  <c r="AG414" i="1"/>
  <c r="AH414" i="1"/>
  <c r="AF644" i="1"/>
  <c r="AG644" i="1"/>
  <c r="AH644" i="1"/>
  <c r="AF580" i="1"/>
  <c r="AG580" i="1"/>
  <c r="AH580" i="1"/>
  <c r="AF516" i="1"/>
  <c r="AG516" i="1"/>
  <c r="AH516" i="1"/>
  <c r="AF452" i="1"/>
  <c r="AG452" i="1"/>
  <c r="AH452" i="1"/>
  <c r="AF651" i="1"/>
  <c r="AG651" i="1"/>
  <c r="AH651" i="1"/>
  <c r="AF587" i="1"/>
  <c r="AG587" i="1"/>
  <c r="AH587" i="1"/>
  <c r="AF523" i="1"/>
  <c r="AG523" i="1"/>
  <c r="AH523" i="1"/>
  <c r="AF459" i="1"/>
  <c r="AG459" i="1"/>
  <c r="AH459" i="1"/>
  <c r="AF602" i="1"/>
  <c r="AG602" i="1"/>
  <c r="AH602" i="1"/>
  <c r="AF538" i="1"/>
  <c r="AG538" i="1"/>
  <c r="AH538" i="1"/>
  <c r="AF474" i="1"/>
  <c r="AG474" i="1"/>
  <c r="AH474" i="1"/>
  <c r="AF410" i="1"/>
  <c r="AG410" i="1"/>
  <c r="AH410" i="1"/>
  <c r="AF401" i="1"/>
  <c r="AG401" i="1"/>
  <c r="AH401" i="1"/>
  <c r="AF621" i="1"/>
  <c r="AG621" i="1"/>
  <c r="AH621" i="1"/>
  <c r="AF457" i="1"/>
  <c r="AG457" i="1"/>
  <c r="AH457" i="1"/>
  <c r="AF449" i="1"/>
  <c r="AG449" i="1"/>
  <c r="AH449" i="1"/>
  <c r="AF481" i="1"/>
  <c r="AG481" i="1"/>
  <c r="AH481" i="1"/>
  <c r="AF477" i="1"/>
  <c r="AG477" i="1"/>
  <c r="AH477" i="1"/>
  <c r="AF549" i="1"/>
  <c r="AG549" i="1"/>
  <c r="AH549" i="1"/>
  <c r="AF513" i="1"/>
  <c r="AG513" i="1"/>
  <c r="AH513" i="1"/>
  <c r="AF473" i="1"/>
  <c r="AG473" i="1"/>
  <c r="AH473" i="1"/>
  <c r="AF640" i="1"/>
  <c r="AG640" i="1"/>
  <c r="AH640" i="1"/>
  <c r="AF576" i="1"/>
  <c r="AG576" i="1"/>
  <c r="AH576" i="1"/>
  <c r="AF512" i="1"/>
  <c r="AG512" i="1"/>
  <c r="AH512" i="1"/>
  <c r="AF448" i="1"/>
  <c r="AG448" i="1"/>
  <c r="AH448" i="1"/>
  <c r="AF647" i="1"/>
  <c r="AG647" i="1"/>
  <c r="AH647" i="1"/>
  <c r="AF583" i="1"/>
  <c r="AG583" i="1"/>
  <c r="AH583" i="1"/>
  <c r="AF519" i="1"/>
  <c r="AG519" i="1"/>
  <c r="AH519" i="1"/>
  <c r="AF455" i="1"/>
  <c r="AG455" i="1"/>
  <c r="AH455" i="1"/>
  <c r="AF662" i="1"/>
  <c r="AG662" i="1"/>
  <c r="AH662" i="1"/>
  <c r="AF598" i="1"/>
  <c r="AG598" i="1"/>
  <c r="AH598" i="1"/>
  <c r="AF534" i="1"/>
  <c r="AG534" i="1"/>
  <c r="AH534" i="1"/>
  <c r="AF470" i="1"/>
  <c r="AG470" i="1"/>
  <c r="AH470" i="1"/>
  <c r="AF406" i="1"/>
  <c r="AG406" i="1"/>
  <c r="AH406" i="1"/>
  <c r="AF636" i="1"/>
  <c r="AG636" i="1"/>
  <c r="AH636" i="1"/>
  <c r="AF572" i="1"/>
  <c r="AG572" i="1"/>
  <c r="AH572" i="1"/>
  <c r="AF508" i="1"/>
  <c r="AG508" i="1"/>
  <c r="AH508" i="1"/>
  <c r="AF444" i="1"/>
  <c r="AG444" i="1"/>
  <c r="AH444" i="1"/>
  <c r="AF643" i="1"/>
  <c r="AG643" i="1"/>
  <c r="AH643" i="1"/>
  <c r="AF579" i="1"/>
  <c r="AG579" i="1"/>
  <c r="AH579" i="1"/>
  <c r="AF515" i="1"/>
  <c r="AG515" i="1"/>
  <c r="AH515" i="1"/>
  <c r="AF451" i="1"/>
  <c r="AG451" i="1"/>
  <c r="AH451" i="1"/>
  <c r="AF658" i="1"/>
  <c r="AG658" i="1"/>
  <c r="AH658" i="1"/>
  <c r="AF594" i="1"/>
  <c r="AG594" i="1"/>
  <c r="AH594" i="1"/>
  <c r="AF530" i="1"/>
  <c r="AG530" i="1"/>
  <c r="AH530" i="1"/>
  <c r="AF466" i="1"/>
  <c r="AG466" i="1"/>
  <c r="AH466" i="1"/>
  <c r="AF402" i="1"/>
  <c r="AG402" i="1"/>
  <c r="AH402" i="1"/>
  <c r="F31" i="1"/>
  <c r="H31" i="1" s="1"/>
  <c r="F40" i="1"/>
  <c r="G40" i="1" s="1"/>
  <c r="B37" i="1"/>
  <c r="F34" i="1"/>
  <c r="H37" i="1"/>
  <c r="AF312" i="1"/>
  <c r="AG312" i="1"/>
  <c r="AH312" i="1"/>
  <c r="AG304" i="1"/>
  <c r="AH304" i="1"/>
  <c r="AF304" i="1"/>
  <c r="AF331" i="1"/>
  <c r="AH331" i="1"/>
  <c r="AG331" i="1"/>
  <c r="AF288" i="1"/>
  <c r="AG288" i="1"/>
  <c r="AH288" i="1"/>
  <c r="AF222" i="1"/>
  <c r="AG222" i="1"/>
  <c r="AH222" i="1"/>
  <c r="AF314" i="1"/>
  <c r="AG314" i="1"/>
  <c r="AH314" i="1"/>
  <c r="AH299" i="1"/>
  <c r="AG299" i="1"/>
  <c r="AF299" i="1"/>
  <c r="AF389" i="1"/>
  <c r="AG389" i="1"/>
  <c r="AH389" i="1"/>
  <c r="AF325" i="1"/>
  <c r="AG325" i="1"/>
  <c r="AH325" i="1"/>
  <c r="AF212" i="1"/>
  <c r="AG212" i="1"/>
  <c r="AH212" i="1"/>
  <c r="AG263" i="1"/>
  <c r="AF263" i="1"/>
  <c r="AH263" i="1"/>
  <c r="AG290" i="1"/>
  <c r="AH290" i="1"/>
  <c r="AF290" i="1"/>
  <c r="AG165" i="1"/>
  <c r="AF165" i="1"/>
  <c r="AH165" i="1"/>
  <c r="AF255" i="1"/>
  <c r="AG255" i="1"/>
  <c r="AH255" i="1"/>
  <c r="AF282" i="1"/>
  <c r="AH282" i="1"/>
  <c r="AG282" i="1"/>
  <c r="AG133" i="1"/>
  <c r="AH133" i="1"/>
  <c r="AF133" i="1"/>
  <c r="AF104" i="1"/>
  <c r="AG104" i="1"/>
  <c r="AH104" i="1"/>
  <c r="AF110" i="1"/>
  <c r="AG110" i="1"/>
  <c r="AH110" i="1"/>
  <c r="AH274" i="1"/>
  <c r="AF274" i="1"/>
  <c r="AG274" i="1"/>
  <c r="AF205" i="1"/>
  <c r="AG205" i="1"/>
  <c r="AH205" i="1"/>
  <c r="AH101" i="1"/>
  <c r="AF101" i="1"/>
  <c r="AG101" i="1"/>
  <c r="AF96" i="1"/>
  <c r="AG96" i="1"/>
  <c r="AH96" i="1"/>
  <c r="AF239" i="1"/>
  <c r="AG239" i="1"/>
  <c r="AH239" i="1"/>
  <c r="AG102" i="1"/>
  <c r="AH102" i="1"/>
  <c r="AF102" i="1"/>
  <c r="AF266" i="1"/>
  <c r="AG266" i="1"/>
  <c r="AH266" i="1"/>
  <c r="AF132" i="1"/>
  <c r="AG132" i="1"/>
  <c r="AH132" i="1"/>
  <c r="AF357" i="1"/>
  <c r="AG357" i="1"/>
  <c r="AH357" i="1"/>
  <c r="AG24" i="1"/>
  <c r="AF24" i="1"/>
  <c r="AH24" i="1"/>
  <c r="AF167" i="1"/>
  <c r="AG167" i="1"/>
  <c r="AH167" i="1"/>
  <c r="AF30" i="1"/>
  <c r="AH30" i="1"/>
  <c r="AG30" i="1"/>
  <c r="AF194" i="1"/>
  <c r="AG194" i="1"/>
  <c r="AH194" i="1"/>
  <c r="AF387" i="1"/>
  <c r="AG387" i="1"/>
  <c r="AH387" i="1"/>
  <c r="AF277" i="1"/>
  <c r="AG277" i="1"/>
  <c r="AH277" i="1"/>
  <c r="AH233" i="1"/>
  <c r="AF233" i="1"/>
  <c r="AG233" i="1"/>
  <c r="AH95" i="1"/>
  <c r="AF95" i="1"/>
  <c r="AG95" i="1"/>
  <c r="AG251" i="1"/>
  <c r="AH251" i="1"/>
  <c r="AF251" i="1"/>
  <c r="AH122" i="1"/>
  <c r="AF122" i="1"/>
  <c r="AG122" i="1"/>
  <c r="AG333" i="1"/>
  <c r="AH333" i="1"/>
  <c r="AF333" i="1"/>
  <c r="AH392" i="1"/>
  <c r="AF392" i="1"/>
  <c r="AG392" i="1"/>
  <c r="AH161" i="1"/>
  <c r="AF161" i="1"/>
  <c r="AG161" i="1"/>
  <c r="AH23" i="1"/>
  <c r="AF23" i="1"/>
  <c r="AG23" i="1"/>
  <c r="AH179" i="1"/>
  <c r="AF179" i="1"/>
  <c r="AG179" i="1"/>
  <c r="AG50" i="1"/>
  <c r="AF50" i="1"/>
  <c r="AH50" i="1"/>
  <c r="AG76" i="1"/>
  <c r="AF76" i="1"/>
  <c r="AH76" i="1"/>
  <c r="AG320" i="1"/>
  <c r="AH320" i="1"/>
  <c r="AF320" i="1"/>
  <c r="AH89" i="1"/>
  <c r="AG89" i="1"/>
  <c r="AF89" i="1"/>
  <c r="AF326" i="1"/>
  <c r="AG326" i="1"/>
  <c r="AH326" i="1"/>
  <c r="AG107" i="1"/>
  <c r="AH107" i="1"/>
  <c r="AF107" i="1"/>
  <c r="AC339" i="1"/>
  <c r="V339" i="1"/>
  <c r="U339" i="1"/>
  <c r="AB339" i="1"/>
  <c r="T339" i="1"/>
  <c r="AC240" i="1"/>
  <c r="U240" i="1"/>
  <c r="T240" i="1"/>
  <c r="AB240" i="1"/>
  <c r="V240" i="1"/>
  <c r="AC184" i="1"/>
  <c r="U184" i="1"/>
  <c r="AB184" i="1"/>
  <c r="V184" i="1"/>
  <c r="T184" i="1"/>
  <c r="AC369" i="1"/>
  <c r="V369" i="1"/>
  <c r="T369" i="1"/>
  <c r="AB369" i="1"/>
  <c r="U369" i="1"/>
  <c r="AC283" i="1"/>
  <c r="V283" i="1"/>
  <c r="T283" i="1"/>
  <c r="AB283" i="1"/>
  <c r="U283" i="1"/>
  <c r="AC202" i="1"/>
  <c r="U202" i="1"/>
  <c r="V202" i="1"/>
  <c r="T202" i="1"/>
  <c r="AB202" i="1"/>
  <c r="AC180" i="1"/>
  <c r="T180" i="1"/>
  <c r="AB180" i="1"/>
  <c r="U180" i="1"/>
  <c r="V180" i="1"/>
  <c r="AC282" i="1"/>
  <c r="U282" i="1"/>
  <c r="AB282" i="1"/>
  <c r="T282" i="1"/>
  <c r="V282" i="1"/>
  <c r="AC50" i="1"/>
  <c r="T50" i="1"/>
  <c r="AB50" i="1"/>
  <c r="U50" i="1"/>
  <c r="V50" i="1"/>
  <c r="AC160" i="1"/>
  <c r="U160" i="1"/>
  <c r="T160" i="1"/>
  <c r="V160" i="1"/>
  <c r="AB160" i="1"/>
  <c r="AC24" i="1"/>
  <c r="T24" i="1"/>
  <c r="V24" i="1"/>
  <c r="U24" i="1"/>
  <c r="AB24" i="1"/>
  <c r="AC52" i="1"/>
  <c r="U52" i="1"/>
  <c r="T52" i="1"/>
  <c r="V52" i="1"/>
  <c r="AB52" i="1"/>
  <c r="AC393" i="1"/>
  <c r="V393" i="1"/>
  <c r="U393" i="1"/>
  <c r="AB393" i="1"/>
  <c r="T393" i="1"/>
  <c r="AC342" i="1"/>
  <c r="V342" i="1"/>
  <c r="T342" i="1"/>
  <c r="AB342" i="1"/>
  <c r="U342" i="1"/>
  <c r="AC99" i="1"/>
  <c r="T99" i="1"/>
  <c r="AB99" i="1"/>
  <c r="V99" i="1"/>
  <c r="U99" i="1"/>
  <c r="AC373" i="1"/>
  <c r="U373" i="1"/>
  <c r="AB373" i="1"/>
  <c r="T373" i="1"/>
  <c r="V373" i="1"/>
  <c r="AC148" i="1"/>
  <c r="V148" i="1"/>
  <c r="AB148" i="1"/>
  <c r="T148" i="1"/>
  <c r="U148" i="1"/>
  <c r="AC113" i="1"/>
  <c r="U113" i="1"/>
  <c r="T113" i="1"/>
  <c r="V113" i="1"/>
  <c r="AB113" i="1"/>
  <c r="AC231" i="1"/>
  <c r="T231" i="1"/>
  <c r="U231" i="1"/>
  <c r="AB231" i="1"/>
  <c r="V231" i="1"/>
  <c r="AC122" i="1"/>
  <c r="U122" i="1"/>
  <c r="V122" i="1"/>
  <c r="T122" i="1"/>
  <c r="AB122" i="1"/>
  <c r="AC390" i="1"/>
  <c r="U390" i="1"/>
  <c r="AB390" i="1"/>
  <c r="T390" i="1"/>
  <c r="V390" i="1"/>
  <c r="AC175" i="1"/>
  <c r="V175" i="1"/>
  <c r="U175" i="1"/>
  <c r="T175" i="1"/>
  <c r="AB175" i="1"/>
  <c r="V81" i="1"/>
  <c r="T81" i="1"/>
  <c r="AB81" i="1"/>
  <c r="U81" i="1"/>
  <c r="AC81" i="1"/>
  <c r="U333" i="1"/>
  <c r="T333" i="1"/>
  <c r="AB333" i="1"/>
  <c r="V333" i="1"/>
  <c r="AC333" i="1"/>
  <c r="AC371" i="1"/>
  <c r="V371" i="1"/>
  <c r="AB371" i="1"/>
  <c r="T371" i="1"/>
  <c r="U371" i="1"/>
  <c r="AC315" i="1"/>
  <c r="T315" i="1"/>
  <c r="AB315" i="1"/>
  <c r="U315" i="1"/>
  <c r="V315" i="1"/>
  <c r="AC277" i="1"/>
  <c r="T277" i="1"/>
  <c r="AB277" i="1"/>
  <c r="U277" i="1"/>
  <c r="V277" i="1"/>
  <c r="AC312" i="1"/>
  <c r="T312" i="1"/>
  <c r="AB312" i="1"/>
  <c r="V312" i="1"/>
  <c r="U312" i="1"/>
  <c r="T139" i="1"/>
  <c r="AB139" i="1"/>
  <c r="V139" i="1"/>
  <c r="AC139" i="1"/>
  <c r="U139" i="1"/>
  <c r="AC39" i="1"/>
  <c r="V39" i="1"/>
  <c r="AB39" i="1"/>
  <c r="T39" i="1"/>
  <c r="U39" i="1"/>
  <c r="AC251" i="1"/>
  <c r="T251" i="1"/>
  <c r="AB251" i="1"/>
  <c r="V251" i="1"/>
  <c r="U251" i="1"/>
  <c r="AC372" i="1"/>
  <c r="U372" i="1"/>
  <c r="V372" i="1"/>
  <c r="T372" i="1"/>
  <c r="AB372" i="1"/>
  <c r="AC248" i="1"/>
  <c r="V248" i="1"/>
  <c r="AB248" i="1"/>
  <c r="U248" i="1"/>
  <c r="T248" i="1"/>
  <c r="AC59" i="1"/>
  <c r="U59" i="1"/>
  <c r="AB59" i="1"/>
  <c r="T59" i="1"/>
  <c r="V59" i="1"/>
  <c r="AC179" i="1"/>
  <c r="U179" i="1"/>
  <c r="AB179" i="1"/>
  <c r="T179" i="1"/>
  <c r="V179" i="1"/>
  <c r="AC375" i="1"/>
  <c r="V375" i="1"/>
  <c r="AB375" i="1"/>
  <c r="T375" i="1"/>
  <c r="U375" i="1"/>
  <c r="AC351" i="1"/>
  <c r="T351" i="1"/>
  <c r="AB351" i="1"/>
  <c r="V351" i="1"/>
  <c r="U351" i="1"/>
  <c r="AC317" i="1"/>
  <c r="AB317" i="1"/>
  <c r="U317" i="1"/>
  <c r="V317" i="1"/>
  <c r="T317" i="1"/>
  <c r="AC362" i="1"/>
  <c r="T362" i="1"/>
  <c r="AB362" i="1"/>
  <c r="U362" i="1"/>
  <c r="V362" i="1"/>
  <c r="AC159" i="1"/>
  <c r="V159" i="1"/>
  <c r="AB159" i="1"/>
  <c r="T159" i="1"/>
  <c r="U159" i="1"/>
  <c r="AC335" i="1"/>
  <c r="U335" i="1"/>
  <c r="T335" i="1"/>
  <c r="AB335" i="1"/>
  <c r="V335" i="1"/>
  <c r="AC137" i="1"/>
  <c r="AB137" i="1"/>
  <c r="T137" i="1"/>
  <c r="V137" i="1"/>
  <c r="U137" i="1"/>
  <c r="AC210" i="1"/>
  <c r="AB210" i="1"/>
  <c r="V210" i="1"/>
  <c r="T210" i="1"/>
  <c r="U210" i="1"/>
  <c r="U149" i="1"/>
  <c r="AB149" i="1"/>
  <c r="V149" i="1"/>
  <c r="AC149" i="1"/>
  <c r="T149" i="1"/>
  <c r="AC263" i="1"/>
  <c r="T263" i="1"/>
  <c r="AB263" i="1"/>
  <c r="V263" i="1"/>
  <c r="U263" i="1"/>
  <c r="AA18" i="1"/>
  <c r="AA19" i="1" s="1"/>
  <c r="AA20" i="1" s="1"/>
  <c r="AA21" i="1" s="1"/>
  <c r="AA22" i="1" s="1"/>
  <c r="AA23" i="1" s="1"/>
  <c r="AA24" i="1" s="1"/>
  <c r="AA25" i="1" s="1"/>
  <c r="AA26" i="1" s="1"/>
  <c r="AA27" i="1" s="1"/>
  <c r="AA28" i="1" s="1"/>
  <c r="AA29" i="1" s="1"/>
  <c r="AA30" i="1" s="1"/>
  <c r="AA31" i="1" s="1"/>
  <c r="AA32" i="1" s="1"/>
  <c r="AA33" i="1" s="1"/>
  <c r="AA34" i="1" s="1"/>
  <c r="AA35" i="1" s="1"/>
  <c r="AA36" i="1" s="1"/>
  <c r="AA37" i="1" s="1"/>
  <c r="AA38" i="1" s="1"/>
  <c r="AA39" i="1" s="1"/>
  <c r="AA40" i="1" s="1"/>
  <c r="AA41" i="1" s="1"/>
  <c r="AA42" i="1" s="1"/>
  <c r="AA43" i="1" s="1"/>
  <c r="AA44" i="1" s="1"/>
  <c r="AA45" i="1" s="1"/>
  <c r="AA46" i="1" s="1"/>
  <c r="AA47" i="1" s="1"/>
  <c r="AA48" i="1" s="1"/>
  <c r="AA49" i="1" s="1"/>
  <c r="AA50" i="1" s="1"/>
  <c r="AA51" i="1" s="1"/>
  <c r="AA52" i="1" s="1"/>
  <c r="AA53" i="1" s="1"/>
  <c r="AA54" i="1" s="1"/>
  <c r="AA55" i="1" s="1"/>
  <c r="AA56" i="1" s="1"/>
  <c r="AA57" i="1" s="1"/>
  <c r="AA58" i="1" s="1"/>
  <c r="AA59" i="1" s="1"/>
  <c r="AA60" i="1" s="1"/>
  <c r="AA61" i="1" s="1"/>
  <c r="AA62" i="1" s="1"/>
  <c r="AA63" i="1" s="1"/>
  <c r="AA64" i="1" s="1"/>
  <c r="AA65" i="1" s="1"/>
  <c r="AA66" i="1" s="1"/>
  <c r="AA67" i="1" s="1"/>
  <c r="AA68" i="1" s="1"/>
  <c r="AA69" i="1" s="1"/>
  <c r="AA70" i="1" s="1"/>
  <c r="AA71" i="1" s="1"/>
  <c r="AA72" i="1" s="1"/>
  <c r="AA73" i="1" s="1"/>
  <c r="AA74" i="1" s="1"/>
  <c r="AA75" i="1" s="1"/>
  <c r="AA76" i="1" s="1"/>
  <c r="AA77" i="1" s="1"/>
  <c r="AA78" i="1" s="1"/>
  <c r="AA79" i="1" s="1"/>
  <c r="AA80" i="1" s="1"/>
  <c r="AA81" i="1" s="1"/>
  <c r="AA82" i="1" s="1"/>
  <c r="AA83" i="1" s="1"/>
  <c r="AA84" i="1" s="1"/>
  <c r="AA85" i="1" s="1"/>
  <c r="AA86" i="1" s="1"/>
  <c r="AA87" i="1" s="1"/>
  <c r="AA88" i="1" s="1"/>
  <c r="AA89" i="1" s="1"/>
  <c r="AA90" i="1" s="1"/>
  <c r="AA91" i="1" s="1"/>
  <c r="AA92" i="1" s="1"/>
  <c r="AA93" i="1" s="1"/>
  <c r="AA94" i="1" s="1"/>
  <c r="AA95" i="1" s="1"/>
  <c r="AA96" i="1" s="1"/>
  <c r="AA97" i="1" s="1"/>
  <c r="AA98" i="1" s="1"/>
  <c r="AA99" i="1" s="1"/>
  <c r="AA100" i="1" s="1"/>
  <c r="AA101" i="1" s="1"/>
  <c r="AA102" i="1" s="1"/>
  <c r="AA103" i="1" s="1"/>
  <c r="AA104" i="1" s="1"/>
  <c r="AA105" i="1" s="1"/>
  <c r="AA106" i="1" s="1"/>
  <c r="AA107" i="1" s="1"/>
  <c r="AA108" i="1" s="1"/>
  <c r="AA109" i="1" s="1"/>
  <c r="AA110" i="1" s="1"/>
  <c r="AA111" i="1" s="1"/>
  <c r="AA112" i="1" s="1"/>
  <c r="AA113" i="1" s="1"/>
  <c r="AA114" i="1" s="1"/>
  <c r="AA115" i="1" s="1"/>
  <c r="AA116" i="1" s="1"/>
  <c r="AA117" i="1" s="1"/>
  <c r="AA118" i="1" s="1"/>
  <c r="AA119" i="1" s="1"/>
  <c r="AA120" i="1" s="1"/>
  <c r="AA121" i="1" s="1"/>
  <c r="AA122" i="1" s="1"/>
  <c r="AA123" i="1" s="1"/>
  <c r="AA124" i="1" s="1"/>
  <c r="AA125" i="1" s="1"/>
  <c r="AA126" i="1" s="1"/>
  <c r="AA127" i="1" s="1"/>
  <c r="AA128" i="1" s="1"/>
  <c r="AA129" i="1" s="1"/>
  <c r="AA130" i="1" s="1"/>
  <c r="AA131" i="1" s="1"/>
  <c r="AA132" i="1" s="1"/>
  <c r="AA133" i="1" s="1"/>
  <c r="AA134" i="1" s="1"/>
  <c r="AA135" i="1" s="1"/>
  <c r="AA136" i="1" s="1"/>
  <c r="AA137" i="1" s="1"/>
  <c r="AA138" i="1" s="1"/>
  <c r="AA139" i="1" s="1"/>
  <c r="AA140" i="1" s="1"/>
  <c r="AA141" i="1" s="1"/>
  <c r="AA142" i="1" s="1"/>
  <c r="AA143" i="1" s="1"/>
  <c r="AA144" i="1" s="1"/>
  <c r="AA145" i="1" s="1"/>
  <c r="AA146" i="1" s="1"/>
  <c r="AA147" i="1" s="1"/>
  <c r="AA148" i="1" s="1"/>
  <c r="AA149" i="1" s="1"/>
  <c r="AA150" i="1" s="1"/>
  <c r="AA151" i="1" s="1"/>
  <c r="AA152" i="1" s="1"/>
  <c r="AA153" i="1" s="1"/>
  <c r="AA154" i="1" s="1"/>
  <c r="AA155" i="1" s="1"/>
  <c r="AA156" i="1" s="1"/>
  <c r="AA157" i="1" s="1"/>
  <c r="AA158" i="1" s="1"/>
  <c r="AA159" i="1" s="1"/>
  <c r="AA160" i="1" s="1"/>
  <c r="AA161" i="1" s="1"/>
  <c r="AA162" i="1" s="1"/>
  <c r="AA163" i="1" s="1"/>
  <c r="AA164" i="1" s="1"/>
  <c r="AA165" i="1" s="1"/>
  <c r="AA166" i="1" s="1"/>
  <c r="AA167" i="1" s="1"/>
  <c r="AA168" i="1" s="1"/>
  <c r="AA169" i="1" s="1"/>
  <c r="AA170" i="1" s="1"/>
  <c r="AA171" i="1" s="1"/>
  <c r="AA172" i="1" s="1"/>
  <c r="AA173" i="1" s="1"/>
  <c r="AA174" i="1" s="1"/>
  <c r="AA175" i="1" s="1"/>
  <c r="AA176" i="1" s="1"/>
  <c r="AA177" i="1" s="1"/>
  <c r="AA178" i="1" s="1"/>
  <c r="AA179" i="1" s="1"/>
  <c r="AA180" i="1" s="1"/>
  <c r="AA181" i="1" s="1"/>
  <c r="AA182" i="1" s="1"/>
  <c r="AA183" i="1" s="1"/>
  <c r="AA184" i="1" s="1"/>
  <c r="AA185" i="1" s="1"/>
  <c r="AA186" i="1" s="1"/>
  <c r="AA187" i="1" s="1"/>
  <c r="AA188" i="1" s="1"/>
  <c r="AA189" i="1" s="1"/>
  <c r="AA190" i="1" s="1"/>
  <c r="AA191" i="1" s="1"/>
  <c r="AA192" i="1" s="1"/>
  <c r="AA193" i="1" s="1"/>
  <c r="AA194" i="1" s="1"/>
  <c r="AA195" i="1" s="1"/>
  <c r="AA196" i="1" s="1"/>
  <c r="AA197" i="1" s="1"/>
  <c r="AA198" i="1" s="1"/>
  <c r="AA199" i="1" s="1"/>
  <c r="AA200" i="1" s="1"/>
  <c r="AA201" i="1" s="1"/>
  <c r="AA202" i="1" s="1"/>
  <c r="AA203" i="1" s="1"/>
  <c r="AA204" i="1" s="1"/>
  <c r="AA205" i="1" s="1"/>
  <c r="AA206" i="1" s="1"/>
  <c r="AA207" i="1" s="1"/>
  <c r="AA208" i="1" s="1"/>
  <c r="AA209" i="1" s="1"/>
  <c r="AA210" i="1" s="1"/>
  <c r="AA211" i="1" s="1"/>
  <c r="AA212" i="1" s="1"/>
  <c r="AA213" i="1" s="1"/>
  <c r="AA214" i="1" s="1"/>
  <c r="AA215" i="1" s="1"/>
  <c r="AA216" i="1" s="1"/>
  <c r="AA217" i="1" s="1"/>
  <c r="AA218" i="1" s="1"/>
  <c r="AA219" i="1" s="1"/>
  <c r="AA220" i="1" s="1"/>
  <c r="AA221" i="1" s="1"/>
  <c r="AA222" i="1" s="1"/>
  <c r="AA223" i="1" s="1"/>
  <c r="AA224" i="1" s="1"/>
  <c r="AA225" i="1" s="1"/>
  <c r="AA226" i="1" s="1"/>
  <c r="AA227" i="1" s="1"/>
  <c r="AA228" i="1" s="1"/>
  <c r="AA229" i="1" s="1"/>
  <c r="AA230" i="1" s="1"/>
  <c r="AA231" i="1" s="1"/>
  <c r="AA232" i="1" s="1"/>
  <c r="AA233" i="1" s="1"/>
  <c r="AA234" i="1" s="1"/>
  <c r="AA235" i="1" s="1"/>
  <c r="AA236" i="1" s="1"/>
  <c r="AA237" i="1" s="1"/>
  <c r="AA238" i="1" s="1"/>
  <c r="AA239" i="1" s="1"/>
  <c r="AA240" i="1" s="1"/>
  <c r="AA241" i="1" s="1"/>
  <c r="AA242" i="1" s="1"/>
  <c r="AA243" i="1" s="1"/>
  <c r="AA244" i="1" s="1"/>
  <c r="AA245" i="1" s="1"/>
  <c r="AA246" i="1" s="1"/>
  <c r="AA247" i="1" s="1"/>
  <c r="AA248" i="1" s="1"/>
  <c r="AA249" i="1" s="1"/>
  <c r="AA250" i="1" s="1"/>
  <c r="AA251" i="1" s="1"/>
  <c r="AA252" i="1" s="1"/>
  <c r="AA253" i="1" s="1"/>
  <c r="AA254" i="1" s="1"/>
  <c r="AA255" i="1" s="1"/>
  <c r="AA256" i="1" s="1"/>
  <c r="AA257" i="1" s="1"/>
  <c r="AA258" i="1" s="1"/>
  <c r="AA259" i="1" s="1"/>
  <c r="AA260" i="1" s="1"/>
  <c r="AA261" i="1" s="1"/>
  <c r="AA262" i="1" s="1"/>
  <c r="AA263" i="1" s="1"/>
  <c r="AA264" i="1" s="1"/>
  <c r="AA265" i="1" s="1"/>
  <c r="AA266" i="1" s="1"/>
  <c r="AA267" i="1" s="1"/>
  <c r="AA268" i="1" s="1"/>
  <c r="AA269" i="1" s="1"/>
  <c r="AA270" i="1" s="1"/>
  <c r="AA271" i="1" s="1"/>
  <c r="AA272" i="1" s="1"/>
  <c r="AA273" i="1" s="1"/>
  <c r="AA274" i="1" s="1"/>
  <c r="AA275" i="1" s="1"/>
  <c r="AA276" i="1" s="1"/>
  <c r="AA277" i="1" s="1"/>
  <c r="AA278" i="1" s="1"/>
  <c r="AA279" i="1" s="1"/>
  <c r="AA280" i="1" s="1"/>
  <c r="AA281" i="1" s="1"/>
  <c r="AA282" i="1" s="1"/>
  <c r="AA283" i="1" s="1"/>
  <c r="AA284" i="1" s="1"/>
  <c r="AA285" i="1" s="1"/>
  <c r="AA286" i="1" s="1"/>
  <c r="AA287" i="1" s="1"/>
  <c r="AA288" i="1" s="1"/>
  <c r="AA289" i="1" s="1"/>
  <c r="AA290" i="1" s="1"/>
  <c r="AA291" i="1" s="1"/>
  <c r="AA292" i="1" s="1"/>
  <c r="AA293" i="1" s="1"/>
  <c r="AA294" i="1" s="1"/>
  <c r="AA295" i="1" s="1"/>
  <c r="AA296" i="1" s="1"/>
  <c r="AA297" i="1" s="1"/>
  <c r="AA298" i="1" s="1"/>
  <c r="AA299" i="1" s="1"/>
  <c r="AA300" i="1" s="1"/>
  <c r="AA301" i="1" s="1"/>
  <c r="AA302" i="1" s="1"/>
  <c r="AA303" i="1" s="1"/>
  <c r="AA304" i="1" s="1"/>
  <c r="AA305" i="1" s="1"/>
  <c r="AA306" i="1" s="1"/>
  <c r="AA307" i="1" s="1"/>
  <c r="AA308" i="1" s="1"/>
  <c r="AA309" i="1" s="1"/>
  <c r="AA310" i="1" s="1"/>
  <c r="AA311" i="1" s="1"/>
  <c r="AA312" i="1" s="1"/>
  <c r="AA313" i="1" s="1"/>
  <c r="AA314" i="1" s="1"/>
  <c r="AA315" i="1" s="1"/>
  <c r="AA316" i="1" s="1"/>
  <c r="AA317" i="1" s="1"/>
  <c r="AA318" i="1" s="1"/>
  <c r="AA319" i="1" s="1"/>
  <c r="AA320" i="1" s="1"/>
  <c r="AA321" i="1" s="1"/>
  <c r="AA322" i="1" s="1"/>
  <c r="AA323" i="1" s="1"/>
  <c r="AA324" i="1" s="1"/>
  <c r="AA325" i="1" s="1"/>
  <c r="AA326" i="1" s="1"/>
  <c r="AA327" i="1" s="1"/>
  <c r="AA328" i="1" s="1"/>
  <c r="AA329" i="1" s="1"/>
  <c r="AA330" i="1" s="1"/>
  <c r="AA331" i="1" s="1"/>
  <c r="AA332" i="1" s="1"/>
  <c r="AA333" i="1" s="1"/>
  <c r="AA334" i="1" s="1"/>
  <c r="AA335" i="1" s="1"/>
  <c r="AA336" i="1" s="1"/>
  <c r="AA337" i="1" s="1"/>
  <c r="AA338" i="1" s="1"/>
  <c r="AA339" i="1" s="1"/>
  <c r="AA340" i="1" s="1"/>
  <c r="AA341" i="1" s="1"/>
  <c r="AA342" i="1" s="1"/>
  <c r="AA343" i="1" s="1"/>
  <c r="AA344" i="1" s="1"/>
  <c r="AA345" i="1" s="1"/>
  <c r="AA346" i="1" s="1"/>
  <c r="AA347" i="1" s="1"/>
  <c r="AA348" i="1" s="1"/>
  <c r="AA349" i="1" s="1"/>
  <c r="AA350" i="1" s="1"/>
  <c r="AA351" i="1" s="1"/>
  <c r="AA352" i="1" s="1"/>
  <c r="AA353" i="1" s="1"/>
  <c r="AA354" i="1" s="1"/>
  <c r="AA355" i="1" s="1"/>
  <c r="AA356" i="1" s="1"/>
  <c r="AA357" i="1" s="1"/>
  <c r="AA358" i="1" s="1"/>
  <c r="AA359" i="1" s="1"/>
  <c r="AA360" i="1" s="1"/>
  <c r="AA361" i="1" s="1"/>
  <c r="AA362" i="1" s="1"/>
  <c r="AA363" i="1" s="1"/>
  <c r="AA364" i="1" s="1"/>
  <c r="AA365" i="1" s="1"/>
  <c r="AA366" i="1" s="1"/>
  <c r="AA367" i="1" s="1"/>
  <c r="AA368" i="1" s="1"/>
  <c r="AA369" i="1" s="1"/>
  <c r="AA370" i="1" s="1"/>
  <c r="AA371" i="1" s="1"/>
  <c r="AA372" i="1" s="1"/>
  <c r="AA373" i="1" s="1"/>
  <c r="AA374" i="1" s="1"/>
  <c r="AA375" i="1" s="1"/>
  <c r="AA376" i="1" s="1"/>
  <c r="AA377" i="1" s="1"/>
  <c r="AA378" i="1" s="1"/>
  <c r="AA379" i="1" s="1"/>
  <c r="AA380" i="1" s="1"/>
  <c r="AA381" i="1" s="1"/>
  <c r="AA382" i="1" s="1"/>
  <c r="AA383" i="1" s="1"/>
  <c r="AA384" i="1" s="1"/>
  <c r="AA385" i="1" s="1"/>
  <c r="AA386" i="1" s="1"/>
  <c r="AA387" i="1" s="1"/>
  <c r="AA388" i="1" s="1"/>
  <c r="AA389" i="1" s="1"/>
  <c r="AA390" i="1" s="1"/>
  <c r="AA391" i="1" s="1"/>
  <c r="AA392" i="1" s="1"/>
  <c r="AA393" i="1" s="1"/>
  <c r="AA394" i="1" s="1"/>
  <c r="AA395" i="1" s="1"/>
  <c r="AA396" i="1" s="1"/>
  <c r="AA397" i="1" s="1"/>
  <c r="AA398" i="1" s="1"/>
  <c r="AA399" i="1" s="1"/>
  <c r="AA400" i="1" s="1"/>
  <c r="AA401" i="1" s="1"/>
  <c r="AA402" i="1" s="1"/>
  <c r="AA403" i="1" s="1"/>
  <c r="AA404" i="1" s="1"/>
  <c r="AA405" i="1" s="1"/>
  <c r="AA406" i="1" s="1"/>
  <c r="AA407" i="1" s="1"/>
  <c r="AA408" i="1" s="1"/>
  <c r="AA409" i="1" s="1"/>
  <c r="AA410" i="1" s="1"/>
  <c r="AA411" i="1" s="1"/>
  <c r="AA412" i="1" s="1"/>
  <c r="AA413" i="1" s="1"/>
  <c r="AA414" i="1" s="1"/>
  <c r="AA415" i="1" s="1"/>
  <c r="AA416" i="1" s="1"/>
  <c r="AA417" i="1" s="1"/>
  <c r="AA418" i="1" s="1"/>
  <c r="AA419" i="1" s="1"/>
  <c r="AA420" i="1" s="1"/>
  <c r="AA421" i="1" s="1"/>
  <c r="AA422" i="1" s="1"/>
  <c r="AA423" i="1" s="1"/>
  <c r="AA424" i="1" s="1"/>
  <c r="AA425" i="1" s="1"/>
  <c r="AA426" i="1" s="1"/>
  <c r="AA427" i="1" s="1"/>
  <c r="AA428" i="1" s="1"/>
  <c r="AA429" i="1" s="1"/>
  <c r="AA430" i="1" s="1"/>
  <c r="AA431" i="1" s="1"/>
  <c r="AA432" i="1" s="1"/>
  <c r="AA433" i="1" s="1"/>
  <c r="AA434" i="1" s="1"/>
  <c r="AA435" i="1" s="1"/>
  <c r="AA436" i="1" s="1"/>
  <c r="AA437" i="1" s="1"/>
  <c r="AA438" i="1" s="1"/>
  <c r="AA439" i="1" s="1"/>
  <c r="AA440" i="1" s="1"/>
  <c r="AA441" i="1" s="1"/>
  <c r="AA442" i="1" s="1"/>
  <c r="AA443" i="1" s="1"/>
  <c r="AA444" i="1" s="1"/>
  <c r="AA445" i="1" s="1"/>
  <c r="AA446" i="1" s="1"/>
  <c r="AA447" i="1" s="1"/>
  <c r="AA448" i="1" s="1"/>
  <c r="AA449" i="1" s="1"/>
  <c r="AA450" i="1" s="1"/>
  <c r="AA451" i="1" s="1"/>
  <c r="AA452" i="1" s="1"/>
  <c r="AA453" i="1" s="1"/>
  <c r="AA454" i="1" s="1"/>
  <c r="AA455" i="1" s="1"/>
  <c r="AA456" i="1" s="1"/>
  <c r="AA457" i="1" s="1"/>
  <c r="AA458" i="1" s="1"/>
  <c r="AA459" i="1" s="1"/>
  <c r="AA460" i="1" s="1"/>
  <c r="AA461" i="1" s="1"/>
  <c r="AA462" i="1" s="1"/>
  <c r="AA463" i="1" s="1"/>
  <c r="AA464" i="1" s="1"/>
  <c r="AA465" i="1" s="1"/>
  <c r="AA466" i="1" s="1"/>
  <c r="AA467" i="1" s="1"/>
  <c r="AA468" i="1" s="1"/>
  <c r="AA469" i="1" s="1"/>
  <c r="AA470" i="1" s="1"/>
  <c r="AA471" i="1" s="1"/>
  <c r="AA472" i="1" s="1"/>
  <c r="AA473" i="1" s="1"/>
  <c r="AA474" i="1" s="1"/>
  <c r="AA475" i="1" s="1"/>
  <c r="AA476" i="1" s="1"/>
  <c r="AA477" i="1" s="1"/>
  <c r="AA478" i="1" s="1"/>
  <c r="AA479" i="1" s="1"/>
  <c r="AA480" i="1" s="1"/>
  <c r="AA481" i="1" s="1"/>
  <c r="AA482" i="1" s="1"/>
  <c r="AA483" i="1" s="1"/>
  <c r="AA484" i="1" s="1"/>
  <c r="AA485" i="1" s="1"/>
  <c r="AA486" i="1" s="1"/>
  <c r="AA487" i="1" s="1"/>
  <c r="AA488" i="1" s="1"/>
  <c r="AA489" i="1" s="1"/>
  <c r="AA490" i="1" s="1"/>
  <c r="AA491" i="1" s="1"/>
  <c r="AA492" i="1" s="1"/>
  <c r="AA493" i="1" s="1"/>
  <c r="AA494" i="1" s="1"/>
  <c r="AA495" i="1" s="1"/>
  <c r="AA496" i="1" s="1"/>
  <c r="AA497" i="1" s="1"/>
  <c r="AA498" i="1" s="1"/>
  <c r="AA499" i="1" s="1"/>
  <c r="AA500" i="1" s="1"/>
  <c r="AA501" i="1" s="1"/>
  <c r="AA502" i="1" s="1"/>
  <c r="AA503" i="1" s="1"/>
  <c r="AA504" i="1" s="1"/>
  <c r="AA505" i="1" s="1"/>
  <c r="AA506" i="1" s="1"/>
  <c r="AA507" i="1" s="1"/>
  <c r="AA508" i="1" s="1"/>
  <c r="AA509" i="1" s="1"/>
  <c r="AA510" i="1" s="1"/>
  <c r="AA511" i="1" s="1"/>
  <c r="AA512" i="1" s="1"/>
  <c r="AA513" i="1" s="1"/>
  <c r="AA514" i="1" s="1"/>
  <c r="AA515" i="1" s="1"/>
  <c r="AA516" i="1" s="1"/>
  <c r="AA517" i="1" s="1"/>
  <c r="AA518" i="1" s="1"/>
  <c r="AA519" i="1" s="1"/>
  <c r="AA520" i="1" s="1"/>
  <c r="AA521" i="1" s="1"/>
  <c r="AA522" i="1" s="1"/>
  <c r="AA523" i="1" s="1"/>
  <c r="AA524" i="1" s="1"/>
  <c r="AA525" i="1" s="1"/>
  <c r="AA526" i="1" s="1"/>
  <c r="AA527" i="1" s="1"/>
  <c r="AA528" i="1" s="1"/>
  <c r="AA529" i="1" s="1"/>
  <c r="AA530" i="1" s="1"/>
  <c r="AA531" i="1" s="1"/>
  <c r="AA532" i="1" s="1"/>
  <c r="AA533" i="1" s="1"/>
  <c r="AA534" i="1" s="1"/>
  <c r="AA535" i="1" s="1"/>
  <c r="AA536" i="1" s="1"/>
  <c r="AA537" i="1" s="1"/>
  <c r="AA538" i="1" s="1"/>
  <c r="AA539" i="1" s="1"/>
  <c r="AA540" i="1" s="1"/>
  <c r="AA541" i="1" s="1"/>
  <c r="AA542" i="1" s="1"/>
  <c r="AA543" i="1" s="1"/>
  <c r="AA544" i="1" s="1"/>
  <c r="AA545" i="1" s="1"/>
  <c r="AA546" i="1" s="1"/>
  <c r="AA547" i="1" s="1"/>
  <c r="AA548" i="1" s="1"/>
  <c r="AA549" i="1" s="1"/>
  <c r="AA550" i="1" s="1"/>
  <c r="AA551" i="1" s="1"/>
  <c r="AA552" i="1" s="1"/>
  <c r="AA553" i="1" s="1"/>
  <c r="AA554" i="1" s="1"/>
  <c r="AA555" i="1" s="1"/>
  <c r="AA556" i="1" s="1"/>
  <c r="AA557" i="1" s="1"/>
  <c r="AA558" i="1" s="1"/>
  <c r="AA559" i="1" s="1"/>
  <c r="AA560" i="1" s="1"/>
  <c r="AA561" i="1" s="1"/>
  <c r="AA562" i="1" s="1"/>
  <c r="AA563" i="1" s="1"/>
  <c r="AA564" i="1" s="1"/>
  <c r="AA565" i="1" s="1"/>
  <c r="AA566" i="1" s="1"/>
  <c r="AA567" i="1" s="1"/>
  <c r="AA568" i="1" s="1"/>
  <c r="AA569" i="1" s="1"/>
  <c r="AA570" i="1" s="1"/>
  <c r="AA571" i="1" s="1"/>
  <c r="AA572" i="1" s="1"/>
  <c r="AA573" i="1" s="1"/>
  <c r="AA574" i="1" s="1"/>
  <c r="AA575" i="1" s="1"/>
  <c r="AA576" i="1" s="1"/>
  <c r="AA577" i="1" s="1"/>
  <c r="AA578" i="1" s="1"/>
  <c r="AA579" i="1" s="1"/>
  <c r="AA580" i="1" s="1"/>
  <c r="AA581" i="1" s="1"/>
  <c r="AA582" i="1" s="1"/>
  <c r="AA583" i="1" s="1"/>
  <c r="AA584" i="1" s="1"/>
  <c r="AA585" i="1" s="1"/>
  <c r="AA586" i="1" s="1"/>
  <c r="AA587" i="1" s="1"/>
  <c r="AA588" i="1" s="1"/>
  <c r="AA589" i="1" s="1"/>
  <c r="AA590" i="1" s="1"/>
  <c r="AA591" i="1" s="1"/>
  <c r="AA592" i="1" s="1"/>
  <c r="AA593" i="1" s="1"/>
  <c r="AA594" i="1" s="1"/>
  <c r="AA595" i="1" s="1"/>
  <c r="AA596" i="1" s="1"/>
  <c r="AA597" i="1" s="1"/>
  <c r="AA598" i="1" s="1"/>
  <c r="AA599" i="1" s="1"/>
  <c r="AA600" i="1" s="1"/>
  <c r="AA601" i="1" s="1"/>
  <c r="AA602" i="1" s="1"/>
  <c r="AA603" i="1" s="1"/>
  <c r="AA604" i="1" s="1"/>
  <c r="AA605" i="1" s="1"/>
  <c r="AA606" i="1" s="1"/>
  <c r="AA607" i="1" s="1"/>
  <c r="AA608" i="1" s="1"/>
  <c r="AA609" i="1" s="1"/>
  <c r="AA610" i="1" s="1"/>
  <c r="AA611" i="1" s="1"/>
  <c r="AA612" i="1" s="1"/>
  <c r="AA613" i="1" s="1"/>
  <c r="AA614" i="1" s="1"/>
  <c r="AA615" i="1" s="1"/>
  <c r="AA616" i="1" s="1"/>
  <c r="AA617" i="1" s="1"/>
  <c r="AA618" i="1" s="1"/>
  <c r="AA619" i="1" s="1"/>
  <c r="AA620" i="1" s="1"/>
  <c r="AA621" i="1" s="1"/>
  <c r="AA622" i="1" s="1"/>
  <c r="AA623" i="1" s="1"/>
  <c r="AA624" i="1" s="1"/>
  <c r="AA625" i="1" s="1"/>
  <c r="AA626" i="1" s="1"/>
  <c r="AA627" i="1" s="1"/>
  <c r="AA628" i="1" s="1"/>
  <c r="AA629" i="1" s="1"/>
  <c r="AA630" i="1" s="1"/>
  <c r="AA631" i="1" s="1"/>
  <c r="AA632" i="1" s="1"/>
  <c r="AA633" i="1" s="1"/>
  <c r="AA634" i="1" s="1"/>
  <c r="AA635" i="1" s="1"/>
  <c r="AA636" i="1" s="1"/>
  <c r="AA637" i="1" s="1"/>
  <c r="AA638" i="1" s="1"/>
  <c r="AA639" i="1" s="1"/>
  <c r="AA640" i="1" s="1"/>
  <c r="AA641" i="1" s="1"/>
  <c r="AA642" i="1" s="1"/>
  <c r="AA643" i="1" s="1"/>
  <c r="AA644" i="1" s="1"/>
  <c r="AA645" i="1" s="1"/>
  <c r="AA646" i="1" s="1"/>
  <c r="AA647" i="1" s="1"/>
  <c r="AA648" i="1" s="1"/>
  <c r="AA649" i="1" s="1"/>
  <c r="AA650" i="1" s="1"/>
  <c r="AA651" i="1" s="1"/>
  <c r="AA652" i="1" s="1"/>
  <c r="AA653" i="1" s="1"/>
  <c r="AA654" i="1" s="1"/>
  <c r="AA655" i="1" s="1"/>
  <c r="AA656" i="1" s="1"/>
  <c r="AA657" i="1" s="1"/>
  <c r="AA658" i="1" s="1"/>
  <c r="AA659" i="1" s="1"/>
  <c r="AA660" i="1" s="1"/>
  <c r="AA661" i="1" s="1"/>
  <c r="AA662" i="1" s="1"/>
  <c r="V18" i="1"/>
  <c r="AB18" i="1"/>
  <c r="U18" i="1"/>
  <c r="AC18" i="1"/>
  <c r="T18" i="1"/>
  <c r="V114" i="1"/>
  <c r="AC114" i="1"/>
  <c r="U114" i="1"/>
  <c r="AB114" i="1"/>
  <c r="T114" i="1"/>
  <c r="AH379" i="1"/>
  <c r="AG379" i="1"/>
  <c r="AF379" i="1"/>
  <c r="AF292" i="1"/>
  <c r="AH292" i="1"/>
  <c r="AG292" i="1"/>
  <c r="AF164" i="1"/>
  <c r="AG164" i="1"/>
  <c r="AH164" i="1"/>
  <c r="AG60" i="1"/>
  <c r="AF60" i="1"/>
  <c r="AH60" i="1"/>
  <c r="AH386" i="1"/>
  <c r="AG386" i="1"/>
  <c r="AF386" i="1"/>
  <c r="AG347" i="1"/>
  <c r="AH347" i="1"/>
  <c r="AF347" i="1"/>
  <c r="AF221" i="1"/>
  <c r="AG221" i="1"/>
  <c r="AH221" i="1"/>
  <c r="AF93" i="1"/>
  <c r="AG93" i="1"/>
  <c r="AH93" i="1"/>
  <c r="AF341" i="1"/>
  <c r="AG341" i="1"/>
  <c r="AH341" i="1"/>
  <c r="AH232" i="1"/>
  <c r="AF232" i="1"/>
  <c r="AG232" i="1"/>
  <c r="AH380" i="1"/>
  <c r="AF380" i="1"/>
  <c r="AG380" i="1"/>
  <c r="AF120" i="1"/>
  <c r="AH120" i="1"/>
  <c r="AG120" i="1"/>
  <c r="AF126" i="1"/>
  <c r="AG126" i="1"/>
  <c r="AH126" i="1"/>
  <c r="AH269" i="1"/>
  <c r="AF269" i="1"/>
  <c r="AG269" i="1"/>
  <c r="AG112" i="1"/>
  <c r="AH112" i="1"/>
  <c r="AF112" i="1"/>
  <c r="AF118" i="1"/>
  <c r="AG118" i="1"/>
  <c r="AH118" i="1"/>
  <c r="AH237" i="1"/>
  <c r="AF237" i="1"/>
  <c r="AG237" i="1"/>
  <c r="AG247" i="1"/>
  <c r="AF247" i="1"/>
  <c r="AH247" i="1"/>
  <c r="AH45" i="1"/>
  <c r="AF45" i="1"/>
  <c r="AG45" i="1"/>
  <c r="AG68" i="1"/>
  <c r="AF68" i="1"/>
  <c r="AH68" i="1"/>
  <c r="AF56" i="1"/>
  <c r="AH56" i="1"/>
  <c r="AG56" i="1"/>
  <c r="AH199" i="1"/>
  <c r="AG199" i="1"/>
  <c r="AF199" i="1"/>
  <c r="AH62" i="1"/>
  <c r="AG62" i="1"/>
  <c r="AF62" i="1"/>
  <c r="AH226" i="1"/>
  <c r="AF226" i="1"/>
  <c r="AG226" i="1"/>
  <c r="AF363" i="1"/>
  <c r="AH363" i="1"/>
  <c r="AG363" i="1"/>
  <c r="AG345" i="1"/>
  <c r="AH345" i="1"/>
  <c r="AF345" i="1"/>
  <c r="AG48" i="1"/>
  <c r="AF48" i="1"/>
  <c r="AH48" i="1"/>
  <c r="AF191" i="1"/>
  <c r="AG191" i="1"/>
  <c r="AH191" i="1"/>
  <c r="AF54" i="1"/>
  <c r="AG54" i="1"/>
  <c r="AH54" i="1"/>
  <c r="AF218" i="1"/>
  <c r="AG218" i="1"/>
  <c r="AH218" i="1"/>
  <c r="AH315" i="1"/>
  <c r="AF315" i="1"/>
  <c r="AG315" i="1"/>
  <c r="AH253" i="1"/>
  <c r="AF253" i="1"/>
  <c r="AG253" i="1"/>
  <c r="AF40" i="1"/>
  <c r="AH40" i="1"/>
  <c r="AG40" i="1"/>
  <c r="AH183" i="1"/>
  <c r="AF183" i="1"/>
  <c r="AG183" i="1"/>
  <c r="AG46" i="1"/>
  <c r="AF46" i="1"/>
  <c r="AH46" i="1"/>
  <c r="AF210" i="1"/>
  <c r="AG210" i="1"/>
  <c r="AH210" i="1"/>
  <c r="AH228" i="1"/>
  <c r="AF228" i="1"/>
  <c r="AG228" i="1"/>
  <c r="AH29" i="1"/>
  <c r="AF29" i="1"/>
  <c r="AG29" i="1"/>
  <c r="AG32" i="1"/>
  <c r="AF32" i="1"/>
  <c r="AH32" i="1"/>
  <c r="AH175" i="1"/>
  <c r="AF175" i="1"/>
  <c r="AG175" i="1"/>
  <c r="AG38" i="1"/>
  <c r="AH38" i="1"/>
  <c r="AF38" i="1"/>
  <c r="AG202" i="1"/>
  <c r="AF202" i="1"/>
  <c r="AH202" i="1"/>
  <c r="AH28" i="1"/>
  <c r="AF28" i="1"/>
  <c r="AG28" i="1"/>
  <c r="AF308" i="1"/>
  <c r="AH308" i="1"/>
  <c r="AG308" i="1"/>
  <c r="AF241" i="1"/>
  <c r="AH241" i="1"/>
  <c r="AG241" i="1"/>
  <c r="AG103" i="1"/>
  <c r="AH103" i="1"/>
  <c r="AF103" i="1"/>
  <c r="AG259" i="1"/>
  <c r="AF259" i="1"/>
  <c r="AH259" i="1"/>
  <c r="AF130" i="1"/>
  <c r="AH130" i="1"/>
  <c r="AG130" i="1"/>
  <c r="AH365" i="1"/>
  <c r="AG365" i="1"/>
  <c r="AF365" i="1"/>
  <c r="AH21" i="1"/>
  <c r="AG21" i="1"/>
  <c r="AF21" i="1"/>
  <c r="AH169" i="1"/>
  <c r="AG169" i="1"/>
  <c r="AF169" i="1"/>
  <c r="AH31" i="1"/>
  <c r="AF31" i="1"/>
  <c r="AG31" i="1"/>
  <c r="AG187" i="1"/>
  <c r="AH187" i="1"/>
  <c r="AF187" i="1"/>
  <c r="AG58" i="1"/>
  <c r="AF58" i="1"/>
  <c r="AH58" i="1"/>
  <c r="AH108" i="1"/>
  <c r="AF108" i="1"/>
  <c r="AG108" i="1"/>
  <c r="AH328" i="1"/>
  <c r="AG328" i="1"/>
  <c r="AF328" i="1"/>
  <c r="AH97" i="1"/>
  <c r="AF97" i="1"/>
  <c r="AG97" i="1"/>
  <c r="AF334" i="1"/>
  <c r="AG334" i="1"/>
  <c r="AH334" i="1"/>
  <c r="AH115" i="1"/>
  <c r="AF115" i="1"/>
  <c r="AG115" i="1"/>
  <c r="AH189" i="1"/>
  <c r="AF189" i="1"/>
  <c r="AG189" i="1"/>
  <c r="AH157" i="1"/>
  <c r="AG157" i="1"/>
  <c r="AF157" i="1"/>
  <c r="AF256" i="1"/>
  <c r="AG256" i="1"/>
  <c r="AH256" i="1"/>
  <c r="AH25" i="1"/>
  <c r="AG25" i="1"/>
  <c r="AF25" i="1"/>
  <c r="AG262" i="1"/>
  <c r="AH262" i="1"/>
  <c r="AF262" i="1"/>
  <c r="AH43" i="1"/>
  <c r="AF43" i="1"/>
  <c r="AG43" i="1"/>
  <c r="G36" i="1"/>
  <c r="H36" i="1"/>
  <c r="B36" i="1"/>
  <c r="AC208" i="1"/>
  <c r="V208" i="1"/>
  <c r="AB208" i="1"/>
  <c r="U208" i="1"/>
  <c r="T208" i="1"/>
  <c r="AC84" i="1"/>
  <c r="V84" i="1"/>
  <c r="AB84" i="1"/>
  <c r="T84" i="1"/>
  <c r="U84" i="1"/>
  <c r="AC229" i="1"/>
  <c r="T229" i="1"/>
  <c r="U229" i="1"/>
  <c r="V229" i="1"/>
  <c r="AB229" i="1"/>
  <c r="AC23" i="1"/>
  <c r="T23" i="1"/>
  <c r="V23" i="1"/>
  <c r="U23" i="1"/>
  <c r="AB23" i="1"/>
  <c r="AC205" i="1"/>
  <c r="V205" i="1"/>
  <c r="T205" i="1"/>
  <c r="AB205" i="1"/>
  <c r="U205" i="1"/>
  <c r="U254" i="1"/>
  <c r="V254" i="1"/>
  <c r="T254" i="1"/>
  <c r="AC254" i="1"/>
  <c r="AB254" i="1"/>
  <c r="AC37" i="1"/>
  <c r="V37" i="1"/>
  <c r="AB37" i="1"/>
  <c r="U37" i="1"/>
  <c r="T37" i="1"/>
  <c r="AC21" i="1"/>
  <c r="T21" i="1"/>
  <c r="AB21" i="1"/>
  <c r="V21" i="1"/>
  <c r="U21" i="1"/>
  <c r="AC354" i="1"/>
  <c r="U354" i="1"/>
  <c r="AB354" i="1"/>
  <c r="T354" i="1"/>
  <c r="V354" i="1"/>
  <c r="AC60" i="1"/>
  <c r="T60" i="1"/>
  <c r="U60" i="1"/>
  <c r="AB60" i="1"/>
  <c r="V60" i="1"/>
  <c r="AC242" i="1"/>
  <c r="T242" i="1"/>
  <c r="AB242" i="1"/>
  <c r="V242" i="1"/>
  <c r="U242" i="1"/>
  <c r="AC166" i="1"/>
  <c r="U166" i="1"/>
  <c r="AB166" i="1"/>
  <c r="V166" i="1"/>
  <c r="T166" i="1"/>
  <c r="AC218" i="1"/>
  <c r="T218" i="1"/>
  <c r="U218" i="1"/>
  <c r="AB218" i="1"/>
  <c r="V218" i="1"/>
  <c r="AC387" i="1"/>
  <c r="V387" i="1"/>
  <c r="T387" i="1"/>
  <c r="U387" i="1"/>
  <c r="AB387" i="1"/>
  <c r="AC96" i="1"/>
  <c r="V96" i="1"/>
  <c r="AB96" i="1"/>
  <c r="U96" i="1"/>
  <c r="T96" i="1"/>
  <c r="AC26" i="1"/>
  <c r="U26" i="1"/>
  <c r="V26" i="1"/>
  <c r="AB26" i="1"/>
  <c r="T26" i="1"/>
  <c r="AC142" i="1"/>
  <c r="T142" i="1"/>
  <c r="AB142" i="1"/>
  <c r="V142" i="1"/>
  <c r="U142" i="1"/>
  <c r="AC328" i="1"/>
  <c r="T328" i="1"/>
  <c r="V328" i="1"/>
  <c r="AB328" i="1"/>
  <c r="U328" i="1"/>
  <c r="AC45" i="1"/>
  <c r="V45" i="1"/>
  <c r="AB45" i="1"/>
  <c r="T45" i="1"/>
  <c r="U45" i="1"/>
  <c r="AC300" i="1"/>
  <c r="T300" i="1"/>
  <c r="U300" i="1"/>
  <c r="AB300" i="1"/>
  <c r="V300" i="1"/>
  <c r="AC233" i="1"/>
  <c r="V233" i="1"/>
  <c r="AB233" i="1"/>
  <c r="U233" i="1"/>
  <c r="T233" i="1"/>
  <c r="V219" i="1"/>
  <c r="AC219" i="1"/>
  <c r="U219" i="1"/>
  <c r="T219" i="1"/>
  <c r="AB219" i="1"/>
  <c r="V123" i="1"/>
  <c r="U123" i="1"/>
  <c r="AB123" i="1"/>
  <c r="T123" i="1"/>
  <c r="AC123" i="1"/>
  <c r="V102" i="1"/>
  <c r="U102" i="1"/>
  <c r="AB102" i="1"/>
  <c r="T102" i="1"/>
  <c r="AC102" i="1"/>
  <c r="AC324" i="1"/>
  <c r="T324" i="1"/>
  <c r="AB324" i="1"/>
  <c r="V324" i="1"/>
  <c r="U324" i="1"/>
  <c r="AC246" i="1"/>
  <c r="U246" i="1"/>
  <c r="AB246" i="1"/>
  <c r="V246" i="1"/>
  <c r="T246" i="1"/>
  <c r="AC322" i="1"/>
  <c r="V322" i="1"/>
  <c r="U322" i="1"/>
  <c r="AB322" i="1"/>
  <c r="T322" i="1"/>
  <c r="AC132" i="1"/>
  <c r="V132" i="1"/>
  <c r="AB132" i="1"/>
  <c r="T132" i="1"/>
  <c r="U132" i="1"/>
  <c r="AC54" i="1"/>
  <c r="T54" i="1"/>
  <c r="AB54" i="1"/>
  <c r="V54" i="1"/>
  <c r="U54" i="1"/>
  <c r="AC79" i="1"/>
  <c r="T79" i="1"/>
  <c r="U79" i="1"/>
  <c r="AB79" i="1"/>
  <c r="V79" i="1"/>
  <c r="AC182" i="1"/>
  <c r="T182" i="1"/>
  <c r="AB182" i="1"/>
  <c r="U182" i="1"/>
  <c r="V182" i="1"/>
  <c r="AC35" i="1"/>
  <c r="T35" i="1"/>
  <c r="V35" i="1"/>
  <c r="AB35" i="1"/>
  <c r="U35" i="1"/>
  <c r="AC340" i="1"/>
  <c r="T340" i="1"/>
  <c r="AB340" i="1"/>
  <c r="V340" i="1"/>
  <c r="U340" i="1"/>
  <c r="AC341" i="1"/>
  <c r="U341" i="1"/>
  <c r="AB341" i="1"/>
  <c r="V341" i="1"/>
  <c r="T341" i="1"/>
  <c r="AC51" i="1"/>
  <c r="U51" i="1"/>
  <c r="V51" i="1"/>
  <c r="AB51" i="1"/>
  <c r="T51" i="1"/>
  <c r="AC100" i="1"/>
  <c r="T100" i="1"/>
  <c r="AB100" i="1"/>
  <c r="U100" i="1"/>
  <c r="V100" i="1"/>
  <c r="AC309" i="1"/>
  <c r="U309" i="1"/>
  <c r="AB309" i="1"/>
  <c r="V309" i="1"/>
  <c r="T309" i="1"/>
  <c r="AC169" i="1"/>
  <c r="AB169" i="1"/>
  <c r="U169" i="1"/>
  <c r="V169" i="1"/>
  <c r="T169" i="1"/>
  <c r="AC361" i="1"/>
  <c r="U361" i="1"/>
  <c r="AB361" i="1"/>
  <c r="V361" i="1"/>
  <c r="T361" i="1"/>
  <c r="AC143" i="1"/>
  <c r="U143" i="1"/>
  <c r="AB143" i="1"/>
  <c r="V143" i="1"/>
  <c r="T143" i="1"/>
  <c r="AC156" i="1"/>
  <c r="V156" i="1"/>
  <c r="U156" i="1"/>
  <c r="T156" i="1"/>
  <c r="AB156" i="1"/>
  <c r="AC46" i="1"/>
  <c r="U46" i="1"/>
  <c r="AB46" i="1"/>
  <c r="T46" i="1"/>
  <c r="V46" i="1"/>
  <c r="AC106" i="1"/>
  <c r="V106" i="1"/>
  <c r="AB106" i="1"/>
  <c r="U106" i="1"/>
  <c r="T106" i="1"/>
  <c r="AC258" i="1"/>
  <c r="T258" i="1"/>
  <c r="AB258" i="1"/>
  <c r="V258" i="1"/>
  <c r="U258" i="1"/>
  <c r="AC207" i="1"/>
  <c r="U207" i="1"/>
  <c r="AB207" i="1"/>
  <c r="V207" i="1"/>
  <c r="T207" i="1"/>
  <c r="T299" i="1"/>
  <c r="U299" i="1"/>
  <c r="AC299" i="1"/>
  <c r="AB299" i="1"/>
  <c r="V299" i="1"/>
  <c r="V281" i="1"/>
  <c r="AC281" i="1"/>
  <c r="U281" i="1"/>
  <c r="T281" i="1"/>
  <c r="AB281" i="1"/>
  <c r="AH395" i="1"/>
  <c r="AG395" i="1"/>
  <c r="AF395" i="1"/>
  <c r="AF296" i="1"/>
  <c r="AG296" i="1"/>
  <c r="AH296" i="1"/>
  <c r="AF92" i="1"/>
  <c r="AG92" i="1"/>
  <c r="AH92" i="1"/>
  <c r="AG353" i="1"/>
  <c r="AH353" i="1"/>
  <c r="AF353" i="1"/>
  <c r="AH109" i="1"/>
  <c r="AG109" i="1"/>
  <c r="AF109" i="1"/>
  <c r="AG388" i="1"/>
  <c r="AF388" i="1"/>
  <c r="AH388" i="1"/>
  <c r="AH61" i="1"/>
  <c r="AF61" i="1"/>
  <c r="AG61" i="1"/>
  <c r="AG383" i="1"/>
  <c r="AH383" i="1"/>
  <c r="AF383" i="1"/>
  <c r="AF375" i="1"/>
  <c r="AG375" i="1"/>
  <c r="AH375" i="1"/>
  <c r="AF184" i="1"/>
  <c r="AG184" i="1"/>
  <c r="AH184" i="1"/>
  <c r="AH125" i="1"/>
  <c r="AF125" i="1"/>
  <c r="AG125" i="1"/>
  <c r="AG372" i="1"/>
  <c r="AH372" i="1"/>
  <c r="AF372" i="1"/>
  <c r="AF291" i="1"/>
  <c r="AG291" i="1"/>
  <c r="AH291" i="1"/>
  <c r="AH356" i="1"/>
  <c r="AG356" i="1"/>
  <c r="AF356" i="1"/>
  <c r="AF283" i="1"/>
  <c r="AG283" i="1"/>
  <c r="AH283" i="1"/>
  <c r="AF309" i="1"/>
  <c r="AG309" i="1"/>
  <c r="AH309" i="1"/>
  <c r="AF340" i="1"/>
  <c r="AG340" i="1"/>
  <c r="AH340" i="1"/>
  <c r="AF257" i="1"/>
  <c r="AH257" i="1"/>
  <c r="AG257" i="1"/>
  <c r="AF275" i="1"/>
  <c r="AH275" i="1"/>
  <c r="AG275" i="1"/>
  <c r="AH146" i="1"/>
  <c r="AF146" i="1"/>
  <c r="AG146" i="1"/>
  <c r="AF188" i="1"/>
  <c r="AH188" i="1"/>
  <c r="AG188" i="1"/>
  <c r="AG324" i="1"/>
  <c r="AH324" i="1"/>
  <c r="AF324" i="1"/>
  <c r="AG249" i="1"/>
  <c r="AH249" i="1"/>
  <c r="AF249" i="1"/>
  <c r="AH111" i="1"/>
  <c r="AF111" i="1"/>
  <c r="AG111" i="1"/>
  <c r="AG267" i="1"/>
  <c r="AH267" i="1"/>
  <c r="AF267" i="1"/>
  <c r="AF138" i="1"/>
  <c r="AG138" i="1"/>
  <c r="AH138" i="1"/>
  <c r="AF84" i="1"/>
  <c r="AG84" i="1"/>
  <c r="AH84" i="1"/>
  <c r="AF53" i="1"/>
  <c r="AG53" i="1"/>
  <c r="AH53" i="1"/>
  <c r="AH177" i="1"/>
  <c r="AF177" i="1"/>
  <c r="AG177" i="1"/>
  <c r="AH39" i="1"/>
  <c r="AF39" i="1"/>
  <c r="AG39" i="1"/>
  <c r="AG195" i="1"/>
  <c r="AH195" i="1"/>
  <c r="AF195" i="1"/>
  <c r="AG66" i="1"/>
  <c r="AF66" i="1"/>
  <c r="AH66" i="1"/>
  <c r="AF140" i="1"/>
  <c r="AG140" i="1"/>
  <c r="AH140" i="1"/>
  <c r="AG336" i="1"/>
  <c r="AH336" i="1"/>
  <c r="AF336" i="1"/>
  <c r="AH105" i="1"/>
  <c r="AG105" i="1"/>
  <c r="AF105" i="1"/>
  <c r="AG342" i="1"/>
  <c r="AH342" i="1"/>
  <c r="AF342" i="1"/>
  <c r="AH123" i="1"/>
  <c r="AF123" i="1"/>
  <c r="AG123" i="1"/>
  <c r="AF329" i="1"/>
  <c r="AG329" i="1"/>
  <c r="AH329" i="1"/>
  <c r="AG285" i="1"/>
  <c r="AF285" i="1"/>
  <c r="AH285" i="1"/>
  <c r="AG264" i="1"/>
  <c r="AH264" i="1"/>
  <c r="AF264" i="1"/>
  <c r="AF33" i="1"/>
  <c r="AG33" i="1"/>
  <c r="AH33" i="1"/>
  <c r="AF270" i="1"/>
  <c r="AG270" i="1"/>
  <c r="AH270" i="1"/>
  <c r="AF51" i="1"/>
  <c r="AG51" i="1"/>
  <c r="AH51" i="1"/>
  <c r="AF276" i="1"/>
  <c r="AH276" i="1"/>
  <c r="AG276" i="1"/>
  <c r="AH349" i="1"/>
  <c r="AG349" i="1"/>
  <c r="AF349" i="1"/>
  <c r="AG192" i="1"/>
  <c r="AH192" i="1"/>
  <c r="AF192" i="1"/>
  <c r="AG335" i="1"/>
  <c r="AF335" i="1"/>
  <c r="AH335" i="1"/>
  <c r="AF198" i="1"/>
  <c r="AG198" i="1"/>
  <c r="AH198" i="1"/>
  <c r="AH362" i="1"/>
  <c r="AF362" i="1"/>
  <c r="AG362" i="1"/>
  <c r="AC344" i="1"/>
  <c r="V344" i="1"/>
  <c r="AB344" i="1"/>
  <c r="T344" i="1"/>
  <c r="U344" i="1"/>
  <c r="AC189" i="1"/>
  <c r="T189" i="1"/>
  <c r="AB189" i="1"/>
  <c r="U189" i="1"/>
  <c r="V189" i="1"/>
  <c r="AC256" i="1"/>
  <c r="V256" i="1"/>
  <c r="AB256" i="1"/>
  <c r="T256" i="1"/>
  <c r="U256" i="1"/>
  <c r="AC147" i="1"/>
  <c r="T147" i="1"/>
  <c r="U147" i="1"/>
  <c r="V147" i="1"/>
  <c r="AB147" i="1"/>
  <c r="AC65" i="1"/>
  <c r="V65" i="1"/>
  <c r="T65" i="1"/>
  <c r="U65" i="1"/>
  <c r="AB65" i="1"/>
  <c r="AC289" i="1"/>
  <c r="V289" i="1"/>
  <c r="U289" i="1"/>
  <c r="T289" i="1"/>
  <c r="AB289" i="1"/>
  <c r="AC185" i="1"/>
  <c r="U185" i="1"/>
  <c r="V185" i="1"/>
  <c r="T185" i="1"/>
  <c r="AB185" i="1"/>
  <c r="AC194" i="1"/>
  <c r="U194" i="1"/>
  <c r="T194" i="1"/>
  <c r="AB194" i="1"/>
  <c r="V194" i="1"/>
  <c r="AC302" i="1"/>
  <c r="T302" i="1"/>
  <c r="AB302" i="1"/>
  <c r="U302" i="1"/>
  <c r="V302" i="1"/>
  <c r="AC126" i="1"/>
  <c r="U126" i="1"/>
  <c r="AB126" i="1"/>
  <c r="V126" i="1"/>
  <c r="T126" i="1"/>
  <c r="AC234" i="1"/>
  <c r="V234" i="1"/>
  <c r="T234" i="1"/>
  <c r="AB234" i="1"/>
  <c r="U234" i="1"/>
  <c r="AC188" i="1"/>
  <c r="T188" i="1"/>
  <c r="AB188" i="1"/>
  <c r="V188" i="1"/>
  <c r="U188" i="1"/>
  <c r="AC332" i="1"/>
  <c r="U332" i="1"/>
  <c r="AB332" i="1"/>
  <c r="V332" i="1"/>
  <c r="T332" i="1"/>
  <c r="AC120" i="1"/>
  <c r="U120" i="1"/>
  <c r="V120" i="1"/>
  <c r="T120" i="1"/>
  <c r="AB120" i="1"/>
  <c r="AC374" i="1"/>
  <c r="T374" i="1"/>
  <c r="U374" i="1"/>
  <c r="AB374" i="1"/>
  <c r="V374" i="1"/>
  <c r="AC140" i="1"/>
  <c r="T140" i="1"/>
  <c r="AB140" i="1"/>
  <c r="U140" i="1"/>
  <c r="V140" i="1"/>
  <c r="AC298" i="1"/>
  <c r="T298" i="1"/>
  <c r="AB298" i="1"/>
  <c r="U298" i="1"/>
  <c r="V298" i="1"/>
  <c r="AC199" i="1"/>
  <c r="T199" i="1"/>
  <c r="AB199" i="1"/>
  <c r="U199" i="1"/>
  <c r="V199" i="1"/>
  <c r="AC278" i="1"/>
  <c r="U278" i="1"/>
  <c r="AB278" i="1"/>
  <c r="V278" i="1"/>
  <c r="T278" i="1"/>
  <c r="AC257" i="1"/>
  <c r="V257" i="1"/>
  <c r="U257" i="1"/>
  <c r="AB257" i="1"/>
  <c r="T257" i="1"/>
  <c r="AC245" i="1"/>
  <c r="V245" i="1"/>
  <c r="AB245" i="1"/>
  <c r="T245" i="1"/>
  <c r="U245" i="1"/>
  <c r="AC86" i="1"/>
  <c r="T86" i="1"/>
  <c r="V86" i="1"/>
  <c r="U86" i="1"/>
  <c r="AB86" i="1"/>
  <c r="T62" i="1"/>
  <c r="AC62" i="1"/>
  <c r="U62" i="1"/>
  <c r="V62" i="1"/>
  <c r="AB62" i="1"/>
  <c r="V89" i="1"/>
  <c r="AC89" i="1"/>
  <c r="U89" i="1"/>
  <c r="T89" i="1"/>
  <c r="AB89" i="1"/>
  <c r="AC58" i="1"/>
  <c r="V58" i="1"/>
  <c r="AB58" i="1"/>
  <c r="U58" i="1"/>
  <c r="T58" i="1"/>
  <c r="AC336" i="1"/>
  <c r="T336" i="1"/>
  <c r="AB336" i="1"/>
  <c r="U336" i="1"/>
  <c r="V336" i="1"/>
  <c r="AC111" i="1"/>
  <c r="U111" i="1"/>
  <c r="AB111" i="1"/>
  <c r="T111" i="1"/>
  <c r="V111" i="1"/>
  <c r="AC255" i="1"/>
  <c r="V255" i="1"/>
  <c r="AB255" i="1"/>
  <c r="T255" i="1"/>
  <c r="U255" i="1"/>
  <c r="AC97" i="1"/>
  <c r="T97" i="1"/>
  <c r="AB97" i="1"/>
  <c r="U97" i="1"/>
  <c r="V97" i="1"/>
  <c r="AC187" i="1"/>
  <c r="T187" i="1"/>
  <c r="U187" i="1"/>
  <c r="AB187" i="1"/>
  <c r="V187" i="1"/>
  <c r="AC57" i="1"/>
  <c r="T57" i="1"/>
  <c r="U57" i="1"/>
  <c r="AB57" i="1"/>
  <c r="V57" i="1"/>
  <c r="AC32" i="1"/>
  <c r="U32" i="1"/>
  <c r="AB32" i="1"/>
  <c r="T32" i="1"/>
  <c r="V32" i="1"/>
  <c r="AC165" i="1"/>
  <c r="U165" i="1"/>
  <c r="AB165" i="1"/>
  <c r="T165" i="1"/>
  <c r="V165" i="1"/>
  <c r="AC378" i="1"/>
  <c r="T378" i="1"/>
  <c r="AB378" i="1"/>
  <c r="U378" i="1"/>
  <c r="V378" i="1"/>
  <c r="AC348" i="1"/>
  <c r="V348" i="1"/>
  <c r="AB348" i="1"/>
  <c r="U348" i="1"/>
  <c r="T348" i="1"/>
  <c r="AC287" i="1"/>
  <c r="V287" i="1"/>
  <c r="AB287" i="1"/>
  <c r="U287" i="1"/>
  <c r="T287" i="1"/>
  <c r="AC308" i="1"/>
  <c r="T308" i="1"/>
  <c r="AB308" i="1"/>
  <c r="U308" i="1"/>
  <c r="V308" i="1"/>
  <c r="AC117" i="1"/>
  <c r="T117" i="1"/>
  <c r="AB117" i="1"/>
  <c r="V117" i="1"/>
  <c r="U117" i="1"/>
  <c r="AC183" i="1"/>
  <c r="AB183" i="1"/>
  <c r="V183" i="1"/>
  <c r="T183" i="1"/>
  <c r="U183" i="1"/>
  <c r="AC190" i="1"/>
  <c r="AB190" i="1"/>
  <c r="T190" i="1"/>
  <c r="V190" i="1"/>
  <c r="U190" i="1"/>
  <c r="AC200" i="1"/>
  <c r="AB200" i="1"/>
  <c r="U200" i="1"/>
  <c r="T200" i="1"/>
  <c r="V200" i="1"/>
  <c r="AC146" i="1"/>
  <c r="T146" i="1"/>
  <c r="AB146" i="1"/>
  <c r="U146" i="1"/>
  <c r="V146" i="1"/>
  <c r="AC386" i="1"/>
  <c r="U386" i="1"/>
  <c r="AB386" i="1"/>
  <c r="T386" i="1"/>
  <c r="V386" i="1"/>
  <c r="AC47" i="1"/>
  <c r="V47" i="1"/>
  <c r="AB47" i="1"/>
  <c r="U47" i="1"/>
  <c r="T47" i="1"/>
  <c r="AC320" i="1"/>
  <c r="V320" i="1"/>
  <c r="AB320" i="1"/>
  <c r="U320" i="1"/>
  <c r="T320" i="1"/>
  <c r="U90" i="1"/>
  <c r="V90" i="1"/>
  <c r="AC90" i="1"/>
  <c r="AB90" i="1"/>
  <c r="T90" i="1"/>
  <c r="T121" i="1"/>
  <c r="V121" i="1"/>
  <c r="AB121" i="1"/>
  <c r="U121" i="1"/>
  <c r="AC121" i="1"/>
  <c r="AH81" i="1"/>
  <c r="AF81" i="1"/>
  <c r="AG81" i="1"/>
  <c r="AF310" i="1"/>
  <c r="AG310" i="1"/>
  <c r="AH310" i="1"/>
  <c r="AF196" i="1"/>
  <c r="AG196" i="1"/>
  <c r="AH196" i="1"/>
  <c r="AG294" i="1"/>
  <c r="AH294" i="1"/>
  <c r="AF294" i="1"/>
  <c r="AF293" i="1"/>
  <c r="AG293" i="1"/>
  <c r="AH293" i="1"/>
  <c r="AF215" i="1"/>
  <c r="AG215" i="1"/>
  <c r="AH215" i="1"/>
  <c r="AF281" i="1"/>
  <c r="AG281" i="1"/>
  <c r="AH281" i="1"/>
  <c r="AH248" i="1"/>
  <c r="AF248" i="1"/>
  <c r="AG248" i="1"/>
  <c r="AF246" i="1"/>
  <c r="AG246" i="1"/>
  <c r="AH246" i="1"/>
  <c r="AH220" i="1"/>
  <c r="AF220" i="1"/>
  <c r="AG220" i="1"/>
  <c r="AH301" i="1"/>
  <c r="AG301" i="1"/>
  <c r="AF301" i="1"/>
  <c r="AF273" i="1"/>
  <c r="AH273" i="1"/>
  <c r="AG273" i="1"/>
  <c r="AH162" i="1"/>
  <c r="AG162" i="1"/>
  <c r="AF162" i="1"/>
  <c r="AF265" i="1"/>
  <c r="AG265" i="1"/>
  <c r="AH265" i="1"/>
  <c r="AG154" i="1"/>
  <c r="AH154" i="1"/>
  <c r="AF154" i="1"/>
  <c r="AG119" i="1"/>
  <c r="AH119" i="1"/>
  <c r="AF119" i="1"/>
  <c r="AH305" i="1"/>
  <c r="AF305" i="1"/>
  <c r="AG305" i="1"/>
  <c r="AH181" i="1"/>
  <c r="AF181" i="1"/>
  <c r="AG181" i="1"/>
  <c r="AH209" i="1"/>
  <c r="AF209" i="1"/>
  <c r="AG209" i="1"/>
  <c r="AH71" i="1"/>
  <c r="AF71" i="1"/>
  <c r="AG71" i="1"/>
  <c r="AF227" i="1"/>
  <c r="AG227" i="1"/>
  <c r="AH227" i="1"/>
  <c r="AH98" i="1"/>
  <c r="AG98" i="1"/>
  <c r="AF98" i="1"/>
  <c r="AF244" i="1"/>
  <c r="AG244" i="1"/>
  <c r="AH244" i="1"/>
  <c r="AG149" i="1"/>
  <c r="AH149" i="1"/>
  <c r="AF149" i="1"/>
  <c r="AF201" i="1"/>
  <c r="AG201" i="1"/>
  <c r="AH201" i="1"/>
  <c r="AH63" i="1"/>
  <c r="AF63" i="1"/>
  <c r="AG63" i="1"/>
  <c r="AF219" i="1"/>
  <c r="AG219" i="1"/>
  <c r="AH219" i="1"/>
  <c r="AF90" i="1"/>
  <c r="AH90" i="1"/>
  <c r="AG90" i="1"/>
  <c r="AH180" i="1"/>
  <c r="AF180" i="1"/>
  <c r="AG180" i="1"/>
  <c r="AH117" i="1"/>
  <c r="AF117" i="1"/>
  <c r="AG117" i="1"/>
  <c r="AH193" i="1"/>
  <c r="AF193" i="1"/>
  <c r="AG193" i="1"/>
  <c r="AH55" i="1"/>
  <c r="AF55" i="1"/>
  <c r="AG55" i="1"/>
  <c r="AF211" i="1"/>
  <c r="AG211" i="1"/>
  <c r="AH211" i="1"/>
  <c r="AF82" i="1"/>
  <c r="AG82" i="1"/>
  <c r="AH82" i="1"/>
  <c r="AG148" i="1"/>
  <c r="AF148" i="1"/>
  <c r="AH148" i="1"/>
  <c r="AH85" i="1"/>
  <c r="AF85" i="1"/>
  <c r="AG85" i="1"/>
  <c r="AG185" i="1"/>
  <c r="AF185" i="1"/>
  <c r="AH185" i="1"/>
  <c r="AH47" i="1"/>
  <c r="AG47" i="1"/>
  <c r="AF47" i="1"/>
  <c r="AF203" i="1"/>
  <c r="AG203" i="1"/>
  <c r="AH203" i="1"/>
  <c r="AG74" i="1"/>
  <c r="AF74" i="1"/>
  <c r="AH74" i="1"/>
  <c r="AG172" i="1"/>
  <c r="AH172" i="1"/>
  <c r="AF172" i="1"/>
  <c r="AH344" i="1"/>
  <c r="AF344" i="1"/>
  <c r="AG344" i="1"/>
  <c r="AH113" i="1"/>
  <c r="AG113" i="1"/>
  <c r="AF113" i="1"/>
  <c r="AF350" i="1"/>
  <c r="AG350" i="1"/>
  <c r="AH350" i="1"/>
  <c r="AH131" i="1"/>
  <c r="AF131" i="1"/>
  <c r="AG131" i="1"/>
  <c r="AF393" i="1"/>
  <c r="AH393" i="1"/>
  <c r="AG393" i="1"/>
  <c r="AF361" i="1"/>
  <c r="AG361" i="1"/>
  <c r="AH361" i="1"/>
  <c r="AG272" i="1"/>
  <c r="AH272" i="1"/>
  <c r="AF272" i="1"/>
  <c r="AH41" i="1"/>
  <c r="AG41" i="1"/>
  <c r="AF41" i="1"/>
  <c r="AG278" i="1"/>
  <c r="AF278" i="1"/>
  <c r="AH278" i="1"/>
  <c r="AH59" i="1"/>
  <c r="AG59" i="1"/>
  <c r="AF59" i="1"/>
  <c r="AF323" i="1"/>
  <c r="AH323" i="1"/>
  <c r="AG323" i="1"/>
  <c r="AF381" i="1"/>
  <c r="AG381" i="1"/>
  <c r="AH381" i="1"/>
  <c r="AF200" i="1"/>
  <c r="AH200" i="1"/>
  <c r="AG200" i="1"/>
  <c r="AG343" i="1"/>
  <c r="AH343" i="1"/>
  <c r="AF343" i="1"/>
  <c r="AG206" i="1"/>
  <c r="AF206" i="1"/>
  <c r="AH206" i="1"/>
  <c r="AH370" i="1"/>
  <c r="AF370" i="1"/>
  <c r="AG370" i="1"/>
  <c r="AF321" i="1"/>
  <c r="AH321" i="1"/>
  <c r="AG321" i="1"/>
  <c r="AF229" i="1"/>
  <c r="AG229" i="1"/>
  <c r="AH229" i="1"/>
  <c r="AG128" i="1"/>
  <c r="AH128" i="1"/>
  <c r="AF128" i="1"/>
  <c r="AF271" i="1"/>
  <c r="AG271" i="1"/>
  <c r="AH271" i="1"/>
  <c r="AG134" i="1"/>
  <c r="AF134" i="1"/>
  <c r="AH134" i="1"/>
  <c r="AH298" i="1"/>
  <c r="AG298" i="1"/>
  <c r="AF298" i="1"/>
  <c r="AC244" i="1"/>
  <c r="T244" i="1"/>
  <c r="V244" i="1"/>
  <c r="AB244" i="1"/>
  <c r="U244" i="1"/>
  <c r="AC105" i="1"/>
  <c r="U105" i="1"/>
  <c r="V105" i="1"/>
  <c r="AB105" i="1"/>
  <c r="T105" i="1"/>
  <c r="AC356" i="1"/>
  <c r="T356" i="1"/>
  <c r="AB356" i="1"/>
  <c r="U356" i="1"/>
  <c r="V356" i="1"/>
  <c r="AC153" i="1"/>
  <c r="T153" i="1"/>
  <c r="AB153" i="1"/>
  <c r="U153" i="1"/>
  <c r="V153" i="1"/>
  <c r="AC53" i="1"/>
  <c r="T53" i="1"/>
  <c r="U53" i="1"/>
  <c r="AB53" i="1"/>
  <c r="V53" i="1"/>
  <c r="AC288" i="1"/>
  <c r="V288" i="1"/>
  <c r="AB288" i="1"/>
  <c r="U288" i="1"/>
  <c r="T288" i="1"/>
  <c r="AC61" i="1"/>
  <c r="V61" i="1"/>
  <c r="AB61" i="1"/>
  <c r="T61" i="1"/>
  <c r="U61" i="1"/>
  <c r="AC326" i="1"/>
  <c r="V326" i="1"/>
  <c r="U326" i="1"/>
  <c r="T326" i="1"/>
  <c r="AB326" i="1"/>
  <c r="AC83" i="1"/>
  <c r="V83" i="1"/>
  <c r="U83" i="1"/>
  <c r="AB83" i="1"/>
  <c r="T83" i="1"/>
  <c r="AC227" i="1"/>
  <c r="V227" i="1"/>
  <c r="U227" i="1"/>
  <c r="AB227" i="1"/>
  <c r="T227" i="1"/>
  <c r="AC112" i="1"/>
  <c r="U112" i="1"/>
  <c r="V112" i="1"/>
  <c r="T112" i="1"/>
  <c r="AB112" i="1"/>
  <c r="AC222" i="1"/>
  <c r="V222" i="1"/>
  <c r="U222" i="1"/>
  <c r="AB222" i="1"/>
  <c r="T222" i="1"/>
  <c r="AC130" i="1"/>
  <c r="V130" i="1"/>
  <c r="AB130" i="1"/>
  <c r="U130" i="1"/>
  <c r="T130" i="1"/>
  <c r="AC55" i="1"/>
  <c r="AB55" i="1"/>
  <c r="V55" i="1"/>
  <c r="U55" i="1"/>
  <c r="T55" i="1"/>
  <c r="AC294" i="1"/>
  <c r="V294" i="1"/>
  <c r="AB294" i="1"/>
  <c r="U294" i="1"/>
  <c r="T294" i="1"/>
  <c r="AC346" i="1"/>
  <c r="T346" i="1"/>
  <c r="AB346" i="1"/>
  <c r="V346" i="1"/>
  <c r="U346" i="1"/>
  <c r="AC318" i="1"/>
  <c r="V318" i="1"/>
  <c r="AB318" i="1"/>
  <c r="U318" i="1"/>
  <c r="T318" i="1"/>
  <c r="AC347" i="1"/>
  <c r="U347" i="1"/>
  <c r="AB347" i="1"/>
  <c r="V347" i="1"/>
  <c r="T347" i="1"/>
  <c r="AC323" i="1"/>
  <c r="V323" i="1"/>
  <c r="T323" i="1"/>
  <c r="U323" i="1"/>
  <c r="AB323" i="1"/>
  <c r="AC192" i="1"/>
  <c r="AB192" i="1"/>
  <c r="T192" i="1"/>
  <c r="V192" i="1"/>
  <c r="U192" i="1"/>
  <c r="AC107" i="1"/>
  <c r="T107" i="1"/>
  <c r="AB107" i="1"/>
  <c r="U107" i="1"/>
  <c r="V107" i="1"/>
  <c r="AC131" i="1"/>
  <c r="U131" i="1"/>
  <c r="V131" i="1"/>
  <c r="AB131" i="1"/>
  <c r="T131" i="1"/>
  <c r="AC145" i="1"/>
  <c r="T145" i="1"/>
  <c r="U145" i="1"/>
  <c r="AB145" i="1"/>
  <c r="V145" i="1"/>
  <c r="AC260" i="1"/>
  <c r="T260" i="1"/>
  <c r="AB260" i="1"/>
  <c r="V260" i="1"/>
  <c r="U260" i="1"/>
  <c r="AC236" i="1"/>
  <c r="V236" i="1"/>
  <c r="U236" i="1"/>
  <c r="AB236" i="1"/>
  <c r="T236" i="1"/>
  <c r="AC338" i="1"/>
  <c r="AB338" i="1"/>
  <c r="U338" i="1"/>
  <c r="V338" i="1"/>
  <c r="T338" i="1"/>
  <c r="AC304" i="1"/>
  <c r="U304" i="1"/>
  <c r="V304" i="1"/>
  <c r="AB304" i="1"/>
  <c r="T304" i="1"/>
  <c r="AC44" i="1"/>
  <c r="U44" i="1"/>
  <c r="AB44" i="1"/>
  <c r="T44" i="1"/>
  <c r="V44" i="1"/>
  <c r="AC225" i="1"/>
  <c r="V225" i="1"/>
  <c r="AB225" i="1"/>
  <c r="T225" i="1"/>
  <c r="U225" i="1"/>
  <c r="AC118" i="1"/>
  <c r="V118" i="1"/>
  <c r="U118" i="1"/>
  <c r="T118" i="1"/>
  <c r="AB118" i="1"/>
  <c r="AC296" i="1"/>
  <c r="T296" i="1"/>
  <c r="U296" i="1"/>
  <c r="AB296" i="1"/>
  <c r="V296" i="1"/>
  <c r="AC285" i="1"/>
  <c r="V285" i="1"/>
  <c r="AB285" i="1"/>
  <c r="T285" i="1"/>
  <c r="U285" i="1"/>
  <c r="AC389" i="1"/>
  <c r="T389" i="1"/>
  <c r="AB389" i="1"/>
  <c r="V389" i="1"/>
  <c r="U389" i="1"/>
  <c r="AC204" i="1"/>
  <c r="V204" i="1"/>
  <c r="AB204" i="1"/>
  <c r="U204" i="1"/>
  <c r="T204" i="1"/>
  <c r="AC115" i="1"/>
  <c r="T115" i="1"/>
  <c r="AB115" i="1"/>
  <c r="V115" i="1"/>
  <c r="U115" i="1"/>
  <c r="AC158" i="1"/>
  <c r="U158" i="1"/>
  <c r="AB158" i="1"/>
  <c r="V158" i="1"/>
  <c r="T158" i="1"/>
  <c r="AC276" i="1"/>
  <c r="U276" i="1"/>
  <c r="AB276" i="1"/>
  <c r="V276" i="1"/>
  <c r="T276" i="1"/>
  <c r="AC267" i="1"/>
  <c r="U267" i="1"/>
  <c r="AB267" i="1"/>
  <c r="T267" i="1"/>
  <c r="V267" i="1"/>
  <c r="AC237" i="1"/>
  <c r="T237" i="1"/>
  <c r="V237" i="1"/>
  <c r="AB237" i="1"/>
  <c r="U237" i="1"/>
  <c r="AC94" i="1"/>
  <c r="T94" i="1"/>
  <c r="AB94" i="1"/>
  <c r="V94" i="1"/>
  <c r="U94" i="1"/>
  <c r="AC306" i="1"/>
  <c r="T306" i="1"/>
  <c r="AB306" i="1"/>
  <c r="V306" i="1"/>
  <c r="U306" i="1"/>
  <c r="AC266" i="1"/>
  <c r="AB266" i="1"/>
  <c r="T266" i="1"/>
  <c r="U266" i="1"/>
  <c r="V266" i="1"/>
  <c r="AC136" i="1"/>
  <c r="V136" i="1"/>
  <c r="AB136" i="1"/>
  <c r="T136" i="1"/>
  <c r="U136" i="1"/>
  <c r="AC33" i="1"/>
  <c r="U33" i="1"/>
  <c r="T33" i="1"/>
  <c r="AB33" i="1"/>
  <c r="V33" i="1"/>
  <c r="AC69" i="1"/>
  <c r="T69" i="1"/>
  <c r="AB69" i="1"/>
  <c r="V69" i="1"/>
  <c r="U69" i="1"/>
  <c r="T177" i="1"/>
  <c r="U177" i="1"/>
  <c r="V177" i="1"/>
  <c r="AC177" i="1"/>
  <c r="AB177" i="1"/>
  <c r="V329" i="1"/>
  <c r="AC329" i="1"/>
  <c r="U329" i="1"/>
  <c r="AB329" i="1"/>
  <c r="T329" i="1"/>
  <c r="AG44" i="1"/>
  <c r="AF44" i="1"/>
  <c r="AH44" i="1"/>
  <c r="AH91" i="1"/>
  <c r="AF91" i="1"/>
  <c r="AG91" i="1"/>
  <c r="AG302" i="1"/>
  <c r="AH302" i="1"/>
  <c r="AF302" i="1"/>
  <c r="AH75" i="1"/>
  <c r="AF75" i="1"/>
  <c r="AG75" i="1"/>
  <c r="AG144" i="1"/>
  <c r="AH144" i="1"/>
  <c r="AF144" i="1"/>
  <c r="AG72" i="1"/>
  <c r="AF72" i="1"/>
  <c r="AH72" i="1"/>
  <c r="AH143" i="1"/>
  <c r="AF143" i="1"/>
  <c r="AG143" i="1"/>
  <c r="AF391" i="1"/>
  <c r="AG391" i="1"/>
  <c r="AH391" i="1"/>
  <c r="AF240" i="1"/>
  <c r="AG240" i="1"/>
  <c r="AH240" i="1"/>
  <c r="AF238" i="1"/>
  <c r="AG238" i="1"/>
  <c r="AH238" i="1"/>
  <c r="AF197" i="1"/>
  <c r="AG197" i="1"/>
  <c r="AH197" i="1"/>
  <c r="AH135" i="1"/>
  <c r="AF135" i="1"/>
  <c r="AG135" i="1"/>
  <c r="AF373" i="1"/>
  <c r="AH373" i="1"/>
  <c r="AG373" i="1"/>
  <c r="AH127" i="1"/>
  <c r="AF127" i="1"/>
  <c r="AG127" i="1"/>
  <c r="AF300" i="1"/>
  <c r="AG300" i="1"/>
  <c r="AH300" i="1"/>
  <c r="AH376" i="1"/>
  <c r="AG376" i="1"/>
  <c r="AF376" i="1"/>
  <c r="AF145" i="1"/>
  <c r="AH145" i="1"/>
  <c r="AG145" i="1"/>
  <c r="AG382" i="1"/>
  <c r="AF382" i="1"/>
  <c r="AH382" i="1"/>
  <c r="AF163" i="1"/>
  <c r="AG163" i="1"/>
  <c r="AH163" i="1"/>
  <c r="AF34" i="1"/>
  <c r="AH34" i="1"/>
  <c r="AG34" i="1"/>
  <c r="AF268" i="1"/>
  <c r="AG268" i="1"/>
  <c r="AH268" i="1"/>
  <c r="AF368" i="1"/>
  <c r="AH368" i="1"/>
  <c r="AG368" i="1"/>
  <c r="AH137" i="1"/>
  <c r="AG137" i="1"/>
  <c r="AF137" i="1"/>
  <c r="AF374" i="1"/>
  <c r="AG374" i="1"/>
  <c r="AH374" i="1"/>
  <c r="AH155" i="1"/>
  <c r="AF155" i="1"/>
  <c r="AG155" i="1"/>
  <c r="AG26" i="1"/>
  <c r="AF26" i="1"/>
  <c r="AH26" i="1"/>
  <c r="AF236" i="1"/>
  <c r="AG236" i="1"/>
  <c r="AH236" i="1"/>
  <c r="AH360" i="1"/>
  <c r="AF360" i="1"/>
  <c r="AG360" i="1"/>
  <c r="AG129" i="1"/>
  <c r="AH129" i="1"/>
  <c r="AF129" i="1"/>
  <c r="AH366" i="1"/>
  <c r="AF366" i="1"/>
  <c r="AG366" i="1"/>
  <c r="AH147" i="1"/>
  <c r="AF147" i="1"/>
  <c r="AG147" i="1"/>
  <c r="AG18" i="1"/>
  <c r="AF18" i="1"/>
  <c r="AH18" i="1"/>
  <c r="AF204" i="1"/>
  <c r="AG204" i="1"/>
  <c r="AH204" i="1"/>
  <c r="AG352" i="1"/>
  <c r="AH352" i="1"/>
  <c r="AF352" i="1"/>
  <c r="AH121" i="1"/>
  <c r="AG121" i="1"/>
  <c r="AF121" i="1"/>
  <c r="AG358" i="1"/>
  <c r="AH358" i="1"/>
  <c r="AF358" i="1"/>
  <c r="AF139" i="1"/>
  <c r="AG139" i="1"/>
  <c r="AH139" i="1"/>
  <c r="AF100" i="1"/>
  <c r="AH100" i="1"/>
  <c r="AG100" i="1"/>
  <c r="AF36" i="1"/>
  <c r="AH36" i="1"/>
  <c r="AG36" i="1"/>
  <c r="AH280" i="1"/>
  <c r="AF280" i="1"/>
  <c r="AG280" i="1"/>
  <c r="AH49" i="1"/>
  <c r="AG49" i="1"/>
  <c r="AF49" i="1"/>
  <c r="AF286" i="1"/>
  <c r="AG286" i="1"/>
  <c r="AH286" i="1"/>
  <c r="AF67" i="1"/>
  <c r="AG67" i="1"/>
  <c r="AH67" i="1"/>
  <c r="AH371" i="1"/>
  <c r="AG371" i="1"/>
  <c r="AF371" i="1"/>
  <c r="AG20" i="1"/>
  <c r="AF20" i="1"/>
  <c r="AH20" i="1"/>
  <c r="AF208" i="1"/>
  <c r="AG208" i="1"/>
  <c r="AH208" i="1"/>
  <c r="AF351" i="1"/>
  <c r="AG351" i="1"/>
  <c r="AH351" i="1"/>
  <c r="AF214" i="1"/>
  <c r="AG214" i="1"/>
  <c r="AH214" i="1"/>
  <c r="AG378" i="1"/>
  <c r="AF378" i="1"/>
  <c r="AH378" i="1"/>
  <c r="AF337" i="1"/>
  <c r="AG337" i="1"/>
  <c r="AH337" i="1"/>
  <c r="AF261" i="1"/>
  <c r="AG261" i="1"/>
  <c r="AH261" i="1"/>
  <c r="AF136" i="1"/>
  <c r="AG136" i="1"/>
  <c r="AH136" i="1"/>
  <c r="AG279" i="1"/>
  <c r="AH279" i="1"/>
  <c r="AF279" i="1"/>
  <c r="AF142" i="1"/>
  <c r="AG142" i="1"/>
  <c r="AH142" i="1"/>
  <c r="AH306" i="1"/>
  <c r="AF306" i="1"/>
  <c r="AG306" i="1"/>
  <c r="AG77" i="1"/>
  <c r="AH77" i="1"/>
  <c r="AF77" i="1"/>
  <c r="AF260" i="1"/>
  <c r="AG260" i="1"/>
  <c r="AH260" i="1"/>
  <c r="AG64" i="1"/>
  <c r="AF64" i="1"/>
  <c r="AH64" i="1"/>
  <c r="AG207" i="1"/>
  <c r="AH207" i="1"/>
  <c r="AF207" i="1"/>
  <c r="AG70" i="1"/>
  <c r="AH70" i="1"/>
  <c r="AF70" i="1"/>
  <c r="AF234" i="1"/>
  <c r="AG234" i="1"/>
  <c r="AH234" i="1"/>
  <c r="AC226" i="1"/>
  <c r="T226" i="1"/>
  <c r="AB226" i="1"/>
  <c r="V226" i="1"/>
  <c r="U226" i="1"/>
  <c r="AC380" i="1"/>
  <c r="U380" i="1"/>
  <c r="V380" i="1"/>
  <c r="AB380" i="1"/>
  <c r="T380" i="1"/>
  <c r="AC168" i="1"/>
  <c r="V168" i="1"/>
  <c r="T168" i="1"/>
  <c r="AB168" i="1"/>
  <c r="U168" i="1"/>
  <c r="AC34" i="1"/>
  <c r="T34" i="1"/>
  <c r="AB34" i="1"/>
  <c r="U34" i="1"/>
  <c r="V34" i="1"/>
  <c r="AC235" i="1"/>
  <c r="V235" i="1"/>
  <c r="U235" i="1"/>
  <c r="AB235" i="1"/>
  <c r="T235" i="1"/>
  <c r="AC43" i="1"/>
  <c r="V43" i="1"/>
  <c r="AB43" i="1"/>
  <c r="U43" i="1"/>
  <c r="T43" i="1"/>
  <c r="AC41" i="1"/>
  <c r="T41" i="1"/>
  <c r="U41" i="1"/>
  <c r="V41" i="1"/>
  <c r="AB41" i="1"/>
  <c r="AC133" i="1"/>
  <c r="T133" i="1"/>
  <c r="AB133" i="1"/>
  <c r="V133" i="1"/>
  <c r="U133" i="1"/>
  <c r="AC249" i="1"/>
  <c r="U249" i="1"/>
  <c r="T249" i="1"/>
  <c r="AB249" i="1"/>
  <c r="V249" i="1"/>
  <c r="AC224" i="1"/>
  <c r="V224" i="1"/>
  <c r="T224" i="1"/>
  <c r="U224" i="1"/>
  <c r="AB224" i="1"/>
  <c r="AC223" i="1"/>
  <c r="U223" i="1"/>
  <c r="T223" i="1"/>
  <c r="V223" i="1"/>
  <c r="AB223" i="1"/>
  <c r="AC268" i="1"/>
  <c r="AB268" i="1"/>
  <c r="T268" i="1"/>
  <c r="V268" i="1"/>
  <c r="U268" i="1"/>
  <c r="AC262" i="1"/>
  <c r="U262" i="1"/>
  <c r="AB262" i="1"/>
  <c r="T262" i="1"/>
  <c r="V262" i="1"/>
  <c r="AC379" i="1"/>
  <c r="U379" i="1"/>
  <c r="AB379" i="1"/>
  <c r="T379" i="1"/>
  <c r="V379" i="1"/>
  <c r="AC167" i="1"/>
  <c r="T167" i="1"/>
  <c r="AB167" i="1"/>
  <c r="V167" i="1"/>
  <c r="U167" i="1"/>
  <c r="AC70" i="1"/>
  <c r="V70" i="1"/>
  <c r="AB70" i="1"/>
  <c r="U70" i="1"/>
  <c r="T70" i="1"/>
  <c r="AC330" i="1"/>
  <c r="T330" i="1"/>
  <c r="AB330" i="1"/>
  <c r="V330" i="1"/>
  <c r="U330" i="1"/>
  <c r="AC214" i="1"/>
  <c r="T214" i="1"/>
  <c r="AB214" i="1"/>
  <c r="U214" i="1"/>
  <c r="V214" i="1"/>
  <c r="AC56" i="1"/>
  <c r="T56" i="1"/>
  <c r="AB56" i="1"/>
  <c r="V56" i="1"/>
  <c r="U56" i="1"/>
  <c r="AC292" i="1"/>
  <c r="T292" i="1"/>
  <c r="AB292" i="1"/>
  <c r="U292" i="1"/>
  <c r="V292" i="1"/>
  <c r="AC307" i="1"/>
  <c r="T307" i="1"/>
  <c r="AB307" i="1"/>
  <c r="V307" i="1"/>
  <c r="U307" i="1"/>
  <c r="T239" i="1"/>
  <c r="U239" i="1"/>
  <c r="AB239" i="1"/>
  <c r="V239" i="1"/>
  <c r="AC239" i="1"/>
  <c r="AC331" i="1"/>
  <c r="U331" i="1"/>
  <c r="V331" i="1"/>
  <c r="AB331" i="1"/>
  <c r="T331" i="1"/>
  <c r="AC383" i="1"/>
  <c r="T383" i="1"/>
  <c r="AB383" i="1"/>
  <c r="U383" i="1"/>
  <c r="V383" i="1"/>
  <c r="AC193" i="1"/>
  <c r="U193" i="1"/>
  <c r="AB193" i="1"/>
  <c r="T193" i="1"/>
  <c r="V193" i="1"/>
  <c r="AC238" i="1"/>
  <c r="V238" i="1"/>
  <c r="U238" i="1"/>
  <c r="AB238" i="1"/>
  <c r="T238" i="1"/>
  <c r="AC392" i="1"/>
  <c r="U392" i="1"/>
  <c r="AB392" i="1"/>
  <c r="V392" i="1"/>
  <c r="T392" i="1"/>
  <c r="AC376" i="1"/>
  <c r="U376" i="1"/>
  <c r="AB376" i="1"/>
  <c r="T376" i="1"/>
  <c r="V376" i="1"/>
  <c r="AC134" i="1"/>
  <c r="V134" i="1"/>
  <c r="AB134" i="1"/>
  <c r="T134" i="1"/>
  <c r="U134" i="1"/>
  <c r="AC161" i="1"/>
  <c r="U161" i="1"/>
  <c r="V161" i="1"/>
  <c r="AB161" i="1"/>
  <c r="T161" i="1"/>
  <c r="AC272" i="1"/>
  <c r="T272" i="1"/>
  <c r="U272" i="1"/>
  <c r="V272" i="1"/>
  <c r="AB272" i="1"/>
  <c r="AC135" i="1"/>
  <c r="T135" i="1"/>
  <c r="AB135" i="1"/>
  <c r="V135" i="1"/>
  <c r="U135" i="1"/>
  <c r="AC314" i="1"/>
  <c r="T314" i="1"/>
  <c r="AB314" i="1"/>
  <c r="U314" i="1"/>
  <c r="V314" i="1"/>
  <c r="AC77" i="1"/>
  <c r="V77" i="1"/>
  <c r="AB77" i="1"/>
  <c r="T77" i="1"/>
  <c r="U77" i="1"/>
  <c r="AC170" i="1"/>
  <c r="T170" i="1"/>
  <c r="AB170" i="1"/>
  <c r="U170" i="1"/>
  <c r="V170" i="1"/>
  <c r="AC181" i="1"/>
  <c r="V181" i="1"/>
  <c r="AB181" i="1"/>
  <c r="U181" i="1"/>
  <c r="T181" i="1"/>
  <c r="AC265" i="1"/>
  <c r="T265" i="1"/>
  <c r="V265" i="1"/>
  <c r="AB265" i="1"/>
  <c r="U265" i="1"/>
  <c r="AC261" i="1"/>
  <c r="AB261" i="1"/>
  <c r="U261" i="1"/>
  <c r="V261" i="1"/>
  <c r="T261" i="1"/>
  <c r="AC95" i="1"/>
  <c r="U95" i="1"/>
  <c r="V95" i="1"/>
  <c r="T95" i="1"/>
  <c r="AB95" i="1"/>
  <c r="AC319" i="1"/>
  <c r="T319" i="1"/>
  <c r="AB319" i="1"/>
  <c r="U319" i="1"/>
  <c r="V319" i="1"/>
  <c r="AC271" i="1"/>
  <c r="U271" i="1"/>
  <c r="AB271" i="1"/>
  <c r="T271" i="1"/>
  <c r="V271" i="1"/>
  <c r="AC42" i="1"/>
  <c r="U42" i="1"/>
  <c r="AB42" i="1"/>
  <c r="V42" i="1"/>
  <c r="T42" i="1"/>
  <c r="AC290" i="1"/>
  <c r="AB290" i="1"/>
  <c r="V290" i="1"/>
  <c r="U290" i="1"/>
  <c r="T290" i="1"/>
  <c r="AC119" i="1"/>
  <c r="V119" i="1"/>
  <c r="AB119" i="1"/>
  <c r="T119" i="1"/>
  <c r="U119" i="1"/>
  <c r="AC232" i="1"/>
  <c r="T232" i="1"/>
  <c r="U232" i="1"/>
  <c r="AB232" i="1"/>
  <c r="V232" i="1"/>
  <c r="V108" i="1"/>
  <c r="U108" i="1"/>
  <c r="AC108" i="1"/>
  <c r="AB108" i="1"/>
  <c r="T108" i="1"/>
  <c r="U176" i="1"/>
  <c r="AC176" i="1"/>
  <c r="T176" i="1"/>
  <c r="AB176" i="1"/>
  <c r="V176" i="1"/>
  <c r="AC279" i="1"/>
  <c r="T279" i="1"/>
  <c r="AB279" i="1"/>
  <c r="U279" i="1"/>
  <c r="V279" i="1"/>
  <c r="AC301" i="1"/>
  <c r="AB301" i="1"/>
  <c r="V301" i="1"/>
  <c r="U301" i="1"/>
  <c r="T301" i="1"/>
  <c r="U28" i="1"/>
  <c r="AC28" i="1"/>
  <c r="T28" i="1"/>
  <c r="V28" i="1"/>
  <c r="AB28" i="1"/>
  <c r="AC87" i="1"/>
  <c r="V87" i="1"/>
  <c r="AB87" i="1"/>
  <c r="T87" i="1"/>
  <c r="U87" i="1"/>
  <c r="V36" i="1"/>
  <c r="U36" i="1"/>
  <c r="AC36" i="1"/>
  <c r="T36" i="1"/>
  <c r="AB36" i="1"/>
  <c r="AC355" i="1"/>
  <c r="U355" i="1"/>
  <c r="AB355" i="1"/>
  <c r="T355" i="1"/>
  <c r="V355" i="1"/>
  <c r="AC316" i="1"/>
  <c r="V316" i="1"/>
  <c r="T316" i="1"/>
  <c r="AB316" i="1"/>
  <c r="U316" i="1"/>
  <c r="AC186" i="1"/>
  <c r="V186" i="1"/>
  <c r="AB186" i="1"/>
  <c r="U186" i="1"/>
  <c r="T186" i="1"/>
  <c r="AC353" i="1"/>
  <c r="U353" i="1"/>
  <c r="AB353" i="1"/>
  <c r="V353" i="1"/>
  <c r="T353" i="1"/>
  <c r="AC124" i="1"/>
  <c r="U124" i="1"/>
  <c r="T124" i="1"/>
  <c r="V124" i="1"/>
  <c r="AB124" i="1"/>
  <c r="AC144" i="1"/>
  <c r="T144" i="1"/>
  <c r="U144" i="1"/>
  <c r="AB144" i="1"/>
  <c r="V144" i="1"/>
  <c r="AC66" i="1"/>
  <c r="U66" i="1"/>
  <c r="T66" i="1"/>
  <c r="V66" i="1"/>
  <c r="AB66" i="1"/>
  <c r="AC241" i="1"/>
  <c r="T241" i="1"/>
  <c r="V241" i="1"/>
  <c r="AB241" i="1"/>
  <c r="U241" i="1"/>
  <c r="AC310" i="1"/>
  <c r="V310" i="1"/>
  <c r="AB310" i="1"/>
  <c r="T310" i="1"/>
  <c r="U310" i="1"/>
  <c r="AC171" i="1"/>
  <c r="T171" i="1"/>
  <c r="V171" i="1"/>
  <c r="U171" i="1"/>
  <c r="AB171" i="1"/>
  <c r="AC74" i="1"/>
  <c r="U74" i="1"/>
  <c r="T74" i="1"/>
  <c r="AB74" i="1"/>
  <c r="V74" i="1"/>
  <c r="AC73" i="1"/>
  <c r="T73" i="1"/>
  <c r="AB73" i="1"/>
  <c r="U73" i="1"/>
  <c r="V73" i="1"/>
  <c r="AC259" i="1"/>
  <c r="V259" i="1"/>
  <c r="AB259" i="1"/>
  <c r="U259" i="1"/>
  <c r="T259" i="1"/>
  <c r="AC286" i="1"/>
  <c r="V286" i="1"/>
  <c r="U286" i="1"/>
  <c r="T286" i="1"/>
  <c r="AB286" i="1"/>
  <c r="AC104" i="1"/>
  <c r="T104" i="1"/>
  <c r="AB104" i="1"/>
  <c r="U104" i="1"/>
  <c r="V104" i="1"/>
  <c r="U155" i="1"/>
  <c r="T155" i="1"/>
  <c r="AB155" i="1"/>
  <c r="V155" i="1"/>
  <c r="AC155" i="1"/>
  <c r="U72" i="1"/>
  <c r="T72" i="1"/>
  <c r="AB72" i="1"/>
  <c r="V72" i="1"/>
  <c r="AC72" i="1"/>
  <c r="AC325" i="1"/>
  <c r="V325" i="1"/>
  <c r="T325" i="1"/>
  <c r="AB325" i="1"/>
  <c r="U325" i="1"/>
  <c r="AC172" i="1"/>
  <c r="T172" i="1"/>
  <c r="AB172" i="1"/>
  <c r="V172" i="1"/>
  <c r="U172" i="1"/>
  <c r="AC75" i="1"/>
  <c r="V75" i="1"/>
  <c r="AB75" i="1"/>
  <c r="T75" i="1"/>
  <c r="U75" i="1"/>
  <c r="AC19" i="1"/>
  <c r="T19" i="1"/>
  <c r="AB19" i="1"/>
  <c r="V19" i="1"/>
  <c r="U19" i="1"/>
  <c r="AC68" i="1"/>
  <c r="T68" i="1"/>
  <c r="AB68" i="1"/>
  <c r="V68" i="1"/>
  <c r="U68" i="1"/>
  <c r="AC366" i="1"/>
  <c r="U366" i="1"/>
  <c r="AB366" i="1"/>
  <c r="T366" i="1"/>
  <c r="V366" i="1"/>
  <c r="AC82" i="1"/>
  <c r="U82" i="1"/>
  <c r="AB82" i="1"/>
  <c r="T82" i="1"/>
  <c r="V82" i="1"/>
  <c r="AC25" i="1"/>
  <c r="T25" i="1"/>
  <c r="AB25" i="1"/>
  <c r="V25" i="1"/>
  <c r="U25" i="1"/>
  <c r="AC128" i="1"/>
  <c r="V128" i="1"/>
  <c r="U128" i="1"/>
  <c r="AB128" i="1"/>
  <c r="T128" i="1"/>
  <c r="AC382" i="1"/>
  <c r="V382" i="1"/>
  <c r="AB382" i="1"/>
  <c r="T382" i="1"/>
  <c r="U382" i="1"/>
  <c r="AC213" i="1"/>
  <c r="T213" i="1"/>
  <c r="AB213" i="1"/>
  <c r="U213" i="1"/>
  <c r="V213" i="1"/>
  <c r="AC196" i="1"/>
  <c r="U196" i="1"/>
  <c r="AB196" i="1"/>
  <c r="V196" i="1"/>
  <c r="T196" i="1"/>
  <c r="AC275" i="1"/>
  <c r="V275" i="1"/>
  <c r="AB275" i="1"/>
  <c r="U275" i="1"/>
  <c r="T275" i="1"/>
  <c r="AC101" i="1"/>
  <c r="T101" i="1"/>
  <c r="AB101" i="1"/>
  <c r="U101" i="1"/>
  <c r="V101" i="1"/>
  <c r="AC174" i="1"/>
  <c r="V174" i="1"/>
  <c r="AB174" i="1"/>
  <c r="T174" i="1"/>
  <c r="U174" i="1"/>
  <c r="AC250" i="1"/>
  <c r="T250" i="1"/>
  <c r="AB250" i="1"/>
  <c r="V250" i="1"/>
  <c r="U250" i="1"/>
  <c r="AC327" i="1"/>
  <c r="T327" i="1"/>
  <c r="AB327" i="1"/>
  <c r="V327" i="1"/>
  <c r="U327" i="1"/>
  <c r="AC209" i="1"/>
  <c r="V209" i="1"/>
  <c r="U209" i="1"/>
  <c r="AB209" i="1"/>
  <c r="T209" i="1"/>
  <c r="AC138" i="1"/>
  <c r="T138" i="1"/>
  <c r="AB138" i="1"/>
  <c r="V138" i="1"/>
  <c r="U138" i="1"/>
  <c r="AC360" i="1"/>
  <c r="V360" i="1"/>
  <c r="AB360" i="1"/>
  <c r="U360" i="1"/>
  <c r="T360" i="1"/>
  <c r="AC343" i="1"/>
  <c r="T343" i="1"/>
  <c r="AB343" i="1"/>
  <c r="U343" i="1"/>
  <c r="V343" i="1"/>
  <c r="AC109" i="1"/>
  <c r="T109" i="1"/>
  <c r="AB109" i="1"/>
  <c r="U109" i="1"/>
  <c r="V109" i="1"/>
  <c r="U141" i="1"/>
  <c r="T141" i="1"/>
  <c r="AC141" i="1"/>
  <c r="AB141" i="1"/>
  <c r="V141" i="1"/>
  <c r="AC269" i="1"/>
  <c r="U269" i="1"/>
  <c r="V269" i="1"/>
  <c r="AB269" i="1"/>
  <c r="T269" i="1"/>
  <c r="U291" i="1"/>
  <c r="AC291" i="1"/>
  <c r="T291" i="1"/>
  <c r="V291" i="1"/>
  <c r="AB291" i="1"/>
  <c r="AH99" i="1"/>
  <c r="AF99" i="1"/>
  <c r="AG99" i="1"/>
  <c r="AH83" i="1"/>
  <c r="AF83" i="1"/>
  <c r="AG83" i="1"/>
  <c r="AF216" i="1"/>
  <c r="AH216" i="1"/>
  <c r="AG216" i="1"/>
  <c r="AH150" i="1"/>
  <c r="AF150" i="1"/>
  <c r="AG150" i="1"/>
  <c r="AF242" i="1"/>
  <c r="AG242" i="1"/>
  <c r="AH242" i="1"/>
  <c r="AF254" i="1"/>
  <c r="AG254" i="1"/>
  <c r="AH254" i="1"/>
  <c r="AF284" i="1"/>
  <c r="AG284" i="1"/>
  <c r="AH284" i="1"/>
  <c r="AF156" i="1"/>
  <c r="AG156" i="1"/>
  <c r="AH156" i="1"/>
  <c r="AF224" i="1"/>
  <c r="AH224" i="1"/>
  <c r="AG224" i="1"/>
  <c r="AF367" i="1"/>
  <c r="AG367" i="1"/>
  <c r="AH367" i="1"/>
  <c r="AF230" i="1"/>
  <c r="AG230" i="1"/>
  <c r="AH230" i="1"/>
  <c r="AH394" i="1"/>
  <c r="AF394" i="1"/>
  <c r="AG394" i="1"/>
  <c r="AG369" i="1"/>
  <c r="AF369" i="1"/>
  <c r="AH369" i="1"/>
  <c r="AG316" i="1"/>
  <c r="AH316" i="1"/>
  <c r="AF316" i="1"/>
  <c r="AG152" i="1"/>
  <c r="AH152" i="1"/>
  <c r="AF152" i="1"/>
  <c r="AF295" i="1"/>
  <c r="AG295" i="1"/>
  <c r="AH295" i="1"/>
  <c r="AF158" i="1"/>
  <c r="AG158" i="1"/>
  <c r="AH158" i="1"/>
  <c r="AH322" i="1"/>
  <c r="AF322" i="1"/>
  <c r="AG322" i="1"/>
  <c r="AH141" i="1"/>
  <c r="AG141" i="1"/>
  <c r="AF141" i="1"/>
  <c r="AH37" i="1"/>
  <c r="AG37" i="1"/>
  <c r="AF37" i="1"/>
  <c r="AG80" i="1"/>
  <c r="AF80" i="1"/>
  <c r="AH80" i="1"/>
  <c r="AG223" i="1"/>
  <c r="AH223" i="1"/>
  <c r="AF223" i="1"/>
  <c r="AH86" i="1"/>
  <c r="AF86" i="1"/>
  <c r="AG86" i="1"/>
  <c r="AF250" i="1"/>
  <c r="AG250" i="1"/>
  <c r="AH250" i="1"/>
  <c r="AG313" i="1"/>
  <c r="AH313" i="1"/>
  <c r="AF313" i="1"/>
  <c r="AF124" i="1"/>
  <c r="AG124" i="1"/>
  <c r="AH124" i="1"/>
  <c r="AH289" i="1"/>
  <c r="AF289" i="1"/>
  <c r="AG289" i="1"/>
  <c r="AF151" i="1"/>
  <c r="AG151" i="1"/>
  <c r="AH151" i="1"/>
  <c r="AG307" i="1"/>
  <c r="AH307" i="1"/>
  <c r="AF307" i="1"/>
  <c r="AH178" i="1"/>
  <c r="AG178" i="1"/>
  <c r="AF178" i="1"/>
  <c r="AF339" i="1"/>
  <c r="AG339" i="1"/>
  <c r="AH339" i="1"/>
  <c r="AH213" i="1"/>
  <c r="AG213" i="1"/>
  <c r="AF213" i="1"/>
  <c r="AF217" i="1"/>
  <c r="AH217" i="1"/>
  <c r="AG217" i="1"/>
  <c r="AF79" i="1"/>
  <c r="AH79" i="1"/>
  <c r="AG79" i="1"/>
  <c r="AG235" i="1"/>
  <c r="AH235" i="1"/>
  <c r="AF235" i="1"/>
  <c r="AF106" i="1"/>
  <c r="AG106" i="1"/>
  <c r="AH106" i="1"/>
  <c r="AC162" i="1"/>
  <c r="T162" i="1"/>
  <c r="AB162" i="1"/>
  <c r="V162" i="1"/>
  <c r="U162" i="1"/>
  <c r="AC29" i="1"/>
  <c r="U29" i="1"/>
  <c r="AB29" i="1"/>
  <c r="T29" i="1"/>
  <c r="V29" i="1"/>
  <c r="AC63" i="1"/>
  <c r="V63" i="1"/>
  <c r="AB63" i="1"/>
  <c r="U63" i="1"/>
  <c r="T63" i="1"/>
  <c r="AC395" i="1"/>
  <c r="V395" i="1"/>
  <c r="U395" i="1"/>
  <c r="AB395" i="1"/>
  <c r="T395" i="1"/>
  <c r="AC211" i="1"/>
  <c r="U211" i="1"/>
  <c r="T211" i="1"/>
  <c r="V211" i="1"/>
  <c r="AB211" i="1"/>
  <c r="AC284" i="1"/>
  <c r="U284" i="1"/>
  <c r="V284" i="1"/>
  <c r="T284" i="1"/>
  <c r="AB284" i="1"/>
  <c r="AC352" i="1"/>
  <c r="V352" i="1"/>
  <c r="AB352" i="1"/>
  <c r="T352" i="1"/>
  <c r="U352" i="1"/>
  <c r="AC20" i="1"/>
  <c r="U20" i="1"/>
  <c r="T20" i="1"/>
  <c r="AB20" i="1"/>
  <c r="V20" i="1"/>
  <c r="AC364" i="1"/>
  <c r="V364" i="1"/>
  <c r="AB364" i="1"/>
  <c r="T364" i="1"/>
  <c r="U364" i="1"/>
  <c r="AC358" i="1"/>
  <c r="V358" i="1"/>
  <c r="AB358" i="1"/>
  <c r="U358" i="1"/>
  <c r="T358" i="1"/>
  <c r="AC293" i="1"/>
  <c r="T293" i="1"/>
  <c r="AB293" i="1"/>
  <c r="V293" i="1"/>
  <c r="U293" i="1"/>
  <c r="AC38" i="1"/>
  <c r="V38" i="1"/>
  <c r="T38" i="1"/>
  <c r="AB38" i="1"/>
  <c r="U38" i="1"/>
  <c r="AC198" i="1"/>
  <c r="V198" i="1"/>
  <c r="AB198" i="1"/>
  <c r="U198" i="1"/>
  <c r="T198" i="1"/>
  <c r="AC313" i="1"/>
  <c r="U313" i="1"/>
  <c r="T313" i="1"/>
  <c r="V313" i="1"/>
  <c r="AB313" i="1"/>
  <c r="AC216" i="1"/>
  <c r="T216" i="1"/>
  <c r="V216" i="1"/>
  <c r="AB216" i="1"/>
  <c r="U216" i="1"/>
  <c r="AC76" i="1"/>
  <c r="T76" i="1"/>
  <c r="AB76" i="1"/>
  <c r="U76" i="1"/>
  <c r="V76" i="1"/>
  <c r="AC195" i="1"/>
  <c r="T195" i="1"/>
  <c r="AB195" i="1"/>
  <c r="U195" i="1"/>
  <c r="V195" i="1"/>
  <c r="AC217" i="1"/>
  <c r="T217" i="1"/>
  <c r="AB217" i="1"/>
  <c r="V217" i="1"/>
  <c r="U217" i="1"/>
  <c r="AC367" i="1"/>
  <c r="V367" i="1"/>
  <c r="U367" i="1"/>
  <c r="T367" i="1"/>
  <c r="AB367" i="1"/>
  <c r="AC71" i="1"/>
  <c r="V71" i="1"/>
  <c r="T71" i="1"/>
  <c r="AB71" i="1"/>
  <c r="U71" i="1"/>
  <c r="AC212" i="1"/>
  <c r="V212" i="1"/>
  <c r="AB212" i="1"/>
  <c r="U212" i="1"/>
  <c r="T212" i="1"/>
  <c r="U22" i="1"/>
  <c r="AC22" i="1"/>
  <c r="V22" i="1"/>
  <c r="T22" i="1"/>
  <c r="AB22" i="1"/>
  <c r="V303" i="1"/>
  <c r="AC303" i="1"/>
  <c r="T303" i="1"/>
  <c r="U303" i="1"/>
  <c r="AB303" i="1"/>
  <c r="AC116" i="1"/>
  <c r="U116" i="1"/>
  <c r="T116" i="1"/>
  <c r="V116" i="1"/>
  <c r="AB116" i="1"/>
  <c r="AC129" i="1"/>
  <c r="U129" i="1"/>
  <c r="AB129" i="1"/>
  <c r="V129" i="1"/>
  <c r="T129" i="1"/>
  <c r="AC203" i="1"/>
  <c r="T203" i="1"/>
  <c r="AB203" i="1"/>
  <c r="U203" i="1"/>
  <c r="V203" i="1"/>
  <c r="AC377" i="1"/>
  <c r="V377" i="1"/>
  <c r="T377" i="1"/>
  <c r="U377" i="1"/>
  <c r="AB377" i="1"/>
  <c r="AC191" i="1"/>
  <c r="T191" i="1"/>
  <c r="AB191" i="1"/>
  <c r="U191" i="1"/>
  <c r="V191" i="1"/>
  <c r="AC93" i="1"/>
  <c r="V93" i="1"/>
  <c r="AB93" i="1"/>
  <c r="T93" i="1"/>
  <c r="U93" i="1"/>
  <c r="AC391" i="1"/>
  <c r="V391" i="1"/>
  <c r="AB391" i="1"/>
  <c r="T391" i="1"/>
  <c r="U391" i="1"/>
  <c r="AC368" i="1"/>
  <c r="V368" i="1"/>
  <c r="T368" i="1"/>
  <c r="AB368" i="1"/>
  <c r="U368" i="1"/>
  <c r="AC228" i="1"/>
  <c r="V228" i="1"/>
  <c r="AB228" i="1"/>
  <c r="U228" i="1"/>
  <c r="T228" i="1"/>
  <c r="AC127" i="1"/>
  <c r="AB127" i="1"/>
  <c r="U127" i="1"/>
  <c r="V127" i="1"/>
  <c r="T127" i="1"/>
  <c r="AC337" i="1"/>
  <c r="T337" i="1"/>
  <c r="AB337" i="1"/>
  <c r="V337" i="1"/>
  <c r="U337" i="1"/>
  <c r="AC230" i="1"/>
  <c r="V230" i="1"/>
  <c r="AB230" i="1"/>
  <c r="T230" i="1"/>
  <c r="U230" i="1"/>
  <c r="AC359" i="1"/>
  <c r="V359" i="1"/>
  <c r="U359" i="1"/>
  <c r="AB359" i="1"/>
  <c r="T359" i="1"/>
  <c r="AC64" i="1"/>
  <c r="T64" i="1"/>
  <c r="AB64" i="1"/>
  <c r="V64" i="1"/>
  <c r="U64" i="1"/>
  <c r="AC274" i="1"/>
  <c r="V274" i="1"/>
  <c r="AB274" i="1"/>
  <c r="U274" i="1"/>
  <c r="T274" i="1"/>
  <c r="AC85" i="1"/>
  <c r="AB85" i="1"/>
  <c r="T85" i="1"/>
  <c r="U85" i="1"/>
  <c r="V85" i="1"/>
  <c r="AC247" i="1"/>
  <c r="AB247" i="1"/>
  <c r="U247" i="1"/>
  <c r="V247" i="1"/>
  <c r="T247" i="1"/>
  <c r="AC394" i="1"/>
  <c r="AB394" i="1"/>
  <c r="V394" i="1"/>
  <c r="U394" i="1"/>
  <c r="T394" i="1"/>
  <c r="AB357" i="1"/>
  <c r="U357" i="1"/>
  <c r="AC357" i="1"/>
  <c r="T357" i="1"/>
  <c r="V357" i="1"/>
  <c r="AC201" i="1"/>
  <c r="AB201" i="1"/>
  <c r="V201" i="1"/>
  <c r="T201" i="1"/>
  <c r="U201" i="1"/>
  <c r="AC157" i="1"/>
  <c r="T157" i="1"/>
  <c r="AB157" i="1"/>
  <c r="V157" i="1"/>
  <c r="U157" i="1"/>
  <c r="AB31" i="1"/>
  <c r="U31" i="1"/>
  <c r="AC31" i="1"/>
  <c r="V31" i="1"/>
  <c r="T31" i="1"/>
  <c r="V384" i="1"/>
  <c r="U384" i="1"/>
  <c r="T384" i="1"/>
  <c r="AC384" i="1"/>
  <c r="AB384" i="1"/>
  <c r="U370" i="1"/>
  <c r="AB370" i="1"/>
  <c r="T370" i="1"/>
  <c r="AC370" i="1"/>
  <c r="V370" i="1"/>
  <c r="V280" i="1"/>
  <c r="AB280" i="1"/>
  <c r="T280" i="1"/>
  <c r="AC280" i="1"/>
  <c r="U280" i="1"/>
  <c r="AF318" i="1"/>
  <c r="AG318" i="1"/>
  <c r="AH318" i="1"/>
  <c r="AH73" i="1"/>
  <c r="AG73" i="1"/>
  <c r="AF73" i="1"/>
  <c r="AH65" i="1"/>
  <c r="AF65" i="1"/>
  <c r="AG65" i="1"/>
  <c r="AF57" i="1"/>
  <c r="AH57" i="1"/>
  <c r="AG57" i="1"/>
  <c r="AF359" i="1"/>
  <c r="AH359" i="1"/>
  <c r="AG359" i="1"/>
  <c r="AG287" i="1"/>
  <c r="AH287" i="1"/>
  <c r="AF287" i="1"/>
  <c r="AG78" i="1"/>
  <c r="AH78" i="1"/>
  <c r="AF78" i="1"/>
  <c r="AH170" i="1"/>
  <c r="AF170" i="1"/>
  <c r="AG170" i="1"/>
  <c r="AH35" i="1"/>
  <c r="AF35" i="1"/>
  <c r="AG35" i="1"/>
  <c r="AH27" i="1"/>
  <c r="AG27" i="1"/>
  <c r="AF27" i="1"/>
  <c r="AH19" i="1"/>
  <c r="AG19" i="1"/>
  <c r="AF19" i="1"/>
  <c r="AF327" i="1"/>
  <c r="AG327" i="1"/>
  <c r="AH327" i="1"/>
  <c r="AF190" i="1"/>
  <c r="AG190" i="1"/>
  <c r="AH190" i="1"/>
  <c r="AH354" i="1"/>
  <c r="AF354" i="1"/>
  <c r="AG354" i="1"/>
  <c r="AF116" i="1"/>
  <c r="AH116" i="1"/>
  <c r="AG116" i="1"/>
  <c r="AH364" i="1"/>
  <c r="AF364" i="1"/>
  <c r="AG364" i="1"/>
  <c r="AG176" i="1"/>
  <c r="AF176" i="1"/>
  <c r="AH176" i="1"/>
  <c r="AF319" i="1"/>
  <c r="AG319" i="1"/>
  <c r="AH319" i="1"/>
  <c r="AF182" i="1"/>
  <c r="AG182" i="1"/>
  <c r="AH182" i="1"/>
  <c r="AG346" i="1"/>
  <c r="AF346" i="1"/>
  <c r="AH346" i="1"/>
  <c r="AG52" i="1"/>
  <c r="AF52" i="1"/>
  <c r="AH52" i="1"/>
  <c r="AF348" i="1"/>
  <c r="AG348" i="1"/>
  <c r="AH348" i="1"/>
  <c r="AF168" i="1"/>
  <c r="AG168" i="1"/>
  <c r="AH168" i="1"/>
  <c r="AF311" i="1"/>
  <c r="AG311" i="1"/>
  <c r="AH311" i="1"/>
  <c r="AF174" i="1"/>
  <c r="AG174" i="1"/>
  <c r="AH174" i="1"/>
  <c r="AH338" i="1"/>
  <c r="AG338" i="1"/>
  <c r="AF338" i="1"/>
  <c r="AF385" i="1"/>
  <c r="AG385" i="1"/>
  <c r="AH385" i="1"/>
  <c r="AG332" i="1"/>
  <c r="AH332" i="1"/>
  <c r="AF332" i="1"/>
  <c r="AG160" i="1"/>
  <c r="AF160" i="1"/>
  <c r="AH160" i="1"/>
  <c r="AF303" i="1"/>
  <c r="AG303" i="1"/>
  <c r="AH303" i="1"/>
  <c r="AG166" i="1"/>
  <c r="AH166" i="1"/>
  <c r="AF166" i="1"/>
  <c r="AF330" i="1"/>
  <c r="AG330" i="1"/>
  <c r="AH330" i="1"/>
  <c r="AF173" i="1"/>
  <c r="AG173" i="1"/>
  <c r="AH173" i="1"/>
  <c r="AH69" i="1"/>
  <c r="AG69" i="1"/>
  <c r="AF69" i="1"/>
  <c r="AF88" i="1"/>
  <c r="AG88" i="1"/>
  <c r="AH88" i="1"/>
  <c r="AG231" i="1"/>
  <c r="AH231" i="1"/>
  <c r="AF231" i="1"/>
  <c r="AF94" i="1"/>
  <c r="AG94" i="1"/>
  <c r="AH94" i="1"/>
  <c r="AF258" i="1"/>
  <c r="AG258" i="1"/>
  <c r="AH258" i="1"/>
  <c r="AF377" i="1"/>
  <c r="AG377" i="1"/>
  <c r="AH377" i="1"/>
  <c r="AF252" i="1"/>
  <c r="AG252" i="1"/>
  <c r="AH252" i="1"/>
  <c r="AH297" i="1"/>
  <c r="AF297" i="1"/>
  <c r="AG297" i="1"/>
  <c r="AH159" i="1"/>
  <c r="AG159" i="1"/>
  <c r="AF159" i="1"/>
  <c r="AG22" i="1"/>
  <c r="AH22" i="1"/>
  <c r="AF22" i="1"/>
  <c r="AG186" i="1"/>
  <c r="AH186" i="1"/>
  <c r="AF186" i="1"/>
  <c r="AF355" i="1"/>
  <c r="AG355" i="1"/>
  <c r="AH355" i="1"/>
  <c r="AH245" i="1"/>
  <c r="AF245" i="1"/>
  <c r="AG245" i="1"/>
  <c r="AH225" i="1"/>
  <c r="AG225" i="1"/>
  <c r="AF225" i="1"/>
  <c r="AH87" i="1"/>
  <c r="AF87" i="1"/>
  <c r="AG87" i="1"/>
  <c r="AH243" i="1"/>
  <c r="AF243" i="1"/>
  <c r="AG243" i="1"/>
  <c r="AG114" i="1"/>
  <c r="AH114" i="1"/>
  <c r="AF114" i="1"/>
  <c r="AG317" i="1"/>
  <c r="AH317" i="1"/>
  <c r="AF317" i="1"/>
  <c r="AG384" i="1"/>
  <c r="AH384" i="1"/>
  <c r="AF384" i="1"/>
  <c r="AG153" i="1"/>
  <c r="AF153" i="1"/>
  <c r="AH153" i="1"/>
  <c r="AH390" i="1"/>
  <c r="AF390" i="1"/>
  <c r="AG390" i="1"/>
  <c r="AH171" i="1"/>
  <c r="AF171" i="1"/>
  <c r="AG171" i="1"/>
  <c r="AG42" i="1"/>
  <c r="AF42" i="1"/>
  <c r="AH42" i="1"/>
  <c r="AC215" i="1"/>
  <c r="T215" i="1"/>
  <c r="U215" i="1"/>
  <c r="AB215" i="1"/>
  <c r="V215" i="1"/>
  <c r="AC80" i="1"/>
  <c r="V80" i="1"/>
  <c r="AB80" i="1"/>
  <c r="T80" i="1"/>
  <c r="U80" i="1"/>
  <c r="AC125" i="1"/>
  <c r="T125" i="1"/>
  <c r="AB125" i="1"/>
  <c r="V125" i="1"/>
  <c r="U125" i="1"/>
  <c r="AC363" i="1"/>
  <c r="U363" i="1"/>
  <c r="AB363" i="1"/>
  <c r="T363" i="1"/>
  <c r="V363" i="1"/>
  <c r="AC49" i="1"/>
  <c r="V49" i="1"/>
  <c r="U49" i="1"/>
  <c r="AB49" i="1"/>
  <c r="T49" i="1"/>
  <c r="AC152" i="1"/>
  <c r="U152" i="1"/>
  <c r="T152" i="1"/>
  <c r="AB152" i="1"/>
  <c r="V152" i="1"/>
  <c r="AC252" i="1"/>
  <c r="V252" i="1"/>
  <c r="AB252" i="1"/>
  <c r="U252" i="1"/>
  <c r="T252" i="1"/>
  <c r="AC220" i="1"/>
  <c r="U220" i="1"/>
  <c r="V220" i="1"/>
  <c r="T220" i="1"/>
  <c r="AB220" i="1"/>
  <c r="AC321" i="1"/>
  <c r="V321" i="1"/>
  <c r="T321" i="1"/>
  <c r="AB321" i="1"/>
  <c r="U321" i="1"/>
  <c r="AC163" i="1"/>
  <c r="U163" i="1"/>
  <c r="V163" i="1"/>
  <c r="T163" i="1"/>
  <c r="AB163" i="1"/>
  <c r="AC150" i="1"/>
  <c r="U150" i="1"/>
  <c r="T150" i="1"/>
  <c r="V150" i="1"/>
  <c r="AB150" i="1"/>
  <c r="AC350" i="1"/>
  <c r="T350" i="1"/>
  <c r="V350" i="1"/>
  <c r="U350" i="1"/>
  <c r="AB350" i="1"/>
  <c r="AC345" i="1"/>
  <c r="T345" i="1"/>
  <c r="U345" i="1"/>
  <c r="AB345" i="1"/>
  <c r="V345" i="1"/>
  <c r="AC173" i="1"/>
  <c r="V173" i="1"/>
  <c r="U173" i="1"/>
  <c r="AB173" i="1"/>
  <c r="T173" i="1"/>
  <c r="AC48" i="1"/>
  <c r="V48" i="1"/>
  <c r="T48" i="1"/>
  <c r="AB48" i="1"/>
  <c r="U48" i="1"/>
  <c r="AC297" i="1"/>
  <c r="T297" i="1"/>
  <c r="AB297" i="1"/>
  <c r="U297" i="1"/>
  <c r="V297" i="1"/>
  <c r="AC305" i="1"/>
  <c r="T305" i="1"/>
  <c r="AB305" i="1"/>
  <c r="U305" i="1"/>
  <c r="V305" i="1"/>
  <c r="AC178" i="1"/>
  <c r="U178" i="1"/>
  <c r="AB178" i="1"/>
  <c r="T178" i="1"/>
  <c r="V178" i="1"/>
  <c r="AC103" i="1"/>
  <c r="V103" i="1"/>
  <c r="T103" i="1"/>
  <c r="U103" i="1"/>
  <c r="AB103" i="1"/>
  <c r="AC388" i="1"/>
  <c r="T388" i="1"/>
  <c r="AB388" i="1"/>
  <c r="V388" i="1"/>
  <c r="U388" i="1"/>
  <c r="AC349" i="1"/>
  <c r="U349" i="1"/>
  <c r="AB349" i="1"/>
  <c r="T349" i="1"/>
  <c r="V349" i="1"/>
  <c r="AC67" i="1"/>
  <c r="T67" i="1"/>
  <c r="V67" i="1"/>
  <c r="AB67" i="1"/>
  <c r="U67" i="1"/>
  <c r="V92" i="1"/>
  <c r="T92" i="1"/>
  <c r="AB92" i="1"/>
  <c r="U92" i="1"/>
  <c r="AC92" i="1"/>
  <c r="U98" i="1"/>
  <c r="T98" i="1"/>
  <c r="AB98" i="1"/>
  <c r="V98" i="1"/>
  <c r="AC98" i="1"/>
  <c r="AC243" i="1"/>
  <c r="V243" i="1"/>
  <c r="AB243" i="1"/>
  <c r="U243" i="1"/>
  <c r="T243" i="1"/>
  <c r="AC334" i="1"/>
  <c r="U334" i="1"/>
  <c r="AB334" i="1"/>
  <c r="V334" i="1"/>
  <c r="T334" i="1"/>
  <c r="AC91" i="1"/>
  <c r="V91" i="1"/>
  <c r="T91" i="1"/>
  <c r="U91" i="1"/>
  <c r="AB91" i="1"/>
  <c r="AC381" i="1"/>
  <c r="U381" i="1"/>
  <c r="V381" i="1"/>
  <c r="AB381" i="1"/>
  <c r="T381" i="1"/>
  <c r="AC30" i="1"/>
  <c r="T30" i="1"/>
  <c r="AB30" i="1"/>
  <c r="U30" i="1"/>
  <c r="V30" i="1"/>
  <c r="AC151" i="1"/>
  <c r="U151" i="1"/>
  <c r="T151" i="1"/>
  <c r="AB151" i="1"/>
  <c r="V151" i="1"/>
  <c r="AC270" i="1"/>
  <c r="V270" i="1"/>
  <c r="AB270" i="1"/>
  <c r="T270" i="1"/>
  <c r="U270" i="1"/>
  <c r="AC40" i="1"/>
  <c r="V40" i="1"/>
  <c r="U40" i="1"/>
  <c r="AB40" i="1"/>
  <c r="T40" i="1"/>
  <c r="AC253" i="1"/>
  <c r="U253" i="1"/>
  <c r="AB253" i="1"/>
  <c r="T253" i="1"/>
  <c r="V253" i="1"/>
  <c r="AC78" i="1"/>
  <c r="U78" i="1"/>
  <c r="AB78" i="1"/>
  <c r="T78" i="1"/>
  <c r="V78" i="1"/>
  <c r="AC273" i="1"/>
  <c r="U273" i="1"/>
  <c r="T273" i="1"/>
  <c r="AB273" i="1"/>
  <c r="V273" i="1"/>
  <c r="AC264" i="1"/>
  <c r="V264" i="1"/>
  <c r="T264" i="1"/>
  <c r="AB264" i="1"/>
  <c r="U264" i="1"/>
  <c r="AC164" i="1"/>
  <c r="U164" i="1"/>
  <c r="AB164" i="1"/>
  <c r="V164" i="1"/>
  <c r="T164" i="1"/>
  <c r="AC295" i="1"/>
  <c r="T295" i="1"/>
  <c r="AB295" i="1"/>
  <c r="V295" i="1"/>
  <c r="U295" i="1"/>
  <c r="AC385" i="1"/>
  <c r="T385" i="1"/>
  <c r="AB385" i="1"/>
  <c r="V385" i="1"/>
  <c r="U385" i="1"/>
  <c r="AC365" i="1"/>
  <c r="U365" i="1"/>
  <c r="AB365" i="1"/>
  <c r="V365" i="1"/>
  <c r="T365" i="1"/>
  <c r="AC221" i="1"/>
  <c r="U221" i="1"/>
  <c r="AB221" i="1"/>
  <c r="V221" i="1"/>
  <c r="T221" i="1"/>
  <c r="AC206" i="1"/>
  <c r="T206" i="1"/>
  <c r="AB206" i="1"/>
  <c r="U206" i="1"/>
  <c r="V206" i="1"/>
  <c r="AC110" i="1"/>
  <c r="U110" i="1"/>
  <c r="AB110" i="1"/>
  <c r="V110" i="1"/>
  <c r="T110" i="1"/>
  <c r="AC27" i="1"/>
  <c r="AB27" i="1"/>
  <c r="V27" i="1"/>
  <c r="U27" i="1"/>
  <c r="T27" i="1"/>
  <c r="AC88" i="1"/>
  <c r="V88" i="1"/>
  <c r="T88" i="1"/>
  <c r="AB88" i="1"/>
  <c r="U88" i="1"/>
  <c r="U197" i="1"/>
  <c r="V197" i="1"/>
  <c r="AC197" i="1"/>
  <c r="AB197" i="1"/>
  <c r="T197" i="1"/>
  <c r="V311" i="1"/>
  <c r="AC311" i="1"/>
  <c r="U311" i="1"/>
  <c r="T311" i="1"/>
  <c r="AB311" i="1"/>
  <c r="AC154" i="1"/>
  <c r="T154" i="1"/>
  <c r="AB154" i="1"/>
  <c r="V154" i="1"/>
  <c r="U154" i="1"/>
  <c r="B42" i="1" l="1"/>
  <c r="H41" i="1"/>
  <c r="B41" i="1"/>
  <c r="H42" i="1"/>
  <c r="H43" i="1"/>
  <c r="B32" i="1"/>
  <c r="B43" i="1"/>
  <c r="H32" i="1"/>
  <c r="H39" i="1"/>
  <c r="G35" i="1"/>
  <c r="B35" i="1"/>
  <c r="G39" i="1"/>
  <c r="B31" i="1"/>
  <c r="H33" i="1"/>
  <c r="G33" i="1"/>
  <c r="B38" i="1"/>
  <c r="G38" i="1"/>
  <c r="B30" i="1"/>
  <c r="H30" i="1"/>
  <c r="G31" i="1"/>
  <c r="B40" i="1"/>
  <c r="H40" i="1"/>
  <c r="G34" i="1"/>
  <c r="B34" i="1"/>
  <c r="H34" i="1"/>
  <c r="B15" i="1" l="1"/>
  <c r="D15" i="1"/>
</calcChain>
</file>

<file path=xl/sharedStrings.xml><?xml version="1.0" encoding="utf-8"?>
<sst xmlns="http://schemas.openxmlformats.org/spreadsheetml/2006/main" count="484" uniqueCount="282">
  <si>
    <t>Inputs</t>
  </si>
  <si>
    <t>Units</t>
  </si>
  <si>
    <t>t/ha</t>
  </si>
  <si>
    <t>Input level</t>
  </si>
  <si>
    <t>Planting date</t>
  </si>
  <si>
    <t>Harvest date</t>
  </si>
  <si>
    <t>Lettuce</t>
  </si>
  <si>
    <t>Onion</t>
  </si>
  <si>
    <t>Potato</t>
  </si>
  <si>
    <t>Pukekohe</t>
  </si>
  <si>
    <t>Levin</t>
  </si>
  <si>
    <t>Cauliflower</t>
  </si>
  <si>
    <t>Outputs</t>
  </si>
  <si>
    <t>Fertiliser</t>
  </si>
  <si>
    <t>Date</t>
  </si>
  <si>
    <t>units</t>
  </si>
  <si>
    <t>kg/head</t>
  </si>
  <si>
    <t>Value</t>
  </si>
  <si>
    <t>Seed</t>
  </si>
  <si>
    <t>Vegetative</t>
  </si>
  <si>
    <t>Seedling</t>
  </si>
  <si>
    <t>EarlyReproductive</t>
  </si>
  <si>
    <t>MidReproductive</t>
  </si>
  <si>
    <t>LateReproductive</t>
  </si>
  <si>
    <t>Maturity</t>
  </si>
  <si>
    <t>Splits</t>
  </si>
  <si>
    <t>Type</t>
  </si>
  <si>
    <t>Bulb</t>
  </si>
  <si>
    <t>Tulip</t>
  </si>
  <si>
    <t>General</t>
  </si>
  <si>
    <t>Fibre</t>
  </si>
  <si>
    <t>Hemp</t>
  </si>
  <si>
    <t>Fodder</t>
  </si>
  <si>
    <t>Oat</t>
  </si>
  <si>
    <t>Fodder beet</t>
  </si>
  <si>
    <t>Swede</t>
  </si>
  <si>
    <t>Rape</t>
  </si>
  <si>
    <t>Kale</t>
  </si>
  <si>
    <t>Turnip</t>
  </si>
  <si>
    <t>Leafy</t>
  </si>
  <si>
    <t>Barley</t>
  </si>
  <si>
    <t>Annual ryegrass</t>
  </si>
  <si>
    <t>Rye corn</t>
  </si>
  <si>
    <t>Wheat</t>
  </si>
  <si>
    <t>Triticale</t>
  </si>
  <si>
    <t>Maize</t>
  </si>
  <si>
    <t>Grain</t>
  </si>
  <si>
    <t>Canola</t>
  </si>
  <si>
    <t>Chickpea</t>
  </si>
  <si>
    <t>Sunflower</t>
  </si>
  <si>
    <t>Lentil</t>
  </si>
  <si>
    <t>Linseed</t>
  </si>
  <si>
    <t>Bean</t>
  </si>
  <si>
    <t>Pea</t>
  </si>
  <si>
    <t>Lupin</t>
  </si>
  <si>
    <t>Phacelia</t>
  </si>
  <si>
    <t>Mustard</t>
  </si>
  <si>
    <t>Red beet</t>
  </si>
  <si>
    <t>Pak choi</t>
  </si>
  <si>
    <t>Cocksfoot</t>
  </si>
  <si>
    <t>Carrot</t>
  </si>
  <si>
    <t>Ryegrass</t>
  </si>
  <si>
    <t>Radish</t>
  </si>
  <si>
    <t>Open pollinated</t>
  </si>
  <si>
    <t>White clover</t>
  </si>
  <si>
    <t>Vegetable</t>
  </si>
  <si>
    <t>Leek</t>
  </si>
  <si>
    <t>Brown</t>
  </si>
  <si>
    <t>Red</t>
  </si>
  <si>
    <t>Shallot</t>
  </si>
  <si>
    <t>Spring onion</t>
  </si>
  <si>
    <t>Garlic</t>
  </si>
  <si>
    <t>Celery</t>
  </si>
  <si>
    <t>Silver beet</t>
  </si>
  <si>
    <t>Cabbage</t>
  </si>
  <si>
    <t xml:space="preserve">Brussel sprout </t>
  </si>
  <si>
    <t>Broccoli</t>
  </si>
  <si>
    <t>Head only</t>
  </si>
  <si>
    <t>Chinese cut</t>
  </si>
  <si>
    <t>Choy sum</t>
  </si>
  <si>
    <t>Wong bok</t>
  </si>
  <si>
    <t>Coriander</t>
  </si>
  <si>
    <t>Water melon</t>
  </si>
  <si>
    <t>Rock melon</t>
  </si>
  <si>
    <t>Squash</t>
  </si>
  <si>
    <t>Pumpkin</t>
  </si>
  <si>
    <t>Zucchini</t>
  </si>
  <si>
    <t>Kumara</t>
  </si>
  <si>
    <t>Ice berg</t>
  </si>
  <si>
    <t>Leafy-salad</t>
  </si>
  <si>
    <t>Parsnip</t>
  </si>
  <si>
    <t>Tomato</t>
  </si>
  <si>
    <t>Spinach</t>
  </si>
  <si>
    <t>Broad bean</t>
  </si>
  <si>
    <t>Sweetcorn</t>
  </si>
  <si>
    <t>Crop</t>
  </si>
  <si>
    <t>Variety</t>
  </si>
  <si>
    <t>DOY</t>
  </si>
  <si>
    <t>Linocln</t>
  </si>
  <si>
    <t>Hastings</t>
  </si>
  <si>
    <t>Gore</t>
  </si>
  <si>
    <t>Yield</t>
  </si>
  <si>
    <t>Establish Stages</t>
  </si>
  <si>
    <t>Harvest Stages</t>
  </si>
  <si>
    <t>Baled</t>
  </si>
  <si>
    <t>kg/ha</t>
  </si>
  <si>
    <t>Burnt</t>
  </si>
  <si>
    <t>Grazed</t>
  </si>
  <si>
    <t>Late</t>
  </si>
  <si>
    <t>current Crop</t>
  </si>
  <si>
    <t>Current Crop Summary</t>
  </si>
  <si>
    <t>Model Inputs from front sheet</t>
  </si>
  <si>
    <t>Amount</t>
  </si>
  <si>
    <t>PriorFieldLoss</t>
  </si>
  <si>
    <t>PriorDressingLoss</t>
  </si>
  <si>
    <t>PriorMoistureContent</t>
  </si>
  <si>
    <t>PriorEstablishDate</t>
  </si>
  <si>
    <t>PriorEstablishStage</t>
  </si>
  <si>
    <t>PriorHarvestDate</t>
  </si>
  <si>
    <t>PriorHarvestStage</t>
  </si>
  <si>
    <t>CurrentFieldLoss</t>
  </si>
  <si>
    <t>CurrentDressingLoss</t>
  </si>
  <si>
    <t>CurrentMoistureContent</t>
  </si>
  <si>
    <t>CurrentEstablishDate</t>
  </si>
  <si>
    <t>CurrentEstablishStage</t>
  </si>
  <si>
    <t>CurrentHarvestDate</t>
  </si>
  <si>
    <t>CurrentHarvestStage</t>
  </si>
  <si>
    <t>FollowingFieldLoss</t>
  </si>
  <si>
    <t>FollowingDressingLoss</t>
  </si>
  <si>
    <t>FollowingMoistureContent</t>
  </si>
  <si>
    <t>FollowingEstablishDate</t>
  </si>
  <si>
    <t>FollowingEstablishStage</t>
  </si>
  <si>
    <t>FollowingHarvestDate</t>
  </si>
  <si>
    <t>FollowingHarvestStage</t>
  </si>
  <si>
    <t>Field Loss (%)</t>
  </si>
  <si>
    <t>Moisture Content (%)</t>
  </si>
  <si>
    <t>Dressing loss (%)</t>
  </si>
  <si>
    <t>Population (/ha)</t>
  </si>
  <si>
    <t>Fertiliser already applied or planned</t>
  </si>
  <si>
    <t>Soil Mineral N Test Results</t>
  </si>
  <si>
    <t>PriorCropNameFull</t>
  </si>
  <si>
    <t>CurrentCropNameFull</t>
  </si>
  <si>
    <t>FollowingCropNameFull</t>
  </si>
  <si>
    <t>Dates Only</t>
  </si>
  <si>
    <t>FertOnly</t>
  </si>
  <si>
    <t>Nitrogen Schedule</t>
  </si>
  <si>
    <t>Establish stage</t>
  </si>
  <si>
    <t xml:space="preserve"> Harvest stage</t>
  </si>
  <si>
    <t>All removed</t>
  </si>
  <si>
    <t>Residue Treatment</t>
  </si>
  <si>
    <t>Date fert schedulling starts on</t>
  </si>
  <si>
    <t>Full crop name</t>
  </si>
  <si>
    <t>Sustainable Vegetable Systems Grower Facing Tool</t>
  </si>
  <si>
    <t>This is a prototype for the SVS Grower Facing N management tool for demonstration and feedback.  It links to the N balance that will be used in the final version but is still under development so results may change as the model and coefficients are refined</t>
  </si>
  <si>
    <t>Prior Crop information (defaults in grey, enter user overwrites in yellow)</t>
  </si>
  <si>
    <t>Following Crop information (defaults in grey, enter user overwrites in yellow)</t>
  </si>
  <si>
    <t>CropN</t>
  </si>
  <si>
    <t>SoilN</t>
  </si>
  <si>
    <t>Residue Removal</t>
  </si>
  <si>
    <t>Residue Incorporation</t>
  </si>
  <si>
    <t>None removed</t>
  </si>
  <si>
    <t>ResRemove</t>
  </si>
  <si>
    <t>ResIncorp</t>
  </si>
  <si>
    <t>PriorResidueRemoval</t>
  </si>
  <si>
    <t>CurrentResidueRemoval</t>
  </si>
  <si>
    <t>FollowingResidueRemoval</t>
  </si>
  <si>
    <t>PriorResidueIncorporation</t>
  </si>
  <si>
    <t>CurrentResidueIncorporation</t>
  </si>
  <si>
    <t>FollowingResidueIncorporation</t>
  </si>
  <si>
    <t>None (Surface)</t>
  </si>
  <si>
    <t>Full (Plough)</t>
  </si>
  <si>
    <t>Part (Cultivate)</t>
  </si>
  <si>
    <t>Nearest Location</t>
  </si>
  <si>
    <t>current crop plus fallow</t>
  </si>
  <si>
    <t>Losses</t>
  </si>
  <si>
    <t>Balance</t>
  </si>
  <si>
    <t>Undefined</t>
  </si>
  <si>
    <t>Residue</t>
  </si>
  <si>
    <t>Organic</t>
  </si>
  <si>
    <t>Export</t>
  </si>
  <si>
    <t>Mineral</t>
  </si>
  <si>
    <t>Basic</t>
  </si>
  <si>
    <t>Schedulling</t>
  </si>
  <si>
    <t>Advanced</t>
  </si>
  <si>
    <t>Current Crop Basic inputs (Essential inputs in Orange, default inputs in grey, entery user overwrites in yellow boxes)</t>
  </si>
  <si>
    <t>Include soil test data and actual and planned fertiliser applictions.  Dates must be included for tests and applications</t>
  </si>
  <si>
    <t>Other Model Parameters.  These influence calculations of fertiliser requirement</t>
  </si>
  <si>
    <t>before</t>
  </si>
  <si>
    <t>Irrigation</t>
  </si>
  <si>
    <t>None</t>
  </si>
  <si>
    <t>Full</t>
  </si>
  <si>
    <t>Some</t>
  </si>
  <si>
    <t>Rain prior to planting</t>
  </si>
  <si>
    <t>Rain during crop</t>
  </si>
  <si>
    <t>Typical</t>
  </si>
  <si>
    <t>Wet</t>
  </si>
  <si>
    <t>Dry</t>
  </si>
  <si>
    <t>Mean Temperature</t>
  </si>
  <si>
    <t>Rain</t>
  </si>
  <si>
    <t>PET</t>
  </si>
  <si>
    <t>PrePlantRain</t>
  </si>
  <si>
    <t>InCropRain</t>
  </si>
  <si>
    <t>SWC</t>
  </si>
  <si>
    <t>Drainage</t>
  </si>
  <si>
    <t>Very Wet</t>
  </si>
  <si>
    <t>Very Dry</t>
  </si>
  <si>
    <t>Green Cover</t>
  </si>
  <si>
    <t>PMN</t>
  </si>
  <si>
    <t>SampleDepth</t>
  </si>
  <si>
    <t>Sample Depth (cm)</t>
  </si>
  <si>
    <t>Soil Order</t>
  </si>
  <si>
    <t>HWEON</t>
  </si>
  <si>
    <t>Allophanic</t>
  </si>
  <si>
    <t>Gley</t>
  </si>
  <si>
    <t>Granular</t>
  </si>
  <si>
    <t>Pallic</t>
  </si>
  <si>
    <t>Recent</t>
  </si>
  <si>
    <t>0-15</t>
  </si>
  <si>
    <t>PMN test result</t>
  </si>
  <si>
    <t>0-30</t>
  </si>
  <si>
    <t xml:space="preserve">Data from fact sheet "Guidelines for soil Nitrogen testing and predicting soil nitrogen supply </t>
  </si>
  <si>
    <t>Additional N fertiliser required</t>
  </si>
  <si>
    <t>Green_Manure</t>
  </si>
  <si>
    <t>Soil Water graph data</t>
  </si>
  <si>
    <t>Data for current crop graph</t>
  </si>
  <si>
    <t>Data for following crop</t>
  </si>
  <si>
    <t>Texture</t>
  </si>
  <si>
    <t>Rocks</t>
  </si>
  <si>
    <t>Soil Category</t>
  </si>
  <si>
    <t>Volcanic</t>
  </si>
  <si>
    <t>PriorPopulation</t>
  </si>
  <si>
    <t>PriorYieldUnits</t>
  </si>
  <si>
    <t>CurrentPopulation</t>
  </si>
  <si>
    <t>CurrentYieldUnits</t>
  </si>
  <si>
    <t>FollowingPopulation</t>
  </si>
  <si>
    <t>FollowingYieldUnits</t>
  </si>
  <si>
    <t>SoilCategory</t>
  </si>
  <si>
    <t>PriorFieldYield</t>
  </si>
  <si>
    <t>CurrentFieldYield</t>
  </si>
  <si>
    <t>FollowingFieldYield</t>
  </si>
  <si>
    <t>Sandy clay loam</t>
  </si>
  <si>
    <t>Loam</t>
  </si>
  <si>
    <t>Clay</t>
  </si>
  <si>
    <t>Peat</t>
  </si>
  <si>
    <t>SOM</t>
  </si>
  <si>
    <t>Residues</t>
  </si>
  <si>
    <t>Sedimentary</t>
  </si>
  <si>
    <t>WeatherStation</t>
  </si>
  <si>
    <t>Innovator</t>
  </si>
  <si>
    <t>Moonlight</t>
  </si>
  <si>
    <t>Nadine</t>
  </si>
  <si>
    <t>RussetBurbank</t>
  </si>
  <si>
    <t>Short (Group1)</t>
  </si>
  <si>
    <t>Medium (Group2)</t>
  </si>
  <si>
    <t>Long (Group3)</t>
  </si>
  <si>
    <t>Very Long (Group4)</t>
  </si>
  <si>
    <t>Agria</t>
  </si>
  <si>
    <t>Early harvest</t>
  </si>
  <si>
    <t>Maturity harvest</t>
  </si>
  <si>
    <t>GroundStore</t>
  </si>
  <si>
    <t>Processing</t>
  </si>
  <si>
    <t>Fresh</t>
  </si>
  <si>
    <t>Feed</t>
  </si>
  <si>
    <t>Breed</t>
  </si>
  <si>
    <t>Juicing</t>
  </si>
  <si>
    <t>Top15cm</t>
  </si>
  <si>
    <t>Top30cm</t>
  </si>
  <si>
    <t>Top60cm</t>
  </si>
  <si>
    <t>Top90cm</t>
  </si>
  <si>
    <t>CoarseSand</t>
  </si>
  <si>
    <t>FineSand</t>
  </si>
  <si>
    <t>LoamySand</t>
  </si>
  <si>
    <t>SandyLoam</t>
  </si>
  <si>
    <t>SiltLoam</t>
  </si>
  <si>
    <t>SiltyClayLoam</t>
  </si>
  <si>
    <t>ClayLoam</t>
  </si>
  <si>
    <t>SiltyClay</t>
  </si>
  <si>
    <t>linocln</t>
  </si>
  <si>
    <t>pukekohe</t>
  </si>
  <si>
    <t>hastings</t>
  </si>
  <si>
    <t>gore</t>
  </si>
  <si>
    <t>levin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</si>
</sst>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000000"/>
    <numFmt numFmtId="165" formatCode="0.0000"/>
    <numFmt numFmtId="166" formatCode="#,##0.0"/>
  </numFmts>
  <fonts count="1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Abadi"/>
      <family val="2"/>
    </font>
    <font>
      <sz val="10"/>
      <color theme="1"/>
      <name val="Var(--jp-code-font-family)"/>
    </font>
    <font>
      <sz val="9"/>
      <color rgb="FF000000"/>
      <name val="Lucida Console"/>
      <family val="3"/>
    </font>
  </fonts>
  <fills count="1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41">
    <xf numFmtId="0" fontId="0" fillId="0" borderId="0" xfId="0"/>
    <xf numFmtId="0" fontId="2" fillId="0" borderId="0" xfId="0" applyFon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7" borderId="9" xfId="0" applyFill="1" applyBorder="1"/>
    <xf numFmtId="0" fontId="0" fillId="7" borderId="12" xfId="0" applyFill="1" applyBorder="1"/>
    <xf numFmtId="0" fontId="0" fillId="7" borderId="14" xfId="0" applyFill="1" applyBorder="1"/>
    <xf numFmtId="0" fontId="0" fillId="8" borderId="9" xfId="0" applyFill="1" applyBorder="1"/>
    <xf numFmtId="0" fontId="0" fillId="8" borderId="12" xfId="0" applyFill="1" applyBorder="1"/>
    <xf numFmtId="0" fontId="0" fillId="8" borderId="13" xfId="0" applyFill="1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3" fontId="0" fillId="5" borderId="3" xfId="0" applyNumberFormat="1" applyFill="1" applyBorder="1" applyProtection="1">
      <protection locked="0"/>
    </xf>
    <xf numFmtId="0" fontId="0" fillId="9" borderId="13" xfId="0" applyFill="1" applyBorder="1"/>
    <xf numFmtId="16" fontId="0" fillId="9" borderId="12" xfId="0" applyNumberFormat="1" applyFill="1" applyBorder="1"/>
    <xf numFmtId="0" fontId="0" fillId="9" borderId="14" xfId="0" applyFill="1" applyBorder="1"/>
    <xf numFmtId="0" fontId="0" fillId="9" borderId="15" xfId="0" applyFill="1" applyBorder="1"/>
    <xf numFmtId="0" fontId="0" fillId="0" borderId="19" xfId="0" applyBorder="1" applyAlignment="1">
      <alignment horizontal="right" wrapText="1"/>
    </xf>
    <xf numFmtId="0" fontId="0" fillId="0" borderId="19" xfId="0" applyBorder="1"/>
    <xf numFmtId="0" fontId="0" fillId="0" borderId="10" xfId="0" applyBorder="1" applyAlignment="1">
      <alignment horizontal="right" wrapText="1"/>
    </xf>
    <xf numFmtId="1" fontId="0" fillId="0" borderId="20" xfId="0" applyNumberFormat="1" applyBorder="1"/>
    <xf numFmtId="0" fontId="0" fillId="0" borderId="20" xfId="0" applyBorder="1"/>
    <xf numFmtId="1" fontId="0" fillId="0" borderId="20" xfId="1" applyNumberFormat="1" applyFont="1" applyBorder="1" applyAlignment="1"/>
    <xf numFmtId="1" fontId="0" fillId="0" borderId="15" xfId="0" applyNumberFormat="1" applyBorder="1"/>
    <xf numFmtId="16" fontId="0" fillId="0" borderId="0" xfId="0" applyNumberFormat="1"/>
    <xf numFmtId="16" fontId="0" fillId="0" borderId="20" xfId="0" applyNumberFormat="1" applyBorder="1"/>
    <xf numFmtId="0" fontId="2" fillId="0" borderId="9" xfId="0" applyFont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14" fontId="0" fillId="7" borderId="17" xfId="0" applyNumberFormat="1" applyFill="1" applyBorder="1"/>
    <xf numFmtId="16" fontId="0" fillId="9" borderId="14" xfId="0" applyNumberFormat="1" applyFill="1" applyBorder="1"/>
    <xf numFmtId="14" fontId="0" fillId="0" borderId="13" xfId="0" applyNumberFormat="1" applyBorder="1"/>
    <xf numFmtId="16" fontId="0" fillId="9" borderId="9" xfId="0" applyNumberFormat="1" applyFill="1" applyBorder="1"/>
    <xf numFmtId="0" fontId="0" fillId="9" borderId="10" xfId="0" applyFill="1" applyBorder="1"/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2" fillId="0" borderId="16" xfId="0" applyFont="1" applyBorder="1"/>
    <xf numFmtId="0" fontId="0" fillId="0" borderId="17" xfId="0" applyBorder="1"/>
    <xf numFmtId="0" fontId="0" fillId="0" borderId="18" xfId="0" applyBorder="1"/>
    <xf numFmtId="0" fontId="2" fillId="0" borderId="16" xfId="0" quotePrefix="1" applyFont="1" applyBorder="1"/>
    <xf numFmtId="0" fontId="2" fillId="0" borderId="22" xfId="0" applyFont="1" applyBorder="1" applyAlignment="1">
      <alignment horizontal="left"/>
    </xf>
    <xf numFmtId="0" fontId="2" fillId="0" borderId="23" xfId="0" applyFont="1" applyBorder="1" applyAlignment="1">
      <alignment horizontal="left"/>
    </xf>
    <xf numFmtId="0" fontId="2" fillId="0" borderId="24" xfId="0" applyFont="1" applyBorder="1" applyAlignment="1">
      <alignment horizontal="left"/>
    </xf>
    <xf numFmtId="0" fontId="0" fillId="0" borderId="12" xfId="0" applyBorder="1" applyAlignment="1">
      <alignment horizontal="left" indent="1"/>
    </xf>
    <xf numFmtId="0" fontId="0" fillId="0" borderId="0" xfId="0" applyAlignment="1">
      <alignment horizontal="left" indent="1"/>
    </xf>
    <xf numFmtId="0" fontId="0" fillId="0" borderId="13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2" fillId="0" borderId="19" xfId="0" applyFont="1" applyBorder="1"/>
    <xf numFmtId="0" fontId="2" fillId="0" borderId="10" xfId="0" applyFont="1" applyBorder="1"/>
    <xf numFmtId="0" fontId="0" fillId="4" borderId="0" xfId="0" applyFill="1"/>
    <xf numFmtId="0" fontId="0" fillId="3" borderId="0" xfId="0" applyFill="1"/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horizontal="right"/>
    </xf>
    <xf numFmtId="0" fontId="2" fillId="3" borderId="0" xfId="0" applyFont="1" applyFill="1"/>
    <xf numFmtId="0" fontId="5" fillId="3" borderId="0" xfId="0" applyFont="1" applyFill="1" applyAlignment="1">
      <alignment horizontal="center" vertical="center" wrapText="1"/>
    </xf>
    <xf numFmtId="1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right" vertical="center"/>
    </xf>
    <xf numFmtId="0" fontId="0" fillId="8" borderId="10" xfId="0" applyFill="1" applyBorder="1"/>
    <xf numFmtId="165" fontId="0" fillId="0" borderId="0" xfId="0" applyNumberFormat="1"/>
    <xf numFmtId="0" fontId="7" fillId="3" borderId="0" xfId="0" applyFont="1" applyFill="1" applyAlignment="1">
      <alignment horizontal="right" vertical="top"/>
    </xf>
    <xf numFmtId="0" fontId="7" fillId="3" borderId="0" xfId="0" applyFont="1" applyFill="1" applyAlignment="1">
      <alignment vertical="top"/>
    </xf>
    <xf numFmtId="0" fontId="0" fillId="5" borderId="3" xfId="0" applyFill="1" applyBorder="1" applyAlignment="1" applyProtection="1">
      <alignment horizontal="left" vertical="center"/>
      <protection locked="0"/>
    </xf>
    <xf numFmtId="14" fontId="0" fillId="5" borderId="3" xfId="0" applyNumberFormat="1" applyFill="1" applyBorder="1" applyAlignment="1" applyProtection="1">
      <alignment horizontal="left" vertical="center"/>
      <protection locked="0"/>
    </xf>
    <xf numFmtId="14" fontId="0" fillId="10" borderId="3" xfId="0" applyNumberFormat="1" applyFill="1" applyBorder="1" applyAlignment="1">
      <alignment horizontal="left" vertical="center"/>
    </xf>
    <xf numFmtId="4" fontId="0" fillId="5" borderId="3" xfId="0" applyNumberFormat="1" applyFill="1" applyBorder="1" applyAlignment="1" applyProtection="1">
      <alignment horizontal="left" vertical="center"/>
      <protection locked="0"/>
    </xf>
    <xf numFmtId="4" fontId="0" fillId="10" borderId="3" xfId="0" applyNumberFormat="1" applyFill="1" applyBorder="1" applyAlignment="1">
      <alignment horizontal="left" vertical="center"/>
    </xf>
    <xf numFmtId="14" fontId="0" fillId="5" borderId="21" xfId="0" applyNumberFormat="1" applyFill="1" applyBorder="1" applyAlignment="1" applyProtection="1">
      <alignment horizontal="left" vertical="center"/>
      <protection locked="0"/>
    </xf>
    <xf numFmtId="3" fontId="0" fillId="5" borderId="3" xfId="0" applyNumberFormat="1" applyFill="1" applyBorder="1" applyAlignment="1" applyProtection="1">
      <alignment horizontal="left" vertical="center"/>
      <protection locked="0"/>
    </xf>
    <xf numFmtId="3" fontId="0" fillId="10" borderId="3" xfId="0" applyNumberFormat="1" applyFill="1" applyBorder="1" applyAlignment="1">
      <alignment horizontal="left" vertical="center"/>
    </xf>
    <xf numFmtId="14" fontId="0" fillId="3" borderId="5" xfId="0" applyNumberFormat="1" applyFill="1" applyBorder="1" applyAlignment="1">
      <alignment horizontal="right" vertical="center"/>
    </xf>
    <xf numFmtId="14" fontId="0" fillId="3" borderId="7" xfId="0" applyNumberFormat="1" applyFill="1" applyBorder="1" applyAlignment="1">
      <alignment horizontal="right" vertical="center"/>
    </xf>
    <xf numFmtId="0" fontId="0" fillId="3" borderId="6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14" fontId="0" fillId="5" borderId="5" xfId="0" applyNumberFormat="1" applyFill="1" applyBorder="1" applyAlignment="1" applyProtection="1">
      <alignment horizontal="right"/>
      <protection locked="0"/>
    </xf>
    <xf numFmtId="14" fontId="0" fillId="5" borderId="7" xfId="0" applyNumberFormat="1" applyFill="1" applyBorder="1" applyAlignment="1" applyProtection="1">
      <alignment horizontal="right"/>
      <protection locked="0"/>
    </xf>
    <xf numFmtId="0" fontId="0" fillId="5" borderId="4" xfId="0" applyFill="1" applyBorder="1" applyAlignment="1" applyProtection="1">
      <alignment horizontal="center"/>
      <protection locked="0"/>
    </xf>
    <xf numFmtId="0" fontId="0" fillId="5" borderId="6" xfId="0" applyFill="1" applyBorder="1" applyAlignment="1" applyProtection="1">
      <alignment horizontal="center"/>
      <protection locked="0"/>
    </xf>
    <xf numFmtId="0" fontId="0" fillId="5" borderId="8" xfId="0" applyFill="1" applyBorder="1" applyAlignment="1" applyProtection="1">
      <alignment horizontal="center"/>
      <protection locked="0"/>
    </xf>
    <xf numFmtId="14" fontId="0" fillId="3" borderId="0" xfId="0" applyNumberFormat="1" applyFill="1"/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/>
    </xf>
    <xf numFmtId="0" fontId="0" fillId="10" borderId="3" xfId="0" applyFill="1" applyBorder="1"/>
    <xf numFmtId="0" fontId="0" fillId="5" borderId="21" xfId="0" applyFill="1" applyBorder="1" applyAlignment="1" applyProtection="1">
      <alignment horizontal="left" vertical="center"/>
      <protection locked="0"/>
    </xf>
    <xf numFmtId="0" fontId="0" fillId="10" borderId="21" xfId="0" applyFill="1" applyBorder="1" applyAlignment="1">
      <alignment horizontal="left" vertical="center"/>
    </xf>
    <xf numFmtId="3" fontId="0" fillId="5" borderId="21" xfId="0" applyNumberFormat="1" applyFill="1" applyBorder="1" applyAlignment="1" applyProtection="1">
      <alignment horizontal="left" vertical="center"/>
      <protection locked="0"/>
    </xf>
    <xf numFmtId="166" fontId="7" fillId="3" borderId="0" xfId="1" applyNumberFormat="1" applyFont="1" applyFill="1" applyAlignment="1" applyProtection="1">
      <alignment horizontal="left" vertical="top"/>
    </xf>
    <xf numFmtId="14" fontId="0" fillId="10" borderId="3" xfId="0" applyNumberFormat="1" applyFill="1" applyBorder="1" applyAlignment="1">
      <alignment horizontal="left"/>
    </xf>
    <xf numFmtId="0" fontId="0" fillId="5" borderId="3" xfId="0" applyFill="1" applyBorder="1" applyAlignment="1" applyProtection="1">
      <alignment vertical="center"/>
      <protection locked="0"/>
    </xf>
    <xf numFmtId="1" fontId="0" fillId="10" borderId="3" xfId="0" applyNumberFormat="1" applyFill="1" applyBorder="1" applyAlignment="1">
      <alignment horizontal="left"/>
    </xf>
    <xf numFmtId="0" fontId="7" fillId="3" borderId="0" xfId="0" applyFont="1" applyFill="1"/>
    <xf numFmtId="0" fontId="0" fillId="7" borderId="13" xfId="0" applyFill="1" applyBorder="1"/>
    <xf numFmtId="14" fontId="7" fillId="3" borderId="0" xfId="0" applyNumberFormat="1" applyFont="1" applyFill="1"/>
    <xf numFmtId="0" fontId="0" fillId="0" borderId="0" xfId="0" applyAlignment="1">
      <alignment horizontal="right" wrapText="1"/>
    </xf>
    <xf numFmtId="0" fontId="0" fillId="5" borderId="3" xfId="0" applyFill="1" applyBorder="1" applyProtection="1">
      <protection locked="0"/>
    </xf>
    <xf numFmtId="4" fontId="0" fillId="5" borderId="21" xfId="0" applyNumberFormat="1" applyFill="1" applyBorder="1" applyAlignment="1" applyProtection="1">
      <alignment horizontal="left" vertical="center"/>
      <protection locked="0"/>
    </xf>
    <xf numFmtId="0" fontId="3" fillId="2" borderId="29" xfId="0" applyFont="1" applyFill="1" applyBorder="1" applyAlignment="1">
      <alignment vertical="center" wrapText="1"/>
    </xf>
    <xf numFmtId="0" fontId="7" fillId="3" borderId="0" xfId="0" applyFont="1" applyFill="1" applyAlignment="1">
      <alignment vertical="center"/>
    </xf>
    <xf numFmtId="0" fontId="8" fillId="3" borderId="0" xfId="0" applyFont="1" applyFill="1" applyAlignment="1">
      <alignment horizontal="right"/>
    </xf>
    <xf numFmtId="0" fontId="9" fillId="11" borderId="21" xfId="0" applyFont="1" applyFill="1" applyBorder="1" applyAlignment="1" applyProtection="1">
      <alignment vertical="center"/>
      <protection locked="0"/>
    </xf>
    <xf numFmtId="0" fontId="9" fillId="11" borderId="3" xfId="0" applyFont="1" applyFill="1" applyBorder="1" applyAlignment="1" applyProtection="1">
      <alignment vertical="center"/>
      <protection locked="0"/>
    </xf>
    <xf numFmtId="0" fontId="8" fillId="8" borderId="28" xfId="0" applyFont="1" applyFill="1" applyBorder="1" applyAlignment="1">
      <alignment horizontal="right"/>
    </xf>
    <xf numFmtId="1" fontId="8" fillId="6" borderId="28" xfId="0" applyNumberFormat="1" applyFont="1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16" fontId="0" fillId="3" borderId="11" xfId="0" applyNumberFormat="1" applyFill="1" applyBorder="1"/>
    <xf numFmtId="0" fontId="0" fillId="3" borderId="11" xfId="0" applyFill="1" applyBorder="1"/>
    <xf numFmtId="0" fontId="10" fillId="11" borderId="0" xfId="0" applyFont="1" applyFill="1" applyAlignment="1" applyProtection="1">
      <alignment horizontal="center"/>
      <protection locked="0"/>
    </xf>
    <xf numFmtId="0" fontId="0" fillId="0" borderId="16" xfId="0" applyBorder="1"/>
    <xf numFmtId="0" fontId="9" fillId="5" borderId="3" xfId="0" applyFont="1" applyFill="1" applyBorder="1" applyAlignment="1" applyProtection="1">
      <alignment vertical="center"/>
      <protection locked="0"/>
    </xf>
    <xf numFmtId="4" fontId="0" fillId="5" borderId="3" xfId="0" applyNumberFormat="1" applyFill="1" applyBorder="1" applyProtection="1">
      <protection locked="0"/>
    </xf>
    <xf numFmtId="0" fontId="11" fillId="0" borderId="0" xfId="0" applyFont="1" applyAlignment="1">
      <alignment horizontal="left" vertical="center"/>
    </xf>
    <xf numFmtId="0" fontId="0" fillId="12" borderId="0" xfId="0" applyFill="1" applyAlignment="1">
      <alignment horizontal="center"/>
    </xf>
    <xf numFmtId="0" fontId="12" fillId="0" borderId="0" xfId="0" applyFont="1" applyAlignment="1">
      <alignment vertical="center"/>
    </xf>
    <xf numFmtId="0" fontId="2" fillId="0" borderId="12" xfId="0" applyFont="1" applyBorder="1"/>
    <xf numFmtId="0" fontId="0" fillId="0" borderId="13" xfId="0" applyBorder="1" applyAlignment="1">
      <alignment horizontal="right" wrapText="1"/>
    </xf>
    <xf numFmtId="0" fontId="2" fillId="0" borderId="0" xfId="0" applyFont="1" applyAlignment="1">
      <alignment horizontal="left"/>
    </xf>
    <xf numFmtId="0" fontId="0" fillId="13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12" borderId="0" xfId="0" applyFill="1" applyAlignment="1">
      <alignment horizontal="center"/>
    </xf>
    <xf numFmtId="0" fontId="4" fillId="2" borderId="25" xfId="0" applyFont="1" applyFill="1" applyBorder="1" applyAlignment="1">
      <alignment horizontal="center" vertical="center" wrapText="1"/>
    </xf>
    <xf numFmtId="0" fontId="4" fillId="2" borderId="26" xfId="0" applyFont="1" applyFill="1" applyBorder="1" applyAlignment="1">
      <alignment horizontal="center" vertical="center" wrapText="1"/>
    </xf>
    <xf numFmtId="0" fontId="4" fillId="2" borderId="27" xfId="0" applyFont="1" applyFill="1" applyBorder="1" applyAlignment="1">
      <alignment horizontal="center" vertical="center" wrapText="1"/>
    </xf>
    <xf numFmtId="0" fontId="0" fillId="2" borderId="30" xfId="0" applyFill="1" applyBorder="1" applyAlignment="1">
      <alignment horizontal="center" vertical="center" wrapText="1"/>
    </xf>
    <xf numFmtId="0" fontId="0" fillId="2" borderId="31" xfId="0" applyFill="1" applyBorder="1" applyAlignment="1">
      <alignment horizontal="center" vertical="center" wrapText="1"/>
    </xf>
    <xf numFmtId="0" fontId="0" fillId="2" borderId="32" xfId="0" applyFill="1" applyBorder="1" applyAlignment="1">
      <alignment horizontal="center" vertical="center" wrapText="1"/>
    </xf>
    <xf numFmtId="0" fontId="2" fillId="4" borderId="28" xfId="0" applyFont="1" applyFill="1" applyBorder="1" applyAlignment="1">
      <alignment horizontal="center"/>
    </xf>
    <xf numFmtId="0" fontId="2" fillId="4" borderId="31" xfId="0" applyFont="1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16" fontId="2" fillId="3" borderId="1" xfId="0" applyNumberFormat="1" applyFont="1" applyFill="1" applyBorder="1" applyAlignment="1">
      <alignment horizontal="center"/>
    </xf>
    <xf numFmtId="16" fontId="2" fillId="3" borderId="2" xfId="0" applyNumberFormat="1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Comma" xfId="1" builtinId="3"/>
    <cellStyle name="Normal" xfId="0" builtinId="0"/>
  </cellStyles>
  <dxfs count="23"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B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</a:t>
            </a:r>
            <a:r>
              <a:rPr lang="en-NZ" b="1" baseline="0"/>
              <a:t> Nitrogen Balance</a:t>
            </a:r>
            <a:endParaRPr lang="en-NZ" b="1"/>
          </a:p>
        </c:rich>
      </c:tx>
      <c:layout>
        <c:manualLayout>
          <c:xMode val="edge"/>
          <c:yMode val="edge"/>
          <c:x val="0.35888008504431451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424554330708662"/>
          <c:y val="6.7661892329509005E-2"/>
          <c:w val="0.82604128083989503"/>
          <c:h val="0.8005193966138848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'Model Interface'!$K$1</c:f>
              <c:strCache>
                <c:ptCount val="1"/>
                <c:pt idx="0">
                  <c:v>Mineral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Interface'!$K$3:$K$4</c:f>
              <c:numCache>
                <c:formatCode>0</c:formatCode>
                <c:ptCount val="2"/>
                <c:pt idx="0">
                  <c:v>50</c:v>
                </c:pt>
                <c:pt idx="1">
                  <c:v>27.818805954977659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A2-4807-BF3D-7B70C143FF8D}"/>
            </c:ext>
          </c:extLst>
        </c:ser>
        <c:ser>
          <c:idx val="1"/>
          <c:order val="1"/>
          <c:tx>
            <c:strRef>
              <c:f>'Model Interface'!$M$1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Interface'!$M$3:$M$4</c:f>
              <c:numCache>
                <c:formatCode>General</c:formatCode>
                <c:ptCount val="2"/>
                <c:pt idx="0" formatCode="0">
                  <c:v>-6.3218692418788516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A2-4807-BF3D-7B70C143FF8D}"/>
            </c:ext>
          </c:extLst>
        </c:ser>
        <c:ser>
          <c:idx val="2"/>
          <c:order val="2"/>
          <c:tx>
            <c:strRef>
              <c:f>'Model Interface'!$N$1</c:f>
              <c:strCache>
                <c:ptCount val="1"/>
                <c:pt idx="0">
                  <c:v>Organic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0"/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20A-4FE5-A1C6-44AE0D1687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Interface'!$N$3:$N$4</c:f>
              <c:numCache>
                <c:formatCode>General</c:formatCode>
                <c:ptCount val="2"/>
                <c:pt idx="0" formatCode="0">
                  <c:v>16.228645129920825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A2-4807-BF3D-7B70C143FF8D}"/>
            </c:ext>
          </c:extLst>
        </c:ser>
        <c:ser>
          <c:idx val="3"/>
          <c:order val="3"/>
          <c:tx>
            <c:strRef>
              <c:f>'Model Interface'!$O$1</c:f>
              <c:strCache>
                <c:ptCount val="1"/>
                <c:pt idx="0">
                  <c:v>Fertiliser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Interface'!$O$3:$O$4</c:f>
              <c:numCache>
                <c:formatCode>General</c:formatCode>
                <c:ptCount val="2"/>
                <c:pt idx="0" formatCode="0">
                  <c:v>62.602339078583221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A2-4807-BF3D-7B70C143FF8D}"/>
            </c:ext>
          </c:extLst>
        </c:ser>
        <c:ser>
          <c:idx val="4"/>
          <c:order val="4"/>
          <c:tx>
            <c:strRef>
              <c:f>'Model Interface'!$R$1</c:f>
              <c:strCache>
                <c:ptCount val="1"/>
                <c:pt idx="0">
                  <c:v>Losses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Interface'!$R$3:$R$4</c:f>
              <c:numCache>
                <c:formatCode>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8A2-4807-BF3D-7B70C143FF8D}"/>
            </c:ext>
          </c:extLst>
        </c:ser>
        <c:ser>
          <c:idx val="5"/>
          <c:order val="5"/>
          <c:tx>
            <c:strRef>
              <c:f>'Model Interface'!$Q$1</c:f>
              <c:strCache>
                <c:ptCount val="1"/>
                <c:pt idx="0">
                  <c:v>Export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Interface'!$Q$3:$Q$4</c:f>
              <c:numCache>
                <c:formatCode>0</c:formatCode>
                <c:ptCount val="2"/>
                <c:pt idx="0" formatCode="General">
                  <c:v>1.7468341970437682</c:v>
                </c:pt>
                <c:pt idx="1">
                  <c:v>73.762587679149291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A2-4807-BF3D-7B70C143FF8D}"/>
            </c:ext>
          </c:extLst>
        </c:ser>
        <c:ser>
          <c:idx val="6"/>
          <c:order val="6"/>
          <c:tx>
            <c:strRef>
              <c:f>'Model Interface'!$P$1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Interface'!$P$3:$P$4</c:f>
              <c:numCache>
                <c:formatCode>0</c:formatCode>
                <c:ptCount val="2"/>
                <c:pt idx="0">
                  <c:v>0.4928567913087778</c:v>
                </c:pt>
                <c:pt idx="1">
                  <c:v>20.811587238045703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A2-4807-BF3D-7B70C143FF8D}"/>
            </c:ext>
          </c:extLst>
        </c:ser>
        <c:ser>
          <c:idx val="7"/>
          <c:order val="7"/>
          <c:tx>
            <c:strRef>
              <c:f>'Model Interface'!$W$1</c:f>
              <c:strCache>
                <c:ptCount val="1"/>
                <c:pt idx="0">
                  <c:v>Undefined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'Model Interface'!$W$3:$W$4</c:f>
              <c:numCache>
                <c:formatCode>0</c:formatCode>
                <c:ptCount val="2"/>
                <c:pt idx="0">
                  <c:v>0</c:v>
                </c:pt>
                <c:pt idx="1">
                  <c:v>2.3558250828050831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0A-4FE5-A1C6-44AE0D168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65468608"/>
        <c:axId val="565471936"/>
      </c:barChart>
      <c:catAx>
        <c:axId val="56546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71936"/>
        <c:crosses val="autoZero"/>
        <c:auto val="1"/>
        <c:lblAlgn val="ctr"/>
        <c:lblOffset val="100"/>
        <c:noMultiLvlLbl val="0"/>
      </c:catAx>
      <c:valAx>
        <c:axId val="56547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600"/>
                  <a:t>kg N/ha</a:t>
                </a:r>
              </a:p>
            </c:rich>
          </c:tx>
          <c:layout>
            <c:manualLayout>
              <c:xMode val="edge"/>
              <c:yMode val="edge"/>
              <c:x val="1.4483653543307084E-2"/>
              <c:y val="0.4440930636116294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68608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 N</a:t>
            </a:r>
            <a:r>
              <a:rPr lang="en-NZ" b="1" baseline="0"/>
              <a:t> uptake and soil N</a:t>
            </a:r>
            <a:endParaRPr lang="en-NZ" b="1"/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v>Crop Uptake</c:v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45230</c:v>
                </c:pt>
                <c:pt idx="1">
                  <c:v>45231</c:v>
                </c:pt>
                <c:pt idx="2">
                  <c:v>45232</c:v>
                </c:pt>
                <c:pt idx="3">
                  <c:v>45233</c:v>
                </c:pt>
                <c:pt idx="4">
                  <c:v>45234</c:v>
                </c:pt>
                <c:pt idx="5">
                  <c:v>45235</c:v>
                </c:pt>
                <c:pt idx="6">
                  <c:v>45236</c:v>
                </c:pt>
                <c:pt idx="7">
                  <c:v>45237</c:v>
                </c:pt>
                <c:pt idx="8">
                  <c:v>45238</c:v>
                </c:pt>
                <c:pt idx="9">
                  <c:v>45239</c:v>
                </c:pt>
                <c:pt idx="10">
                  <c:v>45240</c:v>
                </c:pt>
                <c:pt idx="11">
                  <c:v>45241</c:v>
                </c:pt>
                <c:pt idx="12">
                  <c:v>45242</c:v>
                </c:pt>
                <c:pt idx="13">
                  <c:v>45243</c:v>
                </c:pt>
                <c:pt idx="14">
                  <c:v>45244</c:v>
                </c:pt>
                <c:pt idx="15">
                  <c:v>45245</c:v>
                </c:pt>
                <c:pt idx="16">
                  <c:v>45246</c:v>
                </c:pt>
                <c:pt idx="17">
                  <c:v>45247</c:v>
                </c:pt>
                <c:pt idx="18">
                  <c:v>45248</c:v>
                </c:pt>
                <c:pt idx="19">
                  <c:v>45249</c:v>
                </c:pt>
                <c:pt idx="20">
                  <c:v>45250</c:v>
                </c:pt>
                <c:pt idx="21">
                  <c:v>45251</c:v>
                </c:pt>
                <c:pt idx="22">
                  <c:v>45252</c:v>
                </c:pt>
                <c:pt idx="23">
                  <c:v>45253</c:v>
                </c:pt>
                <c:pt idx="24">
                  <c:v>45254</c:v>
                </c:pt>
                <c:pt idx="25">
                  <c:v>45255</c:v>
                </c:pt>
                <c:pt idx="26">
                  <c:v>45256</c:v>
                </c:pt>
                <c:pt idx="27">
                  <c:v>45257</c:v>
                </c:pt>
                <c:pt idx="28">
                  <c:v>45258</c:v>
                </c:pt>
                <c:pt idx="29">
                  <c:v>45259</c:v>
                </c:pt>
                <c:pt idx="30">
                  <c:v>45260</c:v>
                </c:pt>
                <c:pt idx="31">
                  <c:v>45261</c:v>
                </c:pt>
                <c:pt idx="32">
                  <c:v>45262</c:v>
                </c:pt>
                <c:pt idx="33">
                  <c:v>45263</c:v>
                </c:pt>
                <c:pt idx="34">
                  <c:v>45264</c:v>
                </c:pt>
                <c:pt idx="35">
                  <c:v>45265</c:v>
                </c:pt>
                <c:pt idx="36">
                  <c:v>45266</c:v>
                </c:pt>
                <c:pt idx="37">
                  <c:v>45267</c:v>
                </c:pt>
                <c:pt idx="38">
                  <c:v>45268</c:v>
                </c:pt>
                <c:pt idx="39">
                  <c:v>45269</c:v>
                </c:pt>
                <c:pt idx="40">
                  <c:v>45270</c:v>
                </c:pt>
                <c:pt idx="41">
                  <c:v>45271</c:v>
                </c:pt>
                <c:pt idx="42">
                  <c:v>45272</c:v>
                </c:pt>
                <c:pt idx="43">
                  <c:v>45273</c:v>
                </c:pt>
                <c:pt idx="44">
                  <c:v>45274</c:v>
                </c:pt>
                <c:pt idx="45">
                  <c:v>45275</c:v>
                </c:pt>
                <c:pt idx="46">
                  <c:v>45276</c:v>
                </c:pt>
                <c:pt idx="47">
                  <c:v>45277</c:v>
                </c:pt>
                <c:pt idx="48">
                  <c:v>45278</c:v>
                </c:pt>
                <c:pt idx="49">
                  <c:v>45279</c:v>
                </c:pt>
                <c:pt idx="50">
                  <c:v>45280</c:v>
                </c:pt>
                <c:pt idx="51">
                  <c:v>45281</c:v>
                </c:pt>
                <c:pt idx="52">
                  <c:v>45282</c:v>
                </c:pt>
                <c:pt idx="53">
                  <c:v>45283</c:v>
                </c:pt>
                <c:pt idx="54">
                  <c:v>45284</c:v>
                </c:pt>
                <c:pt idx="55">
                  <c:v>45285</c:v>
                </c:pt>
                <c:pt idx="56">
                  <c:v>45286</c:v>
                </c:pt>
                <c:pt idx="57">
                  <c:v>45287</c:v>
                </c:pt>
                <c:pt idx="58">
                  <c:v>45288</c:v>
                </c:pt>
                <c:pt idx="59">
                  <c:v>45289</c:v>
                </c:pt>
                <c:pt idx="60">
                  <c:v>45290</c:v>
                </c:pt>
                <c:pt idx="61">
                  <c:v>45291</c:v>
                </c:pt>
                <c:pt idx="62">
                  <c:v>45292</c:v>
                </c:pt>
                <c:pt idx="63">
                  <c:v>45293</c:v>
                </c:pt>
                <c:pt idx="64">
                  <c:v>45294</c:v>
                </c:pt>
                <c:pt idx="65">
                  <c:v>45295</c:v>
                </c:pt>
                <c:pt idx="66">
                  <c:v>45296</c:v>
                </c:pt>
                <c:pt idx="67">
                  <c:v>45297</c:v>
                </c:pt>
                <c:pt idx="68">
                  <c:v>45298</c:v>
                </c:pt>
                <c:pt idx="69">
                  <c:v>45299</c:v>
                </c:pt>
                <c:pt idx="70">
                  <c:v>45300</c:v>
                </c:pt>
                <c:pt idx="71">
                  <c:v>45301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ConceptDemo!$U$18:$U$395</c:f>
              <c:numCache>
                <c:formatCode>General</c:formatCode>
                <c:ptCount val="378"/>
                <c:pt idx="0">
                  <c:v>108.00000000000001</c:v>
                </c:pt>
                <c:pt idx="1">
                  <c:v>2.239690988352546</c:v>
                </c:pt>
                <c:pt idx="2">
                  <c:v>2.3558250828050942</c:v>
                </c:pt>
                <c:pt idx="3">
                  <c:v>2.4763908589258712</c:v>
                </c:pt>
                <c:pt idx="4">
                  <c:v>2.6060766793804833</c:v>
                </c:pt>
                <c:pt idx="5">
                  <c:v>2.7477816757486844</c:v>
                </c:pt>
                <c:pt idx="6">
                  <c:v>2.8908247513255545</c:v>
                </c:pt>
                <c:pt idx="7">
                  <c:v>3.0464172463191814</c:v>
                </c:pt>
                <c:pt idx="8">
                  <c:v>3.2148613583009027</c:v>
                </c:pt>
                <c:pt idx="9">
                  <c:v>3.3857143755146475</c:v>
                </c:pt>
                <c:pt idx="10">
                  <c:v>3.5723706926028234</c:v>
                </c:pt>
                <c:pt idx="11">
                  <c:v>3.7711921728178419</c:v>
                </c:pt>
                <c:pt idx="12">
                  <c:v>3.9801900785312516</c:v>
                </c:pt>
                <c:pt idx="13">
                  <c:v>4.1952041575546186</c:v>
                </c:pt>
                <c:pt idx="14">
                  <c:v>4.4203486792114219</c:v>
                </c:pt>
                <c:pt idx="15">
                  <c:v>4.6662315655091655</c:v>
                </c:pt>
                <c:pt idx="16">
                  <c:v>4.9343496270363509</c:v>
                </c:pt>
                <c:pt idx="17">
                  <c:v>5.2066134646641453</c:v>
                </c:pt>
                <c:pt idx="18">
                  <c:v>5.4823709598014201</c:v>
                </c:pt>
                <c:pt idx="19">
                  <c:v>5.7713420325504501</c:v>
                </c:pt>
                <c:pt idx="20">
                  <c:v>6.0889636146533865</c:v>
                </c:pt>
                <c:pt idx="21">
                  <c:v>6.4259128413050277</c:v>
                </c:pt>
                <c:pt idx="22">
                  <c:v>6.7893010026392631</c:v>
                </c:pt>
                <c:pt idx="23">
                  <c:v>7.1813890327527163</c:v>
                </c:pt>
                <c:pt idx="24">
                  <c:v>7.5890495483319222</c:v>
                </c:pt>
                <c:pt idx="25">
                  <c:v>8.0456944981394898</c:v>
                </c:pt>
                <c:pt idx="26">
                  <c:v>8.5308505948724136</c:v>
                </c:pt>
                <c:pt idx="27">
                  <c:v>9.026403959301815</c:v>
                </c:pt>
                <c:pt idx="28">
                  <c:v>9.5451781288209521</c:v>
                </c:pt>
                <c:pt idx="29">
                  <c:v>10.098057638610269</c:v>
                </c:pt>
                <c:pt idx="30">
                  <c:v>10.697003693795294</c:v>
                </c:pt>
                <c:pt idx="31">
                  <c:v>11.344286635549585</c:v>
                </c:pt>
                <c:pt idx="32">
                  <c:v>12.054195783016334</c:v>
                </c:pt>
                <c:pt idx="33">
                  <c:v>12.824925228332612</c:v>
                </c:pt>
                <c:pt idx="34">
                  <c:v>13.644801672493402</c:v>
                </c:pt>
                <c:pt idx="35">
                  <c:v>14.499308766510744</c:v>
                </c:pt>
                <c:pt idx="36">
                  <c:v>15.405147271890828</c:v>
                </c:pt>
                <c:pt idx="37">
                  <c:v>16.318671751059831</c:v>
                </c:pt>
                <c:pt idx="38">
                  <c:v>17.276698198577051</c:v>
                </c:pt>
                <c:pt idx="39">
                  <c:v>18.328046981774005</c:v>
                </c:pt>
                <c:pt idx="40">
                  <c:v>19.427485599820301</c:v>
                </c:pt>
                <c:pt idx="41">
                  <c:v>20.641065499371777</c:v>
                </c:pt>
                <c:pt idx="42">
                  <c:v>21.971256749471145</c:v>
                </c:pt>
                <c:pt idx="43">
                  <c:v>23.349034672429394</c:v>
                </c:pt>
                <c:pt idx="44">
                  <c:v>24.7910191447504</c:v>
                </c:pt>
                <c:pt idx="45">
                  <c:v>26.287870859037984</c:v>
                </c:pt>
                <c:pt idx="46">
                  <c:v>27.873622116397744</c:v>
                </c:pt>
                <c:pt idx="47">
                  <c:v>29.543799189924659</c:v>
                </c:pt>
                <c:pt idx="48">
                  <c:v>31.250948490792155</c:v>
                </c:pt>
                <c:pt idx="49">
                  <c:v>33.064653283537787</c:v>
                </c:pt>
                <c:pt idx="50">
                  <c:v>35.006119617692157</c:v>
                </c:pt>
                <c:pt idx="51">
                  <c:v>37.035326965755758</c:v>
                </c:pt>
                <c:pt idx="52">
                  <c:v>39.181282904370569</c:v>
                </c:pt>
                <c:pt idx="53">
                  <c:v>41.349206152963902</c:v>
                </c:pt>
                <c:pt idx="54">
                  <c:v>43.629873222232327</c:v>
                </c:pt>
                <c:pt idx="55">
                  <c:v>46.047721259763762</c:v>
                </c:pt>
                <c:pt idx="56">
                  <c:v>48.496940925142226</c:v>
                </c:pt>
                <c:pt idx="57">
                  <c:v>51.046253546259067</c:v>
                </c:pt>
                <c:pt idx="58">
                  <c:v>53.854838564255914</c:v>
                </c:pt>
                <c:pt idx="59">
                  <c:v>56.831037804450993</c:v>
                </c:pt>
                <c:pt idx="60">
                  <c:v>59.847832550377646</c:v>
                </c:pt>
                <c:pt idx="61">
                  <c:v>62.867584639294606</c:v>
                </c:pt>
                <c:pt idx="62">
                  <c:v>65.923119087176644</c:v>
                </c:pt>
                <c:pt idx="63">
                  <c:v>69.141378436341554</c:v>
                </c:pt>
                <c:pt idx="64">
                  <c:v>72.381900418703069</c:v>
                </c:pt>
                <c:pt idx="65">
                  <c:v>75.744395676961361</c:v>
                </c:pt>
                <c:pt idx="66">
                  <c:v>79.053370475427585</c:v>
                </c:pt>
                <c:pt idx="67">
                  <c:v>82.427357098087199</c:v>
                </c:pt>
                <c:pt idx="68">
                  <c:v>85.956010952215493</c:v>
                </c:pt>
                <c:pt idx="69">
                  <c:v>89.571262872961157</c:v>
                </c:pt>
                <c:pt idx="70">
                  <c:v>93.267080495044027</c:v>
                </c:pt>
                <c:pt idx="71">
                  <c:v>96.930000000000092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F3A-4CED-B35A-9EFBA0F917EB}"/>
            </c:ext>
          </c:extLst>
        </c:ser>
        <c:ser>
          <c:idx val="1"/>
          <c:order val="1"/>
          <c:tx>
            <c:v>Fertertiliser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45230</c:v>
                </c:pt>
                <c:pt idx="1">
                  <c:v>45231</c:v>
                </c:pt>
                <c:pt idx="2">
                  <c:v>45232</c:v>
                </c:pt>
                <c:pt idx="3">
                  <c:v>45233</c:v>
                </c:pt>
                <c:pt idx="4">
                  <c:v>45234</c:v>
                </c:pt>
                <c:pt idx="5">
                  <c:v>45235</c:v>
                </c:pt>
                <c:pt idx="6">
                  <c:v>45236</c:v>
                </c:pt>
                <c:pt idx="7">
                  <c:v>45237</c:v>
                </c:pt>
                <c:pt idx="8">
                  <c:v>45238</c:v>
                </c:pt>
                <c:pt idx="9">
                  <c:v>45239</c:v>
                </c:pt>
                <c:pt idx="10">
                  <c:v>45240</c:v>
                </c:pt>
                <c:pt idx="11">
                  <c:v>45241</c:v>
                </c:pt>
                <c:pt idx="12">
                  <c:v>45242</c:v>
                </c:pt>
                <c:pt idx="13">
                  <c:v>45243</c:v>
                </c:pt>
                <c:pt idx="14">
                  <c:v>45244</c:v>
                </c:pt>
                <c:pt idx="15">
                  <c:v>45245</c:v>
                </c:pt>
                <c:pt idx="16">
                  <c:v>45246</c:v>
                </c:pt>
                <c:pt idx="17">
                  <c:v>45247</c:v>
                </c:pt>
                <c:pt idx="18">
                  <c:v>45248</c:v>
                </c:pt>
                <c:pt idx="19">
                  <c:v>45249</c:v>
                </c:pt>
                <c:pt idx="20">
                  <c:v>45250</c:v>
                </c:pt>
                <c:pt idx="21">
                  <c:v>45251</c:v>
                </c:pt>
                <c:pt idx="22">
                  <c:v>45252</c:v>
                </c:pt>
                <c:pt idx="23">
                  <c:v>45253</c:v>
                </c:pt>
                <c:pt idx="24">
                  <c:v>45254</c:v>
                </c:pt>
                <c:pt idx="25">
                  <c:v>45255</c:v>
                </c:pt>
                <c:pt idx="26">
                  <c:v>45256</c:v>
                </c:pt>
                <c:pt idx="27">
                  <c:v>45257</c:v>
                </c:pt>
                <c:pt idx="28">
                  <c:v>45258</c:v>
                </c:pt>
                <c:pt idx="29">
                  <c:v>45259</c:v>
                </c:pt>
                <c:pt idx="30">
                  <c:v>45260</c:v>
                </c:pt>
                <c:pt idx="31">
                  <c:v>45261</c:v>
                </c:pt>
                <c:pt idx="32">
                  <c:v>45262</c:v>
                </c:pt>
                <c:pt idx="33">
                  <c:v>45263</c:v>
                </c:pt>
                <c:pt idx="34">
                  <c:v>45264</c:v>
                </c:pt>
                <c:pt idx="35">
                  <c:v>45265</c:v>
                </c:pt>
                <c:pt idx="36">
                  <c:v>45266</c:v>
                </c:pt>
                <c:pt idx="37">
                  <c:v>45267</c:v>
                </c:pt>
                <c:pt idx="38">
                  <c:v>45268</c:v>
                </c:pt>
                <c:pt idx="39">
                  <c:v>45269</c:v>
                </c:pt>
                <c:pt idx="40">
                  <c:v>45270</c:v>
                </c:pt>
                <c:pt idx="41">
                  <c:v>45271</c:v>
                </c:pt>
                <c:pt idx="42">
                  <c:v>45272</c:v>
                </c:pt>
                <c:pt idx="43">
                  <c:v>45273</c:v>
                </c:pt>
                <c:pt idx="44">
                  <c:v>45274</c:v>
                </c:pt>
                <c:pt idx="45">
                  <c:v>45275</c:v>
                </c:pt>
                <c:pt idx="46">
                  <c:v>45276</c:v>
                </c:pt>
                <c:pt idx="47">
                  <c:v>45277</c:v>
                </c:pt>
                <c:pt idx="48">
                  <c:v>45278</c:v>
                </c:pt>
                <c:pt idx="49">
                  <c:v>45279</c:v>
                </c:pt>
                <c:pt idx="50">
                  <c:v>45280</c:v>
                </c:pt>
                <c:pt idx="51">
                  <c:v>45281</c:v>
                </c:pt>
                <c:pt idx="52">
                  <c:v>45282</c:v>
                </c:pt>
                <c:pt idx="53">
                  <c:v>45283</c:v>
                </c:pt>
                <c:pt idx="54">
                  <c:v>45284</c:v>
                </c:pt>
                <c:pt idx="55">
                  <c:v>45285</c:v>
                </c:pt>
                <c:pt idx="56">
                  <c:v>45286</c:v>
                </c:pt>
                <c:pt idx="57">
                  <c:v>45287</c:v>
                </c:pt>
                <c:pt idx="58">
                  <c:v>45288</c:v>
                </c:pt>
                <c:pt idx="59">
                  <c:v>45289</c:v>
                </c:pt>
                <c:pt idx="60">
                  <c:v>45290</c:v>
                </c:pt>
                <c:pt idx="61">
                  <c:v>45291</c:v>
                </c:pt>
                <c:pt idx="62">
                  <c:v>45292</c:v>
                </c:pt>
                <c:pt idx="63">
                  <c:v>45293</c:v>
                </c:pt>
                <c:pt idx="64">
                  <c:v>45294</c:v>
                </c:pt>
                <c:pt idx="65">
                  <c:v>45295</c:v>
                </c:pt>
                <c:pt idx="66">
                  <c:v>45296</c:v>
                </c:pt>
                <c:pt idx="67">
                  <c:v>45297</c:v>
                </c:pt>
                <c:pt idx="68">
                  <c:v>45298</c:v>
                </c:pt>
                <c:pt idx="69">
                  <c:v>45299</c:v>
                </c:pt>
                <c:pt idx="70">
                  <c:v>45300</c:v>
                </c:pt>
                <c:pt idx="71">
                  <c:v>45301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ConceptDemo!$V$18:$V$395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21.284724406140047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21.462809668756496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19.854805003686678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3A-4CED-B35A-9EFBA0F917EB}"/>
            </c:ext>
          </c:extLst>
        </c:ser>
        <c:ser>
          <c:idx val="2"/>
          <c:order val="2"/>
          <c:tx>
            <c:v>Soil N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45230</c:v>
                </c:pt>
                <c:pt idx="1">
                  <c:v>45231</c:v>
                </c:pt>
                <c:pt idx="2">
                  <c:v>45232</c:v>
                </c:pt>
                <c:pt idx="3">
                  <c:v>45233</c:v>
                </c:pt>
                <c:pt idx="4">
                  <c:v>45234</c:v>
                </c:pt>
                <c:pt idx="5">
                  <c:v>45235</c:v>
                </c:pt>
                <c:pt idx="6">
                  <c:v>45236</c:v>
                </c:pt>
                <c:pt idx="7">
                  <c:v>45237</c:v>
                </c:pt>
                <c:pt idx="8">
                  <c:v>45238</c:v>
                </c:pt>
                <c:pt idx="9">
                  <c:v>45239</c:v>
                </c:pt>
                <c:pt idx="10">
                  <c:v>45240</c:v>
                </c:pt>
                <c:pt idx="11">
                  <c:v>45241</c:v>
                </c:pt>
                <c:pt idx="12">
                  <c:v>45242</c:v>
                </c:pt>
                <c:pt idx="13">
                  <c:v>45243</c:v>
                </c:pt>
                <c:pt idx="14">
                  <c:v>45244</c:v>
                </c:pt>
                <c:pt idx="15">
                  <c:v>45245</c:v>
                </c:pt>
                <c:pt idx="16">
                  <c:v>45246</c:v>
                </c:pt>
                <c:pt idx="17">
                  <c:v>45247</c:v>
                </c:pt>
                <c:pt idx="18">
                  <c:v>45248</c:v>
                </c:pt>
                <c:pt idx="19">
                  <c:v>45249</c:v>
                </c:pt>
                <c:pt idx="20">
                  <c:v>45250</c:v>
                </c:pt>
                <c:pt idx="21">
                  <c:v>45251</c:v>
                </c:pt>
                <c:pt idx="22">
                  <c:v>45252</c:v>
                </c:pt>
                <c:pt idx="23">
                  <c:v>45253</c:v>
                </c:pt>
                <c:pt idx="24">
                  <c:v>45254</c:v>
                </c:pt>
                <c:pt idx="25">
                  <c:v>45255</c:v>
                </c:pt>
                <c:pt idx="26">
                  <c:v>45256</c:v>
                </c:pt>
                <c:pt idx="27">
                  <c:v>45257</c:v>
                </c:pt>
                <c:pt idx="28">
                  <c:v>45258</c:v>
                </c:pt>
                <c:pt idx="29">
                  <c:v>45259</c:v>
                </c:pt>
                <c:pt idx="30">
                  <c:v>45260</c:v>
                </c:pt>
                <c:pt idx="31">
                  <c:v>45261</c:v>
                </c:pt>
                <c:pt idx="32">
                  <c:v>45262</c:v>
                </c:pt>
                <c:pt idx="33">
                  <c:v>45263</c:v>
                </c:pt>
                <c:pt idx="34">
                  <c:v>45264</c:v>
                </c:pt>
                <c:pt idx="35">
                  <c:v>45265</c:v>
                </c:pt>
                <c:pt idx="36">
                  <c:v>45266</c:v>
                </c:pt>
                <c:pt idx="37">
                  <c:v>45267</c:v>
                </c:pt>
                <c:pt idx="38">
                  <c:v>45268</c:v>
                </c:pt>
                <c:pt idx="39">
                  <c:v>45269</c:v>
                </c:pt>
                <c:pt idx="40">
                  <c:v>45270</c:v>
                </c:pt>
                <c:pt idx="41">
                  <c:v>45271</c:v>
                </c:pt>
                <c:pt idx="42">
                  <c:v>45272</c:v>
                </c:pt>
                <c:pt idx="43">
                  <c:v>45273</c:v>
                </c:pt>
                <c:pt idx="44">
                  <c:v>45274</c:v>
                </c:pt>
                <c:pt idx="45">
                  <c:v>45275</c:v>
                </c:pt>
                <c:pt idx="46">
                  <c:v>45276</c:v>
                </c:pt>
                <c:pt idx="47">
                  <c:v>45277</c:v>
                </c:pt>
                <c:pt idx="48">
                  <c:v>45278</c:v>
                </c:pt>
                <c:pt idx="49">
                  <c:v>45279</c:v>
                </c:pt>
                <c:pt idx="50">
                  <c:v>45280</c:v>
                </c:pt>
                <c:pt idx="51">
                  <c:v>45281</c:v>
                </c:pt>
                <c:pt idx="52">
                  <c:v>45282</c:v>
                </c:pt>
                <c:pt idx="53">
                  <c:v>45283</c:v>
                </c:pt>
                <c:pt idx="54">
                  <c:v>45284</c:v>
                </c:pt>
                <c:pt idx="55">
                  <c:v>45285</c:v>
                </c:pt>
                <c:pt idx="56">
                  <c:v>45286</c:v>
                </c:pt>
                <c:pt idx="57">
                  <c:v>45287</c:v>
                </c:pt>
                <c:pt idx="58">
                  <c:v>45288</c:v>
                </c:pt>
                <c:pt idx="59">
                  <c:v>45289</c:v>
                </c:pt>
                <c:pt idx="60">
                  <c:v>45290</c:v>
                </c:pt>
                <c:pt idx="61">
                  <c:v>45291</c:v>
                </c:pt>
                <c:pt idx="62">
                  <c:v>45292</c:v>
                </c:pt>
                <c:pt idx="63">
                  <c:v>45293</c:v>
                </c:pt>
                <c:pt idx="64">
                  <c:v>45294</c:v>
                </c:pt>
                <c:pt idx="65">
                  <c:v>45295</c:v>
                </c:pt>
                <c:pt idx="66">
                  <c:v>45296</c:v>
                </c:pt>
                <c:pt idx="67">
                  <c:v>45297</c:v>
                </c:pt>
                <c:pt idx="68">
                  <c:v>45298</c:v>
                </c:pt>
                <c:pt idx="69">
                  <c:v>45299</c:v>
                </c:pt>
                <c:pt idx="70">
                  <c:v>45300</c:v>
                </c:pt>
                <c:pt idx="71">
                  <c:v>45301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ConceptDemo!$T$18:$T$395</c:f>
              <c:numCache>
                <c:formatCode>General</c:formatCode>
                <c:ptCount val="378"/>
                <c:pt idx="0">
                  <c:v>0</c:v>
                </c:pt>
                <c:pt idx="1">
                  <c:v>49.901073117640735</c:v>
                </c:pt>
                <c:pt idx="2">
                  <c:v>49.690090131295634</c:v>
                </c:pt>
                <c:pt idx="3">
                  <c:v>49.487913733210299</c:v>
                </c:pt>
                <c:pt idx="4">
                  <c:v>49.291941212337953</c:v>
                </c:pt>
                <c:pt idx="5">
                  <c:v>49.113409055146867</c:v>
                </c:pt>
                <c:pt idx="6">
                  <c:v>48.950745941002033</c:v>
                </c:pt>
                <c:pt idx="7">
                  <c:v>48.795007437712002</c:v>
                </c:pt>
                <c:pt idx="8">
                  <c:v>48.641125527411717</c:v>
                </c:pt>
                <c:pt idx="9">
                  <c:v>48.495963892050121</c:v>
                </c:pt>
                <c:pt idx="10">
                  <c:v>48.344975428331495</c:v>
                </c:pt>
                <c:pt idx="11">
                  <c:v>48.185378050521166</c:v>
                </c:pt>
                <c:pt idx="12">
                  <c:v>48.028698779495386</c:v>
                </c:pt>
                <c:pt idx="13">
                  <c:v>47.872447863387677</c:v>
                </c:pt>
                <c:pt idx="14">
                  <c:v>47.714031546439031</c:v>
                </c:pt>
                <c:pt idx="15">
                  <c:v>47.5405813976354</c:v>
                </c:pt>
                <c:pt idx="16">
                  <c:v>47.362715129117696</c:v>
                </c:pt>
                <c:pt idx="17">
                  <c:v>47.179784105485133</c:v>
                </c:pt>
                <c:pt idx="18">
                  <c:v>46.992241146289899</c:v>
                </c:pt>
                <c:pt idx="19">
                  <c:v>46.790754836161121</c:v>
                </c:pt>
                <c:pt idx="20">
                  <c:v>46.56853806074777</c:v>
                </c:pt>
                <c:pt idx="21">
                  <c:v>46.334271072062528</c:v>
                </c:pt>
                <c:pt idx="22">
                  <c:v>46.087702056492262</c:v>
                </c:pt>
                <c:pt idx="23">
                  <c:v>45.820333173262981</c:v>
                </c:pt>
                <c:pt idx="24">
                  <c:v>45.538637057683509</c:v>
                </c:pt>
                <c:pt idx="25">
                  <c:v>45.218408636439868</c:v>
                </c:pt>
                <c:pt idx="26">
                  <c:v>44.870762951486874</c:v>
                </c:pt>
                <c:pt idx="27">
                  <c:v>44.514325271566634</c:v>
                </c:pt>
                <c:pt idx="28">
                  <c:v>44.145416687661786</c:v>
                </c:pt>
                <c:pt idx="29">
                  <c:v>43.745340247679756</c:v>
                </c:pt>
                <c:pt idx="30">
                  <c:v>43.305307185898009</c:v>
                </c:pt>
                <c:pt idx="31">
                  <c:v>42.816832571191959</c:v>
                </c:pt>
                <c:pt idx="32">
                  <c:v>42.286486722021735</c:v>
                </c:pt>
                <c:pt idx="33">
                  <c:v>41.69569302979059</c:v>
                </c:pt>
                <c:pt idx="34">
                  <c:v>41.075577928694635</c:v>
                </c:pt>
                <c:pt idx="35">
                  <c:v>40.429700353852496</c:v>
                </c:pt>
                <c:pt idx="36">
                  <c:v>39.737375431044157</c:v>
                </c:pt>
                <c:pt idx="37">
                  <c:v>39.033441245930206</c:v>
                </c:pt>
                <c:pt idx="38">
                  <c:v>38.28064040940852</c:v>
                </c:pt>
                <c:pt idx="39">
                  <c:v>37.433293332922801</c:v>
                </c:pt>
                <c:pt idx="40">
                  <c:v>36.535677095064287</c:v>
                </c:pt>
                <c:pt idx="41">
                  <c:v>35.522602151994832</c:v>
                </c:pt>
                <c:pt idx="42">
                  <c:v>34.395264021129108</c:v>
                </c:pt>
                <c:pt idx="43">
                  <c:v>33.209854043220645</c:v>
                </c:pt>
                <c:pt idx="44">
                  <c:v>31.963412153906955</c:v>
                </c:pt>
                <c:pt idx="45">
                  <c:v>30.656391352174335</c:v>
                </c:pt>
                <c:pt idx="46">
                  <c:v>50.556126672002954</c:v>
                </c:pt>
                <c:pt idx="47">
                  <c:v>49.093627591060745</c:v>
                </c:pt>
                <c:pt idx="48">
                  <c:v>47.594748771871927</c:v>
                </c:pt>
                <c:pt idx="49">
                  <c:v>45.995854185374959</c:v>
                </c:pt>
                <c:pt idx="50">
                  <c:v>44.263680167346863</c:v>
                </c:pt>
                <c:pt idx="51">
                  <c:v>42.445286942879591</c:v>
                </c:pt>
                <c:pt idx="52">
                  <c:v>40.504681273463774</c:v>
                </c:pt>
                <c:pt idx="53">
                  <c:v>38.531232589368777</c:v>
                </c:pt>
                <c:pt idx="54">
                  <c:v>36.446501332078917</c:v>
                </c:pt>
                <c:pt idx="55">
                  <c:v>34.233462950201833</c:v>
                </c:pt>
                <c:pt idx="56">
                  <c:v>31.976123241164302</c:v>
                </c:pt>
                <c:pt idx="57">
                  <c:v>51.078119852890268</c:v>
                </c:pt>
                <c:pt idx="58">
                  <c:v>48.461351382133863</c:v>
                </c:pt>
                <c:pt idx="59">
                  <c:v>45.682767496064962</c:v>
                </c:pt>
                <c:pt idx="60">
                  <c:v>42.866852392882393</c:v>
                </c:pt>
                <c:pt idx="61">
                  <c:v>40.066829453700656</c:v>
                </c:pt>
                <c:pt idx="62">
                  <c:v>37.226014993555104</c:v>
                </c:pt>
                <c:pt idx="63">
                  <c:v>34.220293933849476</c:v>
                </c:pt>
                <c:pt idx="64">
                  <c:v>31.18130121323594</c:v>
                </c:pt>
                <c:pt idx="65">
                  <c:v>47.871712911950908</c:v>
                </c:pt>
                <c:pt idx="66">
                  <c:v>44.750055182720821</c:v>
                </c:pt>
                <c:pt idx="67">
                  <c:v>41.561007893998273</c:v>
                </c:pt>
                <c:pt idx="68">
                  <c:v>38.219102404377608</c:v>
                </c:pt>
                <c:pt idx="69">
                  <c:v>34.79421945578067</c:v>
                </c:pt>
                <c:pt idx="70">
                  <c:v>31.293749977768954</c:v>
                </c:pt>
                <c:pt idx="71">
                  <c:v>27.818805954977659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35-4FFC-B26D-6FFB1D5EF710}"/>
            </c:ext>
          </c:extLst>
        </c:ser>
        <c:ser>
          <c:idx val="3"/>
          <c:order val="3"/>
          <c:tx>
            <c:v>Measured Soil 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ConceptDemo!$C$38:$C$43</c:f>
              <c:numCache>
                <c:formatCode>m/d/yyyy</c:formatCode>
                <c:ptCount val="6"/>
              </c:numCache>
            </c:numRef>
          </c:xVal>
          <c:yVal>
            <c:numRef>
              <c:f>ConceptDemo!$D$38:$D$43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539-4507-9D06-EA215F4509BE}"/>
            </c:ext>
          </c:extLst>
        </c:ser>
        <c:ser>
          <c:idx val="4"/>
          <c:order val="4"/>
          <c:tx>
            <c:strRef>
              <c:f>ConceptDemo!$W$17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45230</c:v>
                </c:pt>
                <c:pt idx="1">
                  <c:v>45231</c:v>
                </c:pt>
                <c:pt idx="2">
                  <c:v>45232</c:v>
                </c:pt>
                <c:pt idx="3">
                  <c:v>45233</c:v>
                </c:pt>
                <c:pt idx="4">
                  <c:v>45234</c:v>
                </c:pt>
                <c:pt idx="5">
                  <c:v>45235</c:v>
                </c:pt>
                <c:pt idx="6">
                  <c:v>45236</c:v>
                </c:pt>
                <c:pt idx="7">
                  <c:v>45237</c:v>
                </c:pt>
                <c:pt idx="8">
                  <c:v>45238</c:v>
                </c:pt>
                <c:pt idx="9">
                  <c:v>45239</c:v>
                </c:pt>
                <c:pt idx="10">
                  <c:v>45240</c:v>
                </c:pt>
                <c:pt idx="11">
                  <c:v>45241</c:v>
                </c:pt>
                <c:pt idx="12">
                  <c:v>45242</c:v>
                </c:pt>
                <c:pt idx="13">
                  <c:v>45243</c:v>
                </c:pt>
                <c:pt idx="14">
                  <c:v>45244</c:v>
                </c:pt>
                <c:pt idx="15">
                  <c:v>45245</c:v>
                </c:pt>
                <c:pt idx="16">
                  <c:v>45246</c:v>
                </c:pt>
                <c:pt idx="17">
                  <c:v>45247</c:v>
                </c:pt>
                <c:pt idx="18">
                  <c:v>45248</c:v>
                </c:pt>
                <c:pt idx="19">
                  <c:v>45249</c:v>
                </c:pt>
                <c:pt idx="20">
                  <c:v>45250</c:v>
                </c:pt>
                <c:pt idx="21">
                  <c:v>45251</c:v>
                </c:pt>
                <c:pt idx="22">
                  <c:v>45252</c:v>
                </c:pt>
                <c:pt idx="23">
                  <c:v>45253</c:v>
                </c:pt>
                <c:pt idx="24">
                  <c:v>45254</c:v>
                </c:pt>
                <c:pt idx="25">
                  <c:v>45255</c:v>
                </c:pt>
                <c:pt idx="26">
                  <c:v>45256</c:v>
                </c:pt>
                <c:pt idx="27">
                  <c:v>45257</c:v>
                </c:pt>
                <c:pt idx="28">
                  <c:v>45258</c:v>
                </c:pt>
                <c:pt idx="29">
                  <c:v>45259</c:v>
                </c:pt>
                <c:pt idx="30">
                  <c:v>45260</c:v>
                </c:pt>
                <c:pt idx="31">
                  <c:v>45261</c:v>
                </c:pt>
                <c:pt idx="32">
                  <c:v>45262</c:v>
                </c:pt>
                <c:pt idx="33">
                  <c:v>45263</c:v>
                </c:pt>
                <c:pt idx="34">
                  <c:v>45264</c:v>
                </c:pt>
                <c:pt idx="35">
                  <c:v>45265</c:v>
                </c:pt>
                <c:pt idx="36">
                  <c:v>45266</c:v>
                </c:pt>
                <c:pt idx="37">
                  <c:v>45267</c:v>
                </c:pt>
                <c:pt idx="38">
                  <c:v>45268</c:v>
                </c:pt>
                <c:pt idx="39">
                  <c:v>45269</c:v>
                </c:pt>
                <c:pt idx="40">
                  <c:v>45270</c:v>
                </c:pt>
                <c:pt idx="41">
                  <c:v>45271</c:v>
                </c:pt>
                <c:pt idx="42">
                  <c:v>45272</c:v>
                </c:pt>
                <c:pt idx="43">
                  <c:v>45273</c:v>
                </c:pt>
                <c:pt idx="44">
                  <c:v>45274</c:v>
                </c:pt>
                <c:pt idx="45">
                  <c:v>45275</c:v>
                </c:pt>
                <c:pt idx="46">
                  <c:v>45276</c:v>
                </c:pt>
                <c:pt idx="47">
                  <c:v>45277</c:v>
                </c:pt>
                <c:pt idx="48">
                  <c:v>45278</c:v>
                </c:pt>
                <c:pt idx="49">
                  <c:v>45279</c:v>
                </c:pt>
                <c:pt idx="50">
                  <c:v>45280</c:v>
                </c:pt>
                <c:pt idx="51">
                  <c:v>45281</c:v>
                </c:pt>
                <c:pt idx="52">
                  <c:v>45282</c:v>
                </c:pt>
                <c:pt idx="53">
                  <c:v>45283</c:v>
                </c:pt>
                <c:pt idx="54">
                  <c:v>45284</c:v>
                </c:pt>
                <c:pt idx="55">
                  <c:v>45285</c:v>
                </c:pt>
                <c:pt idx="56">
                  <c:v>45286</c:v>
                </c:pt>
                <c:pt idx="57">
                  <c:v>45287</c:v>
                </c:pt>
                <c:pt idx="58">
                  <c:v>45288</c:v>
                </c:pt>
                <c:pt idx="59">
                  <c:v>45289</c:v>
                </c:pt>
                <c:pt idx="60">
                  <c:v>45290</c:v>
                </c:pt>
                <c:pt idx="61">
                  <c:v>45291</c:v>
                </c:pt>
                <c:pt idx="62">
                  <c:v>45292</c:v>
                </c:pt>
                <c:pt idx="63">
                  <c:v>45293</c:v>
                </c:pt>
                <c:pt idx="64">
                  <c:v>45294</c:v>
                </c:pt>
                <c:pt idx="65">
                  <c:v>45295</c:v>
                </c:pt>
                <c:pt idx="66">
                  <c:v>45296</c:v>
                </c:pt>
                <c:pt idx="67">
                  <c:v>45297</c:v>
                </c:pt>
                <c:pt idx="68">
                  <c:v>45298</c:v>
                </c:pt>
                <c:pt idx="69">
                  <c:v>45299</c:v>
                </c:pt>
                <c:pt idx="70">
                  <c:v>45300</c:v>
                </c:pt>
                <c:pt idx="71">
                  <c:v>45301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ConceptDemo!$W$18:$W$662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31-4825-B05A-08AFB398A254}"/>
            </c:ext>
          </c:extLst>
        </c:ser>
        <c:ser>
          <c:idx val="5"/>
          <c:order val="5"/>
          <c:tx>
            <c:strRef>
              <c:f>ConceptDemo!$X$17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45230</c:v>
                </c:pt>
                <c:pt idx="1">
                  <c:v>45231</c:v>
                </c:pt>
                <c:pt idx="2">
                  <c:v>45232</c:v>
                </c:pt>
                <c:pt idx="3">
                  <c:v>45233</c:v>
                </c:pt>
                <c:pt idx="4">
                  <c:v>45234</c:v>
                </c:pt>
                <c:pt idx="5">
                  <c:v>45235</c:v>
                </c:pt>
                <c:pt idx="6">
                  <c:v>45236</c:v>
                </c:pt>
                <c:pt idx="7">
                  <c:v>45237</c:v>
                </c:pt>
                <c:pt idx="8">
                  <c:v>45238</c:v>
                </c:pt>
                <c:pt idx="9">
                  <c:v>45239</c:v>
                </c:pt>
                <c:pt idx="10">
                  <c:v>45240</c:v>
                </c:pt>
                <c:pt idx="11">
                  <c:v>45241</c:v>
                </c:pt>
                <c:pt idx="12">
                  <c:v>45242</c:v>
                </c:pt>
                <c:pt idx="13">
                  <c:v>45243</c:v>
                </c:pt>
                <c:pt idx="14">
                  <c:v>45244</c:v>
                </c:pt>
                <c:pt idx="15">
                  <c:v>45245</c:v>
                </c:pt>
                <c:pt idx="16">
                  <c:v>45246</c:v>
                </c:pt>
                <c:pt idx="17">
                  <c:v>45247</c:v>
                </c:pt>
                <c:pt idx="18">
                  <c:v>45248</c:v>
                </c:pt>
                <c:pt idx="19">
                  <c:v>45249</c:v>
                </c:pt>
                <c:pt idx="20">
                  <c:v>45250</c:v>
                </c:pt>
                <c:pt idx="21">
                  <c:v>45251</c:v>
                </c:pt>
                <c:pt idx="22">
                  <c:v>45252</c:v>
                </c:pt>
                <c:pt idx="23">
                  <c:v>45253</c:v>
                </c:pt>
                <c:pt idx="24">
                  <c:v>45254</c:v>
                </c:pt>
                <c:pt idx="25">
                  <c:v>45255</c:v>
                </c:pt>
                <c:pt idx="26">
                  <c:v>45256</c:v>
                </c:pt>
                <c:pt idx="27">
                  <c:v>45257</c:v>
                </c:pt>
                <c:pt idx="28">
                  <c:v>45258</c:v>
                </c:pt>
                <c:pt idx="29">
                  <c:v>45259</c:v>
                </c:pt>
                <c:pt idx="30">
                  <c:v>45260</c:v>
                </c:pt>
                <c:pt idx="31">
                  <c:v>45261</c:v>
                </c:pt>
                <c:pt idx="32">
                  <c:v>45262</c:v>
                </c:pt>
                <c:pt idx="33">
                  <c:v>45263</c:v>
                </c:pt>
                <c:pt idx="34">
                  <c:v>45264</c:v>
                </c:pt>
                <c:pt idx="35">
                  <c:v>45265</c:v>
                </c:pt>
                <c:pt idx="36">
                  <c:v>45266</c:v>
                </c:pt>
                <c:pt idx="37">
                  <c:v>45267</c:v>
                </c:pt>
                <c:pt idx="38">
                  <c:v>45268</c:v>
                </c:pt>
                <c:pt idx="39">
                  <c:v>45269</c:v>
                </c:pt>
                <c:pt idx="40">
                  <c:v>45270</c:v>
                </c:pt>
                <c:pt idx="41">
                  <c:v>45271</c:v>
                </c:pt>
                <c:pt idx="42">
                  <c:v>45272</c:v>
                </c:pt>
                <c:pt idx="43">
                  <c:v>45273</c:v>
                </c:pt>
                <c:pt idx="44">
                  <c:v>45274</c:v>
                </c:pt>
                <c:pt idx="45">
                  <c:v>45275</c:v>
                </c:pt>
                <c:pt idx="46">
                  <c:v>45276</c:v>
                </c:pt>
                <c:pt idx="47">
                  <c:v>45277</c:v>
                </c:pt>
                <c:pt idx="48">
                  <c:v>45278</c:v>
                </c:pt>
                <c:pt idx="49">
                  <c:v>45279</c:v>
                </c:pt>
                <c:pt idx="50">
                  <c:v>45280</c:v>
                </c:pt>
                <c:pt idx="51">
                  <c:v>45281</c:v>
                </c:pt>
                <c:pt idx="52">
                  <c:v>45282</c:v>
                </c:pt>
                <c:pt idx="53">
                  <c:v>45283</c:v>
                </c:pt>
                <c:pt idx="54">
                  <c:v>45284</c:v>
                </c:pt>
                <c:pt idx="55">
                  <c:v>45285</c:v>
                </c:pt>
                <c:pt idx="56">
                  <c:v>45286</c:v>
                </c:pt>
                <c:pt idx="57">
                  <c:v>45287</c:v>
                </c:pt>
                <c:pt idx="58">
                  <c:v>45288</c:v>
                </c:pt>
                <c:pt idx="59">
                  <c:v>45289</c:v>
                </c:pt>
                <c:pt idx="60">
                  <c:v>45290</c:v>
                </c:pt>
                <c:pt idx="61">
                  <c:v>45291</c:v>
                </c:pt>
                <c:pt idx="62">
                  <c:v>45292</c:v>
                </c:pt>
                <c:pt idx="63">
                  <c:v>45293</c:v>
                </c:pt>
                <c:pt idx="64">
                  <c:v>45294</c:v>
                </c:pt>
                <c:pt idx="65">
                  <c:v>45295</c:v>
                </c:pt>
                <c:pt idx="66">
                  <c:v>45296</c:v>
                </c:pt>
                <c:pt idx="67">
                  <c:v>45297</c:v>
                </c:pt>
                <c:pt idx="68">
                  <c:v>45298</c:v>
                </c:pt>
                <c:pt idx="69">
                  <c:v>45299</c:v>
                </c:pt>
                <c:pt idx="70">
                  <c:v>45300</c:v>
                </c:pt>
                <c:pt idx="71">
                  <c:v>45301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ConceptDemo!$X$18:$X$662</c:f>
              <c:numCache>
                <c:formatCode>General</c:formatCode>
                <c:ptCount val="645"/>
                <c:pt idx="0">
                  <c:v>0.25742912124832429</c:v>
                </c:pt>
                <c:pt idx="1">
                  <c:v>0.49851187375164485</c:v>
                </c:pt>
                <c:pt idx="2">
                  <c:v>0.72989667726533325</c:v>
                </c:pt>
                <c:pt idx="3">
                  <c:v>0.95758570771576923</c:v>
                </c:pt>
                <c:pt idx="4">
                  <c:v>1.1909998161931239</c:v>
                </c:pt>
                <c:pt idx="5">
                  <c:v>1.4470617445415836</c:v>
                </c:pt>
                <c:pt idx="6">
                  <c:v>1.6993020303815634</c:v>
                </c:pt>
                <c:pt idx="7">
                  <c:v>1.9640039024636211</c:v>
                </c:pt>
                <c:pt idx="8">
                  <c:v>2.2353661889524274</c:v>
                </c:pt>
                <c:pt idx="9">
                  <c:v>2.4995411457221328</c:v>
                </c:pt>
                <c:pt idx="10">
                  <c:v>2.767781957430139</c:v>
                </c:pt>
                <c:pt idx="11">
                  <c:v>3.029665087161316</c:v>
                </c:pt>
                <c:pt idx="12">
                  <c:v>3.293132135148781</c:v>
                </c:pt>
                <c:pt idx="13">
                  <c:v>3.549382765855738</c:v>
                </c:pt>
                <c:pt idx="14">
                  <c:v>3.8031568546465722</c:v>
                </c:pt>
                <c:pt idx="15">
                  <c:v>4.0575513827327292</c:v>
                </c:pt>
                <c:pt idx="16">
                  <c:v>4.32427223389052</c:v>
                </c:pt>
                <c:pt idx="17">
                  <c:v>4.5764602422639484</c:v>
                </c:pt>
                <c:pt idx="18">
                  <c:v>4.8152025997516867</c:v>
                </c:pt>
                <c:pt idx="19">
                  <c:v>5.0451706538320682</c:v>
                </c:pt>
                <c:pt idx="20">
                  <c:v>5.2795406733514598</c:v>
                </c:pt>
                <c:pt idx="21">
                  <c:v>5.5143066687205193</c:v>
                </c:pt>
                <c:pt idx="22">
                  <c:v>5.7579128279735796</c:v>
                </c:pt>
                <c:pt idx="23">
                  <c:v>6.004137349358861</c:v>
                </c:pt>
                <c:pt idx="24">
                  <c:v>6.243413190915506</c:v>
                </c:pt>
                <c:pt idx="25">
                  <c:v>6.4910915938509239</c:v>
                </c:pt>
                <c:pt idx="26">
                  <c:v>6.7333717310101351</c:v>
                </c:pt>
                <c:pt idx="27">
                  <c:v>6.9683491332202649</c:v>
                </c:pt>
                <c:pt idx="28">
                  <c:v>7.2076404121027888</c:v>
                </c:pt>
                <c:pt idx="29">
                  <c:v>7.4448734824357405</c:v>
                </c:pt>
                <c:pt idx="30">
                  <c:v>7.684276718289385</c:v>
                </c:pt>
                <c:pt idx="31">
                  <c:v>7.9194623236366954</c:v>
                </c:pt>
                <c:pt idx="32">
                  <c:v>8.1720793240188776</c:v>
                </c:pt>
                <c:pt idx="33">
                  <c:v>8.4210676907806565</c:v>
                </c:pt>
                <c:pt idx="34">
                  <c:v>8.6848398054081208</c:v>
                </c:pt>
                <c:pt idx="35">
                  <c:v>8.9517634727857338</c:v>
                </c:pt>
                <c:pt idx="36">
                  <c:v>9.2190407166205866</c:v>
                </c:pt>
                <c:pt idx="37">
                  <c:v>9.4763067122496309</c:v>
                </c:pt>
                <c:pt idx="38">
                  <c:v>9.7251646731735377</c:v>
                </c:pt>
                <c:pt idx="39">
                  <c:v>9.9703592254955336</c:v>
                </c:pt>
                <c:pt idx="40">
                  <c:v>10.209442059915093</c:v>
                </c:pt>
                <c:pt idx="41">
                  <c:v>10.444958747651647</c:v>
                </c:pt>
                <c:pt idx="42">
                  <c:v>10.680251202033507</c:v>
                </c:pt>
                <c:pt idx="43">
                  <c:v>10.901075319376417</c:v>
                </c:pt>
                <c:pt idx="44">
                  <c:v>11.121696880510028</c:v>
                </c:pt>
                <c:pt idx="45">
                  <c:v>11.333351182734301</c:v>
                </c:pt>
                <c:pt idx="46">
                  <c:v>11.553265526566076</c:v>
                </c:pt>
                <c:pt idx="47">
                  <c:v>11.777467460875256</c:v>
                </c:pt>
                <c:pt idx="48">
                  <c:v>11.999469094779519</c:v>
                </c:pt>
                <c:pt idx="49">
                  <c:v>12.225853302978752</c:v>
                </c:pt>
                <c:pt idx="50">
                  <c:v>12.444674924408357</c:v>
                </c:pt>
                <c:pt idx="51">
                  <c:v>12.662862382550474</c:v>
                </c:pt>
                <c:pt idx="52">
                  <c:v>12.873610229968355</c:v>
                </c:pt>
                <c:pt idx="53">
                  <c:v>13.071475170650752</c:v>
                </c:pt>
                <c:pt idx="54">
                  <c:v>13.269081307501708</c:v>
                </c:pt>
                <c:pt idx="55">
                  <c:v>13.473896177947097</c:v>
                </c:pt>
                <c:pt idx="56">
                  <c:v>13.66422884613953</c:v>
                </c:pt>
                <c:pt idx="57">
                  <c:v>13.849841563265311</c:v>
                </c:pt>
                <c:pt idx="58">
                  <c:v>14.037618498378849</c:v>
                </c:pt>
                <c:pt idx="59">
                  <c:v>14.229935261946929</c:v>
                </c:pt>
                <c:pt idx="60">
                  <c:v>14.424196497772801</c:v>
                </c:pt>
                <c:pt idx="61">
                  <c:v>14.635834943328446</c:v>
                </c:pt>
                <c:pt idx="62">
                  <c:v>14.841466478898365</c:v>
                </c:pt>
                <c:pt idx="63">
                  <c:v>15.043634613819098</c:v>
                </c:pt>
                <c:pt idx="64">
                  <c:v>15.234596584042405</c:v>
                </c:pt>
                <c:pt idx="65">
                  <c:v>15.421873901986375</c:v>
                </c:pt>
                <c:pt idx="66">
                  <c:v>15.598573696681385</c:v>
                </c:pt>
                <c:pt idx="67">
                  <c:v>15.772736259911248</c:v>
                </c:pt>
                <c:pt idx="68">
                  <c:v>15.948448578436494</c:v>
                </c:pt>
                <c:pt idx="69">
                  <c:v>16.127159978693435</c:v>
                </c:pt>
                <c:pt idx="70">
                  <c:v>16.310079454613554</c:v>
                </c:pt>
                <c:pt idx="71">
                  <c:v>16.48607425116915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31-4825-B05A-08AFB398A254}"/>
            </c:ext>
          </c:extLst>
        </c:ser>
        <c:ser>
          <c:idx val="6"/>
          <c:order val="6"/>
          <c:tx>
            <c:strRef>
              <c:f>ConceptDemo!$Y$17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45230</c:v>
                </c:pt>
                <c:pt idx="1">
                  <c:v>45231</c:v>
                </c:pt>
                <c:pt idx="2">
                  <c:v>45232</c:v>
                </c:pt>
                <c:pt idx="3">
                  <c:v>45233</c:v>
                </c:pt>
                <c:pt idx="4">
                  <c:v>45234</c:v>
                </c:pt>
                <c:pt idx="5">
                  <c:v>45235</c:v>
                </c:pt>
                <c:pt idx="6">
                  <c:v>45236</c:v>
                </c:pt>
                <c:pt idx="7">
                  <c:v>45237</c:v>
                </c:pt>
                <c:pt idx="8">
                  <c:v>45238</c:v>
                </c:pt>
                <c:pt idx="9">
                  <c:v>45239</c:v>
                </c:pt>
                <c:pt idx="10">
                  <c:v>45240</c:v>
                </c:pt>
                <c:pt idx="11">
                  <c:v>45241</c:v>
                </c:pt>
                <c:pt idx="12">
                  <c:v>45242</c:v>
                </c:pt>
                <c:pt idx="13">
                  <c:v>45243</c:v>
                </c:pt>
                <c:pt idx="14">
                  <c:v>45244</c:v>
                </c:pt>
                <c:pt idx="15">
                  <c:v>45245</c:v>
                </c:pt>
                <c:pt idx="16">
                  <c:v>45246</c:v>
                </c:pt>
                <c:pt idx="17">
                  <c:v>45247</c:v>
                </c:pt>
                <c:pt idx="18">
                  <c:v>45248</c:v>
                </c:pt>
                <c:pt idx="19">
                  <c:v>45249</c:v>
                </c:pt>
                <c:pt idx="20">
                  <c:v>45250</c:v>
                </c:pt>
                <c:pt idx="21">
                  <c:v>45251</c:v>
                </c:pt>
                <c:pt idx="22">
                  <c:v>45252</c:v>
                </c:pt>
                <c:pt idx="23">
                  <c:v>45253</c:v>
                </c:pt>
                <c:pt idx="24">
                  <c:v>45254</c:v>
                </c:pt>
                <c:pt idx="25">
                  <c:v>45255</c:v>
                </c:pt>
                <c:pt idx="26">
                  <c:v>45256</c:v>
                </c:pt>
                <c:pt idx="27">
                  <c:v>45257</c:v>
                </c:pt>
                <c:pt idx="28">
                  <c:v>45258</c:v>
                </c:pt>
                <c:pt idx="29">
                  <c:v>45259</c:v>
                </c:pt>
                <c:pt idx="30">
                  <c:v>45260</c:v>
                </c:pt>
                <c:pt idx="31">
                  <c:v>45261</c:v>
                </c:pt>
                <c:pt idx="32">
                  <c:v>45262</c:v>
                </c:pt>
                <c:pt idx="33">
                  <c:v>45263</c:v>
                </c:pt>
                <c:pt idx="34">
                  <c:v>45264</c:v>
                </c:pt>
                <c:pt idx="35">
                  <c:v>45265</c:v>
                </c:pt>
                <c:pt idx="36">
                  <c:v>45266</c:v>
                </c:pt>
                <c:pt idx="37">
                  <c:v>45267</c:v>
                </c:pt>
                <c:pt idx="38">
                  <c:v>45268</c:v>
                </c:pt>
                <c:pt idx="39">
                  <c:v>45269</c:v>
                </c:pt>
                <c:pt idx="40">
                  <c:v>45270</c:v>
                </c:pt>
                <c:pt idx="41">
                  <c:v>45271</c:v>
                </c:pt>
                <c:pt idx="42">
                  <c:v>45272</c:v>
                </c:pt>
                <c:pt idx="43">
                  <c:v>45273</c:v>
                </c:pt>
                <c:pt idx="44">
                  <c:v>45274</c:v>
                </c:pt>
                <c:pt idx="45">
                  <c:v>45275</c:v>
                </c:pt>
                <c:pt idx="46">
                  <c:v>45276</c:v>
                </c:pt>
                <c:pt idx="47">
                  <c:v>45277</c:v>
                </c:pt>
                <c:pt idx="48">
                  <c:v>45278</c:v>
                </c:pt>
                <c:pt idx="49">
                  <c:v>45279</c:v>
                </c:pt>
                <c:pt idx="50">
                  <c:v>45280</c:v>
                </c:pt>
                <c:pt idx="51">
                  <c:v>45281</c:v>
                </c:pt>
                <c:pt idx="52">
                  <c:v>45282</c:v>
                </c:pt>
                <c:pt idx="53">
                  <c:v>45283</c:v>
                </c:pt>
                <c:pt idx="54">
                  <c:v>45284</c:v>
                </c:pt>
                <c:pt idx="55">
                  <c:v>45285</c:v>
                </c:pt>
                <c:pt idx="56">
                  <c:v>45286</c:v>
                </c:pt>
                <c:pt idx="57">
                  <c:v>45287</c:v>
                </c:pt>
                <c:pt idx="58">
                  <c:v>45288</c:v>
                </c:pt>
                <c:pt idx="59">
                  <c:v>45289</c:v>
                </c:pt>
                <c:pt idx="60">
                  <c:v>45290</c:v>
                </c:pt>
                <c:pt idx="61">
                  <c:v>45291</c:v>
                </c:pt>
                <c:pt idx="62">
                  <c:v>45292</c:v>
                </c:pt>
                <c:pt idx="63">
                  <c:v>45293</c:v>
                </c:pt>
                <c:pt idx="64">
                  <c:v>45294</c:v>
                </c:pt>
                <c:pt idx="65">
                  <c:v>45295</c:v>
                </c:pt>
                <c:pt idx="66">
                  <c:v>45296</c:v>
                </c:pt>
                <c:pt idx="67">
                  <c:v>45297</c:v>
                </c:pt>
                <c:pt idx="68">
                  <c:v>45298</c:v>
                </c:pt>
                <c:pt idx="69">
                  <c:v>45299</c:v>
                </c:pt>
                <c:pt idx="70">
                  <c:v>45300</c:v>
                </c:pt>
                <c:pt idx="71">
                  <c:v>45301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ConceptDemo!$Y$18:$Y$662</c:f>
              <c:numCache>
                <c:formatCode>General</c:formatCode>
                <c:ptCount val="645"/>
                <c:pt idx="0">
                  <c:v>0</c:v>
                </c:pt>
                <c:pt idx="1">
                  <c:v>-0.34000963486259028</c:v>
                </c:pt>
                <c:pt idx="2">
                  <c:v>-0.66624333026883176</c:v>
                </c:pt>
                <c:pt idx="3">
                  <c:v>-0.97554298268382345</c:v>
                </c:pt>
                <c:pt idx="4">
                  <c:v>-1.2752437915789125</c:v>
                </c:pt>
                <c:pt idx="5">
                  <c:v>-1.5681328807502615</c:v>
                </c:pt>
                <c:pt idx="6">
                  <c:v>-1.8399932051582057</c:v>
                </c:pt>
                <c:pt idx="7">
                  <c:v>-2.1048410855366706</c:v>
                </c:pt>
                <c:pt idx="8">
                  <c:v>-2.3616411703440456</c:v>
                </c:pt>
                <c:pt idx="9">
                  <c:v>-2.6001247452616081</c:v>
                </c:pt>
                <c:pt idx="10">
                  <c:v>-2.8326977036000587</c:v>
                </c:pt>
                <c:pt idx="11">
                  <c:v>-3.0553567309265457</c:v>
                </c:pt>
                <c:pt idx="12">
                  <c:v>-3.2665051442263779</c:v>
                </c:pt>
                <c:pt idx="13">
                  <c:v>-3.4639926120176776</c:v>
                </c:pt>
                <c:pt idx="14">
                  <c:v>-3.6510384961003535</c:v>
                </c:pt>
                <c:pt idx="15">
                  <c:v>-3.8330002866923989</c:v>
                </c:pt>
                <c:pt idx="16">
                  <c:v>-4.0094693448407117</c:v>
                </c:pt>
                <c:pt idx="17">
                  <c:v>-4.1723245392189092</c:v>
                </c:pt>
                <c:pt idx="18">
                  <c:v>-4.3228523607646032</c:v>
                </c:pt>
                <c:pt idx="19">
                  <c:v>-4.4653356522247316</c:v>
                </c:pt>
                <c:pt idx="20">
                  <c:v>-4.604300865054535</c:v>
                </c:pt>
                <c:pt idx="21">
                  <c:v>-4.7363846224571962</c:v>
                </c:pt>
                <c:pt idx="22">
                  <c:v>-4.8631716359462898</c:v>
                </c:pt>
                <c:pt idx="23">
                  <c:v>-4.9846770104473936</c:v>
                </c:pt>
                <c:pt idx="24">
                  <c:v>-5.0979884520043033</c:v>
                </c:pt>
                <c:pt idx="25">
                  <c:v>-5.2092503263757957</c:v>
                </c:pt>
                <c:pt idx="26">
                  <c:v>-5.3140200517550822</c:v>
                </c:pt>
                <c:pt idx="27">
                  <c:v>-5.4098817694560548</c:v>
                </c:pt>
                <c:pt idx="28">
                  <c:v>-5.4993074627242873</c:v>
                </c:pt>
                <c:pt idx="29">
                  <c:v>-5.5837374632499541</c:v>
                </c:pt>
                <c:pt idx="30">
                  <c:v>-5.6642277057003207</c:v>
                </c:pt>
                <c:pt idx="31">
                  <c:v>-5.7406049839993933</c:v>
                </c:pt>
                <c:pt idx="32">
                  <c:v>-5.8136586860850548</c:v>
                </c:pt>
                <c:pt idx="33">
                  <c:v>-5.8827112997617022</c:v>
                </c:pt>
                <c:pt idx="34">
                  <c:v>-5.9467220713243325</c:v>
                </c:pt>
                <c:pt idx="35">
                  <c:v>-6.0050162195267394</c:v>
                </c:pt>
                <c:pt idx="36">
                  <c:v>-6.0587798807898521</c:v>
                </c:pt>
                <c:pt idx="37">
                  <c:v>-6.1064555823638349</c:v>
                </c:pt>
                <c:pt idx="38">
                  <c:v>-6.1500879322922053</c:v>
                </c:pt>
                <c:pt idx="39">
                  <c:v>-6.1912807779029677</c:v>
                </c:pt>
                <c:pt idx="40">
                  <c:v>-6.2285412321347504</c:v>
                </c:pt>
                <c:pt idx="41">
                  <c:v>-6.2635529633892819</c:v>
                </c:pt>
                <c:pt idx="42">
                  <c:v>-6.2959922985374916</c:v>
                </c:pt>
                <c:pt idx="43">
                  <c:v>-6.3244484708306121</c:v>
                </c:pt>
                <c:pt idx="44">
                  <c:v>-6.3495274489569073</c:v>
                </c:pt>
                <c:pt idx="45">
                  <c:v>-6.3713508386262143</c:v>
                </c:pt>
                <c:pt idx="46">
                  <c:v>-6.3905030114096579</c:v>
                </c:pt>
                <c:pt idx="47">
                  <c:v>-6.40702695313413</c:v>
                </c:pt>
                <c:pt idx="48">
                  <c:v>-6.4207581053597096</c:v>
                </c:pt>
                <c:pt idx="49">
                  <c:v>-6.4323321073102777</c:v>
                </c:pt>
                <c:pt idx="50">
                  <c:v>-6.4418614126136102</c:v>
                </c:pt>
                <c:pt idx="51">
                  <c:v>-6.449234747159398</c:v>
                </c:pt>
                <c:pt idx="52">
                  <c:v>-6.4546323253782774</c:v>
                </c:pt>
                <c:pt idx="53">
                  <c:v>-6.4580227015623368</c:v>
                </c:pt>
                <c:pt idx="54">
                  <c:v>-6.4596930264347279</c:v>
                </c:pt>
                <c:pt idx="55">
                  <c:v>-6.4596982412257677</c:v>
                </c:pt>
                <c:pt idx="56">
                  <c:v>-6.4581509530772676</c:v>
                </c:pt>
                <c:pt idx="57">
                  <c:v>-6.45526410611674</c:v>
                </c:pt>
                <c:pt idx="58">
                  <c:v>-6.4512244939898347</c:v>
                </c:pt>
                <c:pt idx="59">
                  <c:v>-6.4459259034317373</c:v>
                </c:pt>
                <c:pt idx="60">
                  <c:v>-6.4393074965135249</c:v>
                </c:pt>
                <c:pt idx="61">
                  <c:v>-6.4312167923339434</c:v>
                </c:pt>
                <c:pt idx="62">
                  <c:v>-6.4221283401673785</c:v>
                </c:pt>
                <c:pt idx="63">
                  <c:v>-6.4117581856288313</c:v>
                </c:pt>
                <c:pt idx="64">
                  <c:v>-6.4011908941041593</c:v>
                </c:pt>
                <c:pt idx="65">
                  <c:v>-6.390366258761552</c:v>
                </c:pt>
                <c:pt idx="66">
                  <c:v>-6.3797489842204254</c:v>
                </c:pt>
                <c:pt idx="67">
                  <c:v>-6.3689722135132225</c:v>
                </c:pt>
                <c:pt idx="68">
                  <c:v>-6.3579361675308457</c:v>
                </c:pt>
                <c:pt idx="69">
                  <c:v>-6.3462785956390624</c:v>
                </c:pt>
                <c:pt idx="70">
                  <c:v>-6.3338499274880249</c:v>
                </c:pt>
                <c:pt idx="71">
                  <c:v>-6.3218692418788516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31-4825-B05A-08AFB398A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val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2452022352"/>
          <c:y val="0.36052388233957039"/>
          <c:w val="0.22998705665758767"/>
          <c:h val="0.470818653331542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Following crop uptake</a:t>
            </a:r>
            <a:r>
              <a:rPr lang="en-NZ" baseline="0"/>
              <a:t> and Soil N</a:t>
            </a:r>
            <a:endParaRPr lang="en-N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84237956621832"/>
          <c:y val="0.15329506729654138"/>
          <c:w val="0.67678632845804432"/>
          <c:h val="0.76570314160852282"/>
        </c:manualLayout>
      </c:layout>
      <c:lineChart>
        <c:grouping val="standard"/>
        <c:varyColors val="0"/>
        <c:ser>
          <c:idx val="0"/>
          <c:order val="0"/>
          <c:tx>
            <c:v>Crop N uptake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45302</c:v>
                </c:pt>
                <c:pt idx="1">
                  <c:v>45303</c:v>
                </c:pt>
                <c:pt idx="2">
                  <c:v>45304</c:v>
                </c:pt>
                <c:pt idx="3">
                  <c:v>45305</c:v>
                </c:pt>
                <c:pt idx="4">
                  <c:v>45306</c:v>
                </c:pt>
                <c:pt idx="5">
                  <c:v>45307</c:v>
                </c:pt>
                <c:pt idx="6">
                  <c:v>45308</c:v>
                </c:pt>
                <c:pt idx="7">
                  <c:v>45309</c:v>
                </c:pt>
                <c:pt idx="8">
                  <c:v>45310</c:v>
                </c:pt>
                <c:pt idx="9">
                  <c:v>45311</c:v>
                </c:pt>
                <c:pt idx="10">
                  <c:v>45312</c:v>
                </c:pt>
                <c:pt idx="11">
                  <c:v>45313</c:v>
                </c:pt>
                <c:pt idx="12">
                  <c:v>45314</c:v>
                </c:pt>
                <c:pt idx="13">
                  <c:v>45315</c:v>
                </c:pt>
                <c:pt idx="14">
                  <c:v>45316</c:v>
                </c:pt>
                <c:pt idx="15">
                  <c:v>45317</c:v>
                </c:pt>
                <c:pt idx="16">
                  <c:v>45318</c:v>
                </c:pt>
                <c:pt idx="17">
                  <c:v>45319</c:v>
                </c:pt>
                <c:pt idx="18">
                  <c:v>45320</c:v>
                </c:pt>
                <c:pt idx="19">
                  <c:v>45321</c:v>
                </c:pt>
                <c:pt idx="20">
                  <c:v>45322</c:v>
                </c:pt>
                <c:pt idx="21">
                  <c:v>45323</c:v>
                </c:pt>
                <c:pt idx="22">
                  <c:v>45324</c:v>
                </c:pt>
                <c:pt idx="23">
                  <c:v>45325</c:v>
                </c:pt>
                <c:pt idx="24">
                  <c:v>45326</c:v>
                </c:pt>
                <c:pt idx="25">
                  <c:v>45327</c:v>
                </c:pt>
                <c:pt idx="26">
                  <c:v>45328</c:v>
                </c:pt>
                <c:pt idx="27">
                  <c:v>45329</c:v>
                </c:pt>
                <c:pt idx="28">
                  <c:v>45330</c:v>
                </c:pt>
                <c:pt idx="29">
                  <c:v>45331</c:v>
                </c:pt>
                <c:pt idx="30">
                  <c:v>45332</c:v>
                </c:pt>
                <c:pt idx="31">
                  <c:v>45333</c:v>
                </c:pt>
                <c:pt idx="32">
                  <c:v>45334</c:v>
                </c:pt>
                <c:pt idx="33">
                  <c:v>45335</c:v>
                </c:pt>
                <c:pt idx="34">
                  <c:v>45336</c:v>
                </c:pt>
                <c:pt idx="35">
                  <c:v>45337</c:v>
                </c:pt>
                <c:pt idx="36">
                  <c:v>45338</c:v>
                </c:pt>
                <c:pt idx="37">
                  <c:v>45339</c:v>
                </c:pt>
                <c:pt idx="38">
                  <c:v>45340</c:v>
                </c:pt>
                <c:pt idx="39">
                  <c:v>45341</c:v>
                </c:pt>
                <c:pt idx="40">
                  <c:v>45342</c:v>
                </c:pt>
                <c:pt idx="41">
                  <c:v>45343</c:v>
                </c:pt>
                <c:pt idx="42">
                  <c:v>45344</c:v>
                </c:pt>
                <c:pt idx="43">
                  <c:v>45345</c:v>
                </c:pt>
                <c:pt idx="44">
                  <c:v>45346</c:v>
                </c:pt>
                <c:pt idx="45">
                  <c:v>45347</c:v>
                </c:pt>
                <c:pt idx="46">
                  <c:v>45348</c:v>
                </c:pt>
                <c:pt idx="47">
                  <c:v>45349</c:v>
                </c:pt>
                <c:pt idx="48">
                  <c:v>45350</c:v>
                </c:pt>
                <c:pt idx="49">
                  <c:v>45351</c:v>
                </c:pt>
                <c:pt idx="50">
                  <c:v>45352</c:v>
                </c:pt>
                <c:pt idx="51">
                  <c:v>45353</c:v>
                </c:pt>
                <c:pt idx="52">
                  <c:v>45354</c:v>
                </c:pt>
                <c:pt idx="53">
                  <c:v>45355</c:v>
                </c:pt>
                <c:pt idx="54">
                  <c:v>45356</c:v>
                </c:pt>
                <c:pt idx="55">
                  <c:v>45357</c:v>
                </c:pt>
                <c:pt idx="56">
                  <c:v>45358</c:v>
                </c:pt>
                <c:pt idx="57">
                  <c:v>45359</c:v>
                </c:pt>
                <c:pt idx="58">
                  <c:v>45360</c:v>
                </c:pt>
                <c:pt idx="59">
                  <c:v>45361</c:v>
                </c:pt>
                <c:pt idx="60">
                  <c:v>45362</c:v>
                </c:pt>
                <c:pt idx="61">
                  <c:v>45363</c:v>
                </c:pt>
                <c:pt idx="62">
                  <c:v>45364</c:v>
                </c:pt>
                <c:pt idx="63">
                  <c:v>45365</c:v>
                </c:pt>
                <c:pt idx="64">
                  <c:v>45366</c:v>
                </c:pt>
                <c:pt idx="65">
                  <c:v>45367</c:v>
                </c:pt>
                <c:pt idx="66">
                  <c:v>45368</c:v>
                </c:pt>
                <c:pt idx="67">
                  <c:v>45369</c:v>
                </c:pt>
                <c:pt idx="68">
                  <c:v>45370</c:v>
                </c:pt>
                <c:pt idx="69">
                  <c:v>45371</c:v>
                </c:pt>
                <c:pt idx="70">
                  <c:v>45372</c:v>
                </c:pt>
                <c:pt idx="71">
                  <c:v>45373</c:v>
                </c:pt>
                <c:pt idx="72">
                  <c:v>45374</c:v>
                </c:pt>
                <c:pt idx="73">
                  <c:v>45375</c:v>
                </c:pt>
                <c:pt idx="74">
                  <c:v>45376</c:v>
                </c:pt>
                <c:pt idx="75">
                  <c:v>45377</c:v>
                </c:pt>
                <c:pt idx="76">
                  <c:v>45378</c:v>
                </c:pt>
                <c:pt idx="77">
                  <c:v>45379</c:v>
                </c:pt>
                <c:pt idx="78">
                  <c:v>45380</c:v>
                </c:pt>
                <c:pt idx="79">
                  <c:v>45381</c:v>
                </c:pt>
                <c:pt idx="80">
                  <c:v>45382</c:v>
                </c:pt>
                <c:pt idx="81">
                  <c:v>45383</c:v>
                </c:pt>
                <c:pt idx="82">
                  <c:v>45384</c:v>
                </c:pt>
                <c:pt idx="83">
                  <c:v>45385</c:v>
                </c:pt>
                <c:pt idx="84">
                  <c:v>45386</c:v>
                </c:pt>
                <c:pt idx="85">
                  <c:v>45387</c:v>
                </c:pt>
                <c:pt idx="86">
                  <c:v>45388</c:v>
                </c:pt>
                <c:pt idx="87">
                  <c:v>45389</c:v>
                </c:pt>
                <c:pt idx="88">
                  <c:v>45390</c:v>
                </c:pt>
                <c:pt idx="89">
                  <c:v>45391</c:v>
                </c:pt>
                <c:pt idx="90">
                  <c:v>45392</c:v>
                </c:pt>
                <c:pt idx="91">
                  <c:v>45393</c:v>
                </c:pt>
                <c:pt idx="92">
                  <c:v>45394</c:v>
                </c:pt>
                <c:pt idx="93">
                  <c:v>45395</c:v>
                </c:pt>
                <c:pt idx="94">
                  <c:v>45396</c:v>
                </c:pt>
                <c:pt idx="95">
                  <c:v>45397</c:v>
                </c:pt>
                <c:pt idx="96">
                  <c:v>45398</c:v>
                </c:pt>
                <c:pt idx="97">
                  <c:v>45399</c:v>
                </c:pt>
                <c:pt idx="98">
                  <c:v>45400</c:v>
                </c:pt>
                <c:pt idx="99">
                  <c:v>45401</c:v>
                </c:pt>
                <c:pt idx="100">
                  <c:v>45402</c:v>
                </c:pt>
                <c:pt idx="101">
                  <c:v>45403</c:v>
                </c:pt>
                <c:pt idx="102">
                  <c:v>45404</c:v>
                </c:pt>
                <c:pt idx="103">
                  <c:v>45405</c:v>
                </c:pt>
                <c:pt idx="104">
                  <c:v>45406</c:v>
                </c:pt>
                <c:pt idx="105">
                  <c:v>45407</c:v>
                </c:pt>
                <c:pt idx="106">
                  <c:v>45408</c:v>
                </c:pt>
                <c:pt idx="107">
                  <c:v>45409</c:v>
                </c:pt>
                <c:pt idx="108">
                  <c:v>45410</c:v>
                </c:pt>
                <c:pt idx="109">
                  <c:v>45411</c:v>
                </c:pt>
                <c:pt idx="110">
                  <c:v>45412</c:v>
                </c:pt>
                <c:pt idx="111">
                  <c:v>45413</c:v>
                </c:pt>
                <c:pt idx="112">
                  <c:v>45414</c:v>
                </c:pt>
                <c:pt idx="113">
                  <c:v>45415</c:v>
                </c:pt>
                <c:pt idx="114">
                  <c:v>45416</c:v>
                </c:pt>
                <c:pt idx="115">
                  <c:v>45417</c:v>
                </c:pt>
                <c:pt idx="116">
                  <c:v>45418</c:v>
                </c:pt>
                <c:pt idx="117">
                  <c:v>45419</c:v>
                </c:pt>
                <c:pt idx="118">
                  <c:v>45420</c:v>
                </c:pt>
                <c:pt idx="119">
                  <c:v>45421</c:v>
                </c:pt>
                <c:pt idx="120">
                  <c:v>45422</c:v>
                </c:pt>
                <c:pt idx="121">
                  <c:v>45423</c:v>
                </c:pt>
                <c:pt idx="122">
                  <c:v>45424</c:v>
                </c:pt>
                <c:pt idx="123">
                  <c:v>45425</c:v>
                </c:pt>
                <c:pt idx="124">
                  <c:v>45426</c:v>
                </c:pt>
                <c:pt idx="125">
                  <c:v>45427</c:v>
                </c:pt>
                <c:pt idx="126">
                  <c:v>45428</c:v>
                </c:pt>
                <c:pt idx="127">
                  <c:v>45429</c:v>
                </c:pt>
                <c:pt idx="128">
                  <c:v>45430</c:v>
                </c:pt>
                <c:pt idx="129">
                  <c:v>45431</c:v>
                </c:pt>
                <c:pt idx="130">
                  <c:v>45432</c:v>
                </c:pt>
                <c:pt idx="131">
                  <c:v>45433</c:v>
                </c:pt>
                <c:pt idx="132">
                  <c:v>45434</c:v>
                </c:pt>
                <c:pt idx="133">
                  <c:v>45435</c:v>
                </c:pt>
                <c:pt idx="134">
                  <c:v>45436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ConceptDemo!$AG$18:$AG$395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1.3643302726702207</c:v>
                </c:pt>
                <c:pt idx="15">
                  <c:v>1.4424248936167747</c:v>
                </c:pt>
                <c:pt idx="16">
                  <c:v>1.5235132887312086</c:v>
                </c:pt>
                <c:pt idx="17">
                  <c:v>1.6098591983463222</c:v>
                </c:pt>
                <c:pt idx="18">
                  <c:v>1.7022240236645918</c:v>
                </c:pt>
                <c:pt idx="19">
                  <c:v>1.8010743139522323</c:v>
                </c:pt>
                <c:pt idx="20">
                  <c:v>1.9052809194507156</c:v>
                </c:pt>
                <c:pt idx="21">
                  <c:v>2.016029024043315</c:v>
                </c:pt>
                <c:pt idx="22">
                  <c:v>2.1318031205920511</c:v>
                </c:pt>
                <c:pt idx="23">
                  <c:v>2.2527325934099784</c:v>
                </c:pt>
                <c:pt idx="24">
                  <c:v>2.3762314437693992</c:v>
                </c:pt>
                <c:pt idx="25">
                  <c:v>2.509770908746094</c:v>
                </c:pt>
                <c:pt idx="26">
                  <c:v>2.6498049920130926</c:v>
                </c:pt>
                <c:pt idx="27">
                  <c:v>2.798413264849172</c:v>
                </c:pt>
                <c:pt idx="28">
                  <c:v>2.9550583873315723</c:v>
                </c:pt>
                <c:pt idx="29">
                  <c:v>3.1214804388819593</c:v>
                </c:pt>
                <c:pt idx="30">
                  <c:v>3.3005760720356334</c:v>
                </c:pt>
                <c:pt idx="31">
                  <c:v>3.4916386203345775</c:v>
                </c:pt>
                <c:pt idx="32">
                  <c:v>3.6928137185574128</c:v>
                </c:pt>
                <c:pt idx="33">
                  <c:v>3.9031319048085971</c:v>
                </c:pt>
                <c:pt idx="34">
                  <c:v>4.1254003462909878</c:v>
                </c:pt>
                <c:pt idx="35">
                  <c:v>4.3572051083263243</c:v>
                </c:pt>
                <c:pt idx="36">
                  <c:v>4.6004206045492335</c:v>
                </c:pt>
                <c:pt idx="37">
                  <c:v>4.8571358181934894</c:v>
                </c:pt>
                <c:pt idx="38">
                  <c:v>5.1298042226390983</c:v>
                </c:pt>
                <c:pt idx="39">
                  <c:v>5.4173385628462398</c:v>
                </c:pt>
                <c:pt idx="40">
                  <c:v>5.7219411851071227</c:v>
                </c:pt>
                <c:pt idx="41">
                  <c:v>6.0419357096203585</c:v>
                </c:pt>
                <c:pt idx="42">
                  <c:v>6.3754768294540334</c:v>
                </c:pt>
                <c:pt idx="43">
                  <c:v>6.7265804846626507</c:v>
                </c:pt>
                <c:pt idx="44">
                  <c:v>7.0878029817040487</c:v>
                </c:pt>
                <c:pt idx="45">
                  <c:v>7.4574961209119053</c:v>
                </c:pt>
                <c:pt idx="46">
                  <c:v>7.8480485315406536</c:v>
                </c:pt>
                <c:pt idx="47">
                  <c:v>8.2606541970735403</c:v>
                </c:pt>
                <c:pt idx="48">
                  <c:v>8.6874634749402428</c:v>
                </c:pt>
                <c:pt idx="49">
                  <c:v>9.136741500102934</c:v>
                </c:pt>
                <c:pt idx="50">
                  <c:v>9.6183272986860491</c:v>
                </c:pt>
                <c:pt idx="51">
                  <c:v>10.125560090577279</c:v>
                </c:pt>
                <c:pt idx="52">
                  <c:v>10.636784272421101</c:v>
                </c:pt>
                <c:pt idx="53">
                  <c:v>11.169810638606867</c:v>
                </c:pt>
                <c:pt idx="54">
                  <c:v>11.740874417479112</c:v>
                </c:pt>
                <c:pt idx="55">
                  <c:v>12.320157578326265</c:v>
                </c:pt>
                <c:pt idx="56">
                  <c:v>12.938174402041511</c:v>
                </c:pt>
                <c:pt idx="57">
                  <c:v>13.59361327303926</c:v>
                </c:pt>
                <c:pt idx="58">
                  <c:v>14.268935550168706</c:v>
                </c:pt>
                <c:pt idx="59">
                  <c:v>14.968227012974358</c:v>
                </c:pt>
                <c:pt idx="60">
                  <c:v>15.706273261948791</c:v>
                </c:pt>
                <c:pt idx="61">
                  <c:v>16.461248871366017</c:v>
                </c:pt>
                <c:pt idx="62">
                  <c:v>17.248981739731509</c:v>
                </c:pt>
                <c:pt idx="63">
                  <c:v>18.062985020426726</c:v>
                </c:pt>
                <c:pt idx="64">
                  <c:v>18.918161602454887</c:v>
                </c:pt>
                <c:pt idx="65">
                  <c:v>19.808211455596432</c:v>
                </c:pt>
                <c:pt idx="66">
                  <c:v>20.730870396576474</c:v>
                </c:pt>
                <c:pt idx="67">
                  <c:v>21.666119778444077</c:v>
                </c:pt>
                <c:pt idx="68">
                  <c:v>22.640897871981586</c:v>
                </c:pt>
                <c:pt idx="69">
                  <c:v>23.670255161607553</c:v>
                </c:pt>
                <c:pt idx="70">
                  <c:v>24.732761927730412</c:v>
                </c:pt>
                <c:pt idx="71">
                  <c:v>25.813723399000324</c:v>
                </c:pt>
                <c:pt idx="72">
                  <c:v>26.92900901315997</c:v>
                </c:pt>
                <c:pt idx="73">
                  <c:v>28.085765802219047</c:v>
                </c:pt>
                <c:pt idx="74">
                  <c:v>29.288463719787714</c:v>
                </c:pt>
                <c:pt idx="75">
                  <c:v>30.544252967586694</c:v>
                </c:pt>
                <c:pt idx="76">
                  <c:v>31.838032147784364</c:v>
                </c:pt>
                <c:pt idx="77">
                  <c:v>33.191277742550085</c:v>
                </c:pt>
                <c:pt idx="78">
                  <c:v>34.573298578569513</c:v>
                </c:pt>
                <c:pt idx="79">
                  <c:v>35.981295923104838</c:v>
                </c:pt>
                <c:pt idx="80">
                  <c:v>37.40782165872016</c:v>
                </c:pt>
                <c:pt idx="81">
                  <c:v>38.868824338567869</c:v>
                </c:pt>
                <c:pt idx="82">
                  <c:v>40.385896647869679</c:v>
                </c:pt>
                <c:pt idx="83">
                  <c:v>41.908158358379957</c:v>
                </c:pt>
                <c:pt idx="84">
                  <c:v>43.470468849243169</c:v>
                </c:pt>
                <c:pt idx="85">
                  <c:v>45.07462940666241</c:v>
                </c:pt>
                <c:pt idx="86">
                  <c:v>46.715387369795437</c:v>
                </c:pt>
                <c:pt idx="87">
                  <c:v>48.369104774461903</c:v>
                </c:pt>
                <c:pt idx="88">
                  <c:v>50.030282036213464</c:v>
                </c:pt>
                <c:pt idx="89">
                  <c:v>51.718252003719755</c:v>
                </c:pt>
                <c:pt idx="90">
                  <c:v>53.411753652251527</c:v>
                </c:pt>
                <c:pt idx="91">
                  <c:v>55.144731700580152</c:v>
                </c:pt>
                <c:pt idx="92">
                  <c:v>56.941112960097378</c:v>
                </c:pt>
                <c:pt idx="93">
                  <c:v>58.734474670845451</c:v>
                </c:pt>
                <c:pt idx="94">
                  <c:v>60.537566601251598</c:v>
                </c:pt>
                <c:pt idx="95">
                  <c:v>62.431212454668</c:v>
                </c:pt>
                <c:pt idx="96">
                  <c:v>64.324338054713422</c:v>
                </c:pt>
                <c:pt idx="97">
                  <c:v>66.246971670304291</c:v>
                </c:pt>
                <c:pt idx="98">
                  <c:v>68.167314275373428</c:v>
                </c:pt>
                <c:pt idx="99">
                  <c:v>70.14084934141701</c:v>
                </c:pt>
                <c:pt idx="100">
                  <c:v>72.118913683071696</c:v>
                </c:pt>
                <c:pt idx="101">
                  <c:v>74.022911507518117</c:v>
                </c:pt>
                <c:pt idx="102">
                  <c:v>75.965503148062069</c:v>
                </c:pt>
                <c:pt idx="103">
                  <c:v>77.900173940171513</c:v>
                </c:pt>
                <c:pt idx="104">
                  <c:v>79.888293612159075</c:v>
                </c:pt>
                <c:pt idx="105">
                  <c:v>81.922306464334952</c:v>
                </c:pt>
                <c:pt idx="106">
                  <c:v>84.02437953234849</c:v>
                </c:pt>
                <c:pt idx="107">
                  <c:v>86.171547813079528</c:v>
                </c:pt>
                <c:pt idx="108">
                  <c:v>88.203281586488629</c:v>
                </c:pt>
                <c:pt idx="109">
                  <c:v>90.186949926576219</c:v>
                </c:pt>
                <c:pt idx="110">
                  <c:v>92.185670123784362</c:v>
                </c:pt>
                <c:pt idx="111">
                  <c:v>94.174142477177782</c:v>
                </c:pt>
                <c:pt idx="112">
                  <c:v>96.149228232928934</c:v>
                </c:pt>
                <c:pt idx="113">
                  <c:v>98.085586271653597</c:v>
                </c:pt>
                <c:pt idx="114">
                  <c:v>100.03312792478918</c:v>
                </c:pt>
                <c:pt idx="115">
                  <c:v>101.99993784553841</c:v>
                </c:pt>
                <c:pt idx="116">
                  <c:v>103.91783561826726</c:v>
                </c:pt>
                <c:pt idx="117">
                  <c:v>105.79394401843092</c:v>
                </c:pt>
                <c:pt idx="118">
                  <c:v>107.60524658688212</c:v>
                </c:pt>
                <c:pt idx="119">
                  <c:v>109.42636800259606</c:v>
                </c:pt>
                <c:pt idx="120">
                  <c:v>111.27752246490697</c:v>
                </c:pt>
                <c:pt idx="121">
                  <c:v>113.16075618571858</c:v>
                </c:pt>
                <c:pt idx="122">
                  <c:v>115.02020706306752</c:v>
                </c:pt>
                <c:pt idx="123">
                  <c:v>116.82153277768407</c:v>
                </c:pt>
                <c:pt idx="124">
                  <c:v>118.59754225661007</c:v>
                </c:pt>
                <c:pt idx="125">
                  <c:v>120.35912912418124</c:v>
                </c:pt>
                <c:pt idx="126">
                  <c:v>122.05211738689098</c:v>
                </c:pt>
                <c:pt idx="127">
                  <c:v>123.71035681517967</c:v>
                </c:pt>
                <c:pt idx="128">
                  <c:v>125.41205473941636</c:v>
                </c:pt>
                <c:pt idx="129">
                  <c:v>127.08788934751173</c:v>
                </c:pt>
                <c:pt idx="130">
                  <c:v>128.77921954870092</c:v>
                </c:pt>
                <c:pt idx="131">
                  <c:v>130.38380038665105</c:v>
                </c:pt>
                <c:pt idx="132">
                  <c:v>131.93832950133387</c:v>
                </c:pt>
                <c:pt idx="133">
                  <c:v>133.46349778601035</c:v>
                </c:pt>
                <c:pt idx="134">
                  <c:v>135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D2-4A1B-A98F-C7303D4F0811}"/>
            </c:ext>
          </c:extLst>
        </c:ser>
        <c:ser>
          <c:idx val="2"/>
          <c:order val="1"/>
          <c:tx>
            <c:v>Soil N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45302</c:v>
                </c:pt>
                <c:pt idx="1">
                  <c:v>45303</c:v>
                </c:pt>
                <c:pt idx="2">
                  <c:v>45304</c:v>
                </c:pt>
                <c:pt idx="3">
                  <c:v>45305</c:v>
                </c:pt>
                <c:pt idx="4">
                  <c:v>45306</c:v>
                </c:pt>
                <c:pt idx="5">
                  <c:v>45307</c:v>
                </c:pt>
                <c:pt idx="6">
                  <c:v>45308</c:v>
                </c:pt>
                <c:pt idx="7">
                  <c:v>45309</c:v>
                </c:pt>
                <c:pt idx="8">
                  <c:v>45310</c:v>
                </c:pt>
                <c:pt idx="9">
                  <c:v>45311</c:v>
                </c:pt>
                <c:pt idx="10">
                  <c:v>45312</c:v>
                </c:pt>
                <c:pt idx="11">
                  <c:v>45313</c:v>
                </c:pt>
                <c:pt idx="12">
                  <c:v>45314</c:v>
                </c:pt>
                <c:pt idx="13">
                  <c:v>45315</c:v>
                </c:pt>
                <c:pt idx="14">
                  <c:v>45316</c:v>
                </c:pt>
                <c:pt idx="15">
                  <c:v>45317</c:v>
                </c:pt>
                <c:pt idx="16">
                  <c:v>45318</c:v>
                </c:pt>
                <c:pt idx="17">
                  <c:v>45319</c:v>
                </c:pt>
                <c:pt idx="18">
                  <c:v>45320</c:v>
                </c:pt>
                <c:pt idx="19">
                  <c:v>45321</c:v>
                </c:pt>
                <c:pt idx="20">
                  <c:v>45322</c:v>
                </c:pt>
                <c:pt idx="21">
                  <c:v>45323</c:v>
                </c:pt>
                <c:pt idx="22">
                  <c:v>45324</c:v>
                </c:pt>
                <c:pt idx="23">
                  <c:v>45325</c:v>
                </c:pt>
                <c:pt idx="24">
                  <c:v>45326</c:v>
                </c:pt>
                <c:pt idx="25">
                  <c:v>45327</c:v>
                </c:pt>
                <c:pt idx="26">
                  <c:v>45328</c:v>
                </c:pt>
                <c:pt idx="27">
                  <c:v>45329</c:v>
                </c:pt>
                <c:pt idx="28">
                  <c:v>45330</c:v>
                </c:pt>
                <c:pt idx="29">
                  <c:v>45331</c:v>
                </c:pt>
                <c:pt idx="30">
                  <c:v>45332</c:v>
                </c:pt>
                <c:pt idx="31">
                  <c:v>45333</c:v>
                </c:pt>
                <c:pt idx="32">
                  <c:v>45334</c:v>
                </c:pt>
                <c:pt idx="33">
                  <c:v>45335</c:v>
                </c:pt>
                <c:pt idx="34">
                  <c:v>45336</c:v>
                </c:pt>
                <c:pt idx="35">
                  <c:v>45337</c:v>
                </c:pt>
                <c:pt idx="36">
                  <c:v>45338</c:v>
                </c:pt>
                <c:pt idx="37">
                  <c:v>45339</c:v>
                </c:pt>
                <c:pt idx="38">
                  <c:v>45340</c:v>
                </c:pt>
                <c:pt idx="39">
                  <c:v>45341</c:v>
                </c:pt>
                <c:pt idx="40">
                  <c:v>45342</c:v>
                </c:pt>
                <c:pt idx="41">
                  <c:v>45343</c:v>
                </c:pt>
                <c:pt idx="42">
                  <c:v>45344</c:v>
                </c:pt>
                <c:pt idx="43">
                  <c:v>45345</c:v>
                </c:pt>
                <c:pt idx="44">
                  <c:v>45346</c:v>
                </c:pt>
                <c:pt idx="45">
                  <c:v>45347</c:v>
                </c:pt>
                <c:pt idx="46">
                  <c:v>45348</c:v>
                </c:pt>
                <c:pt idx="47">
                  <c:v>45349</c:v>
                </c:pt>
                <c:pt idx="48">
                  <c:v>45350</c:v>
                </c:pt>
                <c:pt idx="49">
                  <c:v>45351</c:v>
                </c:pt>
                <c:pt idx="50">
                  <c:v>45352</c:v>
                </c:pt>
                <c:pt idx="51">
                  <c:v>45353</c:v>
                </c:pt>
                <c:pt idx="52">
                  <c:v>45354</c:v>
                </c:pt>
                <c:pt idx="53">
                  <c:v>45355</c:v>
                </c:pt>
                <c:pt idx="54">
                  <c:v>45356</c:v>
                </c:pt>
                <c:pt idx="55">
                  <c:v>45357</c:v>
                </c:pt>
                <c:pt idx="56">
                  <c:v>45358</c:v>
                </c:pt>
                <c:pt idx="57">
                  <c:v>45359</c:v>
                </c:pt>
                <c:pt idx="58">
                  <c:v>45360</c:v>
                </c:pt>
                <c:pt idx="59">
                  <c:v>45361</c:v>
                </c:pt>
                <c:pt idx="60">
                  <c:v>45362</c:v>
                </c:pt>
                <c:pt idx="61">
                  <c:v>45363</c:v>
                </c:pt>
                <c:pt idx="62">
                  <c:v>45364</c:v>
                </c:pt>
                <c:pt idx="63">
                  <c:v>45365</c:v>
                </c:pt>
                <c:pt idx="64">
                  <c:v>45366</c:v>
                </c:pt>
                <c:pt idx="65">
                  <c:v>45367</c:v>
                </c:pt>
                <c:pt idx="66">
                  <c:v>45368</c:v>
                </c:pt>
                <c:pt idx="67">
                  <c:v>45369</c:v>
                </c:pt>
                <c:pt idx="68">
                  <c:v>45370</c:v>
                </c:pt>
                <c:pt idx="69">
                  <c:v>45371</c:v>
                </c:pt>
                <c:pt idx="70">
                  <c:v>45372</c:v>
                </c:pt>
                <c:pt idx="71">
                  <c:v>45373</c:v>
                </c:pt>
                <c:pt idx="72">
                  <c:v>45374</c:v>
                </c:pt>
                <c:pt idx="73">
                  <c:v>45375</c:v>
                </c:pt>
                <c:pt idx="74">
                  <c:v>45376</c:v>
                </c:pt>
                <c:pt idx="75">
                  <c:v>45377</c:v>
                </c:pt>
                <c:pt idx="76">
                  <c:v>45378</c:v>
                </c:pt>
                <c:pt idx="77">
                  <c:v>45379</c:v>
                </c:pt>
                <c:pt idx="78">
                  <c:v>45380</c:v>
                </c:pt>
                <c:pt idx="79">
                  <c:v>45381</c:v>
                </c:pt>
                <c:pt idx="80">
                  <c:v>45382</c:v>
                </c:pt>
                <c:pt idx="81">
                  <c:v>45383</c:v>
                </c:pt>
                <c:pt idx="82">
                  <c:v>45384</c:v>
                </c:pt>
                <c:pt idx="83">
                  <c:v>45385</c:v>
                </c:pt>
                <c:pt idx="84">
                  <c:v>45386</c:v>
                </c:pt>
                <c:pt idx="85">
                  <c:v>45387</c:v>
                </c:pt>
                <c:pt idx="86">
                  <c:v>45388</c:v>
                </c:pt>
                <c:pt idx="87">
                  <c:v>45389</c:v>
                </c:pt>
                <c:pt idx="88">
                  <c:v>45390</c:v>
                </c:pt>
                <c:pt idx="89">
                  <c:v>45391</c:v>
                </c:pt>
                <c:pt idx="90">
                  <c:v>45392</c:v>
                </c:pt>
                <c:pt idx="91">
                  <c:v>45393</c:v>
                </c:pt>
                <c:pt idx="92">
                  <c:v>45394</c:v>
                </c:pt>
                <c:pt idx="93">
                  <c:v>45395</c:v>
                </c:pt>
                <c:pt idx="94">
                  <c:v>45396</c:v>
                </c:pt>
                <c:pt idx="95">
                  <c:v>45397</c:v>
                </c:pt>
                <c:pt idx="96">
                  <c:v>45398</c:v>
                </c:pt>
                <c:pt idx="97">
                  <c:v>45399</c:v>
                </c:pt>
                <c:pt idx="98">
                  <c:v>45400</c:v>
                </c:pt>
                <c:pt idx="99">
                  <c:v>45401</c:v>
                </c:pt>
                <c:pt idx="100">
                  <c:v>45402</c:v>
                </c:pt>
                <c:pt idx="101">
                  <c:v>45403</c:v>
                </c:pt>
                <c:pt idx="102">
                  <c:v>45404</c:v>
                </c:pt>
                <c:pt idx="103">
                  <c:v>45405</c:v>
                </c:pt>
                <c:pt idx="104">
                  <c:v>45406</c:v>
                </c:pt>
                <c:pt idx="105">
                  <c:v>45407</c:v>
                </c:pt>
                <c:pt idx="106">
                  <c:v>45408</c:v>
                </c:pt>
                <c:pt idx="107">
                  <c:v>45409</c:v>
                </c:pt>
                <c:pt idx="108">
                  <c:v>45410</c:v>
                </c:pt>
                <c:pt idx="109">
                  <c:v>45411</c:v>
                </c:pt>
                <c:pt idx="110">
                  <c:v>45412</c:v>
                </c:pt>
                <c:pt idx="111">
                  <c:v>45413</c:v>
                </c:pt>
                <c:pt idx="112">
                  <c:v>45414</c:v>
                </c:pt>
                <c:pt idx="113">
                  <c:v>45415</c:v>
                </c:pt>
                <c:pt idx="114">
                  <c:v>45416</c:v>
                </c:pt>
                <c:pt idx="115">
                  <c:v>45417</c:v>
                </c:pt>
                <c:pt idx="116">
                  <c:v>45418</c:v>
                </c:pt>
                <c:pt idx="117">
                  <c:v>45419</c:v>
                </c:pt>
                <c:pt idx="118">
                  <c:v>45420</c:v>
                </c:pt>
                <c:pt idx="119">
                  <c:v>45421</c:v>
                </c:pt>
                <c:pt idx="120">
                  <c:v>45422</c:v>
                </c:pt>
                <c:pt idx="121">
                  <c:v>45423</c:v>
                </c:pt>
                <c:pt idx="122">
                  <c:v>45424</c:v>
                </c:pt>
                <c:pt idx="123">
                  <c:v>45425</c:v>
                </c:pt>
                <c:pt idx="124">
                  <c:v>45426</c:v>
                </c:pt>
                <c:pt idx="125">
                  <c:v>45427</c:v>
                </c:pt>
                <c:pt idx="126">
                  <c:v>45428</c:v>
                </c:pt>
                <c:pt idx="127">
                  <c:v>45429</c:v>
                </c:pt>
                <c:pt idx="128">
                  <c:v>45430</c:v>
                </c:pt>
                <c:pt idx="129">
                  <c:v>45431</c:v>
                </c:pt>
                <c:pt idx="130">
                  <c:v>45432</c:v>
                </c:pt>
                <c:pt idx="131">
                  <c:v>45433</c:v>
                </c:pt>
                <c:pt idx="132">
                  <c:v>45434</c:v>
                </c:pt>
                <c:pt idx="133">
                  <c:v>45435</c:v>
                </c:pt>
                <c:pt idx="134">
                  <c:v>45436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ConceptDemo!$AF$18:$AF$395</c:f>
              <c:numCache>
                <c:formatCode>General</c:formatCode>
                <c:ptCount val="378"/>
                <c:pt idx="0">
                  <c:v>28.635677357760713</c:v>
                </c:pt>
                <c:pt idx="1">
                  <c:v>29.396200873800485</c:v>
                </c:pt>
                <c:pt idx="2">
                  <c:v>30.176898122578415</c:v>
                </c:pt>
                <c:pt idx="3">
                  <c:v>30.931997360276576</c:v>
                </c:pt>
                <c:pt idx="4">
                  <c:v>31.626101725378891</c:v>
                </c:pt>
                <c:pt idx="5">
                  <c:v>32.303700384937642</c:v>
                </c:pt>
                <c:pt idx="6">
                  <c:v>32.950279184981255</c:v>
                </c:pt>
                <c:pt idx="7">
                  <c:v>33.563106185514783</c:v>
                </c:pt>
                <c:pt idx="8">
                  <c:v>34.153494043454629</c:v>
                </c:pt>
                <c:pt idx="9">
                  <c:v>34.691697071106233</c:v>
                </c:pt>
                <c:pt idx="10">
                  <c:v>35.289089378527379</c:v>
                </c:pt>
                <c:pt idx="11">
                  <c:v>35.856719899939868</c:v>
                </c:pt>
                <c:pt idx="12">
                  <c:v>36.38861779240338</c:v>
                </c:pt>
                <c:pt idx="13">
                  <c:v>36.89449240344581</c:v>
                </c:pt>
                <c:pt idx="14">
                  <c:v>37.384070976465097</c:v>
                </c:pt>
                <c:pt idx="15">
                  <c:v>37.766051084755254</c:v>
                </c:pt>
                <c:pt idx="16">
                  <c:v>38.111152410838351</c:v>
                </c:pt>
                <c:pt idx="17">
                  <c:v>38.43091208103116</c:v>
                </c:pt>
                <c:pt idx="18">
                  <c:v>38.730202028303403</c:v>
                </c:pt>
                <c:pt idx="19">
                  <c:v>39.015818263288665</c:v>
                </c:pt>
                <c:pt idx="20">
                  <c:v>39.281444214306738</c:v>
                </c:pt>
                <c:pt idx="21">
                  <c:v>39.522620281525953</c:v>
                </c:pt>
                <c:pt idx="22">
                  <c:v>39.749209374896949</c:v>
                </c:pt>
                <c:pt idx="23">
                  <c:v>39.948871055394257</c:v>
                </c:pt>
                <c:pt idx="24">
                  <c:v>40.136590403847705</c:v>
                </c:pt>
                <c:pt idx="25">
                  <c:v>40.317282852868445</c:v>
                </c:pt>
                <c:pt idx="26">
                  <c:v>40.471318451754655</c:v>
                </c:pt>
                <c:pt idx="27">
                  <c:v>40.606301945799309</c:v>
                </c:pt>
                <c:pt idx="28">
                  <c:v>40.72749607713088</c:v>
                </c:pt>
                <c:pt idx="29">
                  <c:v>40.83143086102082</c:v>
                </c:pt>
                <c:pt idx="30">
                  <c:v>40.923001587210841</c:v>
                </c:pt>
                <c:pt idx="31">
                  <c:v>41.005193825224879</c:v>
                </c:pt>
                <c:pt idx="32">
                  <c:v>41.076176285677654</c:v>
                </c:pt>
                <c:pt idx="33">
                  <c:v>41.122434726944419</c:v>
                </c:pt>
                <c:pt idx="34">
                  <c:v>41.153233469488001</c:v>
                </c:pt>
                <c:pt idx="35">
                  <c:v>41.171535801426344</c:v>
                </c:pt>
                <c:pt idx="36">
                  <c:v>41.173243286821354</c:v>
                </c:pt>
                <c:pt idx="37">
                  <c:v>41.172312124537612</c:v>
                </c:pt>
                <c:pt idx="38">
                  <c:v>41.152417628234943</c:v>
                </c:pt>
                <c:pt idx="39">
                  <c:v>41.112781442682873</c:v>
                </c:pt>
                <c:pt idx="40">
                  <c:v>41.064761192933879</c:v>
                </c:pt>
                <c:pt idx="41">
                  <c:v>41.001983390086814</c:v>
                </c:pt>
                <c:pt idx="42">
                  <c:v>40.917162485459457</c:v>
                </c:pt>
                <c:pt idx="43">
                  <c:v>40.816890550355893</c:v>
                </c:pt>
                <c:pt idx="44">
                  <c:v>40.693883703624834</c:v>
                </c:pt>
                <c:pt idx="45">
                  <c:v>40.546631687971285</c:v>
                </c:pt>
                <c:pt idx="46">
                  <c:v>40.376274533192401</c:v>
                </c:pt>
                <c:pt idx="47">
                  <c:v>40.180095835869778</c:v>
                </c:pt>
                <c:pt idx="48">
                  <c:v>39.969654586621147</c:v>
                </c:pt>
                <c:pt idx="49">
                  <c:v>39.744163186618771</c:v>
                </c:pt>
                <c:pt idx="50">
                  <c:v>39.490474981802024</c:v>
                </c:pt>
                <c:pt idx="51">
                  <c:v>39.215217897758265</c:v>
                </c:pt>
                <c:pt idx="52">
                  <c:v>38.933584007382514</c:v>
                </c:pt>
                <c:pt idx="53">
                  <c:v>38.626581205308042</c:v>
                </c:pt>
                <c:pt idx="54">
                  <c:v>38.284412112001888</c:v>
                </c:pt>
                <c:pt idx="55">
                  <c:v>37.923984001934826</c:v>
                </c:pt>
                <c:pt idx="56">
                  <c:v>37.520540658752175</c:v>
                </c:pt>
                <c:pt idx="57">
                  <c:v>37.083998847739153</c:v>
                </c:pt>
                <c:pt idx="58">
                  <c:v>36.615475222933881</c:v>
                </c:pt>
                <c:pt idx="59">
                  <c:v>36.136903803322944</c:v>
                </c:pt>
                <c:pt idx="60">
                  <c:v>35.62169550808111</c:v>
                </c:pt>
                <c:pt idx="61">
                  <c:v>35.077416757344025</c:v>
                </c:pt>
                <c:pt idx="62">
                  <c:v>34.494744346279802</c:v>
                </c:pt>
                <c:pt idx="63">
                  <c:v>33.88411175058215</c:v>
                </c:pt>
                <c:pt idx="64">
                  <c:v>33.234360913992617</c:v>
                </c:pt>
                <c:pt idx="65">
                  <c:v>32.546761148725324</c:v>
                </c:pt>
                <c:pt idx="66">
                  <c:v>31.819754085719154</c:v>
                </c:pt>
                <c:pt idx="67">
                  <c:v>31.067527772951141</c:v>
                </c:pt>
                <c:pt idx="68">
                  <c:v>30.278927090615205</c:v>
                </c:pt>
                <c:pt idx="69">
                  <c:v>29.431514235542995</c:v>
                </c:pt>
                <c:pt idx="70">
                  <c:v>28.549825881145793</c:v>
                </c:pt>
                <c:pt idx="71">
                  <c:v>27.645914630663146</c:v>
                </c:pt>
                <c:pt idx="72">
                  <c:v>26.703310767360442</c:v>
                </c:pt>
                <c:pt idx="73">
                  <c:v>25.716403674718389</c:v>
                </c:pt>
                <c:pt idx="74">
                  <c:v>24.687504644866575</c:v>
                </c:pt>
                <c:pt idx="75">
                  <c:v>23.601642207255772</c:v>
                </c:pt>
                <c:pt idx="76">
                  <c:v>22.476718656082351</c:v>
                </c:pt>
                <c:pt idx="77">
                  <c:v>21.296133092473568</c:v>
                </c:pt>
                <c:pt idx="78">
                  <c:v>20.079577598067029</c:v>
                </c:pt>
                <c:pt idx="79">
                  <c:v>18.836222042892935</c:v>
                </c:pt>
                <c:pt idx="80">
                  <c:v>17.568531026987998</c:v>
                </c:pt>
                <c:pt idx="81">
                  <c:v>16.268295780844639</c:v>
                </c:pt>
                <c:pt idx="82">
                  <c:v>14.915024241588579</c:v>
                </c:pt>
                <c:pt idx="83">
                  <c:v>13.548216657504504</c:v>
                </c:pt>
                <c:pt idx="84">
                  <c:v>12.139058265572899</c:v>
                </c:pt>
                <c:pt idx="85">
                  <c:v>10.690590101099795</c:v>
                </c:pt>
                <c:pt idx="86">
                  <c:v>9.2047192426781397</c:v>
                </c:pt>
                <c:pt idx="87">
                  <c:v>7.7046981615674746</c:v>
                </c:pt>
                <c:pt idx="88">
                  <c:v>6.2005137909378583</c:v>
                </c:pt>
                <c:pt idx="89">
                  <c:v>4.6692934772550734</c:v>
                </c:pt>
                <c:pt idx="90">
                  <c:v>3.1298077788746586</c:v>
                </c:pt>
                <c:pt idx="91">
                  <c:v>1.5562830670580121</c:v>
                </c:pt>
                <c:pt idx="92">
                  <c:v>-7.7610259366422518E-2</c:v>
                </c:pt>
                <c:pt idx="93">
                  <c:v>-1.709258767267462</c:v>
                </c:pt>
                <c:pt idx="94">
                  <c:v>-3.3514457839790994</c:v>
                </c:pt>
                <c:pt idx="95">
                  <c:v>-5.0726612401278564</c:v>
                </c:pt>
                <c:pt idx="96">
                  <c:v>-6.7948224264191301</c:v>
                </c:pt>
                <c:pt idx="97">
                  <c:v>-8.5440669753747365</c:v>
                </c:pt>
                <c:pt idx="98">
                  <c:v>-10.293896514150049</c:v>
                </c:pt>
                <c:pt idx="99">
                  <c:v>-12.096049929494161</c:v>
                </c:pt>
                <c:pt idx="100">
                  <c:v>-13.899255676736402</c:v>
                </c:pt>
                <c:pt idx="101">
                  <c:v>-15.634584137786074</c:v>
                </c:pt>
                <c:pt idx="102">
                  <c:v>-17.406372134845043</c:v>
                </c:pt>
                <c:pt idx="103">
                  <c:v>-19.166167343826316</c:v>
                </c:pt>
                <c:pt idx="104">
                  <c:v>-20.959440439827901</c:v>
                </c:pt>
                <c:pt idx="105">
                  <c:v>-22.790891815677192</c:v>
                </c:pt>
                <c:pt idx="106">
                  <c:v>-24.680866494638796</c:v>
                </c:pt>
                <c:pt idx="107">
                  <c:v>-26.604692096350377</c:v>
                </c:pt>
                <c:pt idx="108">
                  <c:v>-28.42441452655747</c:v>
                </c:pt>
                <c:pt idx="109">
                  <c:v>-30.192219634662525</c:v>
                </c:pt>
                <c:pt idx="110">
                  <c:v>-31.968684459589841</c:v>
                </c:pt>
                <c:pt idx="111">
                  <c:v>-33.716601963788975</c:v>
                </c:pt>
                <c:pt idx="112">
                  <c:v>-35.45019392288269</c:v>
                </c:pt>
                <c:pt idx="113">
                  <c:v>-37.149092799657353</c:v>
                </c:pt>
                <c:pt idx="114">
                  <c:v>-38.851655403674364</c:v>
                </c:pt>
                <c:pt idx="115">
                  <c:v>-40.562392208606099</c:v>
                </c:pt>
                <c:pt idx="116">
                  <c:v>-42.231382254707093</c:v>
                </c:pt>
                <c:pt idx="117">
                  <c:v>-43.857001870778795</c:v>
                </c:pt>
                <c:pt idx="118">
                  <c:v>-45.424183028158026</c:v>
                </c:pt>
                <c:pt idx="119">
                  <c:v>-46.991543720273825</c:v>
                </c:pt>
                <c:pt idx="120">
                  <c:v>-48.579702758576715</c:v>
                </c:pt>
                <c:pt idx="121">
                  <c:v>-50.192696307331957</c:v>
                </c:pt>
                <c:pt idx="122">
                  <c:v>-51.783840800453646</c:v>
                </c:pt>
                <c:pt idx="123">
                  <c:v>-53.324470313372736</c:v>
                </c:pt>
                <c:pt idx="124">
                  <c:v>-54.841669891710431</c:v>
                </c:pt>
                <c:pt idx="125">
                  <c:v>-56.344303356270501</c:v>
                </c:pt>
                <c:pt idx="126">
                  <c:v>-57.787318794159077</c:v>
                </c:pt>
                <c:pt idx="127">
                  <c:v>-59.198729529991418</c:v>
                </c:pt>
                <c:pt idx="128">
                  <c:v>-60.643055486582867</c:v>
                </c:pt>
                <c:pt idx="129">
                  <c:v>-62.062714507864897</c:v>
                </c:pt>
                <c:pt idx="130">
                  <c:v>-63.491416696793827</c:v>
                </c:pt>
                <c:pt idx="131">
                  <c:v>-64.845300391136476</c:v>
                </c:pt>
                <c:pt idx="132">
                  <c:v>-66.154458901767512</c:v>
                </c:pt>
                <c:pt idx="133">
                  <c:v>-67.435844959392128</c:v>
                </c:pt>
                <c:pt idx="134">
                  <c:v>-68.722522604159934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D2-4A1B-A98F-C7303D4F0811}"/>
            </c:ext>
          </c:extLst>
        </c:ser>
        <c:ser>
          <c:idx val="1"/>
          <c:order val="2"/>
          <c:tx>
            <c:strRef>
              <c:f>ConceptDemo!$AI$17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ConceptDemo!$AI$18:$AI$662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6D-484B-9F21-D452383CE3FE}"/>
            </c:ext>
          </c:extLst>
        </c:ser>
        <c:ser>
          <c:idx val="3"/>
          <c:order val="3"/>
          <c:tx>
            <c:strRef>
              <c:f>ConceptDemo!$AJ$17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ConceptDemo!$AJ$18:$AJ$662</c:f>
              <c:numCache>
                <c:formatCode>General</c:formatCode>
                <c:ptCount val="645"/>
                <c:pt idx="0">
                  <c:v>0.17150563009236167</c:v>
                </c:pt>
                <c:pt idx="1">
                  <c:v>0.34278243266900077</c:v>
                </c:pt>
                <c:pt idx="2">
                  <c:v>0.52326514166774118</c:v>
                </c:pt>
                <c:pt idx="3">
                  <c:v>0.70842445486227978</c:v>
                </c:pt>
                <c:pt idx="4">
                  <c:v>0.89135881194506661</c:v>
                </c:pt>
                <c:pt idx="5">
                  <c:v>1.0785234812886322</c:v>
                </c:pt>
                <c:pt idx="6">
                  <c:v>1.2666075658576412</c:v>
                </c:pt>
                <c:pt idx="7">
                  <c:v>1.4564286085445888</c:v>
                </c:pt>
                <c:pt idx="8">
                  <c:v>1.6513271320275476</c:v>
                </c:pt>
                <c:pt idx="9">
                  <c:v>1.8422044933095201</c:v>
                </c:pt>
                <c:pt idx="10">
                  <c:v>2.0634151298750707</c:v>
                </c:pt>
                <c:pt idx="11">
                  <c:v>2.2934826614510131</c:v>
                </c:pt>
                <c:pt idx="12">
                  <c:v>2.5240592012160756</c:v>
                </c:pt>
                <c:pt idx="13">
                  <c:v>2.7606021314606295</c:v>
                </c:pt>
                <c:pt idx="14">
                  <c:v>3.0064231687839165</c:v>
                </c:pt>
                <c:pt idx="15">
                  <c:v>3.247749732869964</c:v>
                </c:pt>
                <c:pt idx="16">
                  <c:v>3.483366002298578</c:v>
                </c:pt>
                <c:pt idx="17">
                  <c:v>3.7174183546227133</c:v>
                </c:pt>
                <c:pt idx="18">
                  <c:v>3.9529328685488125</c:v>
                </c:pt>
                <c:pt idx="19">
                  <c:v>4.1957555405913176</c:v>
                </c:pt>
                <c:pt idx="20">
                  <c:v>4.4396014883894814</c:v>
                </c:pt>
                <c:pt idx="21">
                  <c:v>4.6779892954558848</c:v>
                </c:pt>
                <c:pt idx="22">
                  <c:v>4.9199925254763688</c:v>
                </c:pt>
                <c:pt idx="23">
                  <c:v>5.1514861610949616</c:v>
                </c:pt>
                <c:pt idx="24">
                  <c:v>5.3853225649343042</c:v>
                </c:pt>
                <c:pt idx="25">
                  <c:v>5.6268081056564911</c:v>
                </c:pt>
                <c:pt idx="26">
                  <c:v>5.8550855723596618</c:v>
                </c:pt>
                <c:pt idx="27">
                  <c:v>6.0779948855720818</c:v>
                </c:pt>
                <c:pt idx="28">
                  <c:v>6.3001666680488242</c:v>
                </c:pt>
                <c:pt idx="29">
                  <c:v>6.5191828258172047</c:v>
                </c:pt>
                <c:pt idx="30">
                  <c:v>6.7418336521796061</c:v>
                </c:pt>
                <c:pt idx="31">
                  <c:v>6.9693298563360786</c:v>
                </c:pt>
                <c:pt idx="32">
                  <c:v>7.1985012486237725</c:v>
                </c:pt>
                <c:pt idx="33">
                  <c:v>7.4170662270325085</c:v>
                </c:pt>
                <c:pt idx="34">
                  <c:v>7.6345595976050484</c:v>
                </c:pt>
                <c:pt idx="35">
                  <c:v>7.850871023748951</c:v>
                </c:pt>
                <c:pt idx="36">
                  <c:v>8.0641745576336579</c:v>
                </c:pt>
                <c:pt idx="37">
                  <c:v>8.288208914567484</c:v>
                </c:pt>
                <c:pt idx="38">
                  <c:v>8.5103676959779904</c:v>
                </c:pt>
                <c:pt idx="39">
                  <c:v>8.7294569309000831</c:v>
                </c:pt>
                <c:pt idx="40">
                  <c:v>8.9573891245162329</c:v>
                </c:pt>
                <c:pt idx="41">
                  <c:v>9.1870317772299241</c:v>
                </c:pt>
                <c:pt idx="42">
                  <c:v>9.4093862627728342</c:v>
                </c:pt>
                <c:pt idx="43">
                  <c:v>9.6345847286383268</c:v>
                </c:pt>
                <c:pt idx="44">
                  <c:v>9.8485307582349471</c:v>
                </c:pt>
                <c:pt idx="45">
                  <c:v>10.048835911393454</c:v>
                </c:pt>
                <c:pt idx="46">
                  <c:v>10.247691602571756</c:v>
                </c:pt>
                <c:pt idx="47">
                  <c:v>10.443763462379048</c:v>
                </c:pt>
                <c:pt idx="48">
                  <c:v>10.63981433453702</c:v>
                </c:pt>
                <c:pt idx="49">
                  <c:v>10.84256990258169</c:v>
                </c:pt>
                <c:pt idx="50">
                  <c:v>11.049482222568077</c:v>
                </c:pt>
                <c:pt idx="51">
                  <c:v>11.260245726791915</c:v>
                </c:pt>
                <c:pt idx="52">
                  <c:v>11.469761524219454</c:v>
                </c:pt>
                <c:pt idx="53">
                  <c:v>11.676090839533018</c:v>
                </c:pt>
                <c:pt idx="54">
                  <c:v>11.884990860322969</c:v>
                </c:pt>
                <c:pt idx="55">
                  <c:v>12.084871095127598</c:v>
                </c:pt>
                <c:pt idx="56">
                  <c:v>12.281164694383051</c:v>
                </c:pt>
                <c:pt idx="57">
                  <c:v>12.481607022671104</c:v>
                </c:pt>
                <c:pt idx="58">
                  <c:v>12.671470186483418</c:v>
                </c:pt>
                <c:pt idx="59">
                  <c:v>12.873909572903157</c:v>
                </c:pt>
                <c:pt idx="60">
                  <c:v>13.078457053957123</c:v>
                </c:pt>
                <c:pt idx="61">
                  <c:v>13.271956664344087</c:v>
                </c:pt>
                <c:pt idx="62">
                  <c:v>13.460677827807743</c:v>
                </c:pt>
                <c:pt idx="63">
                  <c:v>13.647948647786926</c:v>
                </c:pt>
                <c:pt idx="64">
                  <c:v>13.837287237210402</c:v>
                </c:pt>
                <c:pt idx="65">
                  <c:v>14.024149381422591</c:v>
                </c:pt>
                <c:pt idx="66">
                  <c:v>14.205126930704736</c:v>
                </c:pt>
                <c:pt idx="67">
                  <c:v>14.374809975840408</c:v>
                </c:pt>
                <c:pt idx="68">
                  <c:v>14.547407444149693</c:v>
                </c:pt>
                <c:pt idx="69">
                  <c:v>14.716669566453188</c:v>
                </c:pt>
                <c:pt idx="70">
                  <c:v>14.8849561825173</c:v>
                </c:pt>
                <c:pt idx="71">
                  <c:v>15.04975611275561</c:v>
                </c:pt>
                <c:pt idx="72">
                  <c:v>15.210773017154894</c:v>
                </c:pt>
                <c:pt idx="73">
                  <c:v>15.369434986270951</c:v>
                </c:pt>
                <c:pt idx="74">
                  <c:v>15.531694042179332</c:v>
                </c:pt>
                <c:pt idx="75">
                  <c:v>15.69080883104505</c:v>
                </c:pt>
                <c:pt idx="76">
                  <c:v>15.849010186891036</c:v>
                </c:pt>
                <c:pt idx="77">
                  <c:v>16.01080048730709</c:v>
                </c:pt>
                <c:pt idx="78">
                  <c:v>16.166220263780215</c:v>
                </c:pt>
                <c:pt idx="79">
                  <c:v>16.320791611179661</c:v>
                </c:pt>
                <c:pt idx="80">
                  <c:v>16.470107532113332</c:v>
                </c:pt>
                <c:pt idx="81">
                  <c:v>16.621100655997814</c:v>
                </c:pt>
                <c:pt idx="82">
                  <c:v>16.774963346176211</c:v>
                </c:pt>
                <c:pt idx="83">
                  <c:v>16.921236871921817</c:v>
                </c:pt>
                <c:pt idx="84">
                  <c:v>17.065559412000979</c:v>
                </c:pt>
                <c:pt idx="85">
                  <c:v>17.212181208079844</c:v>
                </c:pt>
                <c:pt idx="86">
                  <c:v>17.358132444778931</c:v>
                </c:pt>
                <c:pt idx="87">
                  <c:v>17.502883305448712</c:v>
                </c:pt>
                <c:pt idx="88">
                  <c:v>17.650390880289962</c:v>
                </c:pt>
                <c:pt idx="89">
                  <c:v>17.797697851459152</c:v>
                </c:pt>
                <c:pt idx="90">
                  <c:v>17.942456367580331</c:v>
                </c:pt>
                <c:pt idx="91">
                  <c:v>18.092192363120027</c:v>
                </c:pt>
                <c:pt idx="92">
                  <c:v>18.244917069440604</c:v>
                </c:pt>
                <c:pt idx="93">
                  <c:v>18.396838837985097</c:v>
                </c:pt>
                <c:pt idx="94">
                  <c:v>18.548017669708159</c:v>
                </c:pt>
                <c:pt idx="95">
                  <c:v>18.710021460781611</c:v>
                </c:pt>
                <c:pt idx="96">
                  <c:v>18.870669873967085</c:v>
                </c:pt>
                <c:pt idx="97">
                  <c:v>19.033647561309817</c:v>
                </c:pt>
                <c:pt idx="98">
                  <c:v>19.194002292146077</c:v>
                </c:pt>
                <c:pt idx="99">
                  <c:v>19.355381558496731</c:v>
                </c:pt>
                <c:pt idx="100">
                  <c:v>19.520258934351663</c:v>
                </c:pt>
                <c:pt idx="101">
                  <c:v>19.679559037700919</c:v>
                </c:pt>
                <c:pt idx="102">
                  <c:v>19.84101301856618</c:v>
                </c:pt>
                <c:pt idx="103">
                  <c:v>20.00677632254941</c:v>
                </c:pt>
                <c:pt idx="104">
                  <c:v>20.192448912768434</c:v>
                </c:pt>
                <c:pt idx="105">
                  <c:v>20.385808977758874</c:v>
                </c:pt>
                <c:pt idx="106">
                  <c:v>20.588572424080198</c:v>
                </c:pt>
                <c:pt idx="107">
                  <c:v>20.802552638382561</c:v>
                </c:pt>
                <c:pt idx="108">
                  <c:v>21.005891318487755</c:v>
                </c:pt>
                <c:pt idx="109">
                  <c:v>21.213427314583011</c:v>
                </c:pt>
                <c:pt idx="110">
                  <c:v>21.427421628719745</c:v>
                </c:pt>
                <c:pt idx="111">
                  <c:v>21.659877446437157</c:v>
                </c:pt>
                <c:pt idx="112">
                  <c:v>21.893436273496224</c:v>
                </c:pt>
                <c:pt idx="113">
                  <c:v>22.123211371975675</c:v>
                </c:pt>
                <c:pt idx="114">
                  <c:v>22.360555779349859</c:v>
                </c:pt>
                <c:pt idx="115">
                  <c:v>22.60900769722917</c:v>
                </c:pt>
                <c:pt idx="116">
                  <c:v>22.850556452578161</c:v>
                </c:pt>
                <c:pt idx="117">
                  <c:v>23.093908369014589</c:v>
                </c:pt>
                <c:pt idx="118">
                  <c:v>23.331182945811708</c:v>
                </c:pt>
                <c:pt idx="119">
                  <c:v>23.578119264382046</c:v>
                </c:pt>
                <c:pt idx="120">
                  <c:v>23.834238311575447</c:v>
                </c:pt>
                <c:pt idx="121">
                  <c:v>24.097537467899823</c:v>
                </c:pt>
                <c:pt idx="122">
                  <c:v>24.359030192217496</c:v>
                </c:pt>
                <c:pt idx="123">
                  <c:v>24.613151730565033</c:v>
                </c:pt>
                <c:pt idx="124">
                  <c:v>24.865505763807523</c:v>
                </c:pt>
                <c:pt idx="125">
                  <c:v>25.11808032062968</c:v>
                </c:pt>
                <c:pt idx="126">
                  <c:v>25.361926181923536</c:v>
                </c:pt>
                <c:pt idx="127">
                  <c:v>25.602761625881907</c:v>
                </c:pt>
                <c:pt idx="128">
                  <c:v>25.854014817174335</c:v>
                </c:pt>
                <c:pt idx="129">
                  <c:v>26.104170125390826</c:v>
                </c:pt>
                <c:pt idx="130">
                  <c:v>26.360734367757868</c:v>
                </c:pt>
                <c:pt idx="131">
                  <c:v>26.605660979257301</c:v>
                </c:pt>
                <c:pt idx="132">
                  <c:v>26.845426870662529</c:v>
                </c:pt>
                <c:pt idx="133">
                  <c:v>27.083700332445773</c:v>
                </c:pt>
                <c:pt idx="134">
                  <c:v>27.327978139870115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6D-484B-9F21-D452383CE3FE}"/>
            </c:ext>
          </c:extLst>
        </c:ser>
        <c:ser>
          <c:idx val="4"/>
          <c:order val="4"/>
          <c:tx>
            <c:strRef>
              <c:f>ConceptDemo!$AK$17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ConceptDemo!$AK$17:$AK$662</c:f>
              <c:numCache>
                <c:formatCode>General</c:formatCode>
                <c:ptCount val="646"/>
                <c:pt idx="0">
                  <c:v>0</c:v>
                </c:pt>
                <c:pt idx="1">
                  <c:v>0.64536577269069362</c:v>
                </c:pt>
                <c:pt idx="2">
                  <c:v>1.2346124861538277</c:v>
                </c:pt>
                <c:pt idx="3">
                  <c:v>1.8348270259330164</c:v>
                </c:pt>
                <c:pt idx="4">
                  <c:v>2.4047669504366369</c:v>
                </c:pt>
                <c:pt idx="5">
                  <c:v>2.9159369584561676</c:v>
                </c:pt>
                <c:pt idx="6">
                  <c:v>3.4063709486713547</c:v>
                </c:pt>
                <c:pt idx="7">
                  <c:v>3.864865664145964</c:v>
                </c:pt>
                <c:pt idx="8">
                  <c:v>4.2878716219925499</c:v>
                </c:pt>
                <c:pt idx="9">
                  <c:v>4.6833609564494365</c:v>
                </c:pt>
                <c:pt idx="10">
                  <c:v>5.0306866228190676</c:v>
                </c:pt>
                <c:pt idx="11">
                  <c:v>5.4068682936746653</c:v>
                </c:pt>
                <c:pt idx="12">
                  <c:v>5.7444312835112141</c:v>
                </c:pt>
                <c:pt idx="13">
                  <c:v>6.0457526362096656</c:v>
                </c:pt>
                <c:pt idx="14">
                  <c:v>6.3150843170075444</c:v>
                </c:pt>
                <c:pt idx="15">
                  <c:v>6.5588418527035408</c:v>
                </c:pt>
                <c:pt idx="16">
                  <c:v>6.7775900178542017</c:v>
                </c:pt>
                <c:pt idx="17">
                  <c:v>6.9681634696231214</c:v>
                </c:pt>
                <c:pt idx="18">
                  <c:v>7.1402166971069061</c:v>
                </c:pt>
                <c:pt idx="19">
                  <c:v>7.2963569557713184</c:v>
                </c:pt>
                <c:pt idx="20">
                  <c:v>7.4380008090017187</c:v>
                </c:pt>
                <c:pt idx="21">
                  <c:v>7.5639874177201092</c:v>
                </c:pt>
                <c:pt idx="22">
                  <c:v>7.6775237824655234</c:v>
                </c:pt>
                <c:pt idx="23">
                  <c:v>7.7778837423647671</c:v>
                </c:pt>
                <c:pt idx="24">
                  <c:v>7.8669812600614106</c:v>
                </c:pt>
                <c:pt idx="25">
                  <c:v>7.9443630550349349</c:v>
                </c:pt>
                <c:pt idx="26">
                  <c:v>8.0171094283101745</c:v>
                </c:pt>
                <c:pt idx="27">
                  <c:v>8.0829016437602093</c:v>
                </c:pt>
                <c:pt idx="28">
                  <c:v>8.1435840974285192</c:v>
                </c:pt>
                <c:pt idx="29">
                  <c:v>8.1992515687657459</c:v>
                </c:pt>
                <c:pt idx="30">
                  <c:v>8.2505922464376908</c:v>
                </c:pt>
                <c:pt idx="31">
                  <c:v>8.2986077794189814</c:v>
                </c:pt>
                <c:pt idx="32">
                  <c:v>8.3443663615754939</c:v>
                </c:pt>
                <c:pt idx="33">
                  <c:v>8.3873525279634045</c:v>
                </c:pt>
                <c:pt idx="34">
                  <c:v>8.4253641770726198</c:v>
                </c:pt>
                <c:pt idx="35">
                  <c:v>8.4609379905260553</c:v>
                </c:pt>
                <c:pt idx="36">
                  <c:v>8.4947336583558339</c:v>
                </c:pt>
                <c:pt idx="37">
                  <c:v>8.5263531060890454</c:v>
                </c:pt>
                <c:pt idx="38">
                  <c:v>8.55810280051573</c:v>
                </c:pt>
                <c:pt idx="39">
                  <c:v>8.5887179272481653</c:v>
                </c:pt>
                <c:pt idx="40">
                  <c:v>8.6175268469811357</c:v>
                </c:pt>
                <c:pt idx="41">
                  <c:v>8.6461770258768702</c:v>
                </c:pt>
                <c:pt idx="42">
                  <c:v>8.6737510948293455</c:v>
                </c:pt>
                <c:pt idx="43">
                  <c:v>8.7001168244927527</c:v>
                </c:pt>
                <c:pt idx="44">
                  <c:v>8.7257500787323181</c:v>
                </c:pt>
                <c:pt idx="45">
                  <c:v>8.7500196994460318</c:v>
                </c:pt>
                <c:pt idx="46">
                  <c:v>8.7721556698418244</c:v>
                </c:pt>
                <c:pt idx="47">
                  <c:v>8.7934952345133865</c:v>
                </c:pt>
                <c:pt idx="48">
                  <c:v>8.8138503429163606</c:v>
                </c:pt>
                <c:pt idx="49">
                  <c:v>8.8341674993764645</c:v>
                </c:pt>
                <c:pt idx="50">
                  <c:v>8.8551985564921054</c:v>
                </c:pt>
                <c:pt idx="51">
                  <c:v>8.8761838302720903</c:v>
                </c:pt>
                <c:pt idx="52">
                  <c:v>8.897396033895717</c:v>
                </c:pt>
                <c:pt idx="53">
                  <c:v>8.9174705279362421</c:v>
                </c:pt>
                <c:pt idx="54">
                  <c:v>8.9371647767339653</c:v>
                </c:pt>
                <c:pt idx="55">
                  <c:v>8.9571594415101004</c:v>
                </c:pt>
                <c:pt idx="56">
                  <c:v>8.9761342574855636</c:v>
                </c:pt>
                <c:pt idx="57">
                  <c:v>8.9944141387626981</c:v>
                </c:pt>
                <c:pt idx="58">
                  <c:v>9.0128688704593696</c:v>
                </c:pt>
                <c:pt idx="59">
                  <c:v>9.0298043589712336</c:v>
                </c:pt>
                <c:pt idx="60">
                  <c:v>9.0480850157462136</c:v>
                </c:pt>
                <c:pt idx="61">
                  <c:v>9.0663754884248533</c:v>
                </c:pt>
                <c:pt idx="62">
                  <c:v>9.0835727367180255</c:v>
                </c:pt>
                <c:pt idx="63">
                  <c:v>9.0999120305556378</c:v>
                </c:pt>
                <c:pt idx="64">
                  <c:v>9.1160118955740241</c:v>
                </c:pt>
                <c:pt idx="65">
                  <c:v>9.1320990515891776</c:v>
                </c:pt>
                <c:pt idx="66">
                  <c:v>9.1476869952512434</c:v>
                </c:pt>
                <c:pt idx="67">
                  <c:v>9.1623613239429709</c:v>
                </c:pt>
                <c:pt idx="68">
                  <c:v>9.175701347906891</c:v>
                </c:pt>
                <c:pt idx="69">
                  <c:v>9.1892812907991797</c:v>
                </c:pt>
                <c:pt idx="70">
                  <c:v>9.2019636030494443</c:v>
                </c:pt>
                <c:pt idx="71">
                  <c:v>9.2144953987109908</c:v>
                </c:pt>
                <c:pt idx="72">
                  <c:v>9.2267456892599462</c:v>
                </c:pt>
                <c:pt idx="73">
                  <c:v>9.2384105357176018</c:v>
                </c:pt>
                <c:pt idx="74">
                  <c:v>9.2495982630185694</c:v>
                </c:pt>
                <c:pt idx="75">
                  <c:v>9.2611380948270412</c:v>
                </c:pt>
                <c:pt idx="76">
                  <c:v>9.271950116149501</c:v>
                </c:pt>
                <c:pt idx="77">
                  <c:v>9.2826043893277657</c:v>
                </c:pt>
                <c:pt idx="78">
                  <c:v>9.2934741200686481</c:v>
                </c:pt>
                <c:pt idx="79">
                  <c:v>9.3035196852084141</c:v>
                </c:pt>
                <c:pt idx="80">
                  <c:v>9.3135901271701975</c:v>
                </c:pt>
                <c:pt idx="81">
                  <c:v>9.3231089259469115</c:v>
                </c:pt>
                <c:pt idx="82">
                  <c:v>9.332883235766781</c:v>
                </c:pt>
                <c:pt idx="83">
                  <c:v>9.3428213156341364</c:v>
                </c:pt>
                <c:pt idx="84">
                  <c:v>9.3520019163147339</c:v>
                </c:pt>
                <c:pt idx="85">
                  <c:v>9.3608314751671813</c:v>
                </c:pt>
                <c:pt idx="86">
                  <c:v>9.3699020720344564</c:v>
                </c:pt>
                <c:pt idx="87">
                  <c:v>9.3788379400467417</c:v>
                </c:pt>
                <c:pt idx="88">
                  <c:v>9.3877834029327616</c:v>
                </c:pt>
                <c:pt idx="89">
                  <c:v>9.3972687192134572</c:v>
                </c:pt>
                <c:pt idx="90">
                  <c:v>9.4067114018677707</c:v>
                </c:pt>
                <c:pt idx="91">
                  <c:v>9.4159688358979494</c:v>
                </c:pt>
                <c:pt idx="92">
                  <c:v>9.4256861768702329</c:v>
                </c:pt>
                <c:pt idx="93">
                  <c:v>9.4354494036424477</c:v>
                </c:pt>
                <c:pt idx="94">
                  <c:v>9.4452408379449864</c:v>
                </c:pt>
                <c:pt idx="95">
                  <c:v>9.4549669199164335</c:v>
                </c:pt>
                <c:pt idx="96">
                  <c:v>9.4653935261106259</c:v>
                </c:pt>
                <c:pt idx="97">
                  <c:v>9.475709526679303</c:v>
                </c:pt>
                <c:pt idx="98">
                  <c:v>9.4861209059718306</c:v>
                </c:pt>
                <c:pt idx="99">
                  <c:v>9.4962792414293951</c:v>
                </c:pt>
                <c:pt idx="100">
                  <c:v>9.506281625778211</c:v>
                </c:pt>
                <c:pt idx="101">
                  <c:v>9.5162628443357242</c:v>
                </c:pt>
                <c:pt idx="102">
                  <c:v>9.5256321043832131</c:v>
                </c:pt>
                <c:pt idx="103">
                  <c:v>9.534981767002936</c:v>
                </c:pt>
                <c:pt idx="104">
                  <c:v>9.544094046147876</c:v>
                </c:pt>
                <c:pt idx="105">
                  <c:v>9.5532680319148291</c:v>
                </c:pt>
                <c:pt idx="106">
                  <c:v>9.5624694432509756</c:v>
                </c:pt>
                <c:pt idx="107">
                  <c:v>9.5718043859815864</c:v>
                </c:pt>
                <c:pt idx="108">
                  <c:v>9.5811668506986791</c:v>
                </c:pt>
                <c:pt idx="109">
                  <c:v>9.5898395137954928</c:v>
                </c:pt>
                <c:pt idx="110">
                  <c:v>9.5981667496827718</c:v>
                </c:pt>
                <c:pt idx="111">
                  <c:v>9.606427807826865</c:v>
                </c:pt>
                <c:pt idx="112">
                  <c:v>9.6145268393037355</c:v>
                </c:pt>
                <c:pt idx="113">
                  <c:v>9.6224618089021003</c:v>
                </c:pt>
                <c:pt idx="114">
                  <c:v>9.6301458723726476</c:v>
                </c:pt>
                <c:pt idx="115">
                  <c:v>9.6377805141170469</c:v>
                </c:pt>
                <c:pt idx="116">
                  <c:v>9.6454017120552358</c:v>
                </c:pt>
                <c:pt idx="117">
                  <c:v>9.6527606833341064</c:v>
                </c:pt>
                <c:pt idx="118">
                  <c:v>9.6598975509896405</c:v>
                </c:pt>
                <c:pt idx="119">
                  <c:v>9.6667443852644901</c:v>
                </c:pt>
                <c:pt idx="120">
                  <c:v>9.6735687902922933</c:v>
                </c:pt>
                <c:pt idx="121">
                  <c:v>9.6804451671069067</c:v>
                </c:pt>
                <c:pt idx="122">
                  <c:v>9.6873861828389085</c:v>
                </c:pt>
                <c:pt idx="123">
                  <c:v>9.6941998427484801</c:v>
                </c:pt>
                <c:pt idx="124">
                  <c:v>9.7007745060984103</c:v>
                </c:pt>
                <c:pt idx="125">
                  <c:v>9.7072303734442258</c:v>
                </c:pt>
                <c:pt idx="126">
                  <c:v>9.7136092196331667</c:v>
                </c:pt>
                <c:pt idx="127">
                  <c:v>9.7197361831604816</c:v>
                </c:pt>
                <c:pt idx="128">
                  <c:v>9.7257294316584524</c:v>
                </c:pt>
                <c:pt idx="129">
                  <c:v>9.7318482080112751</c:v>
                </c:pt>
                <c:pt idx="130">
                  <c:v>9.7378684866081269</c:v>
                </c:pt>
                <c:pt idx="131">
                  <c:v>9.743932256501342</c:v>
                </c:pt>
                <c:pt idx="132">
                  <c:v>9.7497027886093797</c:v>
                </c:pt>
                <c:pt idx="133">
                  <c:v>9.7553075012559418</c:v>
                </c:pt>
                <c:pt idx="134">
                  <c:v>9.7608162665245679</c:v>
                </c:pt>
                <c:pt idx="135">
                  <c:v>9.7663630283220755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6D-484B-9F21-D452383CE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1186704"/>
        <c:axId val="811187536"/>
        <c:extLst/>
      </c:lineChart>
      <c:date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auto val="0"/>
        <c:lblOffset val="100"/>
        <c:baseTimeUnit val="days"/>
        <c:majorUnit val="2"/>
        <c:majorTimeUnit val="months"/>
      </c:date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Soil water status and crop cover</a:t>
            </a:r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ConceptDemo!$Z$17</c:f>
              <c:strCache>
                <c:ptCount val="1"/>
                <c:pt idx="0">
                  <c:v>SWC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45230</c:v>
                </c:pt>
                <c:pt idx="1">
                  <c:v>45231</c:v>
                </c:pt>
                <c:pt idx="2">
                  <c:v>45232</c:v>
                </c:pt>
                <c:pt idx="3">
                  <c:v>45233</c:v>
                </c:pt>
                <c:pt idx="4">
                  <c:v>45234</c:v>
                </c:pt>
                <c:pt idx="5">
                  <c:v>45235</c:v>
                </c:pt>
                <c:pt idx="6">
                  <c:v>45236</c:v>
                </c:pt>
                <c:pt idx="7">
                  <c:v>45237</c:v>
                </c:pt>
                <c:pt idx="8">
                  <c:v>45238</c:v>
                </c:pt>
                <c:pt idx="9">
                  <c:v>45239</c:v>
                </c:pt>
                <c:pt idx="10">
                  <c:v>45240</c:v>
                </c:pt>
                <c:pt idx="11">
                  <c:v>45241</c:v>
                </c:pt>
                <c:pt idx="12">
                  <c:v>45242</c:v>
                </c:pt>
                <c:pt idx="13">
                  <c:v>45243</c:v>
                </c:pt>
                <c:pt idx="14">
                  <c:v>45244</c:v>
                </c:pt>
                <c:pt idx="15">
                  <c:v>45245</c:v>
                </c:pt>
                <c:pt idx="16">
                  <c:v>45246</c:v>
                </c:pt>
                <c:pt idx="17">
                  <c:v>45247</c:v>
                </c:pt>
                <c:pt idx="18">
                  <c:v>45248</c:v>
                </c:pt>
                <c:pt idx="19">
                  <c:v>45249</c:v>
                </c:pt>
                <c:pt idx="20">
                  <c:v>45250</c:v>
                </c:pt>
                <c:pt idx="21">
                  <c:v>45251</c:v>
                </c:pt>
                <c:pt idx="22">
                  <c:v>45252</c:v>
                </c:pt>
                <c:pt idx="23">
                  <c:v>45253</c:v>
                </c:pt>
                <c:pt idx="24">
                  <c:v>45254</c:v>
                </c:pt>
                <c:pt idx="25">
                  <c:v>45255</c:v>
                </c:pt>
                <c:pt idx="26">
                  <c:v>45256</c:v>
                </c:pt>
                <c:pt idx="27">
                  <c:v>45257</c:v>
                </c:pt>
                <c:pt idx="28">
                  <c:v>45258</c:v>
                </c:pt>
                <c:pt idx="29">
                  <c:v>45259</c:v>
                </c:pt>
                <c:pt idx="30">
                  <c:v>45260</c:v>
                </c:pt>
                <c:pt idx="31">
                  <c:v>45261</c:v>
                </c:pt>
                <c:pt idx="32">
                  <c:v>45262</c:v>
                </c:pt>
                <c:pt idx="33">
                  <c:v>45263</c:v>
                </c:pt>
                <c:pt idx="34">
                  <c:v>45264</c:v>
                </c:pt>
                <c:pt idx="35">
                  <c:v>45265</c:v>
                </c:pt>
                <c:pt idx="36">
                  <c:v>45266</c:v>
                </c:pt>
                <c:pt idx="37">
                  <c:v>45267</c:v>
                </c:pt>
                <c:pt idx="38">
                  <c:v>45268</c:v>
                </c:pt>
                <c:pt idx="39">
                  <c:v>45269</c:v>
                </c:pt>
                <c:pt idx="40">
                  <c:v>45270</c:v>
                </c:pt>
                <c:pt idx="41">
                  <c:v>45271</c:v>
                </c:pt>
                <c:pt idx="42">
                  <c:v>45272</c:v>
                </c:pt>
                <c:pt idx="43">
                  <c:v>45273</c:v>
                </c:pt>
                <c:pt idx="44">
                  <c:v>45274</c:v>
                </c:pt>
                <c:pt idx="45">
                  <c:v>45275</c:v>
                </c:pt>
                <c:pt idx="46">
                  <c:v>45276</c:v>
                </c:pt>
                <c:pt idx="47">
                  <c:v>45277</c:v>
                </c:pt>
                <c:pt idx="48">
                  <c:v>45278</c:v>
                </c:pt>
                <c:pt idx="49">
                  <c:v>45279</c:v>
                </c:pt>
                <c:pt idx="50">
                  <c:v>45280</c:v>
                </c:pt>
                <c:pt idx="51">
                  <c:v>45281</c:v>
                </c:pt>
                <c:pt idx="52">
                  <c:v>45282</c:v>
                </c:pt>
                <c:pt idx="53">
                  <c:v>45283</c:v>
                </c:pt>
                <c:pt idx="54">
                  <c:v>45284</c:v>
                </c:pt>
                <c:pt idx="55">
                  <c:v>45285</c:v>
                </c:pt>
                <c:pt idx="56">
                  <c:v>45286</c:v>
                </c:pt>
                <c:pt idx="57">
                  <c:v>45287</c:v>
                </c:pt>
                <c:pt idx="58">
                  <c:v>45288</c:v>
                </c:pt>
                <c:pt idx="59">
                  <c:v>45289</c:v>
                </c:pt>
                <c:pt idx="60">
                  <c:v>45290</c:v>
                </c:pt>
                <c:pt idx="61">
                  <c:v>45291</c:v>
                </c:pt>
                <c:pt idx="62">
                  <c:v>45292</c:v>
                </c:pt>
                <c:pt idx="63">
                  <c:v>45293</c:v>
                </c:pt>
                <c:pt idx="64">
                  <c:v>45294</c:v>
                </c:pt>
                <c:pt idx="65">
                  <c:v>45295</c:v>
                </c:pt>
                <c:pt idx="66">
                  <c:v>45296</c:v>
                </c:pt>
                <c:pt idx="67">
                  <c:v>45297</c:v>
                </c:pt>
                <c:pt idx="68">
                  <c:v>45298</c:v>
                </c:pt>
                <c:pt idx="69">
                  <c:v>45299</c:v>
                </c:pt>
                <c:pt idx="70">
                  <c:v>45300</c:v>
                </c:pt>
                <c:pt idx="71">
                  <c:v>45301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ConceptDemo!$Z$18:$Z$395</c:f>
              <c:numCache>
                <c:formatCode>General</c:formatCode>
                <c:ptCount val="378"/>
                <c:pt idx="0">
                  <c:v>108</c:v>
                </c:pt>
                <c:pt idx="1">
                  <c:v>105.73415196405496</c:v>
                </c:pt>
                <c:pt idx="2">
                  <c:v>101.41294047558672</c:v>
                </c:pt>
                <c:pt idx="3">
                  <c:v>100.79017697805565</c:v>
                </c:pt>
                <c:pt idx="4">
                  <c:v>101.43242487608852</c:v>
                </c:pt>
                <c:pt idx="5">
                  <c:v>107.33788260990217</c:v>
                </c:pt>
                <c:pt idx="6">
                  <c:v>109.0385737749889</c:v>
                </c:pt>
                <c:pt idx="7">
                  <c:v>111.12477851686114</c:v>
                </c:pt>
                <c:pt idx="8">
                  <c:v>111.41266739024374</c:v>
                </c:pt>
                <c:pt idx="9">
                  <c:v>111.74048402711385</c:v>
                </c:pt>
                <c:pt idx="10">
                  <c:v>110.39015819864839</c:v>
                </c:pt>
                <c:pt idx="11">
                  <c:v>107.32573273691499</c:v>
                </c:pt>
                <c:pt idx="12">
                  <c:v>108.1319872694864</c:v>
                </c:pt>
                <c:pt idx="13">
                  <c:v>107.32804116584661</c:v>
                </c:pt>
                <c:pt idx="14">
                  <c:v>106.80875993041244</c:v>
                </c:pt>
                <c:pt idx="15">
                  <c:v>104.2836056681226</c:v>
                </c:pt>
                <c:pt idx="16">
                  <c:v>106.16126373443521</c:v>
                </c:pt>
                <c:pt idx="17">
                  <c:v>103.85784308619068</c:v>
                </c:pt>
                <c:pt idx="18">
                  <c:v>101.64021654392992</c:v>
                </c:pt>
                <c:pt idx="19">
                  <c:v>98.399640795257326</c:v>
                </c:pt>
                <c:pt idx="20">
                  <c:v>96.895681387059938</c:v>
                </c:pt>
                <c:pt idx="21">
                  <c:v>96.514136322851073</c:v>
                </c:pt>
                <c:pt idx="22">
                  <c:v>98.167673248573877</c:v>
                </c:pt>
                <c:pt idx="23">
                  <c:v>97.408489198593031</c:v>
                </c:pt>
                <c:pt idx="24">
                  <c:v>95.904796600768279</c:v>
                </c:pt>
                <c:pt idx="25">
                  <c:v>94.433859903421592</c:v>
                </c:pt>
                <c:pt idx="26">
                  <c:v>92.046064927393147</c:v>
                </c:pt>
                <c:pt idx="27">
                  <c:v>91.913993935342461</c:v>
                </c:pt>
                <c:pt idx="28">
                  <c:v>94.17757801970032</c:v>
                </c:pt>
                <c:pt idx="29">
                  <c:v>92.564241602814562</c:v>
                </c:pt>
                <c:pt idx="30">
                  <c:v>91.322876659214032</c:v>
                </c:pt>
                <c:pt idx="31">
                  <c:v>87.875221271309826</c:v>
                </c:pt>
                <c:pt idx="32">
                  <c:v>91.418889344283755</c:v>
                </c:pt>
                <c:pt idx="33">
                  <c:v>88.024841299254291</c:v>
                </c:pt>
                <c:pt idx="34">
                  <c:v>92.928315454507384</c:v>
                </c:pt>
                <c:pt idx="35">
                  <c:v>95.311750987888431</c:v>
                </c:pt>
                <c:pt idx="36">
                  <c:v>95.216867902734904</c:v>
                </c:pt>
                <c:pt idx="37">
                  <c:v>95.49082636524534</c:v>
                </c:pt>
                <c:pt idx="38">
                  <c:v>92.808450599173554</c:v>
                </c:pt>
                <c:pt idx="39">
                  <c:v>88.127611547609206</c:v>
                </c:pt>
                <c:pt idx="40">
                  <c:v>86.480746522641851</c:v>
                </c:pt>
                <c:pt idx="41">
                  <c:v>81.298240607038792</c:v>
                </c:pt>
                <c:pt idx="42">
                  <c:v>78.017907567418206</c:v>
                </c:pt>
                <c:pt idx="43">
                  <c:v>73.89806046989834</c:v>
                </c:pt>
                <c:pt idx="44">
                  <c:v>74.370785800576243</c:v>
                </c:pt>
                <c:pt idx="45">
                  <c:v>71.753600867248537</c:v>
                </c:pt>
                <c:pt idx="46">
                  <c:v>74.499408290609097</c:v>
                </c:pt>
                <c:pt idx="47">
                  <c:v>75.957671895616542</c:v>
                </c:pt>
                <c:pt idx="48">
                  <c:v>77.167287286406946</c:v>
                </c:pt>
                <c:pt idx="49">
                  <c:v>77.665587461570425</c:v>
                </c:pt>
                <c:pt idx="50">
                  <c:v>72.663236150908759</c:v>
                </c:pt>
                <c:pt idx="51">
                  <c:v>72.402188431175304</c:v>
                </c:pt>
                <c:pt idx="52">
                  <c:v>68.173586433271069</c:v>
                </c:pt>
                <c:pt idx="53">
                  <c:v>65.120906024695174</c:v>
                </c:pt>
                <c:pt idx="54">
                  <c:v>64.023047015056278</c:v>
                </c:pt>
                <c:pt idx="55">
                  <c:v>65.527155497460626</c:v>
                </c:pt>
                <c:pt idx="56">
                  <c:v>60.89782171536875</c:v>
                </c:pt>
                <c:pt idx="57">
                  <c:v>58.110360245356752</c:v>
                </c:pt>
                <c:pt idx="58">
                  <c:v>53.562186518502394</c:v>
                </c:pt>
                <c:pt idx="59">
                  <c:v>53.489518258982017</c:v>
                </c:pt>
                <c:pt idx="60">
                  <c:v>56.010854033961209</c:v>
                </c:pt>
                <c:pt idx="61">
                  <c:v>66.218404810128376</c:v>
                </c:pt>
                <c:pt idx="62">
                  <c:v>64.782600246436232</c:v>
                </c:pt>
                <c:pt idx="63">
                  <c:v>60.698444766049832</c:v>
                </c:pt>
                <c:pt idx="64">
                  <c:v>56.721891084300594</c:v>
                </c:pt>
                <c:pt idx="65">
                  <c:v>53.244407446565781</c:v>
                </c:pt>
                <c:pt idx="66">
                  <c:v>50.705075406417933</c:v>
                </c:pt>
                <c:pt idx="67">
                  <c:v>48.764196212025084</c:v>
                </c:pt>
                <c:pt idx="68">
                  <c:v>46.442971624837135</c:v>
                </c:pt>
                <c:pt idx="69">
                  <c:v>46.563438533723833</c:v>
                </c:pt>
                <c:pt idx="70">
                  <c:v>47.231214840081435</c:v>
                </c:pt>
                <c:pt idx="71">
                  <c:v>44.653754506806237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5-4F1C-AC2D-F6FF73C1A16A}"/>
            </c:ext>
          </c:extLst>
        </c:ser>
        <c:ser>
          <c:idx val="1"/>
          <c:order val="1"/>
          <c:tx>
            <c:strRef>
              <c:f>ConceptDemo!$AB$17</c:f>
              <c:strCache>
                <c:ptCount val="1"/>
                <c:pt idx="0">
                  <c:v>Irrigation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45230</c:v>
                </c:pt>
                <c:pt idx="1">
                  <c:v>45231</c:v>
                </c:pt>
                <c:pt idx="2">
                  <c:v>45232</c:v>
                </c:pt>
                <c:pt idx="3">
                  <c:v>45233</c:v>
                </c:pt>
                <c:pt idx="4">
                  <c:v>45234</c:v>
                </c:pt>
                <c:pt idx="5">
                  <c:v>45235</c:v>
                </c:pt>
                <c:pt idx="6">
                  <c:v>45236</c:v>
                </c:pt>
                <c:pt idx="7">
                  <c:v>45237</c:v>
                </c:pt>
                <c:pt idx="8">
                  <c:v>45238</c:v>
                </c:pt>
                <c:pt idx="9">
                  <c:v>45239</c:v>
                </c:pt>
                <c:pt idx="10">
                  <c:v>45240</c:v>
                </c:pt>
                <c:pt idx="11">
                  <c:v>45241</c:v>
                </c:pt>
                <c:pt idx="12">
                  <c:v>45242</c:v>
                </c:pt>
                <c:pt idx="13">
                  <c:v>45243</c:v>
                </c:pt>
                <c:pt idx="14">
                  <c:v>45244</c:v>
                </c:pt>
                <c:pt idx="15">
                  <c:v>45245</c:v>
                </c:pt>
                <c:pt idx="16">
                  <c:v>45246</c:v>
                </c:pt>
                <c:pt idx="17">
                  <c:v>45247</c:v>
                </c:pt>
                <c:pt idx="18">
                  <c:v>45248</c:v>
                </c:pt>
                <c:pt idx="19">
                  <c:v>45249</c:v>
                </c:pt>
                <c:pt idx="20">
                  <c:v>45250</c:v>
                </c:pt>
                <c:pt idx="21">
                  <c:v>45251</c:v>
                </c:pt>
                <c:pt idx="22">
                  <c:v>45252</c:v>
                </c:pt>
                <c:pt idx="23">
                  <c:v>45253</c:v>
                </c:pt>
                <c:pt idx="24">
                  <c:v>45254</c:v>
                </c:pt>
                <c:pt idx="25">
                  <c:v>45255</c:v>
                </c:pt>
                <c:pt idx="26">
                  <c:v>45256</c:v>
                </c:pt>
                <c:pt idx="27">
                  <c:v>45257</c:v>
                </c:pt>
                <c:pt idx="28">
                  <c:v>45258</c:v>
                </c:pt>
                <c:pt idx="29">
                  <c:v>45259</c:v>
                </c:pt>
                <c:pt idx="30">
                  <c:v>45260</c:v>
                </c:pt>
                <c:pt idx="31">
                  <c:v>45261</c:v>
                </c:pt>
                <c:pt idx="32">
                  <c:v>45262</c:v>
                </c:pt>
                <c:pt idx="33">
                  <c:v>45263</c:v>
                </c:pt>
                <c:pt idx="34">
                  <c:v>45264</c:v>
                </c:pt>
                <c:pt idx="35">
                  <c:v>45265</c:v>
                </c:pt>
                <c:pt idx="36">
                  <c:v>45266</c:v>
                </c:pt>
                <c:pt idx="37">
                  <c:v>45267</c:v>
                </c:pt>
                <c:pt idx="38">
                  <c:v>45268</c:v>
                </c:pt>
                <c:pt idx="39">
                  <c:v>45269</c:v>
                </c:pt>
                <c:pt idx="40">
                  <c:v>45270</c:v>
                </c:pt>
                <c:pt idx="41">
                  <c:v>45271</c:v>
                </c:pt>
                <c:pt idx="42">
                  <c:v>45272</c:v>
                </c:pt>
                <c:pt idx="43">
                  <c:v>45273</c:v>
                </c:pt>
                <c:pt idx="44">
                  <c:v>45274</c:v>
                </c:pt>
                <c:pt idx="45">
                  <c:v>45275</c:v>
                </c:pt>
                <c:pt idx="46">
                  <c:v>45276</c:v>
                </c:pt>
                <c:pt idx="47">
                  <c:v>45277</c:v>
                </c:pt>
                <c:pt idx="48">
                  <c:v>45278</c:v>
                </c:pt>
                <c:pt idx="49">
                  <c:v>45279</c:v>
                </c:pt>
                <c:pt idx="50">
                  <c:v>45280</c:v>
                </c:pt>
                <c:pt idx="51">
                  <c:v>45281</c:v>
                </c:pt>
                <c:pt idx="52">
                  <c:v>45282</c:v>
                </c:pt>
                <c:pt idx="53">
                  <c:v>45283</c:v>
                </c:pt>
                <c:pt idx="54">
                  <c:v>45284</c:v>
                </c:pt>
                <c:pt idx="55">
                  <c:v>45285</c:v>
                </c:pt>
                <c:pt idx="56">
                  <c:v>45286</c:v>
                </c:pt>
                <c:pt idx="57">
                  <c:v>45287</c:v>
                </c:pt>
                <c:pt idx="58">
                  <c:v>45288</c:v>
                </c:pt>
                <c:pt idx="59">
                  <c:v>45289</c:v>
                </c:pt>
                <c:pt idx="60">
                  <c:v>45290</c:v>
                </c:pt>
                <c:pt idx="61">
                  <c:v>45291</c:v>
                </c:pt>
                <c:pt idx="62">
                  <c:v>45292</c:v>
                </c:pt>
                <c:pt idx="63">
                  <c:v>45293</c:v>
                </c:pt>
                <c:pt idx="64">
                  <c:v>45294</c:v>
                </c:pt>
                <c:pt idx="65">
                  <c:v>45295</c:v>
                </c:pt>
                <c:pt idx="66">
                  <c:v>45296</c:v>
                </c:pt>
                <c:pt idx="67">
                  <c:v>45297</c:v>
                </c:pt>
                <c:pt idx="68">
                  <c:v>45298</c:v>
                </c:pt>
                <c:pt idx="69">
                  <c:v>45299</c:v>
                </c:pt>
                <c:pt idx="70">
                  <c:v>45300</c:v>
                </c:pt>
                <c:pt idx="71">
                  <c:v>45301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ConceptDemo!$AB$18:$AB$395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C5-4F1C-AC2D-F6FF73C1A16A}"/>
            </c:ext>
          </c:extLst>
        </c:ser>
        <c:ser>
          <c:idx val="2"/>
          <c:order val="2"/>
          <c:tx>
            <c:strRef>
              <c:f>ConceptDemo!$AA$17</c:f>
              <c:strCache>
                <c:ptCount val="1"/>
                <c:pt idx="0">
                  <c:v>Drainage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45230</c:v>
                </c:pt>
                <c:pt idx="1">
                  <c:v>45231</c:v>
                </c:pt>
                <c:pt idx="2">
                  <c:v>45232</c:v>
                </c:pt>
                <c:pt idx="3">
                  <c:v>45233</c:v>
                </c:pt>
                <c:pt idx="4">
                  <c:v>45234</c:v>
                </c:pt>
                <c:pt idx="5">
                  <c:v>45235</c:v>
                </c:pt>
                <c:pt idx="6">
                  <c:v>45236</c:v>
                </c:pt>
                <c:pt idx="7">
                  <c:v>45237</c:v>
                </c:pt>
                <c:pt idx="8">
                  <c:v>45238</c:v>
                </c:pt>
                <c:pt idx="9">
                  <c:v>45239</c:v>
                </c:pt>
                <c:pt idx="10">
                  <c:v>45240</c:v>
                </c:pt>
                <c:pt idx="11">
                  <c:v>45241</c:v>
                </c:pt>
                <c:pt idx="12">
                  <c:v>45242</c:v>
                </c:pt>
                <c:pt idx="13">
                  <c:v>45243</c:v>
                </c:pt>
                <c:pt idx="14">
                  <c:v>45244</c:v>
                </c:pt>
                <c:pt idx="15">
                  <c:v>45245</c:v>
                </c:pt>
                <c:pt idx="16">
                  <c:v>45246</c:v>
                </c:pt>
                <c:pt idx="17">
                  <c:v>45247</c:v>
                </c:pt>
                <c:pt idx="18">
                  <c:v>45248</c:v>
                </c:pt>
                <c:pt idx="19">
                  <c:v>45249</c:v>
                </c:pt>
                <c:pt idx="20">
                  <c:v>45250</c:v>
                </c:pt>
                <c:pt idx="21">
                  <c:v>45251</c:v>
                </c:pt>
                <c:pt idx="22">
                  <c:v>45252</c:v>
                </c:pt>
                <c:pt idx="23">
                  <c:v>45253</c:v>
                </c:pt>
                <c:pt idx="24">
                  <c:v>45254</c:v>
                </c:pt>
                <c:pt idx="25">
                  <c:v>45255</c:v>
                </c:pt>
                <c:pt idx="26">
                  <c:v>45256</c:v>
                </c:pt>
                <c:pt idx="27">
                  <c:v>45257</c:v>
                </c:pt>
                <c:pt idx="28">
                  <c:v>45258</c:v>
                </c:pt>
                <c:pt idx="29">
                  <c:v>45259</c:v>
                </c:pt>
                <c:pt idx="30">
                  <c:v>45260</c:v>
                </c:pt>
                <c:pt idx="31">
                  <c:v>45261</c:v>
                </c:pt>
                <c:pt idx="32">
                  <c:v>45262</c:v>
                </c:pt>
                <c:pt idx="33">
                  <c:v>45263</c:v>
                </c:pt>
                <c:pt idx="34">
                  <c:v>45264</c:v>
                </c:pt>
                <c:pt idx="35">
                  <c:v>45265</c:v>
                </c:pt>
                <c:pt idx="36">
                  <c:v>45266</c:v>
                </c:pt>
                <c:pt idx="37">
                  <c:v>45267</c:v>
                </c:pt>
                <c:pt idx="38">
                  <c:v>45268</c:v>
                </c:pt>
                <c:pt idx="39">
                  <c:v>45269</c:v>
                </c:pt>
                <c:pt idx="40">
                  <c:v>45270</c:v>
                </c:pt>
                <c:pt idx="41">
                  <c:v>45271</c:v>
                </c:pt>
                <c:pt idx="42">
                  <c:v>45272</c:v>
                </c:pt>
                <c:pt idx="43">
                  <c:v>45273</c:v>
                </c:pt>
                <c:pt idx="44">
                  <c:v>45274</c:v>
                </c:pt>
                <c:pt idx="45">
                  <c:v>45275</c:v>
                </c:pt>
                <c:pt idx="46">
                  <c:v>45276</c:v>
                </c:pt>
                <c:pt idx="47">
                  <c:v>45277</c:v>
                </c:pt>
                <c:pt idx="48">
                  <c:v>45278</c:v>
                </c:pt>
                <c:pt idx="49">
                  <c:v>45279</c:v>
                </c:pt>
                <c:pt idx="50">
                  <c:v>45280</c:v>
                </c:pt>
                <c:pt idx="51">
                  <c:v>45281</c:v>
                </c:pt>
                <c:pt idx="52">
                  <c:v>45282</c:v>
                </c:pt>
                <c:pt idx="53">
                  <c:v>45283</c:v>
                </c:pt>
                <c:pt idx="54">
                  <c:v>45284</c:v>
                </c:pt>
                <c:pt idx="55">
                  <c:v>45285</c:v>
                </c:pt>
                <c:pt idx="56">
                  <c:v>45286</c:v>
                </c:pt>
                <c:pt idx="57">
                  <c:v>45287</c:v>
                </c:pt>
                <c:pt idx="58">
                  <c:v>45288</c:v>
                </c:pt>
                <c:pt idx="59">
                  <c:v>45289</c:v>
                </c:pt>
                <c:pt idx="60">
                  <c:v>45290</c:v>
                </c:pt>
                <c:pt idx="61">
                  <c:v>45291</c:v>
                </c:pt>
                <c:pt idx="62">
                  <c:v>45292</c:v>
                </c:pt>
                <c:pt idx="63">
                  <c:v>45293</c:v>
                </c:pt>
                <c:pt idx="64">
                  <c:v>45294</c:v>
                </c:pt>
                <c:pt idx="65">
                  <c:v>45295</c:v>
                </c:pt>
                <c:pt idx="66">
                  <c:v>45296</c:v>
                </c:pt>
                <c:pt idx="67">
                  <c:v>45297</c:v>
                </c:pt>
                <c:pt idx="68">
                  <c:v>45298</c:v>
                </c:pt>
                <c:pt idx="69">
                  <c:v>45299</c:v>
                </c:pt>
                <c:pt idx="70">
                  <c:v>45300</c:v>
                </c:pt>
                <c:pt idx="71">
                  <c:v>45301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ConceptDemo!$AA$18:$AA$395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C5-4F1C-AC2D-F6FF73C1A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scatterChart>
        <c:scatterStyle val="lineMarker"/>
        <c:varyColors val="0"/>
        <c:ser>
          <c:idx val="3"/>
          <c:order val="3"/>
          <c:tx>
            <c:strRef>
              <c:f>ConceptDemo!$AC$17</c:f>
              <c:strCache>
                <c:ptCount val="1"/>
                <c:pt idx="0">
                  <c:v>Green Cover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ConceptDemo!$S$18:$S$395</c:f>
              <c:numCache>
                <c:formatCode>General</c:formatCode>
                <c:ptCount val="378"/>
                <c:pt idx="0">
                  <c:v>45230</c:v>
                </c:pt>
                <c:pt idx="1">
                  <c:v>45231</c:v>
                </c:pt>
                <c:pt idx="2">
                  <c:v>45232</c:v>
                </c:pt>
                <c:pt idx="3">
                  <c:v>45233</c:v>
                </c:pt>
                <c:pt idx="4">
                  <c:v>45234</c:v>
                </c:pt>
                <c:pt idx="5">
                  <c:v>45235</c:v>
                </c:pt>
                <c:pt idx="6">
                  <c:v>45236</c:v>
                </c:pt>
                <c:pt idx="7">
                  <c:v>45237</c:v>
                </c:pt>
                <c:pt idx="8">
                  <c:v>45238</c:v>
                </c:pt>
                <c:pt idx="9">
                  <c:v>45239</c:v>
                </c:pt>
                <c:pt idx="10">
                  <c:v>45240</c:v>
                </c:pt>
                <c:pt idx="11">
                  <c:v>45241</c:v>
                </c:pt>
                <c:pt idx="12">
                  <c:v>45242</c:v>
                </c:pt>
                <c:pt idx="13">
                  <c:v>45243</c:v>
                </c:pt>
                <c:pt idx="14">
                  <c:v>45244</c:v>
                </c:pt>
                <c:pt idx="15">
                  <c:v>45245</c:v>
                </c:pt>
                <c:pt idx="16">
                  <c:v>45246</c:v>
                </c:pt>
                <c:pt idx="17">
                  <c:v>45247</c:v>
                </c:pt>
                <c:pt idx="18">
                  <c:v>45248</c:v>
                </c:pt>
                <c:pt idx="19">
                  <c:v>45249</c:v>
                </c:pt>
                <c:pt idx="20">
                  <c:v>45250</c:v>
                </c:pt>
                <c:pt idx="21">
                  <c:v>45251</c:v>
                </c:pt>
                <c:pt idx="22">
                  <c:v>45252</c:v>
                </c:pt>
                <c:pt idx="23">
                  <c:v>45253</c:v>
                </c:pt>
                <c:pt idx="24">
                  <c:v>45254</c:v>
                </c:pt>
                <c:pt idx="25">
                  <c:v>45255</c:v>
                </c:pt>
                <c:pt idx="26">
                  <c:v>45256</c:v>
                </c:pt>
                <c:pt idx="27">
                  <c:v>45257</c:v>
                </c:pt>
                <c:pt idx="28">
                  <c:v>45258</c:v>
                </c:pt>
                <c:pt idx="29">
                  <c:v>45259</c:v>
                </c:pt>
                <c:pt idx="30">
                  <c:v>45260</c:v>
                </c:pt>
                <c:pt idx="31">
                  <c:v>45261</c:v>
                </c:pt>
                <c:pt idx="32">
                  <c:v>45262</c:v>
                </c:pt>
                <c:pt idx="33">
                  <c:v>45263</c:v>
                </c:pt>
                <c:pt idx="34">
                  <c:v>45264</c:v>
                </c:pt>
                <c:pt idx="35">
                  <c:v>45265</c:v>
                </c:pt>
                <c:pt idx="36">
                  <c:v>45266</c:v>
                </c:pt>
                <c:pt idx="37">
                  <c:v>45267</c:v>
                </c:pt>
                <c:pt idx="38">
                  <c:v>45268</c:v>
                </c:pt>
                <c:pt idx="39">
                  <c:v>45269</c:v>
                </c:pt>
                <c:pt idx="40">
                  <c:v>45270</c:v>
                </c:pt>
                <c:pt idx="41">
                  <c:v>45271</c:v>
                </c:pt>
                <c:pt idx="42">
                  <c:v>45272</c:v>
                </c:pt>
                <c:pt idx="43">
                  <c:v>45273</c:v>
                </c:pt>
                <c:pt idx="44">
                  <c:v>45274</c:v>
                </c:pt>
                <c:pt idx="45">
                  <c:v>45275</c:v>
                </c:pt>
                <c:pt idx="46">
                  <c:v>45276</c:v>
                </c:pt>
                <c:pt idx="47">
                  <c:v>45277</c:v>
                </c:pt>
                <c:pt idx="48">
                  <c:v>45278</c:v>
                </c:pt>
                <c:pt idx="49">
                  <c:v>45279</c:v>
                </c:pt>
                <c:pt idx="50">
                  <c:v>45280</c:v>
                </c:pt>
                <c:pt idx="51">
                  <c:v>45281</c:v>
                </c:pt>
                <c:pt idx="52">
                  <c:v>45282</c:v>
                </c:pt>
                <c:pt idx="53">
                  <c:v>45283</c:v>
                </c:pt>
                <c:pt idx="54">
                  <c:v>45284</c:v>
                </c:pt>
                <c:pt idx="55">
                  <c:v>45285</c:v>
                </c:pt>
                <c:pt idx="56">
                  <c:v>45286</c:v>
                </c:pt>
                <c:pt idx="57">
                  <c:v>45287</c:v>
                </c:pt>
                <c:pt idx="58">
                  <c:v>45288</c:v>
                </c:pt>
                <c:pt idx="59">
                  <c:v>45289</c:v>
                </c:pt>
                <c:pt idx="60">
                  <c:v>45290</c:v>
                </c:pt>
                <c:pt idx="61">
                  <c:v>45291</c:v>
                </c:pt>
                <c:pt idx="62">
                  <c:v>45292</c:v>
                </c:pt>
                <c:pt idx="63">
                  <c:v>45293</c:v>
                </c:pt>
                <c:pt idx="64">
                  <c:v>45294</c:v>
                </c:pt>
                <c:pt idx="65">
                  <c:v>45295</c:v>
                </c:pt>
                <c:pt idx="66">
                  <c:v>45296</c:v>
                </c:pt>
                <c:pt idx="67">
                  <c:v>45297</c:v>
                </c:pt>
                <c:pt idx="68">
                  <c:v>45298</c:v>
                </c:pt>
                <c:pt idx="69">
                  <c:v>45299</c:v>
                </c:pt>
                <c:pt idx="70">
                  <c:v>45300</c:v>
                </c:pt>
                <c:pt idx="71">
                  <c:v>45301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ConceptDemo!$AC$18:$AC$395</c:f>
              <c:numCache>
                <c:formatCode>General</c:formatCode>
                <c:ptCount val="378"/>
                <c:pt idx="0">
                  <c:v>0.99993345063478134</c:v>
                </c:pt>
                <c:pt idx="1">
                  <c:v>2.4708900187025557E-2</c:v>
                </c:pt>
                <c:pt idx="2">
                  <c:v>2.7980827496568911E-2</c:v>
                </c:pt>
                <c:pt idx="3">
                  <c:v>3.1623892192874641E-2</c:v>
                </c:pt>
                <c:pt idx="4">
                  <c:v>3.5824511682542103E-2</c:v>
                </c:pt>
                <c:pt idx="5">
                  <c:v>4.0749886352777882E-2</c:v>
                </c:pt>
                <c:pt idx="6">
                  <c:v>4.6077210604115078E-2</c:v>
                </c:pt>
                <c:pt idx="7">
                  <c:v>5.2275925969990804E-2</c:v>
                </c:pt>
                <c:pt idx="8">
                  <c:v>5.9457230884261018E-2</c:v>
                </c:pt>
                <c:pt idx="9">
                  <c:v>6.7234024817951418E-2</c:v>
                </c:pt>
                <c:pt idx="10">
                  <c:v>7.6285672236702101E-2</c:v>
                </c:pt>
                <c:pt idx="11">
                  <c:v>8.654710700058299E-2</c:v>
                </c:pt>
                <c:pt idx="12">
                  <c:v>9.7996902607000752E-2</c:v>
                </c:pt>
                <c:pt idx="13">
                  <c:v>0.11045121172244535</c:v>
                </c:pt>
                <c:pt idx="14">
                  <c:v>0.12418160600814997</c:v>
                </c:pt>
                <c:pt idx="15">
                  <c:v>0.13992147707698785</c:v>
                </c:pt>
                <c:pt idx="16">
                  <c:v>0.1578860493226944</c:v>
                </c:pt>
                <c:pt idx="17">
                  <c:v>0.17688120040969907</c:v>
                </c:pt>
                <c:pt idx="18">
                  <c:v>0.19677900520832337</c:v>
                </c:pt>
                <c:pt idx="19">
                  <c:v>0.21821230244629108</c:v>
                </c:pt>
                <c:pt idx="20">
                  <c:v>0.24229639852937807</c:v>
                </c:pt>
                <c:pt idx="21">
                  <c:v>0.26825428555453751</c:v>
                </c:pt>
                <c:pt idx="22">
                  <c:v>0.29648954817774226</c:v>
                </c:pt>
                <c:pt idx="23">
                  <c:v>0.32696723481312573</c:v>
                </c:pt>
                <c:pt idx="24">
                  <c:v>0.35838685576611323</c:v>
                </c:pt>
                <c:pt idx="25">
                  <c:v>0.39293752084751288</c:v>
                </c:pt>
                <c:pt idx="26">
                  <c:v>0.42857236712310354</c:v>
                </c:pt>
                <c:pt idx="27">
                  <c:v>0.46354172970832391</c:v>
                </c:pt>
                <c:pt idx="28">
                  <c:v>0.49836942547914392</c:v>
                </c:pt>
                <c:pt idx="29">
                  <c:v>0.53330873244187915</c:v>
                </c:pt>
                <c:pt idx="30">
                  <c:v>0.56851771692445874</c:v>
                </c:pt>
                <c:pt idx="31">
                  <c:v>0.60346295227691105</c:v>
                </c:pt>
                <c:pt idx="32">
                  <c:v>0.63817789412554093</c:v>
                </c:pt>
                <c:pt idx="33">
                  <c:v>0.67182538064007458</c:v>
                </c:pt>
                <c:pt idx="34">
                  <c:v>0.70337429279962482</c:v>
                </c:pt>
                <c:pt idx="35">
                  <c:v>0.7320789310941499</c:v>
                </c:pt>
                <c:pt idx="36">
                  <c:v>0.7584174420885631</c:v>
                </c:pt>
                <c:pt idx="37">
                  <c:v>0.78129016904928206</c:v>
                </c:pt>
                <c:pt idx="38">
                  <c:v>0.80187732844798809</c:v>
                </c:pt>
                <c:pt idx="39">
                  <c:v>0.82109114702923114</c:v>
                </c:pt>
                <c:pt idx="40">
                  <c:v>0.83803537030694863</c:v>
                </c:pt>
                <c:pt idx="41">
                  <c:v>0.85367439042307525</c:v>
                </c:pt>
                <c:pt idx="42">
                  <c:v>0.86783101960612674</c:v>
                </c:pt>
                <c:pt idx="43">
                  <c:v>0.87986782915871165</c:v>
                </c:pt>
                <c:pt idx="44">
                  <c:v>0.89019978365825958</c:v>
                </c:pt>
                <c:pt idx="45">
                  <c:v>0.89898923741195802</c:v>
                </c:pt>
                <c:pt idx="46">
                  <c:v>0.90660810824344962</c:v>
                </c:pt>
                <c:pt idx="47">
                  <c:v>0.91315561716545079</c:v>
                </c:pt>
                <c:pt idx="48">
                  <c:v>0.91862152820375409</c:v>
                </c:pt>
                <c:pt idx="49">
                  <c:v>0.92336584335702088</c:v>
                </c:pt>
                <c:pt idx="50">
                  <c:v>0.92749709521295587</c:v>
                </c:pt>
                <c:pt idx="51">
                  <c:v>0.93100072950255408</c:v>
                </c:pt>
                <c:pt idx="52">
                  <c:v>0.93400369219107271</c:v>
                </c:pt>
                <c:pt idx="53">
                  <c:v>0.93646782025053432</c:v>
                </c:pt>
                <c:pt idx="54">
                  <c:v>0.93857923918651687</c:v>
                </c:pt>
                <c:pt idx="55">
                  <c:v>0.94039805901895424</c:v>
                </c:pt>
                <c:pt idx="56">
                  <c:v>0.94189703270273173</c:v>
                </c:pt>
                <c:pt idx="57">
                  <c:v>0.94317037459408382</c:v>
                </c:pt>
                <c:pt idx="58">
                  <c:v>0.94430880168632725</c:v>
                </c:pt>
                <c:pt idx="59">
                  <c:v>0.94528025076804012</c:v>
                </c:pt>
                <c:pt idx="60">
                  <c:v>0.9460739485984716</c:v>
                </c:pt>
                <c:pt idx="61">
                  <c:v>0.94671858826037469</c:v>
                </c:pt>
                <c:pt idx="62">
                  <c:v>0.94725114676359412</c:v>
                </c:pt>
                <c:pt idx="63">
                  <c:v>0.94770939742621485</c:v>
                </c:pt>
                <c:pt idx="64">
                  <c:v>0.9480865839794822</c:v>
                </c:pt>
                <c:pt idx="65">
                  <c:v>0.94840713808635579</c:v>
                </c:pt>
                <c:pt idx="66">
                  <c:v>0.94866641300673826</c:v>
                </c:pt>
                <c:pt idx="67">
                  <c:v>0.94888478780532359</c:v>
                </c:pt>
                <c:pt idx="68">
                  <c:v>0.94907318253985551</c:v>
                </c:pt>
                <c:pt idx="69">
                  <c:v>0.94923204538507788</c:v>
                </c:pt>
                <c:pt idx="70">
                  <c:v>0.94936565944166018</c:v>
                </c:pt>
                <c:pt idx="71">
                  <c:v>0.94947486029492256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57-4819-8D14-88464F348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0962704"/>
        <c:axId val="1200962288"/>
      </c:scatterChart>
      <c:val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valAx>
        <c:axId val="1200962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962704"/>
        <c:crosses val="max"/>
        <c:crossBetween val="midCat"/>
      </c:valAx>
      <c:valAx>
        <c:axId val="1200962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00962288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19004454215195493"/>
          <c:h val="0.277171350320871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Mean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Data'!$B$2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Data'!$B$3:$B$368</c:f>
              <c:numCache>
                <c:formatCode>General</c:formatCode>
                <c:ptCount val="366"/>
                <c:pt idx="0">
                  <c:v>16.179411764705801</c:v>
                </c:pt>
                <c:pt idx="1">
                  <c:v>17.160294117646998</c:v>
                </c:pt>
                <c:pt idx="2">
                  <c:v>16.8117647058823</c:v>
                </c:pt>
                <c:pt idx="3">
                  <c:v>15.772058823529401</c:v>
                </c:pt>
                <c:pt idx="4">
                  <c:v>16.045588235294101</c:v>
                </c:pt>
                <c:pt idx="5">
                  <c:v>16.1955882352941</c:v>
                </c:pt>
                <c:pt idx="6">
                  <c:v>17.395588235294099</c:v>
                </c:pt>
                <c:pt idx="7">
                  <c:v>17.102249134948</c:v>
                </c:pt>
                <c:pt idx="8">
                  <c:v>16.213235294117599</c:v>
                </c:pt>
                <c:pt idx="9">
                  <c:v>15.8947058823529</c:v>
                </c:pt>
                <c:pt idx="10">
                  <c:v>16.250588235294099</c:v>
                </c:pt>
                <c:pt idx="11">
                  <c:v>16.662352941176401</c:v>
                </c:pt>
                <c:pt idx="12">
                  <c:v>16.830882352941099</c:v>
                </c:pt>
                <c:pt idx="13">
                  <c:v>16.835294117646999</c:v>
                </c:pt>
                <c:pt idx="14">
                  <c:v>17.335294117646999</c:v>
                </c:pt>
                <c:pt idx="15">
                  <c:v>16.8279411764705</c:v>
                </c:pt>
                <c:pt idx="16">
                  <c:v>16.722058823529402</c:v>
                </c:pt>
                <c:pt idx="17">
                  <c:v>17.301470588235201</c:v>
                </c:pt>
                <c:pt idx="18">
                  <c:v>17.052941176470501</c:v>
                </c:pt>
                <c:pt idx="19">
                  <c:v>15.9367647058823</c:v>
                </c:pt>
                <c:pt idx="20">
                  <c:v>17.475000000000001</c:v>
                </c:pt>
                <c:pt idx="21">
                  <c:v>18.2514705882352</c:v>
                </c:pt>
                <c:pt idx="22">
                  <c:v>17.176470588235201</c:v>
                </c:pt>
                <c:pt idx="23">
                  <c:v>16.835294117646999</c:v>
                </c:pt>
                <c:pt idx="24">
                  <c:v>16.6941176470588</c:v>
                </c:pt>
                <c:pt idx="25">
                  <c:v>16.433823529411701</c:v>
                </c:pt>
                <c:pt idx="26">
                  <c:v>16.332352941176399</c:v>
                </c:pt>
                <c:pt idx="27">
                  <c:v>17.044117647058801</c:v>
                </c:pt>
                <c:pt idx="28">
                  <c:v>17.480882352941101</c:v>
                </c:pt>
                <c:pt idx="29">
                  <c:v>18.010294117647</c:v>
                </c:pt>
                <c:pt idx="30">
                  <c:v>18.1264705882352</c:v>
                </c:pt>
                <c:pt idx="31">
                  <c:v>17.5632352941176</c:v>
                </c:pt>
                <c:pt idx="32">
                  <c:v>16.530882352941099</c:v>
                </c:pt>
                <c:pt idx="33">
                  <c:v>16.339705882352899</c:v>
                </c:pt>
                <c:pt idx="34">
                  <c:v>17.920588235294101</c:v>
                </c:pt>
                <c:pt idx="35">
                  <c:v>16.083823529411699</c:v>
                </c:pt>
                <c:pt idx="36">
                  <c:v>16.539705882352902</c:v>
                </c:pt>
                <c:pt idx="37">
                  <c:v>16.527941176470499</c:v>
                </c:pt>
                <c:pt idx="38">
                  <c:v>16.855882352941101</c:v>
                </c:pt>
                <c:pt idx="39">
                  <c:v>16.957352941176399</c:v>
                </c:pt>
                <c:pt idx="40">
                  <c:v>16.866176470588201</c:v>
                </c:pt>
                <c:pt idx="41">
                  <c:v>17.485294117647001</c:v>
                </c:pt>
                <c:pt idx="42">
                  <c:v>17.980882352941101</c:v>
                </c:pt>
                <c:pt idx="43">
                  <c:v>16.401470588235199</c:v>
                </c:pt>
                <c:pt idx="44">
                  <c:v>15.8867647058823</c:v>
                </c:pt>
                <c:pt idx="45">
                  <c:v>15.4705882352941</c:v>
                </c:pt>
                <c:pt idx="46">
                  <c:v>16.035294117646998</c:v>
                </c:pt>
                <c:pt idx="47">
                  <c:v>17.155882352941099</c:v>
                </c:pt>
                <c:pt idx="48">
                  <c:v>17.5720588235294</c:v>
                </c:pt>
                <c:pt idx="49">
                  <c:v>16.991176470588201</c:v>
                </c:pt>
                <c:pt idx="50">
                  <c:v>16.655882352941099</c:v>
                </c:pt>
                <c:pt idx="51">
                  <c:v>16.6955882352941</c:v>
                </c:pt>
                <c:pt idx="52">
                  <c:v>16.394117647058799</c:v>
                </c:pt>
                <c:pt idx="53">
                  <c:v>16.088235294117599</c:v>
                </c:pt>
                <c:pt idx="54">
                  <c:v>16.782352941176399</c:v>
                </c:pt>
                <c:pt idx="55">
                  <c:v>16.1897058823529</c:v>
                </c:pt>
                <c:pt idx="56">
                  <c:v>16.1941176470588</c:v>
                </c:pt>
                <c:pt idx="57">
                  <c:v>16.208823529411699</c:v>
                </c:pt>
                <c:pt idx="58">
                  <c:v>16.074999999999999</c:v>
                </c:pt>
                <c:pt idx="59">
                  <c:v>16.264705882352899</c:v>
                </c:pt>
                <c:pt idx="60">
                  <c:v>15.9727272727272</c:v>
                </c:pt>
                <c:pt idx="61">
                  <c:v>15.216666666666599</c:v>
                </c:pt>
                <c:pt idx="62">
                  <c:v>14.612121212121201</c:v>
                </c:pt>
                <c:pt idx="63">
                  <c:v>15.7681818181818</c:v>
                </c:pt>
                <c:pt idx="64">
                  <c:v>15.9954545454545</c:v>
                </c:pt>
                <c:pt idx="65">
                  <c:v>15.0166666666666</c:v>
                </c:pt>
                <c:pt idx="66">
                  <c:v>15.3257575757575</c:v>
                </c:pt>
                <c:pt idx="67">
                  <c:v>14.630303030303001</c:v>
                </c:pt>
                <c:pt idx="68">
                  <c:v>15.7924242424242</c:v>
                </c:pt>
                <c:pt idx="69">
                  <c:v>15.055882352941101</c:v>
                </c:pt>
                <c:pt idx="70">
                  <c:v>14.958823529411699</c:v>
                </c:pt>
                <c:pt idx="71">
                  <c:v>15.205882352941099</c:v>
                </c:pt>
                <c:pt idx="72">
                  <c:v>14.888235294117599</c:v>
                </c:pt>
                <c:pt idx="73">
                  <c:v>14.9794117647058</c:v>
                </c:pt>
                <c:pt idx="74">
                  <c:v>15</c:v>
                </c:pt>
                <c:pt idx="75">
                  <c:v>14.8191176470588</c:v>
                </c:pt>
                <c:pt idx="76">
                  <c:v>13.742647058823501</c:v>
                </c:pt>
                <c:pt idx="77">
                  <c:v>14.5911764705882</c:v>
                </c:pt>
                <c:pt idx="78">
                  <c:v>15.358823529411699</c:v>
                </c:pt>
                <c:pt idx="79">
                  <c:v>14.954411764705799</c:v>
                </c:pt>
                <c:pt idx="80">
                  <c:v>14.5426470588235</c:v>
                </c:pt>
                <c:pt idx="81">
                  <c:v>13.9808823529411</c:v>
                </c:pt>
                <c:pt idx="82">
                  <c:v>14.1040998217468</c:v>
                </c:pt>
                <c:pt idx="83">
                  <c:v>14.397058823529401</c:v>
                </c:pt>
                <c:pt idx="84">
                  <c:v>13.613235294117599</c:v>
                </c:pt>
                <c:pt idx="85">
                  <c:v>14.4676470588235</c:v>
                </c:pt>
                <c:pt idx="86">
                  <c:v>14.926470588235199</c:v>
                </c:pt>
                <c:pt idx="87">
                  <c:v>14.8691176470588</c:v>
                </c:pt>
                <c:pt idx="88">
                  <c:v>14.9382352941176</c:v>
                </c:pt>
                <c:pt idx="89">
                  <c:v>14.0308823529411</c:v>
                </c:pt>
                <c:pt idx="90">
                  <c:v>13.4647058823529</c:v>
                </c:pt>
                <c:pt idx="91">
                  <c:v>14.017647058823499</c:v>
                </c:pt>
                <c:pt idx="92">
                  <c:v>13.6090909090909</c:v>
                </c:pt>
                <c:pt idx="93">
                  <c:v>13.085294117647001</c:v>
                </c:pt>
                <c:pt idx="94">
                  <c:v>12.85</c:v>
                </c:pt>
                <c:pt idx="95">
                  <c:v>12.9941176470588</c:v>
                </c:pt>
                <c:pt idx="96">
                  <c:v>12.891176470588199</c:v>
                </c:pt>
                <c:pt idx="97">
                  <c:v>12.924999999999899</c:v>
                </c:pt>
                <c:pt idx="98">
                  <c:v>12.363235294117599</c:v>
                </c:pt>
                <c:pt idx="99">
                  <c:v>11.3573529411764</c:v>
                </c:pt>
                <c:pt idx="100">
                  <c:v>11.6044117647058</c:v>
                </c:pt>
                <c:pt idx="101">
                  <c:v>11.445454545454499</c:v>
                </c:pt>
                <c:pt idx="102">
                  <c:v>11.897058823529401</c:v>
                </c:pt>
                <c:pt idx="103">
                  <c:v>11.5014705882352</c:v>
                </c:pt>
                <c:pt idx="104">
                  <c:v>12.461764705882301</c:v>
                </c:pt>
                <c:pt idx="105">
                  <c:v>12.083823529411699</c:v>
                </c:pt>
                <c:pt idx="106">
                  <c:v>12.307352941176401</c:v>
                </c:pt>
                <c:pt idx="107">
                  <c:v>11.5970588235294</c:v>
                </c:pt>
                <c:pt idx="108">
                  <c:v>11.710294117647001</c:v>
                </c:pt>
                <c:pt idx="109">
                  <c:v>12.0897058823529</c:v>
                </c:pt>
                <c:pt idx="110">
                  <c:v>11.1882352941176</c:v>
                </c:pt>
                <c:pt idx="111">
                  <c:v>11.0044117647058</c:v>
                </c:pt>
                <c:pt idx="112">
                  <c:v>11.586764705882301</c:v>
                </c:pt>
                <c:pt idx="113">
                  <c:v>10.9985294117647</c:v>
                </c:pt>
                <c:pt idx="114">
                  <c:v>11.547058823529399</c:v>
                </c:pt>
                <c:pt idx="115">
                  <c:v>11.6955882352941</c:v>
                </c:pt>
                <c:pt idx="116">
                  <c:v>11.833823529411699</c:v>
                </c:pt>
                <c:pt idx="117">
                  <c:v>12.1279411764705</c:v>
                </c:pt>
                <c:pt idx="118">
                  <c:v>10.824999999999999</c:v>
                </c:pt>
                <c:pt idx="119">
                  <c:v>10.554411764705799</c:v>
                </c:pt>
                <c:pt idx="120">
                  <c:v>10.2014705882352</c:v>
                </c:pt>
                <c:pt idx="121">
                  <c:v>10.3191176470588</c:v>
                </c:pt>
                <c:pt idx="122">
                  <c:v>10.267647058823499</c:v>
                </c:pt>
                <c:pt idx="123">
                  <c:v>10.807352941176401</c:v>
                </c:pt>
                <c:pt idx="124">
                  <c:v>10.7742424242424</c:v>
                </c:pt>
                <c:pt idx="125">
                  <c:v>11.583823529411699</c:v>
                </c:pt>
                <c:pt idx="126">
                  <c:v>11.138235294117599</c:v>
                </c:pt>
                <c:pt idx="127">
                  <c:v>10.079411764705799</c:v>
                </c:pt>
                <c:pt idx="128">
                  <c:v>10.2279411764705</c:v>
                </c:pt>
                <c:pt idx="129">
                  <c:v>10.1044117647058</c:v>
                </c:pt>
                <c:pt idx="130">
                  <c:v>10.4441176470588</c:v>
                </c:pt>
                <c:pt idx="131">
                  <c:v>10.801470588235199</c:v>
                </c:pt>
                <c:pt idx="132">
                  <c:v>10.149999999999901</c:v>
                </c:pt>
                <c:pt idx="133">
                  <c:v>10.029411764705801</c:v>
                </c:pt>
                <c:pt idx="134">
                  <c:v>9.6235294117647001</c:v>
                </c:pt>
                <c:pt idx="135">
                  <c:v>10.177941176470499</c:v>
                </c:pt>
                <c:pt idx="136">
                  <c:v>9.2779411764705806</c:v>
                </c:pt>
                <c:pt idx="137">
                  <c:v>9.0485294117647008</c:v>
                </c:pt>
                <c:pt idx="138">
                  <c:v>9.3647058823529399</c:v>
                </c:pt>
                <c:pt idx="139">
                  <c:v>9.4352941176470502</c:v>
                </c:pt>
                <c:pt idx="140">
                  <c:v>9.1705882352941099</c:v>
                </c:pt>
                <c:pt idx="141">
                  <c:v>8.3529411764705799</c:v>
                </c:pt>
                <c:pt idx="142">
                  <c:v>9.0132352941176404</c:v>
                </c:pt>
                <c:pt idx="143">
                  <c:v>8.7911764705882298</c:v>
                </c:pt>
                <c:pt idx="144">
                  <c:v>8.3720588235294109</c:v>
                </c:pt>
                <c:pt idx="145">
                  <c:v>8.5632352941176393</c:v>
                </c:pt>
                <c:pt idx="146">
                  <c:v>8.4573529411764703</c:v>
                </c:pt>
                <c:pt idx="147">
                  <c:v>8.1897058823529392</c:v>
                </c:pt>
                <c:pt idx="148">
                  <c:v>8.3764705882352892</c:v>
                </c:pt>
                <c:pt idx="149">
                  <c:v>7.9235294117646999</c:v>
                </c:pt>
                <c:pt idx="150">
                  <c:v>7.9742424242424201</c:v>
                </c:pt>
                <c:pt idx="151">
                  <c:v>8.0696969696969596</c:v>
                </c:pt>
                <c:pt idx="152">
                  <c:v>7.75</c:v>
                </c:pt>
                <c:pt idx="153">
                  <c:v>7.4484848484848403</c:v>
                </c:pt>
                <c:pt idx="154">
                  <c:v>7.27424242424242</c:v>
                </c:pt>
                <c:pt idx="155">
                  <c:v>7.1969696969696901</c:v>
                </c:pt>
                <c:pt idx="156">
                  <c:v>6.8636363636363598</c:v>
                </c:pt>
                <c:pt idx="157">
                  <c:v>7.0772727272727201</c:v>
                </c:pt>
                <c:pt idx="158">
                  <c:v>7.6151515151515099</c:v>
                </c:pt>
                <c:pt idx="159">
                  <c:v>7.8272727272727201</c:v>
                </c:pt>
                <c:pt idx="160">
                  <c:v>7.8272727272727201</c:v>
                </c:pt>
                <c:pt idx="161">
                  <c:v>7.6075757575757503</c:v>
                </c:pt>
                <c:pt idx="162">
                  <c:v>7.7030303030302996</c:v>
                </c:pt>
                <c:pt idx="163">
                  <c:v>6.8681818181818102</c:v>
                </c:pt>
                <c:pt idx="164">
                  <c:v>7.2318181818181797</c:v>
                </c:pt>
                <c:pt idx="165">
                  <c:v>7.3390624999999998</c:v>
                </c:pt>
                <c:pt idx="166">
                  <c:v>6.6624999999999996</c:v>
                </c:pt>
                <c:pt idx="167">
                  <c:v>6.015625</c:v>
                </c:pt>
                <c:pt idx="168">
                  <c:v>6.4772727272727204</c:v>
                </c:pt>
                <c:pt idx="169">
                  <c:v>6.3803030303030299</c:v>
                </c:pt>
                <c:pt idx="170">
                  <c:v>6.4439393939393899</c:v>
                </c:pt>
                <c:pt idx="171">
                  <c:v>6.5606060606060597</c:v>
                </c:pt>
                <c:pt idx="172">
                  <c:v>6.1424242424242399</c:v>
                </c:pt>
                <c:pt idx="173">
                  <c:v>6.20757575757575</c:v>
                </c:pt>
                <c:pt idx="174">
                  <c:v>6.5106060606060598</c:v>
                </c:pt>
                <c:pt idx="175">
                  <c:v>6.4439393939393899</c:v>
                </c:pt>
                <c:pt idx="176">
                  <c:v>6.6909090909090896</c:v>
                </c:pt>
                <c:pt idx="177">
                  <c:v>6.1848484848484802</c:v>
                </c:pt>
                <c:pt idx="178">
                  <c:v>5.9242424242424203</c:v>
                </c:pt>
                <c:pt idx="179">
                  <c:v>6.1499999999999897</c:v>
                </c:pt>
                <c:pt idx="180">
                  <c:v>6.4909090909090903</c:v>
                </c:pt>
                <c:pt idx="181">
                  <c:v>5.80151515151515</c:v>
                </c:pt>
                <c:pt idx="182">
                  <c:v>5.4696969696969697</c:v>
                </c:pt>
                <c:pt idx="183">
                  <c:v>6.01212121212121</c:v>
                </c:pt>
                <c:pt idx="184">
                  <c:v>6.2727272727272698</c:v>
                </c:pt>
                <c:pt idx="185">
                  <c:v>6.5393939393939302</c:v>
                </c:pt>
                <c:pt idx="186">
                  <c:v>6.3272727272727201</c:v>
                </c:pt>
                <c:pt idx="187">
                  <c:v>5.5742424242424198</c:v>
                </c:pt>
                <c:pt idx="188">
                  <c:v>5.2243939393939298</c:v>
                </c:pt>
                <c:pt idx="189">
                  <c:v>5.4590909090909001</c:v>
                </c:pt>
                <c:pt idx="190">
                  <c:v>5.67121212121212</c:v>
                </c:pt>
                <c:pt idx="191">
                  <c:v>5.5803030303030301</c:v>
                </c:pt>
                <c:pt idx="192">
                  <c:v>5.8181818181818103</c:v>
                </c:pt>
                <c:pt idx="193">
                  <c:v>5.8984848484848396</c:v>
                </c:pt>
                <c:pt idx="194">
                  <c:v>6.1590909090909003</c:v>
                </c:pt>
                <c:pt idx="195">
                  <c:v>5.8606060606060604</c:v>
                </c:pt>
                <c:pt idx="196">
                  <c:v>6.3318181818181802</c:v>
                </c:pt>
                <c:pt idx="197">
                  <c:v>6.4424242424242397</c:v>
                </c:pt>
                <c:pt idx="198">
                  <c:v>6.3242424242424198</c:v>
                </c:pt>
                <c:pt idx="199">
                  <c:v>6.5333333333333297</c:v>
                </c:pt>
                <c:pt idx="200">
                  <c:v>6.70757575757575</c:v>
                </c:pt>
                <c:pt idx="201">
                  <c:v>6.2909090909090901</c:v>
                </c:pt>
                <c:pt idx="202">
                  <c:v>6.5757575757575699</c:v>
                </c:pt>
                <c:pt idx="203">
                  <c:v>6.8424242424242401</c:v>
                </c:pt>
                <c:pt idx="204">
                  <c:v>6.7236363636363601</c:v>
                </c:pt>
                <c:pt idx="205">
                  <c:v>6.8075757575757496</c:v>
                </c:pt>
                <c:pt idx="206">
                  <c:v>6.7636363636363601</c:v>
                </c:pt>
                <c:pt idx="207">
                  <c:v>7.0954545454545404</c:v>
                </c:pt>
                <c:pt idx="208">
                  <c:v>7.0287878787878704</c:v>
                </c:pt>
                <c:pt idx="209">
                  <c:v>7.4492424242424198</c:v>
                </c:pt>
                <c:pt idx="210">
                  <c:v>6.8409090909090899</c:v>
                </c:pt>
                <c:pt idx="211">
                  <c:v>7.1918181818181797</c:v>
                </c:pt>
                <c:pt idx="212">
                  <c:v>7.4148484848484797</c:v>
                </c:pt>
                <c:pt idx="213">
                  <c:v>7.1409090909090898</c:v>
                </c:pt>
                <c:pt idx="214">
                  <c:v>6.7681818181818096</c:v>
                </c:pt>
                <c:pt idx="215">
                  <c:v>7.2015151515151503</c:v>
                </c:pt>
                <c:pt idx="216">
                  <c:v>7.3742424242424196</c:v>
                </c:pt>
                <c:pt idx="217">
                  <c:v>7.4590909090909001</c:v>
                </c:pt>
                <c:pt idx="218">
                  <c:v>7.5939393939393902</c:v>
                </c:pt>
                <c:pt idx="219">
                  <c:v>7.3257575757575699</c:v>
                </c:pt>
                <c:pt idx="220">
                  <c:v>6.6333333333333302</c:v>
                </c:pt>
                <c:pt idx="221">
                  <c:v>7.0696969696969703</c:v>
                </c:pt>
                <c:pt idx="222">
                  <c:v>7.5106060606060598</c:v>
                </c:pt>
                <c:pt idx="223">
                  <c:v>7.7378787878787803</c:v>
                </c:pt>
                <c:pt idx="224">
                  <c:v>7.4378787878787804</c:v>
                </c:pt>
                <c:pt idx="225">
                  <c:v>7.3203125</c:v>
                </c:pt>
                <c:pt idx="226">
                  <c:v>6.9593749999999996</c:v>
                </c:pt>
                <c:pt idx="227">
                  <c:v>7.1937499999999996</c:v>
                </c:pt>
                <c:pt idx="228">
                  <c:v>7.7437500000000004</c:v>
                </c:pt>
                <c:pt idx="229">
                  <c:v>7.8</c:v>
                </c:pt>
                <c:pt idx="230">
                  <c:v>7.5171875000000004</c:v>
                </c:pt>
                <c:pt idx="231">
                  <c:v>7.5671875000000002</c:v>
                </c:pt>
                <c:pt idx="232">
                  <c:v>7.2593750000000004</c:v>
                </c:pt>
                <c:pt idx="233">
                  <c:v>7.5062499999999996</c:v>
                </c:pt>
                <c:pt idx="234">
                  <c:v>7.6363636363636296</c:v>
                </c:pt>
                <c:pt idx="235">
                  <c:v>8.1045454545454501</c:v>
                </c:pt>
                <c:pt idx="236">
                  <c:v>8.2954545454545396</c:v>
                </c:pt>
                <c:pt idx="237">
                  <c:v>8.2378787878787794</c:v>
                </c:pt>
                <c:pt idx="238">
                  <c:v>8.2484848484848392</c:v>
                </c:pt>
                <c:pt idx="239">
                  <c:v>8.5593939393939298</c:v>
                </c:pt>
                <c:pt idx="240">
                  <c:v>8.2121212121212093</c:v>
                </c:pt>
                <c:pt idx="241">
                  <c:v>8.8015151515151508</c:v>
                </c:pt>
                <c:pt idx="242">
                  <c:v>7.8968181818181797</c:v>
                </c:pt>
                <c:pt idx="243">
                  <c:v>8.5848484848484805</c:v>
                </c:pt>
                <c:pt idx="244">
                  <c:v>9.0333333333333297</c:v>
                </c:pt>
                <c:pt idx="245">
                  <c:v>8.7469696969696908</c:v>
                </c:pt>
                <c:pt idx="246">
                  <c:v>8.7227272727272709</c:v>
                </c:pt>
                <c:pt idx="247">
                  <c:v>8.4803030303030305</c:v>
                </c:pt>
                <c:pt idx="248">
                  <c:v>8.9078125000000004</c:v>
                </c:pt>
                <c:pt idx="249">
                  <c:v>8.9656249999999993</c:v>
                </c:pt>
                <c:pt idx="250">
                  <c:v>8.6015625</c:v>
                </c:pt>
                <c:pt idx="251">
                  <c:v>8.0227272727272698</c:v>
                </c:pt>
                <c:pt idx="252">
                  <c:v>9.0060606060606005</c:v>
                </c:pt>
                <c:pt idx="253">
                  <c:v>9.7090909090909001</c:v>
                </c:pt>
                <c:pt idx="254">
                  <c:v>9.6212121212121193</c:v>
                </c:pt>
                <c:pt idx="255">
                  <c:v>9.3833333333333293</c:v>
                </c:pt>
                <c:pt idx="256">
                  <c:v>9.8590909090909093</c:v>
                </c:pt>
                <c:pt idx="257">
                  <c:v>10.654545454545399</c:v>
                </c:pt>
                <c:pt idx="258">
                  <c:v>10.4757575757575</c:v>
                </c:pt>
                <c:pt idx="259">
                  <c:v>9.8469696969696905</c:v>
                </c:pt>
                <c:pt idx="260">
                  <c:v>9.6045454545454501</c:v>
                </c:pt>
                <c:pt idx="261">
                  <c:v>9.8772727272727199</c:v>
                </c:pt>
                <c:pt idx="262">
                  <c:v>9.4984848484848392</c:v>
                </c:pt>
                <c:pt idx="263">
                  <c:v>9.9712121212121207</c:v>
                </c:pt>
                <c:pt idx="264">
                  <c:v>9.6348484848484794</c:v>
                </c:pt>
                <c:pt idx="265">
                  <c:v>9.4318181818181799</c:v>
                </c:pt>
                <c:pt idx="266">
                  <c:v>9.9181818181818109</c:v>
                </c:pt>
                <c:pt idx="267">
                  <c:v>9.4424242424242397</c:v>
                </c:pt>
                <c:pt idx="268">
                  <c:v>10.2424242424242</c:v>
                </c:pt>
                <c:pt idx="269">
                  <c:v>10.445454545454499</c:v>
                </c:pt>
                <c:pt idx="270">
                  <c:v>10.198484848484799</c:v>
                </c:pt>
                <c:pt idx="271">
                  <c:v>10.072727272727199</c:v>
                </c:pt>
                <c:pt idx="272">
                  <c:v>11.2515151515151</c:v>
                </c:pt>
                <c:pt idx="273">
                  <c:v>11.2893939393939</c:v>
                </c:pt>
                <c:pt idx="274">
                  <c:v>11.590909090908999</c:v>
                </c:pt>
                <c:pt idx="275">
                  <c:v>10.8530303030303</c:v>
                </c:pt>
                <c:pt idx="276">
                  <c:v>10.580303030303</c:v>
                </c:pt>
                <c:pt idx="277">
                  <c:v>10.5</c:v>
                </c:pt>
                <c:pt idx="278">
                  <c:v>11.0757575757575</c:v>
                </c:pt>
                <c:pt idx="279">
                  <c:v>11.1621212121212</c:v>
                </c:pt>
                <c:pt idx="280">
                  <c:v>10.442424242424201</c:v>
                </c:pt>
                <c:pt idx="281">
                  <c:v>10.1257575757575</c:v>
                </c:pt>
                <c:pt idx="282">
                  <c:v>10.0590909090909</c:v>
                </c:pt>
                <c:pt idx="283">
                  <c:v>10.7469696969696</c:v>
                </c:pt>
                <c:pt idx="284">
                  <c:v>12.012121212121199</c:v>
                </c:pt>
                <c:pt idx="285">
                  <c:v>11.445454545454499</c:v>
                </c:pt>
                <c:pt idx="286">
                  <c:v>11.0863636363636</c:v>
                </c:pt>
                <c:pt idx="287">
                  <c:v>10.820454545454499</c:v>
                </c:pt>
                <c:pt idx="288">
                  <c:v>11.382575757575699</c:v>
                </c:pt>
                <c:pt idx="289">
                  <c:v>12.1743939393939</c:v>
                </c:pt>
                <c:pt idx="290">
                  <c:v>11.5590909090909</c:v>
                </c:pt>
                <c:pt idx="291">
                  <c:v>11.530303030302999</c:v>
                </c:pt>
                <c:pt idx="292">
                  <c:v>11.592424242424199</c:v>
                </c:pt>
                <c:pt idx="293">
                  <c:v>12.6712121212121</c:v>
                </c:pt>
                <c:pt idx="294">
                  <c:v>11.5966666666666</c:v>
                </c:pt>
                <c:pt idx="295">
                  <c:v>11.5331818181818</c:v>
                </c:pt>
                <c:pt idx="296">
                  <c:v>11.6060606060606</c:v>
                </c:pt>
                <c:pt idx="297">
                  <c:v>11.821212121212101</c:v>
                </c:pt>
                <c:pt idx="298">
                  <c:v>12.8742424242424</c:v>
                </c:pt>
                <c:pt idx="299">
                  <c:v>12.3921212121212</c:v>
                </c:pt>
                <c:pt idx="300">
                  <c:v>13.0242424242424</c:v>
                </c:pt>
                <c:pt idx="301">
                  <c:v>13.2075757575757</c:v>
                </c:pt>
                <c:pt idx="302">
                  <c:v>12.865151515151499</c:v>
                </c:pt>
                <c:pt idx="303">
                  <c:v>12.8045454545454</c:v>
                </c:pt>
                <c:pt idx="304">
                  <c:v>13.4363636363636</c:v>
                </c:pt>
                <c:pt idx="305">
                  <c:v>12.756060606060601</c:v>
                </c:pt>
                <c:pt idx="306">
                  <c:v>12.960606060606001</c:v>
                </c:pt>
                <c:pt idx="307">
                  <c:v>13.0166666666666</c:v>
                </c:pt>
                <c:pt idx="308">
                  <c:v>12.8439393939393</c:v>
                </c:pt>
                <c:pt idx="309">
                  <c:v>12.319696969696899</c:v>
                </c:pt>
                <c:pt idx="310">
                  <c:v>12.6025757575757</c:v>
                </c:pt>
                <c:pt idx="311">
                  <c:v>12.547121212121199</c:v>
                </c:pt>
                <c:pt idx="312">
                  <c:v>12.8168181818181</c:v>
                </c:pt>
                <c:pt idx="313">
                  <c:v>14.334848484848401</c:v>
                </c:pt>
                <c:pt idx="314">
                  <c:v>13.660606060606</c:v>
                </c:pt>
                <c:pt idx="315">
                  <c:v>13.3045454545454</c:v>
                </c:pt>
                <c:pt idx="316">
                  <c:v>12.422727272727199</c:v>
                </c:pt>
                <c:pt idx="317">
                  <c:v>12.9954545454545</c:v>
                </c:pt>
                <c:pt idx="318">
                  <c:v>13.430303030303</c:v>
                </c:pt>
                <c:pt idx="319">
                  <c:v>13.7712121212121</c:v>
                </c:pt>
                <c:pt idx="320">
                  <c:v>12.8924242424242</c:v>
                </c:pt>
                <c:pt idx="321">
                  <c:v>12.363636363636299</c:v>
                </c:pt>
                <c:pt idx="322">
                  <c:v>12.159090909090899</c:v>
                </c:pt>
                <c:pt idx="323">
                  <c:v>13.048484848484801</c:v>
                </c:pt>
                <c:pt idx="324">
                  <c:v>12.9621212121212</c:v>
                </c:pt>
                <c:pt idx="325">
                  <c:v>12.268749999999899</c:v>
                </c:pt>
                <c:pt idx="326">
                  <c:v>13.610937499999901</c:v>
                </c:pt>
                <c:pt idx="327">
                  <c:v>13.9</c:v>
                </c:pt>
                <c:pt idx="328">
                  <c:v>14.229687499999899</c:v>
                </c:pt>
                <c:pt idx="329">
                  <c:v>13.9375</c:v>
                </c:pt>
                <c:pt idx="330">
                  <c:v>13.6234375</c:v>
                </c:pt>
                <c:pt idx="331">
                  <c:v>13.4125</c:v>
                </c:pt>
                <c:pt idx="332">
                  <c:v>13.120312499999899</c:v>
                </c:pt>
                <c:pt idx="333">
                  <c:v>13.534375000000001</c:v>
                </c:pt>
                <c:pt idx="334">
                  <c:v>14.5196969696969</c:v>
                </c:pt>
                <c:pt idx="335">
                  <c:v>14.7863636363636</c:v>
                </c:pt>
                <c:pt idx="336">
                  <c:v>15.427272727272699</c:v>
                </c:pt>
                <c:pt idx="337">
                  <c:v>15.004545454545401</c:v>
                </c:pt>
                <c:pt idx="338">
                  <c:v>14.903030303030301</c:v>
                </c:pt>
                <c:pt idx="339">
                  <c:v>14.301515151515099</c:v>
                </c:pt>
                <c:pt idx="340">
                  <c:v>14.8272727272727</c:v>
                </c:pt>
                <c:pt idx="341">
                  <c:v>14.8772727272727</c:v>
                </c:pt>
                <c:pt idx="342">
                  <c:v>14.215151515151501</c:v>
                </c:pt>
                <c:pt idx="343">
                  <c:v>14.9121212121212</c:v>
                </c:pt>
                <c:pt idx="344">
                  <c:v>15.940909090909001</c:v>
                </c:pt>
                <c:pt idx="345">
                  <c:v>16.6272727272727</c:v>
                </c:pt>
                <c:pt idx="346">
                  <c:v>15.6196969696969</c:v>
                </c:pt>
                <c:pt idx="347">
                  <c:v>14.8939393939393</c:v>
                </c:pt>
                <c:pt idx="348">
                  <c:v>16</c:v>
                </c:pt>
                <c:pt idx="349">
                  <c:v>15.5590909090909</c:v>
                </c:pt>
                <c:pt idx="350">
                  <c:v>15.2454545454545</c:v>
                </c:pt>
                <c:pt idx="351">
                  <c:v>15.4969696969696</c:v>
                </c:pt>
                <c:pt idx="352">
                  <c:v>15.5242424242424</c:v>
                </c:pt>
                <c:pt idx="353">
                  <c:v>15.1863636363636</c:v>
                </c:pt>
                <c:pt idx="354">
                  <c:v>14.9893480257116</c:v>
                </c:pt>
                <c:pt idx="355">
                  <c:v>15.318181818181801</c:v>
                </c:pt>
                <c:pt idx="356">
                  <c:v>15.1030303030303</c:v>
                </c:pt>
                <c:pt idx="357">
                  <c:v>15.75</c:v>
                </c:pt>
                <c:pt idx="358">
                  <c:v>15.801515151515099</c:v>
                </c:pt>
                <c:pt idx="359">
                  <c:v>15.1378787878787</c:v>
                </c:pt>
                <c:pt idx="360">
                  <c:v>16.901515151515099</c:v>
                </c:pt>
                <c:pt idx="361">
                  <c:v>17.143939393939299</c:v>
                </c:pt>
                <c:pt idx="362">
                  <c:v>15.795454545454501</c:v>
                </c:pt>
                <c:pt idx="363">
                  <c:v>16.3359375</c:v>
                </c:pt>
                <c:pt idx="364">
                  <c:v>15.832812499999999</c:v>
                </c:pt>
                <c:pt idx="365">
                  <c:v>16.3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7B-42AE-A59C-62ACE34B571F}"/>
            </c:ext>
          </c:extLst>
        </c:ser>
        <c:ser>
          <c:idx val="1"/>
          <c:order val="1"/>
          <c:tx>
            <c:strRef>
              <c:f>'Met Data'!$C$2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Data'!$C$3:$C$368</c:f>
              <c:numCache>
                <c:formatCode>General</c:formatCode>
                <c:ptCount val="366"/>
                <c:pt idx="0">
                  <c:v>17.639655172413701</c:v>
                </c:pt>
                <c:pt idx="1">
                  <c:v>18.013793103448201</c:v>
                </c:pt>
                <c:pt idx="2">
                  <c:v>17.827586206896498</c:v>
                </c:pt>
                <c:pt idx="3">
                  <c:v>18.068965517241299</c:v>
                </c:pt>
                <c:pt idx="4">
                  <c:v>17.658620689655098</c:v>
                </c:pt>
                <c:pt idx="5">
                  <c:v>17.7431034482758</c:v>
                </c:pt>
                <c:pt idx="6">
                  <c:v>18.181034482758601</c:v>
                </c:pt>
                <c:pt idx="7">
                  <c:v>18.393103448275799</c:v>
                </c:pt>
                <c:pt idx="8">
                  <c:v>18.6103448275862</c:v>
                </c:pt>
                <c:pt idx="9">
                  <c:v>18.453448275862002</c:v>
                </c:pt>
                <c:pt idx="10">
                  <c:v>18.186206896551699</c:v>
                </c:pt>
                <c:pt idx="11">
                  <c:v>18.314999999999898</c:v>
                </c:pt>
                <c:pt idx="12">
                  <c:v>18.473333333333301</c:v>
                </c:pt>
                <c:pt idx="13">
                  <c:v>18.684999999999999</c:v>
                </c:pt>
                <c:pt idx="14">
                  <c:v>18.661666666666601</c:v>
                </c:pt>
                <c:pt idx="15">
                  <c:v>18.636666666666599</c:v>
                </c:pt>
                <c:pt idx="16">
                  <c:v>18.4233333333333</c:v>
                </c:pt>
                <c:pt idx="17">
                  <c:v>18.466666666666601</c:v>
                </c:pt>
                <c:pt idx="18">
                  <c:v>18.754999999999999</c:v>
                </c:pt>
                <c:pt idx="19">
                  <c:v>18.6933333333333</c:v>
                </c:pt>
                <c:pt idx="20">
                  <c:v>18.914999999999999</c:v>
                </c:pt>
                <c:pt idx="21">
                  <c:v>19.0133333333333</c:v>
                </c:pt>
                <c:pt idx="22">
                  <c:v>19.03</c:v>
                </c:pt>
                <c:pt idx="23">
                  <c:v>19.07</c:v>
                </c:pt>
                <c:pt idx="24">
                  <c:v>19.3</c:v>
                </c:pt>
                <c:pt idx="25">
                  <c:v>19.418333333333301</c:v>
                </c:pt>
                <c:pt idx="26">
                  <c:v>19.086666666666599</c:v>
                </c:pt>
                <c:pt idx="27">
                  <c:v>19.248333333333299</c:v>
                </c:pt>
                <c:pt idx="28">
                  <c:v>19.486666666666601</c:v>
                </c:pt>
                <c:pt idx="29">
                  <c:v>19.725000000000001</c:v>
                </c:pt>
                <c:pt idx="30">
                  <c:v>19.670000000000002</c:v>
                </c:pt>
                <c:pt idx="31">
                  <c:v>19.770689655172401</c:v>
                </c:pt>
                <c:pt idx="32">
                  <c:v>19.548275862068898</c:v>
                </c:pt>
                <c:pt idx="33">
                  <c:v>19.325862068965499</c:v>
                </c:pt>
                <c:pt idx="34">
                  <c:v>18.712068965517201</c:v>
                </c:pt>
                <c:pt idx="35">
                  <c:v>19.178333333333299</c:v>
                </c:pt>
                <c:pt idx="36">
                  <c:v>19.063333333333301</c:v>
                </c:pt>
                <c:pt idx="37">
                  <c:v>19.164999999999999</c:v>
                </c:pt>
                <c:pt idx="38">
                  <c:v>19.145</c:v>
                </c:pt>
                <c:pt idx="39">
                  <c:v>19.28</c:v>
                </c:pt>
                <c:pt idx="40">
                  <c:v>19.6533333333333</c:v>
                </c:pt>
                <c:pt idx="41">
                  <c:v>19.843333333333302</c:v>
                </c:pt>
                <c:pt idx="42">
                  <c:v>19.767241379310299</c:v>
                </c:pt>
                <c:pt idx="43">
                  <c:v>19.5672413793103</c:v>
                </c:pt>
                <c:pt idx="44">
                  <c:v>19.5910714285714</c:v>
                </c:pt>
                <c:pt idx="45">
                  <c:v>19.355357142857098</c:v>
                </c:pt>
                <c:pt idx="46">
                  <c:v>19.258928571428498</c:v>
                </c:pt>
                <c:pt idx="47">
                  <c:v>19.284482758620602</c:v>
                </c:pt>
                <c:pt idx="48">
                  <c:v>19.415517241379298</c:v>
                </c:pt>
                <c:pt idx="49">
                  <c:v>19.4189655172413</c:v>
                </c:pt>
                <c:pt idx="50">
                  <c:v>19.5068965517241</c:v>
                </c:pt>
                <c:pt idx="51">
                  <c:v>19.441666666666599</c:v>
                </c:pt>
                <c:pt idx="52">
                  <c:v>19.231666666666602</c:v>
                </c:pt>
                <c:pt idx="53">
                  <c:v>19.22</c:v>
                </c:pt>
                <c:pt idx="54">
                  <c:v>18.793333333333301</c:v>
                </c:pt>
                <c:pt idx="55">
                  <c:v>18.3</c:v>
                </c:pt>
                <c:pt idx="56">
                  <c:v>18.41</c:v>
                </c:pt>
                <c:pt idx="57">
                  <c:v>18.516666666666602</c:v>
                </c:pt>
                <c:pt idx="58">
                  <c:v>18.253571428571401</c:v>
                </c:pt>
                <c:pt idx="59">
                  <c:v>18.313793103448202</c:v>
                </c:pt>
                <c:pt idx="60">
                  <c:v>18.701724137930999</c:v>
                </c:pt>
                <c:pt idx="61">
                  <c:v>18.759999999999899</c:v>
                </c:pt>
                <c:pt idx="62">
                  <c:v>18.0322580645161</c:v>
                </c:pt>
                <c:pt idx="63">
                  <c:v>17.95</c:v>
                </c:pt>
                <c:pt idx="64">
                  <c:v>18.361290322580601</c:v>
                </c:pt>
                <c:pt idx="65">
                  <c:v>17.7903225806451</c:v>
                </c:pt>
                <c:pt idx="66">
                  <c:v>18.141379310344799</c:v>
                </c:pt>
                <c:pt idx="67">
                  <c:v>18.3816666666666</c:v>
                </c:pt>
                <c:pt idx="68">
                  <c:v>18.100000000000001</c:v>
                </c:pt>
                <c:pt idx="69">
                  <c:v>17.931666666666601</c:v>
                </c:pt>
                <c:pt idx="70">
                  <c:v>18.11</c:v>
                </c:pt>
                <c:pt idx="71">
                  <c:v>17.7392857142857</c:v>
                </c:pt>
                <c:pt idx="72">
                  <c:v>17.7431034482758</c:v>
                </c:pt>
                <c:pt idx="73">
                  <c:v>17.582758620689599</c:v>
                </c:pt>
                <c:pt idx="74">
                  <c:v>17.724137931034399</c:v>
                </c:pt>
                <c:pt idx="75">
                  <c:v>17.698333333333299</c:v>
                </c:pt>
                <c:pt idx="76">
                  <c:v>17.62</c:v>
                </c:pt>
                <c:pt idx="77">
                  <c:v>17.170000000000002</c:v>
                </c:pt>
                <c:pt idx="78">
                  <c:v>17.223333333333301</c:v>
                </c:pt>
                <c:pt idx="79">
                  <c:v>17.498333333333299</c:v>
                </c:pt>
                <c:pt idx="80">
                  <c:v>17.390322580645101</c:v>
                </c:pt>
                <c:pt idx="81">
                  <c:v>17.053333333333299</c:v>
                </c:pt>
                <c:pt idx="82">
                  <c:v>16.973333333333301</c:v>
                </c:pt>
                <c:pt idx="83">
                  <c:v>16.984999999999999</c:v>
                </c:pt>
                <c:pt idx="84">
                  <c:v>17.064516129032199</c:v>
                </c:pt>
                <c:pt idx="85">
                  <c:v>17.208064516128999</c:v>
                </c:pt>
                <c:pt idx="86">
                  <c:v>17.141666666666602</c:v>
                </c:pt>
                <c:pt idx="87">
                  <c:v>17.338333333333299</c:v>
                </c:pt>
                <c:pt idx="88">
                  <c:v>17.136206896551698</c:v>
                </c:pt>
                <c:pt idx="89">
                  <c:v>16.922413793103399</c:v>
                </c:pt>
                <c:pt idx="90">
                  <c:v>16.63</c:v>
                </c:pt>
                <c:pt idx="91">
                  <c:v>16.5379310344827</c:v>
                </c:pt>
                <c:pt idx="92">
                  <c:v>16.693103448275799</c:v>
                </c:pt>
                <c:pt idx="93">
                  <c:v>16.29</c:v>
                </c:pt>
                <c:pt idx="94">
                  <c:v>16.28</c:v>
                </c:pt>
                <c:pt idx="95">
                  <c:v>16.288333333333298</c:v>
                </c:pt>
                <c:pt idx="96">
                  <c:v>16.247502601456802</c:v>
                </c:pt>
                <c:pt idx="97">
                  <c:v>15.9919354838709</c:v>
                </c:pt>
                <c:pt idx="98">
                  <c:v>15.7</c:v>
                </c:pt>
                <c:pt idx="99">
                  <c:v>15.6066666666666</c:v>
                </c:pt>
                <c:pt idx="100">
                  <c:v>15.335000000000001</c:v>
                </c:pt>
                <c:pt idx="101">
                  <c:v>15.3916666666666</c:v>
                </c:pt>
                <c:pt idx="102">
                  <c:v>15.6451612903225</c:v>
                </c:pt>
                <c:pt idx="103">
                  <c:v>15.3435483870967</c:v>
                </c:pt>
                <c:pt idx="104">
                  <c:v>15.1612903225806</c:v>
                </c:pt>
                <c:pt idx="105">
                  <c:v>15.658064516129</c:v>
                </c:pt>
                <c:pt idx="106">
                  <c:v>15.408064516129</c:v>
                </c:pt>
                <c:pt idx="107">
                  <c:v>15.420967741935399</c:v>
                </c:pt>
                <c:pt idx="108">
                  <c:v>15.193548387096699</c:v>
                </c:pt>
                <c:pt idx="109">
                  <c:v>15.4096774193548</c:v>
                </c:pt>
                <c:pt idx="110">
                  <c:v>15.261666666666599</c:v>
                </c:pt>
                <c:pt idx="111">
                  <c:v>14.5283333333333</c:v>
                </c:pt>
                <c:pt idx="112">
                  <c:v>14.68</c:v>
                </c:pt>
                <c:pt idx="113">
                  <c:v>14.4933333333333</c:v>
                </c:pt>
                <c:pt idx="114">
                  <c:v>14.7733333333333</c:v>
                </c:pt>
                <c:pt idx="115">
                  <c:v>14.998333333333299</c:v>
                </c:pt>
                <c:pt idx="116">
                  <c:v>15.395</c:v>
                </c:pt>
                <c:pt idx="117">
                  <c:v>15.641379310344799</c:v>
                </c:pt>
                <c:pt idx="118">
                  <c:v>14.7327586206896</c:v>
                </c:pt>
                <c:pt idx="119">
                  <c:v>14.332758620689599</c:v>
                </c:pt>
                <c:pt idx="120">
                  <c:v>14.3982758620689</c:v>
                </c:pt>
                <c:pt idx="121">
                  <c:v>14.296666666666599</c:v>
                </c:pt>
                <c:pt idx="122">
                  <c:v>14.1866666666666</c:v>
                </c:pt>
                <c:pt idx="123">
                  <c:v>13.9112903225806</c:v>
                </c:pt>
                <c:pt idx="124">
                  <c:v>13.9966666666666</c:v>
                </c:pt>
                <c:pt idx="125">
                  <c:v>14.1596774193548</c:v>
                </c:pt>
                <c:pt idx="126">
                  <c:v>13.8403225806451</c:v>
                </c:pt>
                <c:pt idx="127">
                  <c:v>13.5774193548387</c:v>
                </c:pt>
                <c:pt idx="128">
                  <c:v>13.1612903225806</c:v>
                </c:pt>
                <c:pt idx="129">
                  <c:v>13.291935483870899</c:v>
                </c:pt>
                <c:pt idx="130">
                  <c:v>13.5774193548387</c:v>
                </c:pt>
                <c:pt idx="131">
                  <c:v>13.898387096774099</c:v>
                </c:pt>
                <c:pt idx="132">
                  <c:v>13.8193548387096</c:v>
                </c:pt>
                <c:pt idx="133">
                  <c:v>13.49</c:v>
                </c:pt>
                <c:pt idx="134">
                  <c:v>13.408064516129</c:v>
                </c:pt>
                <c:pt idx="135">
                  <c:v>13.4193548387096</c:v>
                </c:pt>
                <c:pt idx="136">
                  <c:v>13.0177419354838</c:v>
                </c:pt>
                <c:pt idx="137">
                  <c:v>12.8774193548387</c:v>
                </c:pt>
                <c:pt idx="138">
                  <c:v>13.3629032258064</c:v>
                </c:pt>
                <c:pt idx="139">
                  <c:v>13.314516129032199</c:v>
                </c:pt>
                <c:pt idx="140">
                  <c:v>13.598387096774101</c:v>
                </c:pt>
                <c:pt idx="141">
                  <c:v>13.074193548387001</c:v>
                </c:pt>
                <c:pt idx="142">
                  <c:v>12.8338709677419</c:v>
                </c:pt>
                <c:pt idx="143">
                  <c:v>12.761290322580599</c:v>
                </c:pt>
                <c:pt idx="144">
                  <c:v>13.04</c:v>
                </c:pt>
                <c:pt idx="145">
                  <c:v>13.44</c:v>
                </c:pt>
                <c:pt idx="146">
                  <c:v>12.8183333333333</c:v>
                </c:pt>
                <c:pt idx="147">
                  <c:v>12.088333333333299</c:v>
                </c:pt>
                <c:pt idx="148">
                  <c:v>11.7193548387096</c:v>
                </c:pt>
                <c:pt idx="149">
                  <c:v>12.024193548387</c:v>
                </c:pt>
                <c:pt idx="150">
                  <c:v>11.7258064516129</c:v>
                </c:pt>
                <c:pt idx="151">
                  <c:v>11.7564516129032</c:v>
                </c:pt>
                <c:pt idx="152">
                  <c:v>11.6033333333333</c:v>
                </c:pt>
                <c:pt idx="153">
                  <c:v>11.056666666666599</c:v>
                </c:pt>
                <c:pt idx="154">
                  <c:v>11.1733333333333</c:v>
                </c:pt>
                <c:pt idx="155">
                  <c:v>11.3016666666666</c:v>
                </c:pt>
                <c:pt idx="156">
                  <c:v>11.2416666666666</c:v>
                </c:pt>
                <c:pt idx="157">
                  <c:v>11.3533333333333</c:v>
                </c:pt>
                <c:pt idx="158">
                  <c:v>11.6383333333333</c:v>
                </c:pt>
                <c:pt idx="159">
                  <c:v>12.033333333333299</c:v>
                </c:pt>
                <c:pt idx="160">
                  <c:v>12.0483333333333</c:v>
                </c:pt>
                <c:pt idx="161">
                  <c:v>12.105</c:v>
                </c:pt>
                <c:pt idx="162">
                  <c:v>11.93</c:v>
                </c:pt>
                <c:pt idx="163">
                  <c:v>11.734999999999999</c:v>
                </c:pt>
                <c:pt idx="164">
                  <c:v>11.1666666666666</c:v>
                </c:pt>
                <c:pt idx="165">
                  <c:v>11.2283333333333</c:v>
                </c:pt>
                <c:pt idx="166">
                  <c:v>10.6586206896551</c:v>
                </c:pt>
                <c:pt idx="167">
                  <c:v>10.7310344827586</c:v>
                </c:pt>
                <c:pt idx="168">
                  <c:v>11.2603448275862</c:v>
                </c:pt>
                <c:pt idx="169">
                  <c:v>10.906896551724101</c:v>
                </c:pt>
                <c:pt idx="170">
                  <c:v>11.072413793103401</c:v>
                </c:pt>
                <c:pt idx="171">
                  <c:v>11.1844827586206</c:v>
                </c:pt>
                <c:pt idx="172">
                  <c:v>10.84</c:v>
                </c:pt>
                <c:pt idx="173">
                  <c:v>10.578333333333299</c:v>
                </c:pt>
                <c:pt idx="174">
                  <c:v>10.6928571428571</c:v>
                </c:pt>
                <c:pt idx="175">
                  <c:v>10.8642857142857</c:v>
                </c:pt>
                <c:pt idx="176">
                  <c:v>10.492857142857099</c:v>
                </c:pt>
                <c:pt idx="177">
                  <c:v>10.592857142857101</c:v>
                </c:pt>
                <c:pt idx="178">
                  <c:v>10.465517241379301</c:v>
                </c:pt>
                <c:pt idx="179">
                  <c:v>10.572413793103401</c:v>
                </c:pt>
                <c:pt idx="180">
                  <c:v>10.655357142857101</c:v>
                </c:pt>
                <c:pt idx="181">
                  <c:v>10.0517857142857</c:v>
                </c:pt>
                <c:pt idx="182">
                  <c:v>9.5678571428571395</c:v>
                </c:pt>
                <c:pt idx="183">
                  <c:v>9.7035714285714292</c:v>
                </c:pt>
                <c:pt idx="184">
                  <c:v>10.1785714285714</c:v>
                </c:pt>
                <c:pt idx="185">
                  <c:v>10.675000000000001</c:v>
                </c:pt>
                <c:pt idx="186">
                  <c:v>10.6303571428571</c:v>
                </c:pt>
                <c:pt idx="187">
                  <c:v>10.5714285714285</c:v>
                </c:pt>
                <c:pt idx="188">
                  <c:v>10.2685185185185</c:v>
                </c:pt>
                <c:pt idx="189">
                  <c:v>10.4166666666666</c:v>
                </c:pt>
                <c:pt idx="190">
                  <c:v>9.7703703703703706</c:v>
                </c:pt>
                <c:pt idx="191">
                  <c:v>9.4057692307692307</c:v>
                </c:pt>
                <c:pt idx="192">
                  <c:v>9.7037037037037006</c:v>
                </c:pt>
                <c:pt idx="193">
                  <c:v>9.875</c:v>
                </c:pt>
                <c:pt idx="194">
                  <c:v>9.4732142857142794</c:v>
                </c:pt>
                <c:pt idx="195">
                  <c:v>10.3732142857142</c:v>
                </c:pt>
                <c:pt idx="196">
                  <c:v>10.9428571428571</c:v>
                </c:pt>
                <c:pt idx="197">
                  <c:v>10.689655172413699</c:v>
                </c:pt>
                <c:pt idx="198">
                  <c:v>10.322413793103401</c:v>
                </c:pt>
                <c:pt idx="199">
                  <c:v>10.189655172413699</c:v>
                </c:pt>
                <c:pt idx="200">
                  <c:v>10.668333333333299</c:v>
                </c:pt>
                <c:pt idx="201">
                  <c:v>10.181666666666599</c:v>
                </c:pt>
                <c:pt idx="202">
                  <c:v>10.761666666666599</c:v>
                </c:pt>
                <c:pt idx="203">
                  <c:v>10.623333333333299</c:v>
                </c:pt>
                <c:pt idx="204">
                  <c:v>10.654999999999999</c:v>
                </c:pt>
                <c:pt idx="205">
                  <c:v>10.085000000000001</c:v>
                </c:pt>
                <c:pt idx="206">
                  <c:v>9.99</c:v>
                </c:pt>
                <c:pt idx="207">
                  <c:v>10.4116666666666</c:v>
                </c:pt>
                <c:pt idx="208">
                  <c:v>10.494999999999999</c:v>
                </c:pt>
                <c:pt idx="209">
                  <c:v>10.685</c:v>
                </c:pt>
                <c:pt idx="210">
                  <c:v>10.678333333333301</c:v>
                </c:pt>
                <c:pt idx="211">
                  <c:v>10.767241379310301</c:v>
                </c:pt>
                <c:pt idx="212">
                  <c:v>10.815</c:v>
                </c:pt>
                <c:pt idx="213">
                  <c:v>11.156666666666601</c:v>
                </c:pt>
                <c:pt idx="214">
                  <c:v>11.0879310344827</c:v>
                </c:pt>
                <c:pt idx="215">
                  <c:v>10.9965517241379</c:v>
                </c:pt>
                <c:pt idx="216">
                  <c:v>10.706395995550601</c:v>
                </c:pt>
                <c:pt idx="217">
                  <c:v>10.6327586206896</c:v>
                </c:pt>
                <c:pt idx="218">
                  <c:v>10.7362068965517</c:v>
                </c:pt>
                <c:pt idx="219">
                  <c:v>10.733333333333301</c:v>
                </c:pt>
                <c:pt idx="220">
                  <c:v>10.86</c:v>
                </c:pt>
                <c:pt idx="221">
                  <c:v>10.6416666666666</c:v>
                </c:pt>
                <c:pt idx="222">
                  <c:v>10.8983333333333</c:v>
                </c:pt>
                <c:pt idx="223">
                  <c:v>10.62</c:v>
                </c:pt>
                <c:pt idx="224">
                  <c:v>10.851666666666601</c:v>
                </c:pt>
                <c:pt idx="225">
                  <c:v>10.715517241379301</c:v>
                </c:pt>
                <c:pt idx="226">
                  <c:v>10.171666666666599</c:v>
                </c:pt>
                <c:pt idx="227">
                  <c:v>10.203333333333299</c:v>
                </c:pt>
                <c:pt idx="228">
                  <c:v>10.0833333333333</c:v>
                </c:pt>
                <c:pt idx="229">
                  <c:v>10.0833333333333</c:v>
                </c:pt>
                <c:pt idx="230">
                  <c:v>10.1383333333333</c:v>
                </c:pt>
                <c:pt idx="231">
                  <c:v>10.421666666666599</c:v>
                </c:pt>
                <c:pt idx="232">
                  <c:v>10.703333333333299</c:v>
                </c:pt>
                <c:pt idx="233">
                  <c:v>10.8266666666666</c:v>
                </c:pt>
                <c:pt idx="234">
                  <c:v>11.0766666666666</c:v>
                </c:pt>
                <c:pt idx="235">
                  <c:v>11.088333333333299</c:v>
                </c:pt>
                <c:pt idx="236">
                  <c:v>11.283333333333299</c:v>
                </c:pt>
                <c:pt idx="237">
                  <c:v>11.1383333333333</c:v>
                </c:pt>
                <c:pt idx="238">
                  <c:v>11.1133333333333</c:v>
                </c:pt>
                <c:pt idx="239">
                  <c:v>10.7724137931034</c:v>
                </c:pt>
                <c:pt idx="240">
                  <c:v>10.753448275862</c:v>
                </c:pt>
                <c:pt idx="241">
                  <c:v>10.891379310344799</c:v>
                </c:pt>
                <c:pt idx="242">
                  <c:v>10.953448275862</c:v>
                </c:pt>
                <c:pt idx="243">
                  <c:v>10.803333333333301</c:v>
                </c:pt>
                <c:pt idx="244">
                  <c:v>10.862068965517199</c:v>
                </c:pt>
                <c:pt idx="245">
                  <c:v>11.4379310344827</c:v>
                </c:pt>
                <c:pt idx="246">
                  <c:v>11.5448275862068</c:v>
                </c:pt>
                <c:pt idx="247">
                  <c:v>11.734482758620601</c:v>
                </c:pt>
                <c:pt idx="248">
                  <c:v>11.682758620689601</c:v>
                </c:pt>
                <c:pt idx="249">
                  <c:v>11.389655172413701</c:v>
                </c:pt>
                <c:pt idx="250">
                  <c:v>11.834482758620601</c:v>
                </c:pt>
                <c:pt idx="251">
                  <c:v>11.465</c:v>
                </c:pt>
                <c:pt idx="252">
                  <c:v>11.62</c:v>
                </c:pt>
                <c:pt idx="253">
                  <c:v>11.7633333333333</c:v>
                </c:pt>
                <c:pt idx="254">
                  <c:v>12.158333333333299</c:v>
                </c:pt>
                <c:pt idx="255">
                  <c:v>11.908333333333299</c:v>
                </c:pt>
                <c:pt idx="256">
                  <c:v>12.074999999999999</c:v>
                </c:pt>
                <c:pt idx="257">
                  <c:v>12.3883333333333</c:v>
                </c:pt>
                <c:pt idx="258">
                  <c:v>12.5766666666666</c:v>
                </c:pt>
                <c:pt idx="259">
                  <c:v>12.482258064516101</c:v>
                </c:pt>
                <c:pt idx="260">
                  <c:v>12.261290322580599</c:v>
                </c:pt>
                <c:pt idx="261">
                  <c:v>12.1677419354838</c:v>
                </c:pt>
                <c:pt idx="262">
                  <c:v>12.1064516129032</c:v>
                </c:pt>
                <c:pt idx="263">
                  <c:v>12.012903225806401</c:v>
                </c:pt>
                <c:pt idx="264">
                  <c:v>12.1612903225806</c:v>
                </c:pt>
                <c:pt idx="265">
                  <c:v>12.285483870967701</c:v>
                </c:pt>
                <c:pt idx="266">
                  <c:v>12.7274193548387</c:v>
                </c:pt>
                <c:pt idx="267">
                  <c:v>12.4338709677419</c:v>
                </c:pt>
                <c:pt idx="268">
                  <c:v>12.341666666666599</c:v>
                </c:pt>
                <c:pt idx="269">
                  <c:v>12.7183333333333</c:v>
                </c:pt>
                <c:pt idx="270">
                  <c:v>13.04</c:v>
                </c:pt>
                <c:pt idx="271">
                  <c:v>13.381034482758601</c:v>
                </c:pt>
                <c:pt idx="272">
                  <c:v>13.274137931034399</c:v>
                </c:pt>
                <c:pt idx="273">
                  <c:v>13.0233333333333</c:v>
                </c:pt>
                <c:pt idx="274">
                  <c:v>12.938333333333301</c:v>
                </c:pt>
                <c:pt idx="275">
                  <c:v>13.2433333333333</c:v>
                </c:pt>
                <c:pt idx="276">
                  <c:v>12.85</c:v>
                </c:pt>
                <c:pt idx="277">
                  <c:v>12.875806451612901</c:v>
                </c:pt>
                <c:pt idx="278">
                  <c:v>12.9966666666666</c:v>
                </c:pt>
                <c:pt idx="279">
                  <c:v>12.7633333333333</c:v>
                </c:pt>
                <c:pt idx="280">
                  <c:v>13.4816666666666</c:v>
                </c:pt>
                <c:pt idx="281">
                  <c:v>13.6933333333333</c:v>
                </c:pt>
                <c:pt idx="282">
                  <c:v>12.9568965517241</c:v>
                </c:pt>
                <c:pt idx="283">
                  <c:v>13.2293103448275</c:v>
                </c:pt>
                <c:pt idx="284">
                  <c:v>13.7431034482758</c:v>
                </c:pt>
                <c:pt idx="285">
                  <c:v>13.6551724137931</c:v>
                </c:pt>
                <c:pt idx="286">
                  <c:v>13.334482758620601</c:v>
                </c:pt>
                <c:pt idx="287">
                  <c:v>13.0379310344827</c:v>
                </c:pt>
                <c:pt idx="288">
                  <c:v>13.094827586206801</c:v>
                </c:pt>
                <c:pt idx="289">
                  <c:v>13.6775862068965</c:v>
                </c:pt>
                <c:pt idx="290">
                  <c:v>13.189655172413699</c:v>
                </c:pt>
                <c:pt idx="291">
                  <c:v>12.9428571428571</c:v>
                </c:pt>
                <c:pt idx="292">
                  <c:v>12.819642857142799</c:v>
                </c:pt>
                <c:pt idx="293">
                  <c:v>13.2785714285714</c:v>
                </c:pt>
                <c:pt idx="294">
                  <c:v>13.5625</c:v>
                </c:pt>
                <c:pt idx="295">
                  <c:v>13.9310344827586</c:v>
                </c:pt>
                <c:pt idx="296">
                  <c:v>13.336206896551699</c:v>
                </c:pt>
                <c:pt idx="297">
                  <c:v>13.789655172413701</c:v>
                </c:pt>
                <c:pt idx="298">
                  <c:v>14.0810344827586</c:v>
                </c:pt>
                <c:pt idx="299">
                  <c:v>14.8396551724137</c:v>
                </c:pt>
                <c:pt idx="300">
                  <c:v>14.274137931034399</c:v>
                </c:pt>
                <c:pt idx="301">
                  <c:v>14.29</c:v>
                </c:pt>
                <c:pt idx="302">
                  <c:v>14.715</c:v>
                </c:pt>
                <c:pt idx="303">
                  <c:v>14.5266666666666</c:v>
                </c:pt>
                <c:pt idx="304">
                  <c:v>14.0416666666666</c:v>
                </c:pt>
                <c:pt idx="305">
                  <c:v>14.098333333333301</c:v>
                </c:pt>
                <c:pt idx="306">
                  <c:v>13.9933333333333</c:v>
                </c:pt>
                <c:pt idx="307">
                  <c:v>14.2016666666666</c:v>
                </c:pt>
                <c:pt idx="308">
                  <c:v>14.5483333333333</c:v>
                </c:pt>
                <c:pt idx="309">
                  <c:v>14.156666666666601</c:v>
                </c:pt>
                <c:pt idx="310">
                  <c:v>14.466666666666599</c:v>
                </c:pt>
                <c:pt idx="311">
                  <c:v>14.7283333333333</c:v>
                </c:pt>
                <c:pt idx="312">
                  <c:v>14.37</c:v>
                </c:pt>
                <c:pt idx="313">
                  <c:v>14.7216666666666</c:v>
                </c:pt>
                <c:pt idx="314">
                  <c:v>14.816666666666601</c:v>
                </c:pt>
                <c:pt idx="315">
                  <c:v>14.7883333333333</c:v>
                </c:pt>
                <c:pt idx="316">
                  <c:v>14.5583333333333</c:v>
                </c:pt>
                <c:pt idx="317">
                  <c:v>14.5066666666666</c:v>
                </c:pt>
                <c:pt idx="318">
                  <c:v>14.8633333333333</c:v>
                </c:pt>
                <c:pt idx="319">
                  <c:v>15.191666666666601</c:v>
                </c:pt>
                <c:pt idx="320">
                  <c:v>14.805</c:v>
                </c:pt>
                <c:pt idx="321">
                  <c:v>14.4366666666666</c:v>
                </c:pt>
                <c:pt idx="322">
                  <c:v>14.4133333333333</c:v>
                </c:pt>
                <c:pt idx="323">
                  <c:v>14.8266666666666</c:v>
                </c:pt>
                <c:pt idx="324">
                  <c:v>14.899999999999901</c:v>
                </c:pt>
                <c:pt idx="325">
                  <c:v>15.125</c:v>
                </c:pt>
                <c:pt idx="326">
                  <c:v>15.358333333333301</c:v>
                </c:pt>
                <c:pt idx="327">
                  <c:v>15.2051724137931</c:v>
                </c:pt>
                <c:pt idx="328">
                  <c:v>15.834482758620601</c:v>
                </c:pt>
                <c:pt idx="329">
                  <c:v>15.876666666666599</c:v>
                </c:pt>
                <c:pt idx="330">
                  <c:v>15.52</c:v>
                </c:pt>
                <c:pt idx="331">
                  <c:v>15.438333333333301</c:v>
                </c:pt>
                <c:pt idx="332">
                  <c:v>15.551724137931</c:v>
                </c:pt>
                <c:pt idx="333">
                  <c:v>15.832758620689599</c:v>
                </c:pt>
                <c:pt idx="334">
                  <c:v>16.082758620689599</c:v>
                </c:pt>
                <c:pt idx="335">
                  <c:v>16.4931034482758</c:v>
                </c:pt>
                <c:pt idx="336">
                  <c:v>16.78</c:v>
                </c:pt>
                <c:pt idx="337">
                  <c:v>16.8266666666666</c:v>
                </c:pt>
                <c:pt idx="338">
                  <c:v>16.6516666666666</c:v>
                </c:pt>
                <c:pt idx="339">
                  <c:v>16.68</c:v>
                </c:pt>
                <c:pt idx="340">
                  <c:v>16.158333333333299</c:v>
                </c:pt>
                <c:pt idx="341">
                  <c:v>16.105</c:v>
                </c:pt>
                <c:pt idx="342">
                  <c:v>16.565000000000001</c:v>
                </c:pt>
                <c:pt idx="343">
                  <c:v>16.483333333333299</c:v>
                </c:pt>
                <c:pt idx="344">
                  <c:v>17.015000000000001</c:v>
                </c:pt>
                <c:pt idx="345">
                  <c:v>17.483333333333299</c:v>
                </c:pt>
                <c:pt idx="346">
                  <c:v>17.251666666666601</c:v>
                </c:pt>
                <c:pt idx="347">
                  <c:v>17.1733333333333</c:v>
                </c:pt>
                <c:pt idx="348">
                  <c:v>17.0068965517241</c:v>
                </c:pt>
                <c:pt idx="349">
                  <c:v>17.105172413793099</c:v>
                </c:pt>
                <c:pt idx="350">
                  <c:v>17.153448275862001</c:v>
                </c:pt>
                <c:pt idx="351">
                  <c:v>16.853448275862</c:v>
                </c:pt>
                <c:pt idx="352">
                  <c:v>17.030357142857099</c:v>
                </c:pt>
                <c:pt idx="353">
                  <c:v>17.3086206896551</c:v>
                </c:pt>
                <c:pt idx="354">
                  <c:v>17.3086206896551</c:v>
                </c:pt>
                <c:pt idx="355">
                  <c:v>17.474137931034399</c:v>
                </c:pt>
                <c:pt idx="356">
                  <c:v>17.091379310344799</c:v>
                </c:pt>
                <c:pt idx="357">
                  <c:v>17.2275862068965</c:v>
                </c:pt>
                <c:pt idx="358">
                  <c:v>17.475862068965501</c:v>
                </c:pt>
                <c:pt idx="359">
                  <c:v>17.193103448275799</c:v>
                </c:pt>
                <c:pt idx="360">
                  <c:v>17.263793103448201</c:v>
                </c:pt>
                <c:pt idx="361">
                  <c:v>18.060344827586199</c:v>
                </c:pt>
                <c:pt idx="362">
                  <c:v>18.386206896551698</c:v>
                </c:pt>
                <c:pt idx="363">
                  <c:v>18.156896551724099</c:v>
                </c:pt>
                <c:pt idx="364">
                  <c:v>17.8086206896551</c:v>
                </c:pt>
                <c:pt idx="365">
                  <c:v>17.691666666666599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7B-42AE-A59C-62ACE34B571F}"/>
            </c:ext>
          </c:extLst>
        </c:ser>
        <c:ser>
          <c:idx val="2"/>
          <c:order val="2"/>
          <c:tx>
            <c:strRef>
              <c:f>'Met Data'!$D$2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Data'!$D$3:$D$368</c:f>
              <c:numCache>
                <c:formatCode>General</c:formatCode>
                <c:ptCount val="366"/>
                <c:pt idx="0">
                  <c:v>17.1568181818181</c:v>
                </c:pt>
                <c:pt idx="1">
                  <c:v>17.6204545454545</c:v>
                </c:pt>
                <c:pt idx="2">
                  <c:v>18.015909090908998</c:v>
                </c:pt>
                <c:pt idx="3">
                  <c:v>16.890909090908998</c:v>
                </c:pt>
                <c:pt idx="4">
                  <c:v>16.95</c:v>
                </c:pt>
                <c:pt idx="5">
                  <c:v>17.2431818181818</c:v>
                </c:pt>
                <c:pt idx="6">
                  <c:v>18.231818181818099</c:v>
                </c:pt>
                <c:pt idx="7">
                  <c:v>18.6272727272727</c:v>
                </c:pt>
                <c:pt idx="8">
                  <c:v>17.629545454545401</c:v>
                </c:pt>
                <c:pt idx="9">
                  <c:v>17.947727272727199</c:v>
                </c:pt>
                <c:pt idx="10">
                  <c:v>17.4590909090909</c:v>
                </c:pt>
                <c:pt idx="11">
                  <c:v>17.804545454545401</c:v>
                </c:pt>
                <c:pt idx="12">
                  <c:v>17.6613636363636</c:v>
                </c:pt>
                <c:pt idx="13">
                  <c:v>17.6272727272727</c:v>
                </c:pt>
                <c:pt idx="14">
                  <c:v>18.465909090909001</c:v>
                </c:pt>
                <c:pt idx="15">
                  <c:v>18.047727272727201</c:v>
                </c:pt>
                <c:pt idx="16">
                  <c:v>17.588636363636301</c:v>
                </c:pt>
                <c:pt idx="17">
                  <c:v>17.822727272727199</c:v>
                </c:pt>
                <c:pt idx="18">
                  <c:v>18.402272727272699</c:v>
                </c:pt>
                <c:pt idx="19">
                  <c:v>17.295454545454501</c:v>
                </c:pt>
                <c:pt idx="20">
                  <c:v>17.945454545454499</c:v>
                </c:pt>
                <c:pt idx="21">
                  <c:v>18.527272727272699</c:v>
                </c:pt>
                <c:pt idx="22">
                  <c:v>18.188636363636299</c:v>
                </c:pt>
                <c:pt idx="23">
                  <c:v>18.277272727272699</c:v>
                </c:pt>
                <c:pt idx="24">
                  <c:v>18.572727272727199</c:v>
                </c:pt>
                <c:pt idx="25">
                  <c:v>17.813636363636299</c:v>
                </c:pt>
                <c:pt idx="26">
                  <c:v>17.5386363636363</c:v>
                </c:pt>
                <c:pt idx="27">
                  <c:v>17.2931818181818</c:v>
                </c:pt>
                <c:pt idx="28">
                  <c:v>18.397727272727199</c:v>
                </c:pt>
                <c:pt idx="29">
                  <c:v>18.840909090909001</c:v>
                </c:pt>
                <c:pt idx="30">
                  <c:v>19.3363636363636</c:v>
                </c:pt>
                <c:pt idx="31">
                  <c:v>19.163223140495798</c:v>
                </c:pt>
                <c:pt idx="32">
                  <c:v>18.263636363636301</c:v>
                </c:pt>
                <c:pt idx="33">
                  <c:v>18.302272727272701</c:v>
                </c:pt>
                <c:pt idx="34">
                  <c:v>17.9113636363636</c:v>
                </c:pt>
                <c:pt idx="35">
                  <c:v>18.540909090909</c:v>
                </c:pt>
                <c:pt idx="36">
                  <c:v>18.007142857142799</c:v>
                </c:pt>
                <c:pt idx="37">
                  <c:v>17.852380952380901</c:v>
                </c:pt>
                <c:pt idx="38">
                  <c:v>17.657142857142802</c:v>
                </c:pt>
                <c:pt idx="39">
                  <c:v>17.938095238095201</c:v>
                </c:pt>
                <c:pt idx="40">
                  <c:v>18.578571428571401</c:v>
                </c:pt>
                <c:pt idx="41">
                  <c:v>18.902380952380899</c:v>
                </c:pt>
                <c:pt idx="42">
                  <c:v>19.242857142857101</c:v>
                </c:pt>
                <c:pt idx="43">
                  <c:v>18.5023809523809</c:v>
                </c:pt>
                <c:pt idx="44">
                  <c:v>19.173809523809499</c:v>
                </c:pt>
                <c:pt idx="45">
                  <c:v>17.711904761904702</c:v>
                </c:pt>
                <c:pt idx="46">
                  <c:v>17.540476190476099</c:v>
                </c:pt>
                <c:pt idx="47">
                  <c:v>17.480952380952299</c:v>
                </c:pt>
                <c:pt idx="48">
                  <c:v>18.180952380952299</c:v>
                </c:pt>
                <c:pt idx="49">
                  <c:v>18.052499999999998</c:v>
                </c:pt>
                <c:pt idx="50">
                  <c:v>18.1325</c:v>
                </c:pt>
                <c:pt idx="51">
                  <c:v>18.647619047618999</c:v>
                </c:pt>
                <c:pt idx="52">
                  <c:v>17.936363636363598</c:v>
                </c:pt>
                <c:pt idx="53">
                  <c:v>17.645454545454498</c:v>
                </c:pt>
                <c:pt idx="54">
                  <c:v>16.713636363636301</c:v>
                </c:pt>
                <c:pt idx="55">
                  <c:v>16.613636363636299</c:v>
                </c:pt>
                <c:pt idx="56">
                  <c:v>17.136363636363601</c:v>
                </c:pt>
                <c:pt idx="57">
                  <c:v>17.429545454545401</c:v>
                </c:pt>
                <c:pt idx="58">
                  <c:v>17.274999999999999</c:v>
                </c:pt>
                <c:pt idx="59">
                  <c:v>17.365909090909</c:v>
                </c:pt>
                <c:pt idx="60">
                  <c:v>17.965909090909001</c:v>
                </c:pt>
                <c:pt idx="61">
                  <c:v>17.652272727272699</c:v>
                </c:pt>
                <c:pt idx="62">
                  <c:v>16.143181818181802</c:v>
                </c:pt>
                <c:pt idx="63">
                  <c:v>15.940909090909001</c:v>
                </c:pt>
                <c:pt idx="64">
                  <c:v>17.093181818181801</c:v>
                </c:pt>
                <c:pt idx="65">
                  <c:v>17.238636363636299</c:v>
                </c:pt>
                <c:pt idx="66">
                  <c:v>17.193181818181799</c:v>
                </c:pt>
                <c:pt idx="67">
                  <c:v>16.588636363636301</c:v>
                </c:pt>
                <c:pt idx="68">
                  <c:v>16.607142857142801</c:v>
                </c:pt>
                <c:pt idx="69">
                  <c:v>16.871428571428499</c:v>
                </c:pt>
                <c:pt idx="70">
                  <c:v>16.204761904761899</c:v>
                </c:pt>
                <c:pt idx="71">
                  <c:v>16.140692640692599</c:v>
                </c:pt>
                <c:pt idx="72">
                  <c:v>15.6681818181818</c:v>
                </c:pt>
                <c:pt idx="73">
                  <c:v>15.9727272727272</c:v>
                </c:pt>
                <c:pt idx="74">
                  <c:v>17.070454545454499</c:v>
                </c:pt>
                <c:pt idx="75">
                  <c:v>16.222727272727202</c:v>
                </c:pt>
                <c:pt idx="76">
                  <c:v>16.545454545454501</c:v>
                </c:pt>
                <c:pt idx="77">
                  <c:v>15.986363636363601</c:v>
                </c:pt>
                <c:pt idx="78">
                  <c:v>15.9792207792207</c:v>
                </c:pt>
                <c:pt idx="79">
                  <c:v>16.5023809523809</c:v>
                </c:pt>
                <c:pt idx="80">
                  <c:v>16.8</c:v>
                </c:pt>
                <c:pt idx="81">
                  <c:v>16.269047619047601</c:v>
                </c:pt>
                <c:pt idx="82">
                  <c:v>15.6261904761904</c:v>
                </c:pt>
                <c:pt idx="83">
                  <c:v>16.123809523809499</c:v>
                </c:pt>
                <c:pt idx="84">
                  <c:v>15.8095238095238</c:v>
                </c:pt>
                <c:pt idx="85">
                  <c:v>16.542857142857098</c:v>
                </c:pt>
                <c:pt idx="86">
                  <c:v>16.4522727272727</c:v>
                </c:pt>
                <c:pt idx="87">
                  <c:v>16.672727272727201</c:v>
                </c:pt>
                <c:pt idx="88">
                  <c:v>16.197727272727199</c:v>
                </c:pt>
                <c:pt idx="89">
                  <c:v>15.659090909090899</c:v>
                </c:pt>
                <c:pt idx="90">
                  <c:v>15.4340909090909</c:v>
                </c:pt>
                <c:pt idx="91">
                  <c:v>14.9068181818181</c:v>
                </c:pt>
                <c:pt idx="92">
                  <c:v>15.745238095237999</c:v>
                </c:pt>
                <c:pt idx="93">
                  <c:v>15.7068181818181</c:v>
                </c:pt>
                <c:pt idx="94">
                  <c:v>14.572727272727199</c:v>
                </c:pt>
                <c:pt idx="95">
                  <c:v>14.770238095238</c:v>
                </c:pt>
                <c:pt idx="96">
                  <c:v>14.7797619047619</c:v>
                </c:pt>
                <c:pt idx="97">
                  <c:v>14.023809523809501</c:v>
                </c:pt>
                <c:pt idx="98">
                  <c:v>13.889502164502099</c:v>
                </c:pt>
                <c:pt idx="99">
                  <c:v>13.756818181818099</c:v>
                </c:pt>
                <c:pt idx="100">
                  <c:v>13.3296536796536</c:v>
                </c:pt>
                <c:pt idx="101">
                  <c:v>13.866785714285699</c:v>
                </c:pt>
                <c:pt idx="102">
                  <c:v>13.820454545454499</c:v>
                </c:pt>
                <c:pt idx="103">
                  <c:v>13.2340909090909</c:v>
                </c:pt>
                <c:pt idx="104">
                  <c:v>13.206601731601699</c:v>
                </c:pt>
                <c:pt idx="105">
                  <c:v>13.5619047619047</c:v>
                </c:pt>
                <c:pt idx="106">
                  <c:v>13.6272727272727</c:v>
                </c:pt>
                <c:pt idx="107">
                  <c:v>13.259090909090901</c:v>
                </c:pt>
                <c:pt idx="108">
                  <c:v>12.815909090909001</c:v>
                </c:pt>
                <c:pt idx="109">
                  <c:v>12.6386363636363</c:v>
                </c:pt>
                <c:pt idx="110">
                  <c:v>13.093181818181799</c:v>
                </c:pt>
                <c:pt idx="111">
                  <c:v>12.938095238095199</c:v>
                </c:pt>
                <c:pt idx="112">
                  <c:v>12.8654761904761</c:v>
                </c:pt>
                <c:pt idx="113">
                  <c:v>13.697727272727199</c:v>
                </c:pt>
                <c:pt idx="114">
                  <c:v>13.3666666666666</c:v>
                </c:pt>
                <c:pt idx="115">
                  <c:v>12.558549783549701</c:v>
                </c:pt>
                <c:pt idx="116">
                  <c:v>13.529545454545399</c:v>
                </c:pt>
                <c:pt idx="117">
                  <c:v>14.0386363636363</c:v>
                </c:pt>
                <c:pt idx="118">
                  <c:v>13.595454545454499</c:v>
                </c:pt>
                <c:pt idx="119">
                  <c:v>13.049999999999899</c:v>
                </c:pt>
                <c:pt idx="120">
                  <c:v>12.733333333333301</c:v>
                </c:pt>
                <c:pt idx="121">
                  <c:v>12.1863636363636</c:v>
                </c:pt>
                <c:pt idx="122">
                  <c:v>12.2068181818181</c:v>
                </c:pt>
                <c:pt idx="123">
                  <c:v>12.772727272727201</c:v>
                </c:pt>
                <c:pt idx="124">
                  <c:v>11.6095238095238</c:v>
                </c:pt>
                <c:pt idx="125">
                  <c:v>12.3136363636363</c:v>
                </c:pt>
                <c:pt idx="126">
                  <c:v>12.261363636363599</c:v>
                </c:pt>
                <c:pt idx="127">
                  <c:v>11.9340909090909</c:v>
                </c:pt>
                <c:pt idx="128">
                  <c:v>11.540909090909</c:v>
                </c:pt>
                <c:pt idx="129">
                  <c:v>11.902272727272701</c:v>
                </c:pt>
                <c:pt idx="130">
                  <c:v>12.381818181818099</c:v>
                </c:pt>
                <c:pt idx="131">
                  <c:v>12.35</c:v>
                </c:pt>
                <c:pt idx="132">
                  <c:v>11.884090909090901</c:v>
                </c:pt>
                <c:pt idx="133">
                  <c:v>11.861363636363601</c:v>
                </c:pt>
                <c:pt idx="134">
                  <c:v>12.3318181818181</c:v>
                </c:pt>
                <c:pt idx="135">
                  <c:v>12.0795454545454</c:v>
                </c:pt>
                <c:pt idx="136">
                  <c:v>11.25</c:v>
                </c:pt>
                <c:pt idx="137">
                  <c:v>9.9250000000000007</c:v>
                </c:pt>
                <c:pt idx="138">
                  <c:v>10.8318181818181</c:v>
                </c:pt>
                <c:pt idx="139">
                  <c:v>10.945454545454499</c:v>
                </c:pt>
                <c:pt idx="140">
                  <c:v>11.1818181818181</c:v>
                </c:pt>
                <c:pt idx="141">
                  <c:v>10.756818181818099</c:v>
                </c:pt>
                <c:pt idx="142">
                  <c:v>10.147727272727201</c:v>
                </c:pt>
                <c:pt idx="143">
                  <c:v>10.890909090909</c:v>
                </c:pt>
                <c:pt idx="144">
                  <c:v>10.35</c:v>
                </c:pt>
                <c:pt idx="145">
                  <c:v>10.795454545454501</c:v>
                </c:pt>
                <c:pt idx="146">
                  <c:v>10.8363636363636</c:v>
                </c:pt>
                <c:pt idx="147">
                  <c:v>9.9977272727272695</c:v>
                </c:pt>
                <c:pt idx="148">
                  <c:v>10.025</c:v>
                </c:pt>
                <c:pt idx="149">
                  <c:v>9.4727272727272709</c:v>
                </c:pt>
                <c:pt idx="150">
                  <c:v>9.3613636363636292</c:v>
                </c:pt>
                <c:pt idx="151">
                  <c:v>8.8113636363636303</c:v>
                </c:pt>
                <c:pt idx="152">
                  <c:v>10.022727272727201</c:v>
                </c:pt>
                <c:pt idx="153">
                  <c:v>9.2272727272727195</c:v>
                </c:pt>
                <c:pt idx="154">
                  <c:v>9.1909090909090896</c:v>
                </c:pt>
                <c:pt idx="155">
                  <c:v>8.9022727272727202</c:v>
                </c:pt>
                <c:pt idx="156">
                  <c:v>9.3249999999999993</c:v>
                </c:pt>
                <c:pt idx="157">
                  <c:v>8.8249999999999993</c:v>
                </c:pt>
                <c:pt idx="158">
                  <c:v>8.7545454545454504</c:v>
                </c:pt>
                <c:pt idx="159">
                  <c:v>8.4977272727272695</c:v>
                </c:pt>
                <c:pt idx="160">
                  <c:v>9.8119047619047599</c:v>
                </c:pt>
                <c:pt idx="161">
                  <c:v>10.1785714285714</c:v>
                </c:pt>
                <c:pt idx="162">
                  <c:v>10.6</c:v>
                </c:pt>
                <c:pt idx="163">
                  <c:v>9.9095238095238098</c:v>
                </c:pt>
                <c:pt idx="164">
                  <c:v>9.4833333333333307</c:v>
                </c:pt>
                <c:pt idx="165">
                  <c:v>8.9738095238095195</c:v>
                </c:pt>
                <c:pt idx="166">
                  <c:v>9.1873376623376597</c:v>
                </c:pt>
                <c:pt idx="167">
                  <c:v>9.3000000000000007</c:v>
                </c:pt>
                <c:pt idx="168">
                  <c:v>9.0485930735930697</c:v>
                </c:pt>
                <c:pt idx="169">
                  <c:v>9.3318181818181802</c:v>
                </c:pt>
                <c:pt idx="170">
                  <c:v>8.5568181818181799</c:v>
                </c:pt>
                <c:pt idx="171">
                  <c:v>9.0977272727272709</c:v>
                </c:pt>
                <c:pt idx="172">
                  <c:v>8.1601731601731604</c:v>
                </c:pt>
                <c:pt idx="173">
                  <c:v>8.8409090909090899</c:v>
                </c:pt>
                <c:pt idx="174">
                  <c:v>8.4772727272727195</c:v>
                </c:pt>
                <c:pt idx="175">
                  <c:v>8.4992424242424196</c:v>
                </c:pt>
                <c:pt idx="176">
                  <c:v>8.1190476190476097</c:v>
                </c:pt>
                <c:pt idx="177">
                  <c:v>8.35</c:v>
                </c:pt>
                <c:pt idx="178">
                  <c:v>8.0295454545454508</c:v>
                </c:pt>
                <c:pt idx="179">
                  <c:v>8.7095238095238106</c:v>
                </c:pt>
                <c:pt idx="180">
                  <c:v>8.2333333333333307</c:v>
                </c:pt>
                <c:pt idx="181">
                  <c:v>8.6285714285714192</c:v>
                </c:pt>
                <c:pt idx="182">
                  <c:v>8.3523809523809494</c:v>
                </c:pt>
                <c:pt idx="183">
                  <c:v>8.2065476190476101</c:v>
                </c:pt>
                <c:pt idx="184">
                  <c:v>8.4166666666666607</c:v>
                </c:pt>
                <c:pt idx="185">
                  <c:v>8.3928571428571406</c:v>
                </c:pt>
                <c:pt idx="186">
                  <c:v>8.5049999999999901</c:v>
                </c:pt>
                <c:pt idx="187">
                  <c:v>9.11666666666666</c:v>
                </c:pt>
                <c:pt idx="188">
                  <c:v>8.6547619047618998</c:v>
                </c:pt>
                <c:pt idx="189">
                  <c:v>8.3523809523809494</c:v>
                </c:pt>
                <c:pt idx="190">
                  <c:v>8.1119047619047606</c:v>
                </c:pt>
                <c:pt idx="191">
                  <c:v>8.3619047619047606</c:v>
                </c:pt>
                <c:pt idx="192">
                  <c:v>8.4476190476190407</c:v>
                </c:pt>
                <c:pt idx="193">
                  <c:v>8.0047619047618994</c:v>
                </c:pt>
                <c:pt idx="194">
                  <c:v>7.5666666666666602</c:v>
                </c:pt>
                <c:pt idx="195">
                  <c:v>8.4499999999999993</c:v>
                </c:pt>
                <c:pt idx="196">
                  <c:v>8.6999999999999993</c:v>
                </c:pt>
                <c:pt idx="197">
                  <c:v>9.1380952380952305</c:v>
                </c:pt>
                <c:pt idx="198">
                  <c:v>8.3357142857142801</c:v>
                </c:pt>
                <c:pt idx="199">
                  <c:v>7.9571428571428502</c:v>
                </c:pt>
                <c:pt idx="200">
                  <c:v>8.3547619047619008</c:v>
                </c:pt>
                <c:pt idx="201">
                  <c:v>8.2880952380952309</c:v>
                </c:pt>
                <c:pt idx="202">
                  <c:v>9.11666666666666</c:v>
                </c:pt>
                <c:pt idx="203">
                  <c:v>8.4619047619047603</c:v>
                </c:pt>
                <c:pt idx="204">
                  <c:v>9.2261904761904692</c:v>
                </c:pt>
                <c:pt idx="205">
                  <c:v>8.6071428571428505</c:v>
                </c:pt>
                <c:pt idx="206">
                  <c:v>8.2261904761904692</c:v>
                </c:pt>
                <c:pt idx="207">
                  <c:v>8.1785714285714199</c:v>
                </c:pt>
                <c:pt idx="208">
                  <c:v>8.9785714285714207</c:v>
                </c:pt>
                <c:pt idx="209">
                  <c:v>8.7595238095238095</c:v>
                </c:pt>
                <c:pt idx="210">
                  <c:v>8.9523809523809508</c:v>
                </c:pt>
                <c:pt idx="211">
                  <c:v>8.6119047619047606</c:v>
                </c:pt>
                <c:pt idx="212">
                  <c:v>9.4261904761904702</c:v>
                </c:pt>
                <c:pt idx="213">
                  <c:v>9.6904761904761898</c:v>
                </c:pt>
                <c:pt idx="214">
                  <c:v>9.2023809523809508</c:v>
                </c:pt>
                <c:pt idx="215">
                  <c:v>9.5428571428571392</c:v>
                </c:pt>
                <c:pt idx="216">
                  <c:v>8.5904761904761902</c:v>
                </c:pt>
                <c:pt idx="217">
                  <c:v>8.6952380952380892</c:v>
                </c:pt>
                <c:pt idx="218">
                  <c:v>9.5452380952380906</c:v>
                </c:pt>
                <c:pt idx="219">
                  <c:v>9.0214285714285705</c:v>
                </c:pt>
                <c:pt idx="220">
                  <c:v>8.4976190476190396</c:v>
                </c:pt>
                <c:pt idx="221">
                  <c:v>8.2119047619047603</c:v>
                </c:pt>
                <c:pt idx="222">
                  <c:v>8.5904761904761902</c:v>
                </c:pt>
                <c:pt idx="223">
                  <c:v>9.3119047619047599</c:v>
                </c:pt>
                <c:pt idx="224">
                  <c:v>9.1738095238095205</c:v>
                </c:pt>
                <c:pt idx="225">
                  <c:v>9.0904761904761902</c:v>
                </c:pt>
                <c:pt idx="226">
                  <c:v>9.0095238095238095</c:v>
                </c:pt>
                <c:pt idx="227">
                  <c:v>8.9619047619047603</c:v>
                </c:pt>
                <c:pt idx="228">
                  <c:v>9.1857142857142797</c:v>
                </c:pt>
                <c:pt idx="229">
                  <c:v>8.3095238095238102</c:v>
                </c:pt>
                <c:pt idx="230">
                  <c:v>8.7857142857142794</c:v>
                </c:pt>
                <c:pt idx="231">
                  <c:v>8.9404761904761898</c:v>
                </c:pt>
                <c:pt idx="232">
                  <c:v>9.1261904761904695</c:v>
                </c:pt>
                <c:pt idx="233">
                  <c:v>8.4119047619047596</c:v>
                </c:pt>
                <c:pt idx="234">
                  <c:v>8.3904761904761909</c:v>
                </c:pt>
                <c:pt idx="235">
                  <c:v>9.2833333333333297</c:v>
                </c:pt>
                <c:pt idx="236">
                  <c:v>9.4809523809523792</c:v>
                </c:pt>
                <c:pt idx="237">
                  <c:v>9.46904761904762</c:v>
                </c:pt>
                <c:pt idx="238">
                  <c:v>9.4833333333333307</c:v>
                </c:pt>
                <c:pt idx="239">
                  <c:v>9.8380952380952298</c:v>
                </c:pt>
                <c:pt idx="240">
                  <c:v>9.7714285714285705</c:v>
                </c:pt>
                <c:pt idx="241">
                  <c:v>9.6738095238095205</c:v>
                </c:pt>
                <c:pt idx="242">
                  <c:v>10.1238095238095</c:v>
                </c:pt>
                <c:pt idx="243">
                  <c:v>9.1642857142857093</c:v>
                </c:pt>
                <c:pt idx="244">
                  <c:v>9.4690476190476094</c:v>
                </c:pt>
                <c:pt idx="245">
                  <c:v>10.2071428571428</c:v>
                </c:pt>
                <c:pt idx="246">
                  <c:v>10.3119047619047</c:v>
                </c:pt>
                <c:pt idx="247">
                  <c:v>9.7476190476190396</c:v>
                </c:pt>
                <c:pt idx="248">
                  <c:v>11.288095238095201</c:v>
                </c:pt>
                <c:pt idx="249">
                  <c:v>10.159523809523799</c:v>
                </c:pt>
                <c:pt idx="250">
                  <c:v>10.3904761904761</c:v>
                </c:pt>
                <c:pt idx="251">
                  <c:v>10.269047619047599</c:v>
                </c:pt>
                <c:pt idx="252">
                  <c:v>9.8571428571428505</c:v>
                </c:pt>
                <c:pt idx="253">
                  <c:v>10.383333333333301</c:v>
                </c:pt>
                <c:pt idx="254">
                  <c:v>10.8886363636363</c:v>
                </c:pt>
                <c:pt idx="255">
                  <c:v>10.647727272727201</c:v>
                </c:pt>
                <c:pt idx="256">
                  <c:v>10.4023809523809</c:v>
                </c:pt>
                <c:pt idx="257">
                  <c:v>11.1642857142857</c:v>
                </c:pt>
                <c:pt idx="258">
                  <c:v>11.395238095238</c:v>
                </c:pt>
                <c:pt idx="259">
                  <c:v>11.885714285714201</c:v>
                </c:pt>
                <c:pt idx="260">
                  <c:v>11.6181818181818</c:v>
                </c:pt>
                <c:pt idx="261">
                  <c:v>10.754761904761899</c:v>
                </c:pt>
                <c:pt idx="262">
                  <c:v>11.2022727272727</c:v>
                </c:pt>
                <c:pt idx="263">
                  <c:v>10.9977272727272</c:v>
                </c:pt>
                <c:pt idx="264">
                  <c:v>10.736363636363601</c:v>
                </c:pt>
                <c:pt idx="265">
                  <c:v>10.981818181818101</c:v>
                </c:pt>
                <c:pt idx="266">
                  <c:v>11.2477272727272</c:v>
                </c:pt>
                <c:pt idx="267">
                  <c:v>12.106818181818101</c:v>
                </c:pt>
                <c:pt idx="268">
                  <c:v>11.213636363636301</c:v>
                </c:pt>
                <c:pt idx="269">
                  <c:v>12.027272727272701</c:v>
                </c:pt>
                <c:pt idx="270">
                  <c:v>11.4977272727272</c:v>
                </c:pt>
                <c:pt idx="271">
                  <c:v>11.3095238095238</c:v>
                </c:pt>
                <c:pt idx="272">
                  <c:v>11.7666666666666</c:v>
                </c:pt>
                <c:pt idx="273">
                  <c:v>12.302380952380901</c:v>
                </c:pt>
                <c:pt idx="274">
                  <c:v>12.966666666666599</c:v>
                </c:pt>
                <c:pt idx="275">
                  <c:v>12.504761904761899</c:v>
                </c:pt>
                <c:pt idx="276">
                  <c:v>11.6119047619047</c:v>
                </c:pt>
                <c:pt idx="277">
                  <c:v>11.8357142857142</c:v>
                </c:pt>
                <c:pt idx="278">
                  <c:v>12.7357142857142</c:v>
                </c:pt>
                <c:pt idx="279">
                  <c:v>12.5857142857142</c:v>
                </c:pt>
                <c:pt idx="280">
                  <c:v>12.3595238095238</c:v>
                </c:pt>
                <c:pt idx="281">
                  <c:v>12.4857142857142</c:v>
                </c:pt>
                <c:pt idx="282">
                  <c:v>12.105</c:v>
                </c:pt>
                <c:pt idx="283">
                  <c:v>11.6636363636363</c:v>
                </c:pt>
                <c:pt idx="284">
                  <c:v>12.7340909090909</c:v>
                </c:pt>
                <c:pt idx="285">
                  <c:v>12.865909090909</c:v>
                </c:pt>
                <c:pt idx="286">
                  <c:v>13</c:v>
                </c:pt>
                <c:pt idx="287">
                  <c:v>12.475</c:v>
                </c:pt>
                <c:pt idx="288">
                  <c:v>12.947727272727199</c:v>
                </c:pt>
                <c:pt idx="289">
                  <c:v>12.968181818181799</c:v>
                </c:pt>
                <c:pt idx="290">
                  <c:v>13.1045454545454</c:v>
                </c:pt>
                <c:pt idx="291">
                  <c:v>11.5318181818181</c:v>
                </c:pt>
                <c:pt idx="292">
                  <c:v>12.4068181818181</c:v>
                </c:pt>
                <c:pt idx="293">
                  <c:v>12.468181818181799</c:v>
                </c:pt>
                <c:pt idx="294">
                  <c:v>12.75</c:v>
                </c:pt>
                <c:pt idx="295">
                  <c:v>12.131818181818099</c:v>
                </c:pt>
                <c:pt idx="296">
                  <c:v>11.7931818181818</c:v>
                </c:pt>
                <c:pt idx="297">
                  <c:v>12.5318181818181</c:v>
                </c:pt>
                <c:pt idx="298">
                  <c:v>12.9363636363636</c:v>
                </c:pt>
                <c:pt idx="299">
                  <c:v>13.006818181818099</c:v>
                </c:pt>
                <c:pt idx="300">
                  <c:v>14.0818181818181</c:v>
                </c:pt>
                <c:pt idx="301">
                  <c:v>14.1404761904761</c:v>
                </c:pt>
                <c:pt idx="302">
                  <c:v>13.883333333333301</c:v>
                </c:pt>
                <c:pt idx="303">
                  <c:v>13.3190476190476</c:v>
                </c:pt>
                <c:pt idx="304">
                  <c:v>12.816666666666601</c:v>
                </c:pt>
                <c:pt idx="305">
                  <c:v>13.1523809523809</c:v>
                </c:pt>
                <c:pt idx="306">
                  <c:v>13.702380952380899</c:v>
                </c:pt>
                <c:pt idx="307">
                  <c:v>13.8590909090909</c:v>
                </c:pt>
                <c:pt idx="308">
                  <c:v>13.588636363636301</c:v>
                </c:pt>
                <c:pt idx="309">
                  <c:v>12.7272727272727</c:v>
                </c:pt>
                <c:pt idx="310">
                  <c:v>13.565909090909001</c:v>
                </c:pt>
                <c:pt idx="311">
                  <c:v>14.324999999999999</c:v>
                </c:pt>
                <c:pt idx="312">
                  <c:v>12.740909090909</c:v>
                </c:pt>
                <c:pt idx="313">
                  <c:v>13.1886363636363</c:v>
                </c:pt>
                <c:pt idx="314">
                  <c:v>13.9727272727272</c:v>
                </c:pt>
                <c:pt idx="315">
                  <c:v>13.988636363636299</c:v>
                </c:pt>
                <c:pt idx="316">
                  <c:v>13.665909090909</c:v>
                </c:pt>
                <c:pt idx="317">
                  <c:v>13.1863636363636</c:v>
                </c:pt>
                <c:pt idx="318">
                  <c:v>13.3545454545454</c:v>
                </c:pt>
                <c:pt idx="319">
                  <c:v>14.5545454545454</c:v>
                </c:pt>
                <c:pt idx="320">
                  <c:v>15.3886363636363</c:v>
                </c:pt>
                <c:pt idx="321">
                  <c:v>14.525</c:v>
                </c:pt>
                <c:pt idx="322">
                  <c:v>13.818181818181801</c:v>
                </c:pt>
                <c:pt idx="323">
                  <c:v>13.754545454545401</c:v>
                </c:pt>
                <c:pt idx="324">
                  <c:v>14.773809523809501</c:v>
                </c:pt>
                <c:pt idx="325">
                  <c:v>14.6227272727272</c:v>
                </c:pt>
                <c:pt idx="326">
                  <c:v>14.290909090909</c:v>
                </c:pt>
                <c:pt idx="327">
                  <c:v>15.8523809523809</c:v>
                </c:pt>
                <c:pt idx="328">
                  <c:v>15.107142857142801</c:v>
                </c:pt>
                <c:pt idx="329">
                  <c:v>15.9023809523809</c:v>
                </c:pt>
                <c:pt idx="330">
                  <c:v>15.070454545454499</c:v>
                </c:pt>
                <c:pt idx="331">
                  <c:v>15.6090909090909</c:v>
                </c:pt>
                <c:pt idx="332">
                  <c:v>14.945454545454499</c:v>
                </c:pt>
                <c:pt idx="333">
                  <c:v>15.547727272727199</c:v>
                </c:pt>
                <c:pt idx="334">
                  <c:v>15.5772727272727</c:v>
                </c:pt>
                <c:pt idx="335">
                  <c:v>15.7636363636363</c:v>
                </c:pt>
                <c:pt idx="336">
                  <c:v>16.8340909090909</c:v>
                </c:pt>
                <c:pt idx="337">
                  <c:v>16.904545454545399</c:v>
                </c:pt>
                <c:pt idx="338">
                  <c:v>16.677272727272701</c:v>
                </c:pt>
                <c:pt idx="339">
                  <c:v>16.865909090909</c:v>
                </c:pt>
                <c:pt idx="340">
                  <c:v>16.686363636363598</c:v>
                </c:pt>
                <c:pt idx="341">
                  <c:v>15.5840909090909</c:v>
                </c:pt>
                <c:pt idx="342">
                  <c:v>15.6204545454545</c:v>
                </c:pt>
                <c:pt idx="343">
                  <c:v>15.802272727272699</c:v>
                </c:pt>
                <c:pt idx="344">
                  <c:v>16.568181818181799</c:v>
                </c:pt>
                <c:pt idx="345">
                  <c:v>17.193181818181799</c:v>
                </c:pt>
                <c:pt idx="346">
                  <c:v>17.2068181818181</c:v>
                </c:pt>
                <c:pt idx="347">
                  <c:v>16.399999999999999</c:v>
                </c:pt>
                <c:pt idx="348">
                  <c:v>16.524999999999999</c:v>
                </c:pt>
                <c:pt idx="349">
                  <c:v>16.475000000000001</c:v>
                </c:pt>
                <c:pt idx="350">
                  <c:v>16.9568181818181</c:v>
                </c:pt>
                <c:pt idx="351">
                  <c:v>17.061363636363598</c:v>
                </c:pt>
                <c:pt idx="352">
                  <c:v>17.0363636363636</c:v>
                </c:pt>
                <c:pt idx="353">
                  <c:v>17.152272727272699</c:v>
                </c:pt>
                <c:pt idx="354">
                  <c:v>16.568181818181799</c:v>
                </c:pt>
                <c:pt idx="355">
                  <c:v>16.468181818181801</c:v>
                </c:pt>
                <c:pt idx="356">
                  <c:v>16.729545454545399</c:v>
                </c:pt>
                <c:pt idx="357">
                  <c:v>16.7477272727272</c:v>
                </c:pt>
                <c:pt idx="358">
                  <c:v>17.143181818181802</c:v>
                </c:pt>
                <c:pt idx="359">
                  <c:v>17.1204545454545</c:v>
                </c:pt>
                <c:pt idx="360">
                  <c:v>16.693181818181799</c:v>
                </c:pt>
                <c:pt idx="361">
                  <c:v>16.863636363636299</c:v>
                </c:pt>
                <c:pt idx="362">
                  <c:v>16.690909090908999</c:v>
                </c:pt>
                <c:pt idx="363">
                  <c:v>16.518181818181802</c:v>
                </c:pt>
                <c:pt idx="364">
                  <c:v>16.738636363636299</c:v>
                </c:pt>
                <c:pt idx="365">
                  <c:v>16.71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7B-42AE-A59C-62ACE34B571F}"/>
            </c:ext>
          </c:extLst>
        </c:ser>
        <c:ser>
          <c:idx val="3"/>
          <c:order val="3"/>
          <c:tx>
            <c:strRef>
              <c:f>'Met Data'!$E$2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Data'!$E$3:$E$368</c:f>
              <c:numCache>
                <c:formatCode>General</c:formatCode>
                <c:ptCount val="366"/>
                <c:pt idx="0">
                  <c:v>14.48</c:v>
                </c:pt>
                <c:pt idx="1">
                  <c:v>14.1261904761904</c:v>
                </c:pt>
                <c:pt idx="2">
                  <c:v>14.112500000000001</c:v>
                </c:pt>
                <c:pt idx="3">
                  <c:v>14.487500000000001</c:v>
                </c:pt>
                <c:pt idx="4">
                  <c:v>14.975</c:v>
                </c:pt>
                <c:pt idx="5">
                  <c:v>14.8261904761904</c:v>
                </c:pt>
                <c:pt idx="6">
                  <c:v>14.342857142857101</c:v>
                </c:pt>
                <c:pt idx="7">
                  <c:v>13.8761904761904</c:v>
                </c:pt>
                <c:pt idx="8">
                  <c:v>13.595238095238001</c:v>
                </c:pt>
                <c:pt idx="9">
                  <c:v>13.529545454545399</c:v>
                </c:pt>
                <c:pt idx="10">
                  <c:v>14.221739130434701</c:v>
                </c:pt>
                <c:pt idx="11">
                  <c:v>14.328260869565201</c:v>
                </c:pt>
                <c:pt idx="12">
                  <c:v>14.091304347826</c:v>
                </c:pt>
                <c:pt idx="13">
                  <c:v>14.1065217391304</c:v>
                </c:pt>
                <c:pt idx="14">
                  <c:v>13.960869565217299</c:v>
                </c:pt>
                <c:pt idx="15">
                  <c:v>13.783333333333299</c:v>
                </c:pt>
                <c:pt idx="16">
                  <c:v>14.206250000000001</c:v>
                </c:pt>
                <c:pt idx="17">
                  <c:v>14.529166666666599</c:v>
                </c:pt>
                <c:pt idx="18">
                  <c:v>13.35</c:v>
                </c:pt>
                <c:pt idx="19">
                  <c:v>14.018750000000001</c:v>
                </c:pt>
                <c:pt idx="20">
                  <c:v>15.262</c:v>
                </c:pt>
                <c:pt idx="21">
                  <c:v>14.724</c:v>
                </c:pt>
                <c:pt idx="22">
                  <c:v>14.076000000000001</c:v>
                </c:pt>
                <c:pt idx="23">
                  <c:v>14.128</c:v>
                </c:pt>
                <c:pt idx="24">
                  <c:v>13.9439999999999</c:v>
                </c:pt>
                <c:pt idx="25">
                  <c:v>14.082000000000001</c:v>
                </c:pt>
                <c:pt idx="26">
                  <c:v>14.061999999999999</c:v>
                </c:pt>
                <c:pt idx="27">
                  <c:v>14.754</c:v>
                </c:pt>
                <c:pt idx="28">
                  <c:v>15.247999999999999</c:v>
                </c:pt>
                <c:pt idx="29">
                  <c:v>15.3479999999999</c:v>
                </c:pt>
                <c:pt idx="30">
                  <c:v>14.858000000000001</c:v>
                </c:pt>
                <c:pt idx="31">
                  <c:v>14.672000000000001</c:v>
                </c:pt>
                <c:pt idx="32">
                  <c:v>14.042</c:v>
                </c:pt>
                <c:pt idx="33">
                  <c:v>14.7019999999999</c:v>
                </c:pt>
                <c:pt idx="34">
                  <c:v>14.68</c:v>
                </c:pt>
                <c:pt idx="35">
                  <c:v>13.277999999999899</c:v>
                </c:pt>
                <c:pt idx="36">
                  <c:v>14.288</c:v>
                </c:pt>
                <c:pt idx="37">
                  <c:v>13.712</c:v>
                </c:pt>
                <c:pt idx="38">
                  <c:v>14.7919999999999</c:v>
                </c:pt>
                <c:pt idx="39">
                  <c:v>14.8708333333333</c:v>
                </c:pt>
                <c:pt idx="40">
                  <c:v>14.7916666666666</c:v>
                </c:pt>
                <c:pt idx="41">
                  <c:v>15.446</c:v>
                </c:pt>
                <c:pt idx="42">
                  <c:v>14.54</c:v>
                </c:pt>
                <c:pt idx="43">
                  <c:v>14.081999999999899</c:v>
                </c:pt>
                <c:pt idx="44">
                  <c:v>13.542</c:v>
                </c:pt>
                <c:pt idx="45">
                  <c:v>13.713999999999899</c:v>
                </c:pt>
                <c:pt idx="46">
                  <c:v>14.608000000000001</c:v>
                </c:pt>
                <c:pt idx="47">
                  <c:v>15.504</c:v>
                </c:pt>
                <c:pt idx="48">
                  <c:v>14.836</c:v>
                </c:pt>
                <c:pt idx="49">
                  <c:v>14.367999999999901</c:v>
                </c:pt>
                <c:pt idx="50">
                  <c:v>14.052</c:v>
                </c:pt>
                <c:pt idx="51">
                  <c:v>14.202</c:v>
                </c:pt>
                <c:pt idx="52">
                  <c:v>14.043749999999999</c:v>
                </c:pt>
                <c:pt idx="53">
                  <c:v>13.1826086956521</c:v>
                </c:pt>
                <c:pt idx="54">
                  <c:v>13.121739130434699</c:v>
                </c:pt>
                <c:pt idx="55">
                  <c:v>12.899999999999901</c:v>
                </c:pt>
                <c:pt idx="56">
                  <c:v>13.972916666666601</c:v>
                </c:pt>
                <c:pt idx="57">
                  <c:v>13.691666666666601</c:v>
                </c:pt>
                <c:pt idx="58">
                  <c:v>14.056249999999901</c:v>
                </c:pt>
                <c:pt idx="59">
                  <c:v>13.167999999999999</c:v>
                </c:pt>
                <c:pt idx="60">
                  <c:v>12.925000000000001</c:v>
                </c:pt>
                <c:pt idx="61">
                  <c:v>12.220833333333299</c:v>
                </c:pt>
                <c:pt idx="62">
                  <c:v>12.49375</c:v>
                </c:pt>
                <c:pt idx="63">
                  <c:v>13.4270833333333</c:v>
                </c:pt>
                <c:pt idx="64">
                  <c:v>13.106249999999999</c:v>
                </c:pt>
                <c:pt idx="65">
                  <c:v>12.665217391304299</c:v>
                </c:pt>
                <c:pt idx="66">
                  <c:v>13.006521739130401</c:v>
                </c:pt>
                <c:pt idx="67">
                  <c:v>12.5934782608695</c:v>
                </c:pt>
                <c:pt idx="68">
                  <c:v>13.710869565217299</c:v>
                </c:pt>
                <c:pt idx="69">
                  <c:v>12.684782608695601</c:v>
                </c:pt>
                <c:pt idx="70">
                  <c:v>13.618749999999901</c:v>
                </c:pt>
                <c:pt idx="71">
                  <c:v>13.960869565217299</c:v>
                </c:pt>
                <c:pt idx="72">
                  <c:v>13.0104166666666</c:v>
                </c:pt>
                <c:pt idx="73">
                  <c:v>12.216666666666599</c:v>
                </c:pt>
                <c:pt idx="74">
                  <c:v>11.934782608695601</c:v>
                </c:pt>
                <c:pt idx="75">
                  <c:v>11.064</c:v>
                </c:pt>
                <c:pt idx="76">
                  <c:v>10.734</c:v>
                </c:pt>
                <c:pt idx="77">
                  <c:v>11.872</c:v>
                </c:pt>
                <c:pt idx="78">
                  <c:v>12.266</c:v>
                </c:pt>
                <c:pt idx="79">
                  <c:v>12.571999999999999</c:v>
                </c:pt>
                <c:pt idx="80">
                  <c:v>12.03125</c:v>
                </c:pt>
                <c:pt idx="81">
                  <c:v>12.4333333333333</c:v>
                </c:pt>
                <c:pt idx="82">
                  <c:v>12.039130434782599</c:v>
                </c:pt>
                <c:pt idx="83">
                  <c:v>11.65</c:v>
                </c:pt>
                <c:pt idx="84">
                  <c:v>12.1</c:v>
                </c:pt>
                <c:pt idx="85">
                  <c:v>13.327999999999999</c:v>
                </c:pt>
                <c:pt idx="86">
                  <c:v>12.539583333333301</c:v>
                </c:pt>
                <c:pt idx="87">
                  <c:v>12.689583333333299</c:v>
                </c:pt>
                <c:pt idx="88">
                  <c:v>12.311999999999999</c:v>
                </c:pt>
                <c:pt idx="89">
                  <c:v>11.952</c:v>
                </c:pt>
                <c:pt idx="90">
                  <c:v>11.666</c:v>
                </c:pt>
                <c:pt idx="91">
                  <c:v>11.8020833333333</c:v>
                </c:pt>
                <c:pt idx="92">
                  <c:v>11.683999999999999</c:v>
                </c:pt>
                <c:pt idx="93">
                  <c:v>10.448</c:v>
                </c:pt>
                <c:pt idx="94">
                  <c:v>10.462</c:v>
                </c:pt>
                <c:pt idx="95">
                  <c:v>10.786</c:v>
                </c:pt>
                <c:pt idx="96">
                  <c:v>11.13125</c:v>
                </c:pt>
                <c:pt idx="97">
                  <c:v>10.869565217391299</c:v>
                </c:pt>
                <c:pt idx="98">
                  <c:v>9.5043478260869492</c:v>
                </c:pt>
                <c:pt idx="99">
                  <c:v>9.8772727272727199</c:v>
                </c:pt>
                <c:pt idx="100">
                  <c:v>10.3785714285714</c:v>
                </c:pt>
                <c:pt idx="101">
                  <c:v>10.0674999999999</c:v>
                </c:pt>
                <c:pt idx="102">
                  <c:v>9.4659090909090899</c:v>
                </c:pt>
                <c:pt idx="103">
                  <c:v>10.4</c:v>
                </c:pt>
                <c:pt idx="104">
                  <c:v>10.731249999999999</c:v>
                </c:pt>
                <c:pt idx="105">
                  <c:v>10.7145833333333</c:v>
                </c:pt>
                <c:pt idx="106">
                  <c:v>10.143750000000001</c:v>
                </c:pt>
                <c:pt idx="107">
                  <c:v>9.8456521739130398</c:v>
                </c:pt>
                <c:pt idx="108">
                  <c:v>9.9812499999999993</c:v>
                </c:pt>
                <c:pt idx="109">
                  <c:v>9.7791666666666597</c:v>
                </c:pt>
                <c:pt idx="110">
                  <c:v>8.9375</c:v>
                </c:pt>
                <c:pt idx="111">
                  <c:v>9.2208333333333297</c:v>
                </c:pt>
                <c:pt idx="112">
                  <c:v>9.42916666666666</c:v>
                </c:pt>
                <c:pt idx="113">
                  <c:v>9.6895833333333297</c:v>
                </c:pt>
                <c:pt idx="114">
                  <c:v>9.625</c:v>
                </c:pt>
                <c:pt idx="115">
                  <c:v>9.6312499999999996</c:v>
                </c:pt>
                <c:pt idx="116">
                  <c:v>9.9895833333333304</c:v>
                </c:pt>
                <c:pt idx="117">
                  <c:v>10.15</c:v>
                </c:pt>
                <c:pt idx="118">
                  <c:v>9.65</c:v>
                </c:pt>
                <c:pt idx="119">
                  <c:v>8.7749999999999897</c:v>
                </c:pt>
                <c:pt idx="120">
                  <c:v>8.28125</c:v>
                </c:pt>
                <c:pt idx="121">
                  <c:v>8.6854166666666597</c:v>
                </c:pt>
                <c:pt idx="122">
                  <c:v>9.7062499999999901</c:v>
                </c:pt>
                <c:pt idx="123">
                  <c:v>9.3062500000000004</c:v>
                </c:pt>
                <c:pt idx="124">
                  <c:v>9.4208333333333307</c:v>
                </c:pt>
                <c:pt idx="125">
                  <c:v>9.3416666666666597</c:v>
                </c:pt>
                <c:pt idx="126">
                  <c:v>9.0062499999999996</c:v>
                </c:pt>
                <c:pt idx="127">
                  <c:v>9.0187500000000007</c:v>
                </c:pt>
                <c:pt idx="128">
                  <c:v>9.3520833333333293</c:v>
                </c:pt>
                <c:pt idx="129">
                  <c:v>8.6750000000000007</c:v>
                </c:pt>
                <c:pt idx="130">
                  <c:v>8.9804347826086897</c:v>
                </c:pt>
                <c:pt idx="131">
                  <c:v>9.6043478260869506</c:v>
                </c:pt>
                <c:pt idx="132">
                  <c:v>8.5217391304347796</c:v>
                </c:pt>
                <c:pt idx="133">
                  <c:v>9</c:v>
                </c:pt>
                <c:pt idx="134">
                  <c:v>8.2979166666666604</c:v>
                </c:pt>
                <c:pt idx="135">
                  <c:v>7.59375</c:v>
                </c:pt>
                <c:pt idx="136">
                  <c:v>7.17916666666666</c:v>
                </c:pt>
                <c:pt idx="137">
                  <c:v>7.6749999999999998</c:v>
                </c:pt>
                <c:pt idx="138">
                  <c:v>7.8624999999999998</c:v>
                </c:pt>
                <c:pt idx="139">
                  <c:v>7.84375</c:v>
                </c:pt>
                <c:pt idx="140">
                  <c:v>7.05416666666666</c:v>
                </c:pt>
                <c:pt idx="141">
                  <c:v>7.6083333333333298</c:v>
                </c:pt>
                <c:pt idx="142">
                  <c:v>7.4833333333333298</c:v>
                </c:pt>
                <c:pt idx="143">
                  <c:v>6.7208333333333297</c:v>
                </c:pt>
                <c:pt idx="144">
                  <c:v>7.1956521739130404</c:v>
                </c:pt>
                <c:pt idx="145">
                  <c:v>6.1826086956521698</c:v>
                </c:pt>
                <c:pt idx="146">
                  <c:v>6.0386363636363596</c:v>
                </c:pt>
                <c:pt idx="147">
                  <c:v>6.2409090909090903</c:v>
                </c:pt>
                <c:pt idx="148">
                  <c:v>6.6673913043478201</c:v>
                </c:pt>
                <c:pt idx="149">
                  <c:v>7.2043478260869502</c:v>
                </c:pt>
                <c:pt idx="150">
                  <c:v>7.1826086956521698</c:v>
                </c:pt>
                <c:pt idx="151">
                  <c:v>6.96521739130434</c:v>
                </c:pt>
                <c:pt idx="152">
                  <c:v>6.3260869565217304</c:v>
                </c:pt>
                <c:pt idx="153">
                  <c:v>5.8586956521739104</c:v>
                </c:pt>
                <c:pt idx="154">
                  <c:v>6.80217391304347</c:v>
                </c:pt>
                <c:pt idx="155">
                  <c:v>6.5326086956521703</c:v>
                </c:pt>
                <c:pt idx="156">
                  <c:v>5.6369565217391298</c:v>
                </c:pt>
                <c:pt idx="157">
                  <c:v>5.8954545454545402</c:v>
                </c:pt>
                <c:pt idx="158">
                  <c:v>6.2239130434782597</c:v>
                </c:pt>
                <c:pt idx="159">
                  <c:v>6.17173913043478</c:v>
                </c:pt>
                <c:pt idx="160">
                  <c:v>5.7826086956521703</c:v>
                </c:pt>
                <c:pt idx="161">
                  <c:v>5.7717391304347796</c:v>
                </c:pt>
                <c:pt idx="162">
                  <c:v>5.6869565217391296</c:v>
                </c:pt>
                <c:pt idx="163">
                  <c:v>5.4086956521739102</c:v>
                </c:pt>
                <c:pt idx="164">
                  <c:v>6.0304347826086904</c:v>
                </c:pt>
                <c:pt idx="165">
                  <c:v>5.8521739130434698</c:v>
                </c:pt>
                <c:pt idx="166">
                  <c:v>5.9782608695652097</c:v>
                </c:pt>
                <c:pt idx="167">
                  <c:v>5.9340909090908998</c:v>
                </c:pt>
                <c:pt idx="168">
                  <c:v>5.67173913043478</c:v>
                </c:pt>
                <c:pt idx="169">
                  <c:v>4.92173913043478</c:v>
                </c:pt>
                <c:pt idx="170">
                  <c:v>4.7863636363636299</c:v>
                </c:pt>
                <c:pt idx="171">
                  <c:v>4.4522727272727201</c:v>
                </c:pt>
                <c:pt idx="172">
                  <c:v>4.80217391304347</c:v>
                </c:pt>
                <c:pt idx="173">
                  <c:v>5.2086956521739101</c:v>
                </c:pt>
                <c:pt idx="174">
                  <c:v>5.4739130434782597</c:v>
                </c:pt>
                <c:pt idx="175">
                  <c:v>5.7891304347826003</c:v>
                </c:pt>
                <c:pt idx="176">
                  <c:v>5.8195652173913004</c:v>
                </c:pt>
                <c:pt idx="177">
                  <c:v>5.0173913043478198</c:v>
                </c:pt>
                <c:pt idx="178">
                  <c:v>4.7282608695652097</c:v>
                </c:pt>
                <c:pt idx="179">
                  <c:v>4.8673913043478203</c:v>
                </c:pt>
                <c:pt idx="180">
                  <c:v>5.5354166666666602</c:v>
                </c:pt>
                <c:pt idx="181">
                  <c:v>4.2979166666666604</c:v>
                </c:pt>
                <c:pt idx="182">
                  <c:v>3.7374999999999998</c:v>
                </c:pt>
                <c:pt idx="183">
                  <c:v>4.34375</c:v>
                </c:pt>
                <c:pt idx="184">
                  <c:v>4.6729166666666604</c:v>
                </c:pt>
                <c:pt idx="185">
                  <c:v>4.7</c:v>
                </c:pt>
                <c:pt idx="186">
                  <c:v>4.3108695652173896</c:v>
                </c:pt>
                <c:pt idx="187">
                  <c:v>3.5999999999999899</c:v>
                </c:pt>
                <c:pt idx="188">
                  <c:v>3.2913043478260802</c:v>
                </c:pt>
                <c:pt idx="189">
                  <c:v>4.0478260869565199</c:v>
                </c:pt>
                <c:pt idx="190">
                  <c:v>3.81739130434782</c:v>
                </c:pt>
                <c:pt idx="191">
                  <c:v>3.9520833333333298</c:v>
                </c:pt>
                <c:pt idx="192">
                  <c:v>3.76249999999999</c:v>
                </c:pt>
                <c:pt idx="193">
                  <c:v>4.242</c:v>
                </c:pt>
                <c:pt idx="194">
                  <c:v>4.67</c:v>
                </c:pt>
                <c:pt idx="195">
                  <c:v>5.2020833333333298</c:v>
                </c:pt>
                <c:pt idx="196">
                  <c:v>4.3833333333333302</c:v>
                </c:pt>
                <c:pt idx="197">
                  <c:v>5.2039999999999997</c:v>
                </c:pt>
                <c:pt idx="198">
                  <c:v>5.1437499999999998</c:v>
                </c:pt>
                <c:pt idx="199">
                  <c:v>5.2139999999999898</c:v>
                </c:pt>
                <c:pt idx="200">
                  <c:v>5.7160000000000002</c:v>
                </c:pt>
                <c:pt idx="201">
                  <c:v>5.3780000000000001</c:v>
                </c:pt>
                <c:pt idx="202">
                  <c:v>5.0419999999999998</c:v>
                </c:pt>
                <c:pt idx="203">
                  <c:v>5.1739999999999897</c:v>
                </c:pt>
                <c:pt idx="204">
                  <c:v>5.1770833333333304</c:v>
                </c:pt>
                <c:pt idx="205">
                  <c:v>5.18</c:v>
                </c:pt>
                <c:pt idx="206">
                  <c:v>5.83</c:v>
                </c:pt>
                <c:pt idx="207">
                  <c:v>5.98</c:v>
                </c:pt>
                <c:pt idx="208">
                  <c:v>6.125</c:v>
                </c:pt>
                <c:pt idx="209">
                  <c:v>6.2229166666666602</c:v>
                </c:pt>
                <c:pt idx="210">
                  <c:v>5.2895833333333302</c:v>
                </c:pt>
                <c:pt idx="211">
                  <c:v>5.8780000000000001</c:v>
                </c:pt>
                <c:pt idx="212">
                  <c:v>6.1219999999999999</c:v>
                </c:pt>
                <c:pt idx="213">
                  <c:v>5.6145833333333304</c:v>
                </c:pt>
                <c:pt idx="214">
                  <c:v>5.9160000000000004</c:v>
                </c:pt>
                <c:pt idx="215">
                  <c:v>5.6680000000000001</c:v>
                </c:pt>
                <c:pt idx="216">
                  <c:v>6.5540000000000003</c:v>
                </c:pt>
                <c:pt idx="217">
                  <c:v>6.3519999999999897</c:v>
                </c:pt>
                <c:pt idx="218">
                  <c:v>5.8639999999999999</c:v>
                </c:pt>
                <c:pt idx="219">
                  <c:v>5.5708333333333302</c:v>
                </c:pt>
                <c:pt idx="220">
                  <c:v>5.2624999999999904</c:v>
                </c:pt>
                <c:pt idx="221">
                  <c:v>5.8879999999999999</c:v>
                </c:pt>
                <c:pt idx="222">
                  <c:v>6.2720000000000002</c:v>
                </c:pt>
                <c:pt idx="223">
                  <c:v>5.7480000000000002</c:v>
                </c:pt>
                <c:pt idx="224">
                  <c:v>5.6059999999999999</c:v>
                </c:pt>
                <c:pt idx="225">
                  <c:v>5.6139999999999999</c:v>
                </c:pt>
                <c:pt idx="226">
                  <c:v>6.1740000000000004</c:v>
                </c:pt>
                <c:pt idx="227">
                  <c:v>6.5880000000000001</c:v>
                </c:pt>
                <c:pt idx="228">
                  <c:v>6.6179999999999897</c:v>
                </c:pt>
                <c:pt idx="229">
                  <c:v>6.63</c:v>
                </c:pt>
                <c:pt idx="230">
                  <c:v>6.16</c:v>
                </c:pt>
                <c:pt idx="231">
                  <c:v>6.3380000000000001</c:v>
                </c:pt>
                <c:pt idx="232">
                  <c:v>6.0579999999999998</c:v>
                </c:pt>
                <c:pt idx="233">
                  <c:v>5.9799999999999898</c:v>
                </c:pt>
                <c:pt idx="234">
                  <c:v>6.444</c:v>
                </c:pt>
                <c:pt idx="235">
                  <c:v>6.8220000000000001</c:v>
                </c:pt>
                <c:pt idx="236">
                  <c:v>7.242</c:v>
                </c:pt>
                <c:pt idx="237">
                  <c:v>7.6020000000000003</c:v>
                </c:pt>
                <c:pt idx="238">
                  <c:v>7</c:v>
                </c:pt>
                <c:pt idx="239">
                  <c:v>7.4740000000000002</c:v>
                </c:pt>
                <c:pt idx="240">
                  <c:v>7.5380000000000003</c:v>
                </c:pt>
                <c:pt idx="241">
                  <c:v>7.79</c:v>
                </c:pt>
                <c:pt idx="242">
                  <c:v>6.9139999999999997</c:v>
                </c:pt>
                <c:pt idx="243">
                  <c:v>6.7519999999999998</c:v>
                </c:pt>
                <c:pt idx="244">
                  <c:v>7.5749999999999904</c:v>
                </c:pt>
                <c:pt idx="245">
                  <c:v>7.6020833333333302</c:v>
                </c:pt>
                <c:pt idx="246">
                  <c:v>7.8958333333333304</c:v>
                </c:pt>
                <c:pt idx="247">
                  <c:v>8.3479166666666593</c:v>
                </c:pt>
                <c:pt idx="248">
                  <c:v>8.0979166666666593</c:v>
                </c:pt>
                <c:pt idx="249">
                  <c:v>8.1083333333333307</c:v>
                </c:pt>
                <c:pt idx="250">
                  <c:v>7.1020833333333302</c:v>
                </c:pt>
                <c:pt idx="251">
                  <c:v>7.2645833333333298</c:v>
                </c:pt>
                <c:pt idx="252">
                  <c:v>8.3520833333333293</c:v>
                </c:pt>
                <c:pt idx="253">
                  <c:v>8.6645833333333293</c:v>
                </c:pt>
                <c:pt idx="254">
                  <c:v>8.2229166666666593</c:v>
                </c:pt>
                <c:pt idx="255">
                  <c:v>8.5708333333333293</c:v>
                </c:pt>
                <c:pt idx="256">
                  <c:v>8.5645833333333297</c:v>
                </c:pt>
                <c:pt idx="257">
                  <c:v>8.9979166666666597</c:v>
                </c:pt>
                <c:pt idx="258">
                  <c:v>8.46041666666666</c:v>
                </c:pt>
                <c:pt idx="259">
                  <c:v>8.3640000000000008</c:v>
                </c:pt>
                <c:pt idx="260">
                  <c:v>7.8980769230769203</c:v>
                </c:pt>
                <c:pt idx="261">
                  <c:v>8.6442307692307701</c:v>
                </c:pt>
                <c:pt idx="262">
                  <c:v>8.9499999999999993</c:v>
                </c:pt>
                <c:pt idx="263">
                  <c:v>8.5057692307692303</c:v>
                </c:pt>
                <c:pt idx="264">
                  <c:v>7.8634615384615296</c:v>
                </c:pt>
                <c:pt idx="265">
                  <c:v>8.3846153846153797</c:v>
                </c:pt>
                <c:pt idx="266">
                  <c:v>8.5134615384615309</c:v>
                </c:pt>
                <c:pt idx="267">
                  <c:v>8.2539999999999996</c:v>
                </c:pt>
                <c:pt idx="268">
                  <c:v>9.2057692307692296</c:v>
                </c:pt>
                <c:pt idx="269">
                  <c:v>9.0634615384615298</c:v>
                </c:pt>
                <c:pt idx="270">
                  <c:v>8.8788461538461494</c:v>
                </c:pt>
                <c:pt idx="271">
                  <c:v>8.9442307692307601</c:v>
                </c:pt>
                <c:pt idx="272">
                  <c:v>9.8192307692307601</c:v>
                </c:pt>
                <c:pt idx="273">
                  <c:v>10.109615384615299</c:v>
                </c:pt>
                <c:pt idx="274">
                  <c:v>10.5307692307692</c:v>
                </c:pt>
                <c:pt idx="275">
                  <c:v>9</c:v>
                </c:pt>
                <c:pt idx="276">
                  <c:v>8.6730769230769198</c:v>
                </c:pt>
                <c:pt idx="277">
                  <c:v>9.1269230769230703</c:v>
                </c:pt>
                <c:pt idx="278">
                  <c:v>9.5423076923076895</c:v>
                </c:pt>
                <c:pt idx="279">
                  <c:v>9.71875</c:v>
                </c:pt>
                <c:pt idx="280">
                  <c:v>9.4939999999999998</c:v>
                </c:pt>
                <c:pt idx="281">
                  <c:v>9.1020000000000003</c:v>
                </c:pt>
                <c:pt idx="282">
                  <c:v>8.8699999999999992</c:v>
                </c:pt>
                <c:pt idx="283">
                  <c:v>9.7229166666666593</c:v>
                </c:pt>
                <c:pt idx="284">
                  <c:v>9.83541666666666</c:v>
                </c:pt>
                <c:pt idx="285">
                  <c:v>9.03125</c:v>
                </c:pt>
                <c:pt idx="286">
                  <c:v>8.6666666666666607</c:v>
                </c:pt>
                <c:pt idx="287">
                  <c:v>8.96875</c:v>
                </c:pt>
                <c:pt idx="288">
                  <c:v>10.0104166666666</c:v>
                </c:pt>
                <c:pt idx="289">
                  <c:v>10.4583333333333</c:v>
                </c:pt>
                <c:pt idx="290">
                  <c:v>10.347916666666601</c:v>
                </c:pt>
                <c:pt idx="291">
                  <c:v>9.7847826086956502</c:v>
                </c:pt>
                <c:pt idx="292">
                  <c:v>10.524999999999901</c:v>
                </c:pt>
                <c:pt idx="293">
                  <c:v>10.529166666666599</c:v>
                </c:pt>
                <c:pt idx="294">
                  <c:v>9.5458333333333307</c:v>
                </c:pt>
                <c:pt idx="295">
                  <c:v>9.6604166666666593</c:v>
                </c:pt>
                <c:pt idx="296">
                  <c:v>10.560416666666599</c:v>
                </c:pt>
                <c:pt idx="297">
                  <c:v>10.43125</c:v>
                </c:pt>
                <c:pt idx="298">
                  <c:v>11.081250000000001</c:v>
                </c:pt>
                <c:pt idx="299">
                  <c:v>10.299999999999899</c:v>
                </c:pt>
                <c:pt idx="300">
                  <c:v>10.827083333333301</c:v>
                </c:pt>
                <c:pt idx="301">
                  <c:v>10.914</c:v>
                </c:pt>
                <c:pt idx="302">
                  <c:v>11.141999999999999</c:v>
                </c:pt>
                <c:pt idx="303">
                  <c:v>11.32</c:v>
                </c:pt>
                <c:pt idx="304">
                  <c:v>11.294</c:v>
                </c:pt>
                <c:pt idx="305">
                  <c:v>10.39</c:v>
                </c:pt>
                <c:pt idx="306">
                  <c:v>10.387499999999999</c:v>
                </c:pt>
                <c:pt idx="307">
                  <c:v>10.3958333333333</c:v>
                </c:pt>
                <c:pt idx="308">
                  <c:v>10.452083333333301</c:v>
                </c:pt>
                <c:pt idx="309">
                  <c:v>11.3395833333333</c:v>
                </c:pt>
                <c:pt idx="310">
                  <c:v>11.317391304347799</c:v>
                </c:pt>
                <c:pt idx="311">
                  <c:v>11.025</c:v>
                </c:pt>
                <c:pt idx="312">
                  <c:v>11.252083333333299</c:v>
                </c:pt>
                <c:pt idx="313">
                  <c:v>11.7916666666666</c:v>
                </c:pt>
                <c:pt idx="314">
                  <c:v>11.3604166666666</c:v>
                </c:pt>
                <c:pt idx="315">
                  <c:v>10.4282608695652</c:v>
                </c:pt>
                <c:pt idx="316">
                  <c:v>10.5833333333333</c:v>
                </c:pt>
                <c:pt idx="317">
                  <c:v>11.191666666666601</c:v>
                </c:pt>
                <c:pt idx="318">
                  <c:v>11.34375</c:v>
                </c:pt>
                <c:pt idx="319">
                  <c:v>11.1479166666666</c:v>
                </c:pt>
                <c:pt idx="320">
                  <c:v>9.74583333333333</c:v>
                </c:pt>
                <c:pt idx="321">
                  <c:v>9.6187500000000004</c:v>
                </c:pt>
                <c:pt idx="322">
                  <c:v>10.0895833333333</c:v>
                </c:pt>
                <c:pt idx="323">
                  <c:v>10.408333333333299</c:v>
                </c:pt>
                <c:pt idx="324">
                  <c:v>9.8339999999999996</c:v>
                </c:pt>
                <c:pt idx="325">
                  <c:v>10.018000000000001</c:v>
                </c:pt>
                <c:pt idx="326">
                  <c:v>11.696</c:v>
                </c:pt>
                <c:pt idx="327">
                  <c:v>11.942</c:v>
                </c:pt>
                <c:pt idx="328">
                  <c:v>12.016</c:v>
                </c:pt>
                <c:pt idx="329">
                  <c:v>12.776</c:v>
                </c:pt>
                <c:pt idx="330">
                  <c:v>12.0559999999999</c:v>
                </c:pt>
                <c:pt idx="331">
                  <c:v>11.602083333333301</c:v>
                </c:pt>
                <c:pt idx="332">
                  <c:v>11.375</c:v>
                </c:pt>
                <c:pt idx="333">
                  <c:v>12.0229166666666</c:v>
                </c:pt>
                <c:pt idx="334">
                  <c:v>12.7416666666666</c:v>
                </c:pt>
                <c:pt idx="335">
                  <c:v>12.9895833333333</c:v>
                </c:pt>
                <c:pt idx="336">
                  <c:v>12.702083333333301</c:v>
                </c:pt>
                <c:pt idx="337">
                  <c:v>12.8708333333333</c:v>
                </c:pt>
                <c:pt idx="338">
                  <c:v>12.8916666666666</c:v>
                </c:pt>
                <c:pt idx="339">
                  <c:v>12.7477272727272</c:v>
                </c:pt>
                <c:pt idx="340">
                  <c:v>12.7043478260869</c:v>
                </c:pt>
                <c:pt idx="341">
                  <c:v>11.6608695652173</c:v>
                </c:pt>
                <c:pt idx="342">
                  <c:v>12.290909090909</c:v>
                </c:pt>
                <c:pt idx="343">
                  <c:v>12.754347826086899</c:v>
                </c:pt>
                <c:pt idx="344">
                  <c:v>13.6875</c:v>
                </c:pt>
                <c:pt idx="345">
                  <c:v>14.1479166666666</c:v>
                </c:pt>
                <c:pt idx="346">
                  <c:v>13.5208333333333</c:v>
                </c:pt>
                <c:pt idx="347">
                  <c:v>12.858333333333301</c:v>
                </c:pt>
                <c:pt idx="348">
                  <c:v>12.5833333333333</c:v>
                </c:pt>
                <c:pt idx="349">
                  <c:v>12.649999999999901</c:v>
                </c:pt>
                <c:pt idx="350">
                  <c:v>12.94375</c:v>
                </c:pt>
                <c:pt idx="351">
                  <c:v>13.137499999999999</c:v>
                </c:pt>
                <c:pt idx="352">
                  <c:v>12.387499999999999</c:v>
                </c:pt>
                <c:pt idx="353">
                  <c:v>13.231818181818101</c:v>
                </c:pt>
                <c:pt idx="354">
                  <c:v>13.782608695652099</c:v>
                </c:pt>
                <c:pt idx="355">
                  <c:v>12.802173913043401</c:v>
                </c:pt>
                <c:pt idx="356">
                  <c:v>13.058695652173901</c:v>
                </c:pt>
                <c:pt idx="357">
                  <c:v>13.6173913043478</c:v>
                </c:pt>
                <c:pt idx="358">
                  <c:v>13.361363636363601</c:v>
                </c:pt>
                <c:pt idx="359">
                  <c:v>14.068181818181801</c:v>
                </c:pt>
                <c:pt idx="360">
                  <c:v>14.7431818181818</c:v>
                </c:pt>
                <c:pt idx="361">
                  <c:v>13.970454545454499</c:v>
                </c:pt>
                <c:pt idx="362">
                  <c:v>14.119047619047601</c:v>
                </c:pt>
                <c:pt idx="363">
                  <c:v>13.9047619047619</c:v>
                </c:pt>
                <c:pt idx="364">
                  <c:v>13.492857142857099</c:v>
                </c:pt>
                <c:pt idx="365">
                  <c:v>11.34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A1-4231-B562-88446FC5752D}"/>
            </c:ext>
          </c:extLst>
        </c:ser>
        <c:ser>
          <c:idx val="4"/>
          <c:order val="4"/>
          <c:tx>
            <c:strRef>
              <c:f>'Met Data'!$F$2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Data'!$F$3:$F$368</c:f>
              <c:numCache>
                <c:formatCode>General</c:formatCode>
                <c:ptCount val="366"/>
                <c:pt idx="0">
                  <c:v>17.908333333333299</c:v>
                </c:pt>
                <c:pt idx="1">
                  <c:v>18.454166666666602</c:v>
                </c:pt>
                <c:pt idx="2">
                  <c:v>18.4916666666666</c:v>
                </c:pt>
                <c:pt idx="3">
                  <c:v>17</c:v>
                </c:pt>
                <c:pt idx="4">
                  <c:v>16.4166666666666</c:v>
                </c:pt>
                <c:pt idx="5">
                  <c:v>17.629166666666599</c:v>
                </c:pt>
                <c:pt idx="6">
                  <c:v>17.004166666666599</c:v>
                </c:pt>
                <c:pt idx="7">
                  <c:v>17.433333333333302</c:v>
                </c:pt>
                <c:pt idx="8">
                  <c:v>17.0208333333333</c:v>
                </c:pt>
                <c:pt idx="9">
                  <c:v>17.6041666666666</c:v>
                </c:pt>
                <c:pt idx="10">
                  <c:v>17.654166666666601</c:v>
                </c:pt>
                <c:pt idx="11">
                  <c:v>18.175000000000001</c:v>
                </c:pt>
                <c:pt idx="12">
                  <c:v>17.883333333333301</c:v>
                </c:pt>
                <c:pt idx="13">
                  <c:v>17.279166666666601</c:v>
                </c:pt>
                <c:pt idx="14">
                  <c:v>17.5208333333333</c:v>
                </c:pt>
                <c:pt idx="15">
                  <c:v>17.970833333333299</c:v>
                </c:pt>
                <c:pt idx="16">
                  <c:v>18.2708333333333</c:v>
                </c:pt>
                <c:pt idx="17">
                  <c:v>17.954166666666602</c:v>
                </c:pt>
                <c:pt idx="18">
                  <c:v>18.454166666666602</c:v>
                </c:pt>
                <c:pt idx="19">
                  <c:v>18.125</c:v>
                </c:pt>
                <c:pt idx="20">
                  <c:v>17.6791666666666</c:v>
                </c:pt>
                <c:pt idx="21">
                  <c:v>17.350000000000001</c:v>
                </c:pt>
                <c:pt idx="22">
                  <c:v>17.504166666666599</c:v>
                </c:pt>
                <c:pt idx="23">
                  <c:v>17.713636363636301</c:v>
                </c:pt>
                <c:pt idx="24">
                  <c:v>17.8541666666666</c:v>
                </c:pt>
                <c:pt idx="25">
                  <c:v>18.933333333333302</c:v>
                </c:pt>
                <c:pt idx="26">
                  <c:v>18.524999999999999</c:v>
                </c:pt>
                <c:pt idx="27">
                  <c:v>18.283333333333299</c:v>
                </c:pt>
                <c:pt idx="28">
                  <c:v>18.95</c:v>
                </c:pt>
                <c:pt idx="29">
                  <c:v>19.070833333333301</c:v>
                </c:pt>
                <c:pt idx="30">
                  <c:v>18.716666666666601</c:v>
                </c:pt>
                <c:pt idx="31">
                  <c:v>18.720833333333299</c:v>
                </c:pt>
                <c:pt idx="32">
                  <c:v>18.558333333333302</c:v>
                </c:pt>
                <c:pt idx="33">
                  <c:v>18.841666666666601</c:v>
                </c:pt>
                <c:pt idx="34">
                  <c:v>18.441666666666599</c:v>
                </c:pt>
                <c:pt idx="35">
                  <c:v>17.975000000000001</c:v>
                </c:pt>
                <c:pt idx="36">
                  <c:v>17.383333333333301</c:v>
                </c:pt>
                <c:pt idx="37">
                  <c:v>17.0416666666666</c:v>
                </c:pt>
                <c:pt idx="38">
                  <c:v>17.483333333333299</c:v>
                </c:pt>
                <c:pt idx="39">
                  <c:v>17.5625</c:v>
                </c:pt>
                <c:pt idx="40">
                  <c:v>17.7083333333333</c:v>
                </c:pt>
                <c:pt idx="41">
                  <c:v>17.654166666666601</c:v>
                </c:pt>
                <c:pt idx="42">
                  <c:v>18.245833333333302</c:v>
                </c:pt>
                <c:pt idx="43">
                  <c:v>18.674999999999901</c:v>
                </c:pt>
                <c:pt idx="44">
                  <c:v>18.670833333333299</c:v>
                </c:pt>
                <c:pt idx="45">
                  <c:v>18.1666666666666</c:v>
                </c:pt>
                <c:pt idx="46">
                  <c:v>17.879166666666599</c:v>
                </c:pt>
                <c:pt idx="47">
                  <c:v>18.2083333333333</c:v>
                </c:pt>
                <c:pt idx="48">
                  <c:v>18.529166666666601</c:v>
                </c:pt>
                <c:pt idx="49">
                  <c:v>18.925000000000001</c:v>
                </c:pt>
                <c:pt idx="50">
                  <c:v>19.195833333333301</c:v>
                </c:pt>
                <c:pt idx="51">
                  <c:v>18.945833333333301</c:v>
                </c:pt>
                <c:pt idx="52">
                  <c:v>18.912499999999898</c:v>
                </c:pt>
                <c:pt idx="53">
                  <c:v>17.745833333333302</c:v>
                </c:pt>
                <c:pt idx="54">
                  <c:v>16.945833333333301</c:v>
                </c:pt>
                <c:pt idx="55">
                  <c:v>17.495833333333302</c:v>
                </c:pt>
                <c:pt idx="56">
                  <c:v>16.954166666666602</c:v>
                </c:pt>
                <c:pt idx="57">
                  <c:v>16.829166666666602</c:v>
                </c:pt>
                <c:pt idx="58">
                  <c:v>17.512499999999999</c:v>
                </c:pt>
                <c:pt idx="59">
                  <c:v>17.1166666666666</c:v>
                </c:pt>
                <c:pt idx="60">
                  <c:v>17.037500000000001</c:v>
                </c:pt>
                <c:pt idx="61">
                  <c:v>17.204166666666602</c:v>
                </c:pt>
                <c:pt idx="62">
                  <c:v>16.720833333333299</c:v>
                </c:pt>
                <c:pt idx="63">
                  <c:v>17.05</c:v>
                </c:pt>
                <c:pt idx="64">
                  <c:v>16.5625</c:v>
                </c:pt>
                <c:pt idx="65">
                  <c:v>16.349999999999898</c:v>
                </c:pt>
                <c:pt idx="66">
                  <c:v>16.404166666666601</c:v>
                </c:pt>
                <c:pt idx="67">
                  <c:v>16.174999999999901</c:v>
                </c:pt>
                <c:pt idx="68">
                  <c:v>16.625</c:v>
                </c:pt>
                <c:pt idx="69">
                  <c:v>16.266666666666602</c:v>
                </c:pt>
                <c:pt idx="70">
                  <c:v>16.404166666666601</c:v>
                </c:pt>
                <c:pt idx="71">
                  <c:v>15.324999999999999</c:v>
                </c:pt>
                <c:pt idx="72">
                  <c:v>15.8333333333333</c:v>
                </c:pt>
                <c:pt idx="73">
                  <c:v>16.966666666666601</c:v>
                </c:pt>
                <c:pt idx="74">
                  <c:v>17.766666666666602</c:v>
                </c:pt>
                <c:pt idx="75">
                  <c:v>16.100000000000001</c:v>
                </c:pt>
                <c:pt idx="76">
                  <c:v>15.379166666666601</c:v>
                </c:pt>
                <c:pt idx="77">
                  <c:v>15.858333333333301</c:v>
                </c:pt>
                <c:pt idx="78">
                  <c:v>16.216666666666601</c:v>
                </c:pt>
                <c:pt idx="79">
                  <c:v>16.483333333333299</c:v>
                </c:pt>
                <c:pt idx="80">
                  <c:v>16.6791666666666</c:v>
                </c:pt>
                <c:pt idx="81">
                  <c:v>16.8</c:v>
                </c:pt>
                <c:pt idx="82">
                  <c:v>16.237500000000001</c:v>
                </c:pt>
                <c:pt idx="83">
                  <c:v>16.875</c:v>
                </c:pt>
                <c:pt idx="84">
                  <c:v>17.024999999999999</c:v>
                </c:pt>
                <c:pt idx="85">
                  <c:v>17.3</c:v>
                </c:pt>
                <c:pt idx="86">
                  <c:v>15.983333333333301</c:v>
                </c:pt>
                <c:pt idx="87">
                  <c:v>16.404166666666601</c:v>
                </c:pt>
                <c:pt idx="88">
                  <c:v>16.629166666666599</c:v>
                </c:pt>
                <c:pt idx="89">
                  <c:v>16.112499999999901</c:v>
                </c:pt>
                <c:pt idx="90">
                  <c:v>15.862500000000001</c:v>
                </c:pt>
                <c:pt idx="91">
                  <c:v>15.299999999999899</c:v>
                </c:pt>
                <c:pt idx="92">
                  <c:v>16.266666666666602</c:v>
                </c:pt>
                <c:pt idx="93">
                  <c:v>16.008333333333301</c:v>
                </c:pt>
                <c:pt idx="94">
                  <c:v>14.8083333333333</c:v>
                </c:pt>
                <c:pt idx="95">
                  <c:v>14.283333333333299</c:v>
                </c:pt>
                <c:pt idx="96">
                  <c:v>13.258333333333301</c:v>
                </c:pt>
                <c:pt idx="97">
                  <c:v>13.8666666666666</c:v>
                </c:pt>
                <c:pt idx="98">
                  <c:v>14.404166666666599</c:v>
                </c:pt>
                <c:pt idx="99">
                  <c:v>14.5416666666666</c:v>
                </c:pt>
                <c:pt idx="100">
                  <c:v>14.279166666666599</c:v>
                </c:pt>
                <c:pt idx="101">
                  <c:v>15.1666666666666</c:v>
                </c:pt>
                <c:pt idx="102">
                  <c:v>14.675000000000001</c:v>
                </c:pt>
                <c:pt idx="103">
                  <c:v>13.504166666666601</c:v>
                </c:pt>
                <c:pt idx="104">
                  <c:v>13.779166666666599</c:v>
                </c:pt>
                <c:pt idx="105">
                  <c:v>13.920833333333301</c:v>
                </c:pt>
                <c:pt idx="106">
                  <c:v>13.6416666666666</c:v>
                </c:pt>
                <c:pt idx="107">
                  <c:v>13.6833333333333</c:v>
                </c:pt>
                <c:pt idx="108">
                  <c:v>12.945833333333301</c:v>
                </c:pt>
                <c:pt idx="109">
                  <c:v>14.2875</c:v>
                </c:pt>
                <c:pt idx="110">
                  <c:v>14.275</c:v>
                </c:pt>
                <c:pt idx="111">
                  <c:v>13.595833333333299</c:v>
                </c:pt>
                <c:pt idx="112">
                  <c:v>13.9125</c:v>
                </c:pt>
                <c:pt idx="113">
                  <c:v>14.820833333333301</c:v>
                </c:pt>
                <c:pt idx="114">
                  <c:v>14.4166666666666</c:v>
                </c:pt>
                <c:pt idx="115">
                  <c:v>13.9375</c:v>
                </c:pt>
                <c:pt idx="116">
                  <c:v>14.8045454545454</c:v>
                </c:pt>
                <c:pt idx="117">
                  <c:v>14.1090909090909</c:v>
                </c:pt>
                <c:pt idx="118">
                  <c:v>13.8375</c:v>
                </c:pt>
                <c:pt idx="119">
                  <c:v>13.6458333333333</c:v>
                </c:pt>
                <c:pt idx="120">
                  <c:v>11.883333333333301</c:v>
                </c:pt>
                <c:pt idx="121">
                  <c:v>11.8541666666666</c:v>
                </c:pt>
                <c:pt idx="122">
                  <c:v>13.0875</c:v>
                </c:pt>
                <c:pt idx="123">
                  <c:v>13.137499999999999</c:v>
                </c:pt>
                <c:pt idx="124">
                  <c:v>13.591666666666599</c:v>
                </c:pt>
                <c:pt idx="125">
                  <c:v>13.2708333333333</c:v>
                </c:pt>
                <c:pt idx="126">
                  <c:v>12.6791666666666</c:v>
                </c:pt>
                <c:pt idx="127">
                  <c:v>12.799999999999899</c:v>
                </c:pt>
                <c:pt idx="128">
                  <c:v>14.1</c:v>
                </c:pt>
                <c:pt idx="129">
                  <c:v>13.7416666666666</c:v>
                </c:pt>
                <c:pt idx="130">
                  <c:v>13.1</c:v>
                </c:pt>
                <c:pt idx="131">
                  <c:v>13.566666666666601</c:v>
                </c:pt>
                <c:pt idx="132">
                  <c:v>12.887499999999999</c:v>
                </c:pt>
                <c:pt idx="133">
                  <c:v>13</c:v>
                </c:pt>
                <c:pt idx="134">
                  <c:v>13.470833333333299</c:v>
                </c:pt>
                <c:pt idx="135">
                  <c:v>12.8666666666666</c:v>
                </c:pt>
                <c:pt idx="136">
                  <c:v>12.237499999999899</c:v>
                </c:pt>
                <c:pt idx="137">
                  <c:v>11.595833333333299</c:v>
                </c:pt>
                <c:pt idx="138">
                  <c:v>11.904166666666599</c:v>
                </c:pt>
                <c:pt idx="139">
                  <c:v>11.762499999999999</c:v>
                </c:pt>
                <c:pt idx="140">
                  <c:v>11.612500000000001</c:v>
                </c:pt>
                <c:pt idx="141">
                  <c:v>10.174999999999899</c:v>
                </c:pt>
                <c:pt idx="142">
                  <c:v>10.7416666666666</c:v>
                </c:pt>
                <c:pt idx="143">
                  <c:v>10.983333333333301</c:v>
                </c:pt>
                <c:pt idx="144">
                  <c:v>10.7666666666666</c:v>
                </c:pt>
                <c:pt idx="145">
                  <c:v>11.1833333333333</c:v>
                </c:pt>
                <c:pt idx="146">
                  <c:v>10.566666666666601</c:v>
                </c:pt>
                <c:pt idx="147">
                  <c:v>10.283333333333299</c:v>
                </c:pt>
                <c:pt idx="148">
                  <c:v>10.8</c:v>
                </c:pt>
                <c:pt idx="149">
                  <c:v>9.6624999999999996</c:v>
                </c:pt>
                <c:pt idx="150">
                  <c:v>9.7166666666666597</c:v>
                </c:pt>
                <c:pt idx="151">
                  <c:v>10.004166666666601</c:v>
                </c:pt>
                <c:pt idx="152">
                  <c:v>9.99583333333333</c:v>
                </c:pt>
                <c:pt idx="153">
                  <c:v>9.8999999999999897</c:v>
                </c:pt>
                <c:pt idx="154">
                  <c:v>10.95</c:v>
                </c:pt>
                <c:pt idx="155">
                  <c:v>10.6875</c:v>
                </c:pt>
                <c:pt idx="156">
                  <c:v>10.5625</c:v>
                </c:pt>
                <c:pt idx="157">
                  <c:v>10.4625</c:v>
                </c:pt>
                <c:pt idx="158">
                  <c:v>9.5875000000000004</c:v>
                </c:pt>
                <c:pt idx="159">
                  <c:v>9.4875000000000007</c:v>
                </c:pt>
                <c:pt idx="160">
                  <c:v>10.9</c:v>
                </c:pt>
                <c:pt idx="161">
                  <c:v>10.8954545454545</c:v>
                </c:pt>
                <c:pt idx="162">
                  <c:v>11.8375</c:v>
                </c:pt>
                <c:pt idx="163">
                  <c:v>10.4916666666666</c:v>
                </c:pt>
                <c:pt idx="164">
                  <c:v>10.133333333333301</c:v>
                </c:pt>
                <c:pt idx="165">
                  <c:v>9.0291666666666597</c:v>
                </c:pt>
                <c:pt idx="166">
                  <c:v>10.125</c:v>
                </c:pt>
                <c:pt idx="167">
                  <c:v>10.2291666666666</c:v>
                </c:pt>
                <c:pt idx="168">
                  <c:v>10.316666666666601</c:v>
                </c:pt>
                <c:pt idx="169">
                  <c:v>10.6666666666666</c:v>
                </c:pt>
                <c:pt idx="170">
                  <c:v>10.6181818181818</c:v>
                </c:pt>
                <c:pt idx="171">
                  <c:v>10.0318181818181</c:v>
                </c:pt>
                <c:pt idx="172">
                  <c:v>8.9727272727272709</c:v>
                </c:pt>
                <c:pt idx="173">
                  <c:v>9.0227272727272698</c:v>
                </c:pt>
                <c:pt idx="174">
                  <c:v>10.3590909090909</c:v>
                </c:pt>
                <c:pt idx="175">
                  <c:v>9.5090909090909097</c:v>
                </c:pt>
                <c:pt idx="176">
                  <c:v>9.1272727272727199</c:v>
                </c:pt>
                <c:pt idx="177">
                  <c:v>8.7727272727272698</c:v>
                </c:pt>
                <c:pt idx="178">
                  <c:v>8.8363636363636306</c:v>
                </c:pt>
                <c:pt idx="179">
                  <c:v>8.7136363636363594</c:v>
                </c:pt>
                <c:pt idx="180">
                  <c:v>8.5291666666666597</c:v>
                </c:pt>
                <c:pt idx="181">
                  <c:v>8.8208333333333293</c:v>
                </c:pt>
                <c:pt idx="182">
                  <c:v>8.2249999999999996</c:v>
                </c:pt>
                <c:pt idx="183">
                  <c:v>8.8333333333333304</c:v>
                </c:pt>
                <c:pt idx="184">
                  <c:v>8.6</c:v>
                </c:pt>
                <c:pt idx="185">
                  <c:v>9.4</c:v>
                </c:pt>
                <c:pt idx="186">
                  <c:v>9.12083333333333</c:v>
                </c:pt>
                <c:pt idx="187">
                  <c:v>9.6583333333333297</c:v>
                </c:pt>
                <c:pt idx="188">
                  <c:v>8.5291666666666597</c:v>
                </c:pt>
                <c:pt idx="189">
                  <c:v>8.1583333333333297</c:v>
                </c:pt>
                <c:pt idx="190">
                  <c:v>8.24166666666666</c:v>
                </c:pt>
                <c:pt idx="191">
                  <c:v>8.0333333333333297</c:v>
                </c:pt>
                <c:pt idx="192">
                  <c:v>8.37083333333333</c:v>
                </c:pt>
                <c:pt idx="193">
                  <c:v>8.0916666666666597</c:v>
                </c:pt>
                <c:pt idx="194">
                  <c:v>7.9156250000000004</c:v>
                </c:pt>
                <c:pt idx="195">
                  <c:v>8.8590909090909093</c:v>
                </c:pt>
                <c:pt idx="196">
                  <c:v>8.8590909090909093</c:v>
                </c:pt>
                <c:pt idx="197">
                  <c:v>9.5909090909090899</c:v>
                </c:pt>
                <c:pt idx="198">
                  <c:v>8.8450000000000006</c:v>
                </c:pt>
                <c:pt idx="199">
                  <c:v>8.99166666666666</c:v>
                </c:pt>
                <c:pt idx="200">
                  <c:v>9.5</c:v>
                </c:pt>
                <c:pt idx="201">
                  <c:v>9.8333333333333304</c:v>
                </c:pt>
                <c:pt idx="202">
                  <c:v>10.029166666666599</c:v>
                </c:pt>
                <c:pt idx="203">
                  <c:v>9.4250000000000007</c:v>
                </c:pt>
                <c:pt idx="204">
                  <c:v>9.4</c:v>
                </c:pt>
                <c:pt idx="205">
                  <c:v>8.92916666666666</c:v>
                </c:pt>
                <c:pt idx="206">
                  <c:v>8.7624999999999993</c:v>
                </c:pt>
                <c:pt idx="207">
                  <c:v>9.3333333333333304</c:v>
                </c:pt>
                <c:pt idx="208">
                  <c:v>8.9875000000000007</c:v>
                </c:pt>
                <c:pt idx="209">
                  <c:v>9.0374999999999996</c:v>
                </c:pt>
                <c:pt idx="210">
                  <c:v>8.17916666666666</c:v>
                </c:pt>
                <c:pt idx="211">
                  <c:v>8.75</c:v>
                </c:pt>
                <c:pt idx="212">
                  <c:v>10.3375</c:v>
                </c:pt>
                <c:pt idx="213">
                  <c:v>10.595454545454499</c:v>
                </c:pt>
                <c:pt idx="214">
                  <c:v>10.1041666666666</c:v>
                </c:pt>
                <c:pt idx="215">
                  <c:v>10.1833333333333</c:v>
                </c:pt>
                <c:pt idx="216">
                  <c:v>9.7708333333333304</c:v>
                </c:pt>
                <c:pt idx="217">
                  <c:v>9.8791666666666593</c:v>
                </c:pt>
                <c:pt idx="218">
                  <c:v>9.9874999999999901</c:v>
                </c:pt>
                <c:pt idx="219">
                  <c:v>9.4625000000000004</c:v>
                </c:pt>
                <c:pt idx="220">
                  <c:v>8.42916666666666</c:v>
                </c:pt>
                <c:pt idx="221">
                  <c:v>7.8416666666666597</c:v>
                </c:pt>
                <c:pt idx="222">
                  <c:v>8.7916666666666607</c:v>
                </c:pt>
                <c:pt idx="223">
                  <c:v>9.2041666666666604</c:v>
                </c:pt>
                <c:pt idx="224">
                  <c:v>9.49583333333333</c:v>
                </c:pt>
                <c:pt idx="225">
                  <c:v>9.7791666666666597</c:v>
                </c:pt>
                <c:pt idx="226">
                  <c:v>9.4375</c:v>
                </c:pt>
                <c:pt idx="227">
                  <c:v>9.6999999999999993</c:v>
                </c:pt>
                <c:pt idx="228">
                  <c:v>9.61666666666666</c:v>
                </c:pt>
                <c:pt idx="229">
                  <c:v>8.8333333333333304</c:v>
                </c:pt>
                <c:pt idx="230">
                  <c:v>9.4833333333333307</c:v>
                </c:pt>
                <c:pt idx="231">
                  <c:v>9.2583333333333293</c:v>
                </c:pt>
                <c:pt idx="232">
                  <c:v>9.7708333333333304</c:v>
                </c:pt>
                <c:pt idx="233">
                  <c:v>9.5208333333333304</c:v>
                </c:pt>
                <c:pt idx="234">
                  <c:v>9.5791666666666604</c:v>
                </c:pt>
                <c:pt idx="235">
                  <c:v>9.8874999999999993</c:v>
                </c:pt>
                <c:pt idx="236">
                  <c:v>9.7208333333333297</c:v>
                </c:pt>
                <c:pt idx="237">
                  <c:v>10.716666666666599</c:v>
                </c:pt>
                <c:pt idx="238">
                  <c:v>10.754166666666601</c:v>
                </c:pt>
                <c:pt idx="239">
                  <c:v>11.0833333333333</c:v>
                </c:pt>
                <c:pt idx="240">
                  <c:v>10.5791666666666</c:v>
                </c:pt>
                <c:pt idx="241">
                  <c:v>11.1208333333333</c:v>
                </c:pt>
                <c:pt idx="242">
                  <c:v>10.6666666666666</c:v>
                </c:pt>
                <c:pt idx="243">
                  <c:v>10.1208333333333</c:v>
                </c:pt>
                <c:pt idx="244">
                  <c:v>9.6624999999999996</c:v>
                </c:pt>
                <c:pt idx="245">
                  <c:v>9.7541666666666593</c:v>
                </c:pt>
                <c:pt idx="246">
                  <c:v>10.0583333333333</c:v>
                </c:pt>
                <c:pt idx="247">
                  <c:v>9.7750000000000004</c:v>
                </c:pt>
                <c:pt idx="248">
                  <c:v>10.3333333333333</c:v>
                </c:pt>
                <c:pt idx="249">
                  <c:v>10.7708333333333</c:v>
                </c:pt>
                <c:pt idx="250">
                  <c:v>10.5791666666666</c:v>
                </c:pt>
                <c:pt idx="251">
                  <c:v>9.6125000000000007</c:v>
                </c:pt>
                <c:pt idx="252">
                  <c:v>10.0875</c:v>
                </c:pt>
                <c:pt idx="253">
                  <c:v>10.6416666666666</c:v>
                </c:pt>
                <c:pt idx="254">
                  <c:v>10.4541666666666</c:v>
                </c:pt>
                <c:pt idx="255">
                  <c:v>11.216666666666599</c:v>
                </c:pt>
                <c:pt idx="256">
                  <c:v>11.1</c:v>
                </c:pt>
                <c:pt idx="257">
                  <c:v>11.3708333333333</c:v>
                </c:pt>
                <c:pt idx="258">
                  <c:v>11.2916666666666</c:v>
                </c:pt>
                <c:pt idx="259">
                  <c:v>12.2125</c:v>
                </c:pt>
                <c:pt idx="260">
                  <c:v>11.35</c:v>
                </c:pt>
                <c:pt idx="261">
                  <c:v>10.504166666666601</c:v>
                </c:pt>
                <c:pt idx="262">
                  <c:v>10.387499999999999</c:v>
                </c:pt>
                <c:pt idx="263">
                  <c:v>9.85</c:v>
                </c:pt>
                <c:pt idx="264">
                  <c:v>10.158333333333299</c:v>
                </c:pt>
                <c:pt idx="265">
                  <c:v>10.9625</c:v>
                </c:pt>
                <c:pt idx="266">
                  <c:v>11.6458333333333</c:v>
                </c:pt>
                <c:pt idx="267">
                  <c:v>12.112500000000001</c:v>
                </c:pt>
                <c:pt idx="268">
                  <c:v>11.6875</c:v>
                </c:pt>
                <c:pt idx="269">
                  <c:v>12.0541666666666</c:v>
                </c:pt>
                <c:pt idx="270">
                  <c:v>12.3291666666666</c:v>
                </c:pt>
                <c:pt idx="271">
                  <c:v>12.65</c:v>
                </c:pt>
                <c:pt idx="272">
                  <c:v>12.5208333333333</c:v>
                </c:pt>
                <c:pt idx="273">
                  <c:v>11.65</c:v>
                </c:pt>
                <c:pt idx="274">
                  <c:v>12.0166666666666</c:v>
                </c:pt>
                <c:pt idx="275">
                  <c:v>12.941666666666601</c:v>
                </c:pt>
                <c:pt idx="276">
                  <c:v>11.95</c:v>
                </c:pt>
                <c:pt idx="277">
                  <c:v>11.8958333333333</c:v>
                </c:pt>
                <c:pt idx="278">
                  <c:v>11.8333333333333</c:v>
                </c:pt>
                <c:pt idx="279">
                  <c:v>12.133333333333301</c:v>
                </c:pt>
                <c:pt idx="280">
                  <c:v>11.8708333333333</c:v>
                </c:pt>
                <c:pt idx="281">
                  <c:v>11.529166666666599</c:v>
                </c:pt>
                <c:pt idx="282">
                  <c:v>11.316666666666601</c:v>
                </c:pt>
                <c:pt idx="283">
                  <c:v>12.466666666666599</c:v>
                </c:pt>
                <c:pt idx="284">
                  <c:v>12.566666666666601</c:v>
                </c:pt>
                <c:pt idx="285">
                  <c:v>12.133333333333301</c:v>
                </c:pt>
                <c:pt idx="286">
                  <c:v>12.762499999999999</c:v>
                </c:pt>
                <c:pt idx="287">
                  <c:v>12.675000000000001</c:v>
                </c:pt>
                <c:pt idx="288">
                  <c:v>12.3041666666666</c:v>
                </c:pt>
                <c:pt idx="289">
                  <c:v>12.987499999999899</c:v>
                </c:pt>
                <c:pt idx="290">
                  <c:v>12.7416666666666</c:v>
                </c:pt>
                <c:pt idx="291">
                  <c:v>12.154166666666599</c:v>
                </c:pt>
                <c:pt idx="292">
                  <c:v>12.6666666666666</c:v>
                </c:pt>
                <c:pt idx="293">
                  <c:v>12.4916666666666</c:v>
                </c:pt>
                <c:pt idx="294">
                  <c:v>12.925000000000001</c:v>
                </c:pt>
                <c:pt idx="295">
                  <c:v>12.2291666666666</c:v>
                </c:pt>
                <c:pt idx="296">
                  <c:v>12.2708333333333</c:v>
                </c:pt>
                <c:pt idx="297">
                  <c:v>12.858333333333301</c:v>
                </c:pt>
                <c:pt idx="298">
                  <c:v>13.7708333333333</c:v>
                </c:pt>
                <c:pt idx="299">
                  <c:v>13.899999999999901</c:v>
                </c:pt>
                <c:pt idx="300">
                  <c:v>13.425000000000001</c:v>
                </c:pt>
                <c:pt idx="301">
                  <c:v>13.9625</c:v>
                </c:pt>
                <c:pt idx="302">
                  <c:v>13.045833333333301</c:v>
                </c:pt>
                <c:pt idx="303">
                  <c:v>12.6166666666666</c:v>
                </c:pt>
                <c:pt idx="304">
                  <c:v>12.4791666666666</c:v>
                </c:pt>
                <c:pt idx="305">
                  <c:v>13.3125</c:v>
                </c:pt>
                <c:pt idx="306">
                  <c:v>14.35</c:v>
                </c:pt>
                <c:pt idx="307">
                  <c:v>13.875</c:v>
                </c:pt>
                <c:pt idx="308">
                  <c:v>13.316666666666601</c:v>
                </c:pt>
                <c:pt idx="309">
                  <c:v>13.1454545454545</c:v>
                </c:pt>
                <c:pt idx="310">
                  <c:v>13.4166666666666</c:v>
                </c:pt>
                <c:pt idx="311">
                  <c:v>13.8708333333333</c:v>
                </c:pt>
                <c:pt idx="312">
                  <c:v>14.158333333333299</c:v>
                </c:pt>
                <c:pt idx="313">
                  <c:v>13.6666666666666</c:v>
                </c:pt>
                <c:pt idx="314">
                  <c:v>13.8958333333333</c:v>
                </c:pt>
                <c:pt idx="315">
                  <c:v>13.0625</c:v>
                </c:pt>
                <c:pt idx="316">
                  <c:v>12.55</c:v>
                </c:pt>
                <c:pt idx="317">
                  <c:v>12.591666666666599</c:v>
                </c:pt>
                <c:pt idx="318">
                  <c:v>13.462499999999901</c:v>
                </c:pt>
                <c:pt idx="319">
                  <c:v>14.7458333333333</c:v>
                </c:pt>
                <c:pt idx="320">
                  <c:v>14.945833333333301</c:v>
                </c:pt>
                <c:pt idx="321">
                  <c:v>14.45</c:v>
                </c:pt>
                <c:pt idx="322">
                  <c:v>13.941666666666601</c:v>
                </c:pt>
                <c:pt idx="323">
                  <c:v>14.1208333333333</c:v>
                </c:pt>
                <c:pt idx="324">
                  <c:v>14.2</c:v>
                </c:pt>
                <c:pt idx="325">
                  <c:v>14.2916666666666</c:v>
                </c:pt>
                <c:pt idx="326">
                  <c:v>14.8666666666666</c:v>
                </c:pt>
                <c:pt idx="327">
                  <c:v>14.875</c:v>
                </c:pt>
                <c:pt idx="328">
                  <c:v>15.8125</c:v>
                </c:pt>
                <c:pt idx="329">
                  <c:v>15.945833333333301</c:v>
                </c:pt>
                <c:pt idx="330">
                  <c:v>16.279166666666601</c:v>
                </c:pt>
                <c:pt idx="331">
                  <c:v>16.070833333333301</c:v>
                </c:pt>
                <c:pt idx="332">
                  <c:v>15.033333333333299</c:v>
                </c:pt>
                <c:pt idx="333">
                  <c:v>16.1166666666666</c:v>
                </c:pt>
                <c:pt idx="334">
                  <c:v>15.887499999999999</c:v>
                </c:pt>
                <c:pt idx="335">
                  <c:v>16.1458333333333</c:v>
                </c:pt>
                <c:pt idx="336">
                  <c:v>16.0625</c:v>
                </c:pt>
                <c:pt idx="337">
                  <c:v>16.591666666666601</c:v>
                </c:pt>
                <c:pt idx="338">
                  <c:v>16.441666666666599</c:v>
                </c:pt>
                <c:pt idx="339">
                  <c:v>16.454166666666602</c:v>
                </c:pt>
                <c:pt idx="340">
                  <c:v>15.879166666666601</c:v>
                </c:pt>
                <c:pt idx="341">
                  <c:v>15.259090909090901</c:v>
                </c:pt>
                <c:pt idx="342">
                  <c:v>15.9125</c:v>
                </c:pt>
                <c:pt idx="343">
                  <c:v>16.720833333333299</c:v>
                </c:pt>
                <c:pt idx="344">
                  <c:v>17.529166666666601</c:v>
                </c:pt>
                <c:pt idx="345">
                  <c:v>17.004166666666599</c:v>
                </c:pt>
                <c:pt idx="346">
                  <c:v>16.883333333333301</c:v>
                </c:pt>
                <c:pt idx="347">
                  <c:v>16.191666666666599</c:v>
                </c:pt>
                <c:pt idx="348">
                  <c:v>15.754166666666601</c:v>
                </c:pt>
                <c:pt idx="349">
                  <c:v>16.766666666666602</c:v>
                </c:pt>
                <c:pt idx="350">
                  <c:v>16.766666666666602</c:v>
                </c:pt>
                <c:pt idx="351">
                  <c:v>17.191666666666599</c:v>
                </c:pt>
                <c:pt idx="352">
                  <c:v>16.725000000000001</c:v>
                </c:pt>
                <c:pt idx="353">
                  <c:v>15.9625</c:v>
                </c:pt>
                <c:pt idx="354">
                  <c:v>16.074999999999999</c:v>
                </c:pt>
                <c:pt idx="355">
                  <c:v>16.1458333333333</c:v>
                </c:pt>
                <c:pt idx="356">
                  <c:v>16.820833333333301</c:v>
                </c:pt>
                <c:pt idx="357">
                  <c:v>16.883333333333301</c:v>
                </c:pt>
                <c:pt idx="358">
                  <c:v>17.399999999999999</c:v>
                </c:pt>
                <c:pt idx="359">
                  <c:v>17.920833333333299</c:v>
                </c:pt>
                <c:pt idx="360">
                  <c:v>17.537500000000001</c:v>
                </c:pt>
                <c:pt idx="361">
                  <c:v>17.012499999999999</c:v>
                </c:pt>
                <c:pt idx="362">
                  <c:v>17.1041666666666</c:v>
                </c:pt>
                <c:pt idx="363">
                  <c:v>17.0541666666666</c:v>
                </c:pt>
                <c:pt idx="364">
                  <c:v>16.6875</c:v>
                </c:pt>
                <c:pt idx="365">
                  <c:v>15.483333333333301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9B-4895-A625-2DD4E4A42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Rain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Data'!$I$2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Data'!$I$3:$I$368</c:f>
              <c:numCache>
                <c:formatCode>General</c:formatCode>
                <c:ptCount val="366"/>
                <c:pt idx="0">
                  <c:v>0.69411764705882295</c:v>
                </c:pt>
                <c:pt idx="1">
                  <c:v>1.5735294117647001</c:v>
                </c:pt>
                <c:pt idx="2">
                  <c:v>2.3529411764705799</c:v>
                </c:pt>
                <c:pt idx="3">
                  <c:v>1.96470588235294</c:v>
                </c:pt>
                <c:pt idx="4">
                  <c:v>1.5588235294117601</c:v>
                </c:pt>
                <c:pt idx="5">
                  <c:v>0.438235294117647</c:v>
                </c:pt>
                <c:pt idx="6">
                  <c:v>0.92647058823529405</c:v>
                </c:pt>
                <c:pt idx="7">
                  <c:v>2.3176470588235198</c:v>
                </c:pt>
                <c:pt idx="8">
                  <c:v>0.90882352941176403</c:v>
                </c:pt>
                <c:pt idx="9">
                  <c:v>2.69999999999999</c:v>
                </c:pt>
                <c:pt idx="10">
                  <c:v>2.3529411764705799</c:v>
                </c:pt>
                <c:pt idx="11">
                  <c:v>2.74705882352941</c:v>
                </c:pt>
                <c:pt idx="12">
                  <c:v>1.29411764705882</c:v>
                </c:pt>
                <c:pt idx="13">
                  <c:v>0.93823529411764695</c:v>
                </c:pt>
                <c:pt idx="14">
                  <c:v>1.0911764705882301</c:v>
                </c:pt>
                <c:pt idx="15">
                  <c:v>0.77647058823529402</c:v>
                </c:pt>
                <c:pt idx="16">
                  <c:v>0.57058823529411695</c:v>
                </c:pt>
                <c:pt idx="17">
                  <c:v>3.48529411764705</c:v>
                </c:pt>
                <c:pt idx="18">
                  <c:v>0.99117647058823499</c:v>
                </c:pt>
                <c:pt idx="19">
                  <c:v>0.25588235294117601</c:v>
                </c:pt>
                <c:pt idx="20">
                  <c:v>0.35882352941176399</c:v>
                </c:pt>
                <c:pt idx="21">
                  <c:v>1.94705882352941</c:v>
                </c:pt>
                <c:pt idx="22">
                  <c:v>0.744117647058823</c:v>
                </c:pt>
                <c:pt idx="23">
                  <c:v>1.4117647058823499</c:v>
                </c:pt>
                <c:pt idx="24">
                  <c:v>1.25588235294117</c:v>
                </c:pt>
                <c:pt idx="25">
                  <c:v>0.91470588235294104</c:v>
                </c:pt>
                <c:pt idx="26">
                  <c:v>2.3441176470588201</c:v>
                </c:pt>
                <c:pt idx="27">
                  <c:v>1.02941176470588</c:v>
                </c:pt>
                <c:pt idx="28">
                  <c:v>6.4705882352941099E-2</c:v>
                </c:pt>
                <c:pt idx="29">
                  <c:v>0.61176470588235299</c:v>
                </c:pt>
                <c:pt idx="30">
                  <c:v>1.01176470588235</c:v>
                </c:pt>
                <c:pt idx="31">
                  <c:v>0.26764705882352902</c:v>
                </c:pt>
                <c:pt idx="32">
                  <c:v>1.22058823529411</c:v>
                </c:pt>
                <c:pt idx="33">
                  <c:v>0.72352941176470498</c:v>
                </c:pt>
                <c:pt idx="34">
                  <c:v>1.75294117647058</c:v>
                </c:pt>
                <c:pt idx="35">
                  <c:v>2.20882352941176</c:v>
                </c:pt>
                <c:pt idx="36">
                  <c:v>0.49117647058823499</c:v>
                </c:pt>
                <c:pt idx="37">
                  <c:v>1.98235294117647</c:v>
                </c:pt>
                <c:pt idx="38">
                  <c:v>0.79411764705882304</c:v>
                </c:pt>
                <c:pt idx="39">
                  <c:v>1.1352941176470499</c:v>
                </c:pt>
                <c:pt idx="40">
                  <c:v>0.77647058823529402</c:v>
                </c:pt>
                <c:pt idx="41">
                  <c:v>1.0529411764705801</c:v>
                </c:pt>
                <c:pt idx="42">
                  <c:v>2.1735294117646999</c:v>
                </c:pt>
                <c:pt idx="43">
                  <c:v>1.78235294117647</c:v>
                </c:pt>
                <c:pt idx="44">
                  <c:v>2.5647058823529401</c:v>
                </c:pt>
                <c:pt idx="45">
                  <c:v>2.2558823529411698</c:v>
                </c:pt>
                <c:pt idx="46">
                  <c:v>1.3529411764705801</c:v>
                </c:pt>
                <c:pt idx="47">
                  <c:v>1.3794117647058799</c:v>
                </c:pt>
                <c:pt idx="48">
                  <c:v>2.15</c:v>
                </c:pt>
                <c:pt idx="49">
                  <c:v>0.64117647058823501</c:v>
                </c:pt>
                <c:pt idx="50">
                  <c:v>2.5705882352941098</c:v>
                </c:pt>
                <c:pt idx="51">
                  <c:v>0.76470588235294101</c:v>
                </c:pt>
                <c:pt idx="52">
                  <c:v>1.52647058823529</c:v>
                </c:pt>
                <c:pt idx="53">
                  <c:v>1.78529411764705</c:v>
                </c:pt>
                <c:pt idx="54">
                  <c:v>1.6794117647058799</c:v>
                </c:pt>
                <c:pt idx="55">
                  <c:v>0.59411764705882297</c:v>
                </c:pt>
                <c:pt idx="56">
                  <c:v>1.93333333333333</c:v>
                </c:pt>
                <c:pt idx="57">
                  <c:v>1.1676470588235199</c:v>
                </c:pt>
                <c:pt idx="58">
                  <c:v>1.3352941176470501</c:v>
                </c:pt>
                <c:pt idx="59">
                  <c:v>0.48235294117646998</c:v>
                </c:pt>
                <c:pt idx="60">
                  <c:v>1.65151515151515</c:v>
                </c:pt>
                <c:pt idx="61">
                  <c:v>3.5272727272727198</c:v>
                </c:pt>
                <c:pt idx="62">
                  <c:v>2.1212121212121202</c:v>
                </c:pt>
                <c:pt idx="63">
                  <c:v>2.5606060606060601</c:v>
                </c:pt>
                <c:pt idx="64">
                  <c:v>0.50303030303030305</c:v>
                </c:pt>
                <c:pt idx="65">
                  <c:v>0.884848484848484</c:v>
                </c:pt>
                <c:pt idx="66">
                  <c:v>0.98787878787878702</c:v>
                </c:pt>
                <c:pt idx="67">
                  <c:v>0.82121212121212095</c:v>
                </c:pt>
                <c:pt idx="68">
                  <c:v>1.4909090909090901</c:v>
                </c:pt>
                <c:pt idx="69">
                  <c:v>1.93823529411764</c:v>
                </c:pt>
                <c:pt idx="70">
                  <c:v>3.24705882352941</c:v>
                </c:pt>
                <c:pt idx="71">
                  <c:v>2.9088235294117601</c:v>
                </c:pt>
                <c:pt idx="72">
                  <c:v>2.2999999999999998</c:v>
                </c:pt>
                <c:pt idx="73">
                  <c:v>0.34411764705882297</c:v>
                </c:pt>
                <c:pt idx="74">
                  <c:v>1.3499999999999901</c:v>
                </c:pt>
                <c:pt idx="75">
                  <c:v>1.49117647058823</c:v>
                </c:pt>
                <c:pt idx="76">
                  <c:v>1.8470588235294101</c:v>
                </c:pt>
                <c:pt idx="77">
                  <c:v>1.1617647058823499</c:v>
                </c:pt>
                <c:pt idx="78">
                  <c:v>0.66176470588235203</c:v>
                </c:pt>
                <c:pt idx="79">
                  <c:v>0.95588235294117596</c:v>
                </c:pt>
                <c:pt idx="80">
                  <c:v>1.0823529411764701</c:v>
                </c:pt>
                <c:pt idx="81">
                  <c:v>2.1911764705882302</c:v>
                </c:pt>
                <c:pt idx="82">
                  <c:v>1.0235294117647</c:v>
                </c:pt>
                <c:pt idx="83">
                  <c:v>2.0852941176470501</c:v>
                </c:pt>
                <c:pt idx="84">
                  <c:v>0.36764705882352899</c:v>
                </c:pt>
                <c:pt idx="85">
                  <c:v>1.0823529411764701</c:v>
                </c:pt>
                <c:pt idx="86">
                  <c:v>0.94705882352941095</c:v>
                </c:pt>
                <c:pt idx="87">
                  <c:v>1.0558823529411701</c:v>
                </c:pt>
                <c:pt idx="88">
                  <c:v>2.7852941176470498</c:v>
                </c:pt>
                <c:pt idx="89">
                  <c:v>1.8794117647058799</c:v>
                </c:pt>
                <c:pt idx="90">
                  <c:v>1.0852941176470501</c:v>
                </c:pt>
                <c:pt idx="91">
                  <c:v>0.94117647058823495</c:v>
                </c:pt>
                <c:pt idx="92">
                  <c:v>1.49117647058823</c:v>
                </c:pt>
                <c:pt idx="93">
                  <c:v>1.72941176470588</c:v>
                </c:pt>
                <c:pt idx="94">
                  <c:v>1.3441176470588201</c:v>
                </c:pt>
                <c:pt idx="95">
                  <c:v>2.2911764705882298</c:v>
                </c:pt>
                <c:pt idx="96">
                  <c:v>3.5058823529411698</c:v>
                </c:pt>
                <c:pt idx="97">
                  <c:v>2.1029411764705799</c:v>
                </c:pt>
                <c:pt idx="98">
                  <c:v>2.8117647058823501</c:v>
                </c:pt>
                <c:pt idx="99">
                  <c:v>2.0676470588235198</c:v>
                </c:pt>
                <c:pt idx="100">
                  <c:v>1.3794117647058799</c:v>
                </c:pt>
                <c:pt idx="101">
                  <c:v>1.8117647058823501</c:v>
                </c:pt>
                <c:pt idx="102">
                  <c:v>1.4117647058823499</c:v>
                </c:pt>
                <c:pt idx="103">
                  <c:v>1.26470588235294</c:v>
                </c:pt>
                <c:pt idx="104">
                  <c:v>0.48529411764705799</c:v>
                </c:pt>
                <c:pt idx="105">
                  <c:v>1.1558823529411699</c:v>
                </c:pt>
                <c:pt idx="106">
                  <c:v>1.68823529411764</c:v>
                </c:pt>
                <c:pt idx="107">
                  <c:v>1.19117647058823</c:v>
                </c:pt>
                <c:pt idx="108">
                  <c:v>0.876470588235294</c:v>
                </c:pt>
                <c:pt idx="109">
                  <c:v>1.6147058823529401</c:v>
                </c:pt>
                <c:pt idx="110">
                  <c:v>1.6352941176470499</c:v>
                </c:pt>
                <c:pt idx="111">
                  <c:v>0.81176470588235194</c:v>
                </c:pt>
                <c:pt idx="112">
                  <c:v>0.77352941176470502</c:v>
                </c:pt>
                <c:pt idx="113">
                  <c:v>1.75294117647058</c:v>
                </c:pt>
                <c:pt idx="114">
                  <c:v>1.70294117647058</c:v>
                </c:pt>
                <c:pt idx="115">
                  <c:v>0.41176470588235198</c:v>
                </c:pt>
                <c:pt idx="116">
                  <c:v>1.79705882352941</c:v>
                </c:pt>
                <c:pt idx="117">
                  <c:v>2.1588235294117601</c:v>
                </c:pt>
                <c:pt idx="118">
                  <c:v>5.4352941176470502</c:v>
                </c:pt>
                <c:pt idx="119">
                  <c:v>2.5852941176470501</c:v>
                </c:pt>
                <c:pt idx="120">
                  <c:v>1.01176470588235</c:v>
                </c:pt>
                <c:pt idx="121">
                  <c:v>0.91470588235294104</c:v>
                </c:pt>
                <c:pt idx="122">
                  <c:v>0.91764705882352904</c:v>
                </c:pt>
                <c:pt idx="123">
                  <c:v>1.78529411764705</c:v>
                </c:pt>
                <c:pt idx="124">
                  <c:v>1.0941176470588201</c:v>
                </c:pt>
                <c:pt idx="125">
                  <c:v>3.2617647058823498</c:v>
                </c:pt>
                <c:pt idx="126">
                  <c:v>1.1176470588235199</c:v>
                </c:pt>
                <c:pt idx="127">
                  <c:v>3.0588235294117601</c:v>
                </c:pt>
                <c:pt idx="128">
                  <c:v>0.78235294117647003</c:v>
                </c:pt>
                <c:pt idx="129">
                  <c:v>1.99411764705882</c:v>
                </c:pt>
                <c:pt idx="130">
                  <c:v>0.92058823529411704</c:v>
                </c:pt>
                <c:pt idx="131">
                  <c:v>1.73823529411764</c:v>
                </c:pt>
                <c:pt idx="132">
                  <c:v>1.23235294117647</c:v>
                </c:pt>
                <c:pt idx="133">
                  <c:v>1.69705882352941</c:v>
                </c:pt>
                <c:pt idx="134">
                  <c:v>1.51764705882352</c:v>
                </c:pt>
                <c:pt idx="135">
                  <c:v>2.0147058823529398</c:v>
                </c:pt>
                <c:pt idx="136">
                  <c:v>2.7235294117647002</c:v>
                </c:pt>
                <c:pt idx="137">
                  <c:v>1.5</c:v>
                </c:pt>
                <c:pt idx="138">
                  <c:v>1.5735294117647001</c:v>
                </c:pt>
                <c:pt idx="139">
                  <c:v>1.9352941176470499</c:v>
                </c:pt>
                <c:pt idx="140">
                  <c:v>2.3529411764705799</c:v>
                </c:pt>
                <c:pt idx="141">
                  <c:v>1.5852941176470501</c:v>
                </c:pt>
                <c:pt idx="142">
                  <c:v>1.6205882352941099</c:v>
                </c:pt>
                <c:pt idx="143">
                  <c:v>3.3764705882352901</c:v>
                </c:pt>
                <c:pt idx="144">
                  <c:v>1.9058823529411699</c:v>
                </c:pt>
                <c:pt idx="145">
                  <c:v>4.3794117647058801</c:v>
                </c:pt>
                <c:pt idx="146">
                  <c:v>0.997058823529411</c:v>
                </c:pt>
                <c:pt idx="147">
                  <c:v>2.3676470588235201</c:v>
                </c:pt>
                <c:pt idx="148">
                  <c:v>2.75</c:v>
                </c:pt>
                <c:pt idx="149">
                  <c:v>1.52647058823529</c:v>
                </c:pt>
                <c:pt idx="150">
                  <c:v>0.65454545454545399</c:v>
                </c:pt>
                <c:pt idx="151">
                  <c:v>2.6606060606060602</c:v>
                </c:pt>
                <c:pt idx="152">
                  <c:v>1.6818181818181801</c:v>
                </c:pt>
                <c:pt idx="153">
                  <c:v>1.9090909090909001</c:v>
                </c:pt>
                <c:pt idx="154">
                  <c:v>2.05151515151515</c:v>
                </c:pt>
                <c:pt idx="155">
                  <c:v>1.2333333333333301</c:v>
                </c:pt>
                <c:pt idx="156">
                  <c:v>1.3454545454545399</c:v>
                </c:pt>
                <c:pt idx="157">
                  <c:v>2.1393939393939299</c:v>
                </c:pt>
                <c:pt idx="158">
                  <c:v>2.0727272727272701</c:v>
                </c:pt>
                <c:pt idx="159">
                  <c:v>1.4757575757575701</c:v>
                </c:pt>
                <c:pt idx="160">
                  <c:v>1.8848484848484801</c:v>
                </c:pt>
                <c:pt idx="161">
                  <c:v>1.28484848484848</c:v>
                </c:pt>
                <c:pt idx="162">
                  <c:v>3.9121212121212099</c:v>
                </c:pt>
                <c:pt idx="163">
                  <c:v>2.0303030303030298</c:v>
                </c:pt>
                <c:pt idx="164">
                  <c:v>1.5575757575757501</c:v>
                </c:pt>
                <c:pt idx="165">
                  <c:v>3.41818181818181</c:v>
                </c:pt>
                <c:pt idx="166">
                  <c:v>2.5727272727272701</c:v>
                </c:pt>
                <c:pt idx="167">
                  <c:v>3.0060606060606001</c:v>
                </c:pt>
                <c:pt idx="168">
                  <c:v>2.2727272727272698</c:v>
                </c:pt>
                <c:pt idx="169">
                  <c:v>2.1939393939393899</c:v>
                </c:pt>
                <c:pt idx="170">
                  <c:v>2.1121212121212101</c:v>
                </c:pt>
                <c:pt idx="171">
                  <c:v>2.0333333333333301</c:v>
                </c:pt>
                <c:pt idx="172">
                  <c:v>2.0939393939393902</c:v>
                </c:pt>
                <c:pt idx="173">
                  <c:v>1.41818181818181</c:v>
                </c:pt>
                <c:pt idx="174">
                  <c:v>1.78484848484848</c:v>
                </c:pt>
                <c:pt idx="175">
                  <c:v>1.4909090909090901</c:v>
                </c:pt>
                <c:pt idx="176">
                  <c:v>1.3090909090909</c:v>
                </c:pt>
                <c:pt idx="177">
                  <c:v>1.8060606060605999</c:v>
                </c:pt>
                <c:pt idx="178">
                  <c:v>1.7121212121212099</c:v>
                </c:pt>
                <c:pt idx="179">
                  <c:v>3.14848484848484</c:v>
                </c:pt>
                <c:pt idx="180">
                  <c:v>2.17575757575757</c:v>
                </c:pt>
                <c:pt idx="181">
                  <c:v>1.3575757575757501</c:v>
                </c:pt>
                <c:pt idx="182">
                  <c:v>1.66363636363636</c:v>
                </c:pt>
                <c:pt idx="183">
                  <c:v>1.73030303030303</c:v>
                </c:pt>
                <c:pt idx="184">
                  <c:v>1.39393939393939</c:v>
                </c:pt>
                <c:pt idx="185">
                  <c:v>1.2030303030303</c:v>
                </c:pt>
                <c:pt idx="186">
                  <c:v>3.2515151515151501</c:v>
                </c:pt>
                <c:pt idx="187">
                  <c:v>1.1151515151515099</c:v>
                </c:pt>
                <c:pt idx="188">
                  <c:v>1.7878787878787801</c:v>
                </c:pt>
                <c:pt idx="189">
                  <c:v>1.32424242424242</c:v>
                </c:pt>
                <c:pt idx="190">
                  <c:v>1.1303030303030299</c:v>
                </c:pt>
                <c:pt idx="191">
                  <c:v>1.71818181818181</c:v>
                </c:pt>
                <c:pt idx="192">
                  <c:v>1.27272727272727</c:v>
                </c:pt>
                <c:pt idx="193">
                  <c:v>1.44545454545454</c:v>
                </c:pt>
                <c:pt idx="194">
                  <c:v>0.93333333333333302</c:v>
                </c:pt>
                <c:pt idx="195">
                  <c:v>0.95454545454545403</c:v>
                </c:pt>
                <c:pt idx="196">
                  <c:v>1.9030303030303</c:v>
                </c:pt>
                <c:pt idx="197">
                  <c:v>2.3454545454545399</c:v>
                </c:pt>
                <c:pt idx="198">
                  <c:v>3.6</c:v>
                </c:pt>
                <c:pt idx="199">
                  <c:v>1.92121212121212</c:v>
                </c:pt>
                <c:pt idx="200">
                  <c:v>1.76969696969696</c:v>
                </c:pt>
                <c:pt idx="201">
                  <c:v>2.1</c:v>
                </c:pt>
                <c:pt idx="202">
                  <c:v>2.55151515151515</c:v>
                </c:pt>
                <c:pt idx="203">
                  <c:v>0.84545454545454501</c:v>
                </c:pt>
                <c:pt idx="204">
                  <c:v>0.62727272727272698</c:v>
                </c:pt>
                <c:pt idx="205">
                  <c:v>2.63636363636363</c:v>
                </c:pt>
                <c:pt idx="206">
                  <c:v>1.49696969696969</c:v>
                </c:pt>
                <c:pt idx="207">
                  <c:v>2.4303030303030302</c:v>
                </c:pt>
                <c:pt idx="208">
                  <c:v>0.79090909090909101</c:v>
                </c:pt>
                <c:pt idx="209">
                  <c:v>0.79696969696969699</c:v>
                </c:pt>
                <c:pt idx="210">
                  <c:v>1.59393939393939</c:v>
                </c:pt>
                <c:pt idx="211">
                  <c:v>0.86060606060606004</c:v>
                </c:pt>
                <c:pt idx="212">
                  <c:v>1.7787878787878699</c:v>
                </c:pt>
                <c:pt idx="213">
                  <c:v>1.47272727272727</c:v>
                </c:pt>
                <c:pt idx="214">
                  <c:v>0.76666666666666605</c:v>
                </c:pt>
                <c:pt idx="215">
                  <c:v>1.47272727272727</c:v>
                </c:pt>
                <c:pt idx="216">
                  <c:v>1.75757575757575</c:v>
                </c:pt>
                <c:pt idx="217">
                  <c:v>0.60909090909090902</c:v>
                </c:pt>
                <c:pt idx="218">
                  <c:v>3.3848484848484799</c:v>
                </c:pt>
                <c:pt idx="219">
                  <c:v>3.2363636363636301</c:v>
                </c:pt>
                <c:pt idx="220">
                  <c:v>1.55151515151515</c:v>
                </c:pt>
                <c:pt idx="221">
                  <c:v>1.4545454545454499</c:v>
                </c:pt>
                <c:pt idx="222">
                  <c:v>1.6030303030302999</c:v>
                </c:pt>
                <c:pt idx="223">
                  <c:v>1.2</c:v>
                </c:pt>
                <c:pt idx="224">
                  <c:v>2.0151515151515098</c:v>
                </c:pt>
                <c:pt idx="225">
                  <c:v>2.2093750000000001</c:v>
                </c:pt>
                <c:pt idx="226">
                  <c:v>2.0531250000000001</c:v>
                </c:pt>
                <c:pt idx="227">
                  <c:v>2.03125</c:v>
                </c:pt>
                <c:pt idx="228">
                  <c:v>2.4874999999999998</c:v>
                </c:pt>
                <c:pt idx="229">
                  <c:v>2.4656250000000002</c:v>
                </c:pt>
                <c:pt idx="230">
                  <c:v>2.0375000000000001</c:v>
                </c:pt>
                <c:pt idx="231">
                  <c:v>1.278125</c:v>
                </c:pt>
                <c:pt idx="232">
                  <c:v>2.7843749999999998</c:v>
                </c:pt>
                <c:pt idx="233">
                  <c:v>3.6281249999999998</c:v>
                </c:pt>
                <c:pt idx="234">
                  <c:v>2.0787878787878702</c:v>
                </c:pt>
                <c:pt idx="235">
                  <c:v>0.324242424242424</c:v>
                </c:pt>
                <c:pt idx="236">
                  <c:v>1.3424242424242401</c:v>
                </c:pt>
                <c:pt idx="237">
                  <c:v>2.47272727272727</c:v>
                </c:pt>
                <c:pt idx="238">
                  <c:v>2.9151515151515102</c:v>
                </c:pt>
                <c:pt idx="239">
                  <c:v>1.8696969696969601</c:v>
                </c:pt>
                <c:pt idx="240">
                  <c:v>2.1333333333333302</c:v>
                </c:pt>
                <c:pt idx="241">
                  <c:v>1.3060606060605999</c:v>
                </c:pt>
                <c:pt idx="242">
                  <c:v>0.73030303030303001</c:v>
                </c:pt>
                <c:pt idx="243">
                  <c:v>1.66363636363636</c:v>
                </c:pt>
                <c:pt idx="244">
                  <c:v>1.2393939393939299</c:v>
                </c:pt>
                <c:pt idx="245">
                  <c:v>1.06969696969696</c:v>
                </c:pt>
                <c:pt idx="246">
                  <c:v>1.0878787878787799</c:v>
                </c:pt>
                <c:pt idx="247">
                  <c:v>0.95151515151515098</c:v>
                </c:pt>
                <c:pt idx="248">
                  <c:v>1.4151515151515099</c:v>
                </c:pt>
                <c:pt idx="249">
                  <c:v>0.51818181818181797</c:v>
                </c:pt>
                <c:pt idx="250">
                  <c:v>1.0757575757575699</c:v>
                </c:pt>
                <c:pt idx="251">
                  <c:v>1.0878787878787799</c:v>
                </c:pt>
                <c:pt idx="252">
                  <c:v>1.08181818181818</c:v>
                </c:pt>
                <c:pt idx="253">
                  <c:v>2.0393939393939302</c:v>
                </c:pt>
                <c:pt idx="254">
                  <c:v>1.4424242424242399</c:v>
                </c:pt>
                <c:pt idx="255">
                  <c:v>1.5181818181818101</c:v>
                </c:pt>
                <c:pt idx="256">
                  <c:v>1.0060606060606001</c:v>
                </c:pt>
                <c:pt idx="257">
                  <c:v>0.69090909090909003</c:v>
                </c:pt>
                <c:pt idx="258">
                  <c:v>0.112121212121212</c:v>
                </c:pt>
                <c:pt idx="259">
                  <c:v>0.26969696969696899</c:v>
                </c:pt>
                <c:pt idx="260">
                  <c:v>1.3212121212121199</c:v>
                </c:pt>
                <c:pt idx="261">
                  <c:v>1.83636363636363</c:v>
                </c:pt>
                <c:pt idx="262">
                  <c:v>1.47272727272727</c:v>
                </c:pt>
                <c:pt idx="263">
                  <c:v>1.39090909090909</c:v>
                </c:pt>
                <c:pt idx="264">
                  <c:v>1.4060606060606</c:v>
                </c:pt>
                <c:pt idx="265">
                  <c:v>0.86060606060606004</c:v>
                </c:pt>
                <c:pt idx="266">
                  <c:v>2.1454545454545402</c:v>
                </c:pt>
                <c:pt idx="267">
                  <c:v>2.4363636363636298</c:v>
                </c:pt>
                <c:pt idx="268">
                  <c:v>1.5363636363636299</c:v>
                </c:pt>
                <c:pt idx="269">
                  <c:v>0.384848484848484</c:v>
                </c:pt>
                <c:pt idx="270">
                  <c:v>2.6393939393939299</c:v>
                </c:pt>
                <c:pt idx="271">
                  <c:v>2.21515151515151</c:v>
                </c:pt>
                <c:pt idx="272">
                  <c:v>0.33939393939393903</c:v>
                </c:pt>
                <c:pt idx="273">
                  <c:v>0.36060606060605999</c:v>
                </c:pt>
                <c:pt idx="274">
                  <c:v>0.86969696969696897</c:v>
                </c:pt>
                <c:pt idx="275">
                  <c:v>2.9272727272727201</c:v>
                </c:pt>
                <c:pt idx="276">
                  <c:v>3.0151515151515098</c:v>
                </c:pt>
                <c:pt idx="277">
                  <c:v>1.5060606060606001</c:v>
                </c:pt>
                <c:pt idx="278">
                  <c:v>0.86666666666666603</c:v>
                </c:pt>
                <c:pt idx="279">
                  <c:v>1.1424242424242399</c:v>
                </c:pt>
                <c:pt idx="280">
                  <c:v>3.97272727272727</c:v>
                </c:pt>
                <c:pt idx="281">
                  <c:v>2.9363636363636298</c:v>
                </c:pt>
                <c:pt idx="282">
                  <c:v>2.5939393939393902</c:v>
                </c:pt>
                <c:pt idx="283">
                  <c:v>1.8181818181818099</c:v>
                </c:pt>
                <c:pt idx="284">
                  <c:v>1.7393939393939299</c:v>
                </c:pt>
                <c:pt idx="285">
                  <c:v>3.22727272727272</c:v>
                </c:pt>
                <c:pt idx="286">
                  <c:v>1.8060606060605999</c:v>
                </c:pt>
                <c:pt idx="287">
                  <c:v>1.17272727272727</c:v>
                </c:pt>
                <c:pt idx="288">
                  <c:v>0.98181818181818103</c:v>
                </c:pt>
                <c:pt idx="289">
                  <c:v>1.93030303030303</c:v>
                </c:pt>
                <c:pt idx="290">
                  <c:v>0.9</c:v>
                </c:pt>
                <c:pt idx="291">
                  <c:v>2.16363636363636</c:v>
                </c:pt>
                <c:pt idx="292">
                  <c:v>0.68787878787878698</c:v>
                </c:pt>
                <c:pt idx="293">
                  <c:v>0.91515151515151505</c:v>
                </c:pt>
                <c:pt idx="294">
                  <c:v>1.0757575757575699</c:v>
                </c:pt>
                <c:pt idx="295">
                  <c:v>1.5757575757575699</c:v>
                </c:pt>
                <c:pt idx="296">
                  <c:v>0.95454545454545403</c:v>
                </c:pt>
                <c:pt idx="297">
                  <c:v>0.13030303030303</c:v>
                </c:pt>
                <c:pt idx="298">
                  <c:v>1.03939393939393</c:v>
                </c:pt>
                <c:pt idx="299">
                  <c:v>1.66060606060606</c:v>
                </c:pt>
                <c:pt idx="300">
                  <c:v>1.6848484848484799</c:v>
                </c:pt>
                <c:pt idx="301">
                  <c:v>1</c:v>
                </c:pt>
                <c:pt idx="302">
                  <c:v>1.44848484848484</c:v>
                </c:pt>
                <c:pt idx="303">
                  <c:v>0.38787878787878699</c:v>
                </c:pt>
                <c:pt idx="304">
                  <c:v>0.82121212121212095</c:v>
                </c:pt>
                <c:pt idx="305">
                  <c:v>1.5727272727272701</c:v>
                </c:pt>
                <c:pt idx="306">
                  <c:v>0.86969696969696897</c:v>
                </c:pt>
                <c:pt idx="307">
                  <c:v>0.972727272727272</c:v>
                </c:pt>
                <c:pt idx="308">
                  <c:v>1.7090909090908999</c:v>
                </c:pt>
                <c:pt idx="309">
                  <c:v>1.2030303030303</c:v>
                </c:pt>
                <c:pt idx="310">
                  <c:v>2.3060606060605999</c:v>
                </c:pt>
                <c:pt idx="311">
                  <c:v>0.92727272727272703</c:v>
                </c:pt>
                <c:pt idx="312">
                  <c:v>1.0212121212121199</c:v>
                </c:pt>
                <c:pt idx="313">
                  <c:v>0.51818181818181797</c:v>
                </c:pt>
                <c:pt idx="314">
                  <c:v>0.90606060606060601</c:v>
                </c:pt>
                <c:pt idx="315">
                  <c:v>2.2575757575757498</c:v>
                </c:pt>
                <c:pt idx="316">
                  <c:v>1.1818181818181801</c:v>
                </c:pt>
                <c:pt idx="317">
                  <c:v>0.324242424242424</c:v>
                </c:pt>
                <c:pt idx="318">
                  <c:v>0.469696969696969</c:v>
                </c:pt>
                <c:pt idx="319">
                  <c:v>1.79696969696969</c:v>
                </c:pt>
                <c:pt idx="320">
                  <c:v>1.46969696969696</c:v>
                </c:pt>
                <c:pt idx="321">
                  <c:v>2.6151515151515099</c:v>
                </c:pt>
                <c:pt idx="322">
                  <c:v>2.7848484848484798</c:v>
                </c:pt>
                <c:pt idx="323">
                  <c:v>1.49696969696969</c:v>
                </c:pt>
                <c:pt idx="324">
                  <c:v>2.8727272727272699</c:v>
                </c:pt>
                <c:pt idx="325">
                  <c:v>1.4437500000000001</c:v>
                </c:pt>
                <c:pt idx="326">
                  <c:v>0.90937499999999905</c:v>
                </c:pt>
                <c:pt idx="327">
                  <c:v>1.096875</c:v>
                </c:pt>
                <c:pt idx="328">
                  <c:v>2.9937499999999999</c:v>
                </c:pt>
                <c:pt idx="329">
                  <c:v>1.871875</c:v>
                </c:pt>
                <c:pt idx="330">
                  <c:v>0.89375000000000004</c:v>
                </c:pt>
                <c:pt idx="331">
                  <c:v>2.8031250000000001</c:v>
                </c:pt>
                <c:pt idx="332">
                  <c:v>1.125</c:v>
                </c:pt>
                <c:pt idx="333">
                  <c:v>1.659375</c:v>
                </c:pt>
                <c:pt idx="334">
                  <c:v>1.1545454545454501</c:v>
                </c:pt>
                <c:pt idx="335">
                  <c:v>0.68484848484848404</c:v>
                </c:pt>
                <c:pt idx="336">
                  <c:v>0.94242424242424205</c:v>
                </c:pt>
                <c:pt idx="337">
                  <c:v>0.98787878787878702</c:v>
                </c:pt>
                <c:pt idx="338">
                  <c:v>1.5848484848484801</c:v>
                </c:pt>
                <c:pt idx="339">
                  <c:v>1.8545454545454501</c:v>
                </c:pt>
                <c:pt idx="340">
                  <c:v>1.1151515151515099</c:v>
                </c:pt>
                <c:pt idx="341">
                  <c:v>2.8242424242424198</c:v>
                </c:pt>
                <c:pt idx="342">
                  <c:v>0.49393939393939301</c:v>
                </c:pt>
                <c:pt idx="343">
                  <c:v>0.67878787878787805</c:v>
                </c:pt>
                <c:pt idx="344">
                  <c:v>0.221212121212121</c:v>
                </c:pt>
                <c:pt idx="345">
                  <c:v>1.21818181818181</c:v>
                </c:pt>
                <c:pt idx="346">
                  <c:v>2.59696969696969</c:v>
                </c:pt>
                <c:pt idx="347">
                  <c:v>1.05151515151515</c:v>
                </c:pt>
                <c:pt idx="348">
                  <c:v>1.04242424242424</c:v>
                </c:pt>
                <c:pt idx="349">
                  <c:v>1.9272727272727199</c:v>
                </c:pt>
                <c:pt idx="350">
                  <c:v>2.4060606060606</c:v>
                </c:pt>
                <c:pt idx="351">
                  <c:v>1.9363636363636301</c:v>
                </c:pt>
                <c:pt idx="352">
                  <c:v>1.78181818181818</c:v>
                </c:pt>
                <c:pt idx="353">
                  <c:v>4.1696969696969699</c:v>
                </c:pt>
                <c:pt idx="354">
                  <c:v>2.6030303030302999</c:v>
                </c:pt>
                <c:pt idx="355">
                  <c:v>2.1333333333333302</c:v>
                </c:pt>
                <c:pt idx="356">
                  <c:v>1.7606060606060601</c:v>
                </c:pt>
                <c:pt idx="357">
                  <c:v>0.44545454545454499</c:v>
                </c:pt>
                <c:pt idx="358">
                  <c:v>0.86969696969696897</c:v>
                </c:pt>
                <c:pt idx="359">
                  <c:v>0.68181818181818099</c:v>
                </c:pt>
                <c:pt idx="360">
                  <c:v>1.11818181818181</c:v>
                </c:pt>
                <c:pt idx="361">
                  <c:v>2.9666666666666601</c:v>
                </c:pt>
                <c:pt idx="362">
                  <c:v>1.01212121212121</c:v>
                </c:pt>
                <c:pt idx="363">
                  <c:v>2.5656249999999998</c:v>
                </c:pt>
                <c:pt idx="364">
                  <c:v>1.0062500000000001</c:v>
                </c:pt>
                <c:pt idx="365">
                  <c:v>2.4874999999999998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28-4269-B10F-B6E4830DCE4E}"/>
            </c:ext>
          </c:extLst>
        </c:ser>
        <c:ser>
          <c:idx val="1"/>
          <c:order val="1"/>
          <c:tx>
            <c:strRef>
              <c:f>'Met Data'!$J$2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Data'!$J$3:$J$368</c:f>
              <c:numCache>
                <c:formatCode>General</c:formatCode>
                <c:ptCount val="366"/>
                <c:pt idx="0">
                  <c:v>2.9862068965517201</c:v>
                </c:pt>
                <c:pt idx="1">
                  <c:v>1.4517241379310299</c:v>
                </c:pt>
                <c:pt idx="2">
                  <c:v>1.27241379310344</c:v>
                </c:pt>
                <c:pt idx="3">
                  <c:v>1.3206896551724101</c:v>
                </c:pt>
                <c:pt idx="4">
                  <c:v>1.64137931034482</c:v>
                </c:pt>
                <c:pt idx="5">
                  <c:v>1.8206896551724101</c:v>
                </c:pt>
                <c:pt idx="6">
                  <c:v>1.4896551724137901</c:v>
                </c:pt>
                <c:pt idx="7">
                  <c:v>2.69655172413793</c:v>
                </c:pt>
                <c:pt idx="8">
                  <c:v>3.0103448275861999</c:v>
                </c:pt>
                <c:pt idx="9">
                  <c:v>1.2689655172413701</c:v>
                </c:pt>
                <c:pt idx="10">
                  <c:v>1.3413793103448199</c:v>
                </c:pt>
                <c:pt idx="11">
                  <c:v>0.95</c:v>
                </c:pt>
                <c:pt idx="12">
                  <c:v>3.7233333333333301</c:v>
                </c:pt>
                <c:pt idx="13">
                  <c:v>2.2466666666666599</c:v>
                </c:pt>
                <c:pt idx="14">
                  <c:v>1.3333333333333299</c:v>
                </c:pt>
                <c:pt idx="15">
                  <c:v>3.0133333333333301</c:v>
                </c:pt>
                <c:pt idx="16">
                  <c:v>2.7833333333333301</c:v>
                </c:pt>
                <c:pt idx="17">
                  <c:v>2.1566666666666601</c:v>
                </c:pt>
                <c:pt idx="18">
                  <c:v>2.2333333333333298</c:v>
                </c:pt>
                <c:pt idx="19">
                  <c:v>1.02666666666666</c:v>
                </c:pt>
                <c:pt idx="20">
                  <c:v>8.4066666666666592</c:v>
                </c:pt>
                <c:pt idx="21">
                  <c:v>3.7366666666666601</c:v>
                </c:pt>
                <c:pt idx="22">
                  <c:v>2.4266666666666601</c:v>
                </c:pt>
                <c:pt idx="23">
                  <c:v>3.4166666666666599</c:v>
                </c:pt>
                <c:pt idx="24">
                  <c:v>3.70333333333333</c:v>
                </c:pt>
                <c:pt idx="25">
                  <c:v>1.2566666666666599</c:v>
                </c:pt>
                <c:pt idx="26">
                  <c:v>2.65</c:v>
                </c:pt>
                <c:pt idx="27">
                  <c:v>1.81</c:v>
                </c:pt>
                <c:pt idx="28">
                  <c:v>2.1066666666666598</c:v>
                </c:pt>
                <c:pt idx="29">
                  <c:v>3.1033333333333299</c:v>
                </c:pt>
                <c:pt idx="30">
                  <c:v>2.7466666666666599</c:v>
                </c:pt>
                <c:pt idx="31">
                  <c:v>1.1103448275862</c:v>
                </c:pt>
                <c:pt idx="32">
                  <c:v>4.0620689655172404</c:v>
                </c:pt>
                <c:pt idx="33">
                  <c:v>1.00344827586206</c:v>
                </c:pt>
                <c:pt idx="34">
                  <c:v>4.7586206896551699</c:v>
                </c:pt>
                <c:pt idx="35">
                  <c:v>2.2833333333333301</c:v>
                </c:pt>
                <c:pt idx="36">
                  <c:v>0.35</c:v>
                </c:pt>
                <c:pt idx="37">
                  <c:v>0.80666666666666598</c:v>
                </c:pt>
                <c:pt idx="38">
                  <c:v>2.1066666666666598</c:v>
                </c:pt>
                <c:pt idx="39">
                  <c:v>1.1200000000000001</c:v>
                </c:pt>
                <c:pt idx="40">
                  <c:v>1.4866666666666599</c:v>
                </c:pt>
                <c:pt idx="41">
                  <c:v>2.3199999999999998</c:v>
                </c:pt>
                <c:pt idx="42">
                  <c:v>2.6066666666666598</c:v>
                </c:pt>
                <c:pt idx="43">
                  <c:v>0.59</c:v>
                </c:pt>
                <c:pt idx="44">
                  <c:v>1.8724137931034399</c:v>
                </c:pt>
                <c:pt idx="45">
                  <c:v>2.8206896551724099</c:v>
                </c:pt>
                <c:pt idx="46">
                  <c:v>1.80344827586206</c:v>
                </c:pt>
                <c:pt idx="47">
                  <c:v>4.5</c:v>
                </c:pt>
                <c:pt idx="48">
                  <c:v>1.4</c:v>
                </c:pt>
                <c:pt idx="49">
                  <c:v>1.4655172413793101</c:v>
                </c:pt>
                <c:pt idx="50">
                  <c:v>3.8517241379310301</c:v>
                </c:pt>
                <c:pt idx="51">
                  <c:v>3</c:v>
                </c:pt>
                <c:pt idx="52">
                  <c:v>1.5333333333333301</c:v>
                </c:pt>
                <c:pt idx="53">
                  <c:v>3.06</c:v>
                </c:pt>
                <c:pt idx="54">
                  <c:v>1.73</c:v>
                </c:pt>
                <c:pt idx="55">
                  <c:v>1.1766666666666601</c:v>
                </c:pt>
                <c:pt idx="56">
                  <c:v>2.0233333333333299</c:v>
                </c:pt>
                <c:pt idx="57">
                  <c:v>1.5499999999999901</c:v>
                </c:pt>
                <c:pt idx="58">
                  <c:v>3.4793103448275802</c:v>
                </c:pt>
                <c:pt idx="59">
                  <c:v>4.1758620689655102</c:v>
                </c:pt>
                <c:pt idx="60">
                  <c:v>2.4379310344827498</c:v>
                </c:pt>
                <c:pt idx="61">
                  <c:v>3.53666666666666</c:v>
                </c:pt>
                <c:pt idx="62">
                  <c:v>5.3612903225806399</c:v>
                </c:pt>
                <c:pt idx="63">
                  <c:v>2.5580645161290301</c:v>
                </c:pt>
                <c:pt idx="64">
                  <c:v>2.3129032258064499</c:v>
                </c:pt>
                <c:pt idx="65">
                  <c:v>2.88709677419354</c:v>
                </c:pt>
                <c:pt idx="66">
                  <c:v>1.0379310344827499</c:v>
                </c:pt>
                <c:pt idx="67">
                  <c:v>3.2766666666666602</c:v>
                </c:pt>
                <c:pt idx="68">
                  <c:v>1.75</c:v>
                </c:pt>
                <c:pt idx="69">
                  <c:v>6.9499999999999904</c:v>
                </c:pt>
                <c:pt idx="70">
                  <c:v>3.0533333333333301</c:v>
                </c:pt>
                <c:pt idx="71">
                  <c:v>1.6892857142857101</c:v>
                </c:pt>
                <c:pt idx="72">
                  <c:v>1.84</c:v>
                </c:pt>
                <c:pt idx="73">
                  <c:v>3.1862068965517198</c:v>
                </c:pt>
                <c:pt idx="74">
                  <c:v>2.9633333333333298</c:v>
                </c:pt>
                <c:pt idx="75">
                  <c:v>2.61666666666666</c:v>
                </c:pt>
                <c:pt idx="76">
                  <c:v>1.69</c:v>
                </c:pt>
                <c:pt idx="77">
                  <c:v>1.5166666666666599</c:v>
                </c:pt>
                <c:pt idx="78">
                  <c:v>3.56451612903225</c:v>
                </c:pt>
                <c:pt idx="79">
                  <c:v>0.80645161290322498</c:v>
                </c:pt>
                <c:pt idx="80">
                  <c:v>2.8516129032258002</c:v>
                </c:pt>
                <c:pt idx="81">
                  <c:v>2.9933333333333301</c:v>
                </c:pt>
                <c:pt idx="82">
                  <c:v>1.83666666666666</c:v>
                </c:pt>
                <c:pt idx="83">
                  <c:v>1.7666666666666599</c:v>
                </c:pt>
                <c:pt idx="84">
                  <c:v>3.4354838709677402</c:v>
                </c:pt>
                <c:pt idx="85">
                  <c:v>0.97419354838709604</c:v>
                </c:pt>
                <c:pt idx="86">
                  <c:v>2.43225806451612</c:v>
                </c:pt>
                <c:pt idx="87">
                  <c:v>2.8193548387096699</c:v>
                </c:pt>
                <c:pt idx="88">
                  <c:v>1.15333333333333</c:v>
                </c:pt>
                <c:pt idx="89">
                  <c:v>2.9733333333333301</c:v>
                </c:pt>
                <c:pt idx="90">
                  <c:v>1.76451612903225</c:v>
                </c:pt>
                <c:pt idx="91">
                  <c:v>3.32258064516129</c:v>
                </c:pt>
                <c:pt idx="92">
                  <c:v>2.8064516129032202</c:v>
                </c:pt>
                <c:pt idx="93">
                  <c:v>1.4483870967741901</c:v>
                </c:pt>
                <c:pt idx="94">
                  <c:v>1.6838709677419299</c:v>
                </c:pt>
                <c:pt idx="95">
                  <c:v>3.1066666666666598</c:v>
                </c:pt>
                <c:pt idx="96">
                  <c:v>2.3033333333333301</c:v>
                </c:pt>
                <c:pt idx="97">
                  <c:v>3.04</c:v>
                </c:pt>
                <c:pt idx="98">
                  <c:v>4.67</c:v>
                </c:pt>
                <c:pt idx="99">
                  <c:v>2.9099999999999899</c:v>
                </c:pt>
                <c:pt idx="100">
                  <c:v>2.68333333333333</c:v>
                </c:pt>
                <c:pt idx="101">
                  <c:v>4.07</c:v>
                </c:pt>
                <c:pt idx="102">
                  <c:v>2.43333333333333</c:v>
                </c:pt>
                <c:pt idx="103">
                  <c:v>3.5533333333333301</c:v>
                </c:pt>
                <c:pt idx="104">
                  <c:v>2.7451612903225802</c:v>
                </c:pt>
                <c:pt idx="105">
                  <c:v>3.7677419354838699</c:v>
                </c:pt>
                <c:pt idx="106">
                  <c:v>2.6870967741935399</c:v>
                </c:pt>
                <c:pt idx="107">
                  <c:v>2.8516129032258002</c:v>
                </c:pt>
                <c:pt idx="108">
                  <c:v>2.4258064516129001</c:v>
                </c:pt>
                <c:pt idx="109">
                  <c:v>1.7322580645161201</c:v>
                </c:pt>
                <c:pt idx="110">
                  <c:v>4.0161290322580596</c:v>
                </c:pt>
                <c:pt idx="111">
                  <c:v>3.5258064516129002</c:v>
                </c:pt>
                <c:pt idx="112">
                  <c:v>2.28709677419354</c:v>
                </c:pt>
                <c:pt idx="113">
                  <c:v>4.3387096774193497</c:v>
                </c:pt>
                <c:pt idx="114">
                  <c:v>6.4580645161290304</c:v>
                </c:pt>
                <c:pt idx="115">
                  <c:v>3.1903225806451601</c:v>
                </c:pt>
                <c:pt idx="116">
                  <c:v>2.8516129032258002</c:v>
                </c:pt>
                <c:pt idx="117">
                  <c:v>3.74193548387096</c:v>
                </c:pt>
                <c:pt idx="118">
                  <c:v>3.3129032258064499</c:v>
                </c:pt>
                <c:pt idx="119">
                  <c:v>4.4322580645161196</c:v>
                </c:pt>
                <c:pt idx="120">
                  <c:v>3.1838709677419299</c:v>
                </c:pt>
                <c:pt idx="121">
                  <c:v>6.4709677419354801</c:v>
                </c:pt>
                <c:pt idx="122">
                  <c:v>2.59032258064516</c:v>
                </c:pt>
                <c:pt idx="123">
                  <c:v>2.2741935483870899</c:v>
                </c:pt>
                <c:pt idx="124">
                  <c:v>3.2548387096774101</c:v>
                </c:pt>
                <c:pt idx="125">
                  <c:v>3.4483870967741899</c:v>
                </c:pt>
                <c:pt idx="126">
                  <c:v>1.8387096774193501</c:v>
                </c:pt>
                <c:pt idx="127">
                  <c:v>3.4064516129032198</c:v>
                </c:pt>
                <c:pt idx="128">
                  <c:v>2.3258064516129</c:v>
                </c:pt>
                <c:pt idx="129">
                  <c:v>3.1733333333333298</c:v>
                </c:pt>
                <c:pt idx="130">
                  <c:v>2.4225806451612901</c:v>
                </c:pt>
                <c:pt idx="131">
                  <c:v>3.56129032258064</c:v>
                </c:pt>
                <c:pt idx="132">
                  <c:v>3.2677419354838699</c:v>
                </c:pt>
                <c:pt idx="133">
                  <c:v>2.96129032258064</c:v>
                </c:pt>
                <c:pt idx="134">
                  <c:v>3.9032258064516099</c:v>
                </c:pt>
                <c:pt idx="135">
                  <c:v>4.1322580645161198</c:v>
                </c:pt>
                <c:pt idx="136">
                  <c:v>3.8645161290322498</c:v>
                </c:pt>
                <c:pt idx="137">
                  <c:v>3.7967741935483801</c:v>
                </c:pt>
                <c:pt idx="138">
                  <c:v>1.4774193548387</c:v>
                </c:pt>
                <c:pt idx="139">
                  <c:v>5.2193548387096698</c:v>
                </c:pt>
                <c:pt idx="140">
                  <c:v>5.1451612903225801</c:v>
                </c:pt>
                <c:pt idx="141">
                  <c:v>4.73548387096774</c:v>
                </c:pt>
                <c:pt idx="142">
                  <c:v>7.7677419354838699</c:v>
                </c:pt>
                <c:pt idx="143">
                  <c:v>5.3612903225806399</c:v>
                </c:pt>
                <c:pt idx="144">
                  <c:v>5.8233333333333297</c:v>
                </c:pt>
                <c:pt idx="145">
                  <c:v>6.9099999999999904</c:v>
                </c:pt>
                <c:pt idx="146">
                  <c:v>4.4066666666666601</c:v>
                </c:pt>
                <c:pt idx="147">
                  <c:v>3.84666666666666</c:v>
                </c:pt>
                <c:pt idx="148">
                  <c:v>4.8161290322580603</c:v>
                </c:pt>
                <c:pt idx="149">
                  <c:v>5.4032258064516103</c:v>
                </c:pt>
                <c:pt idx="150">
                  <c:v>5.6354838709677404</c:v>
                </c:pt>
                <c:pt idx="151">
                  <c:v>4.3451612903225802</c:v>
                </c:pt>
                <c:pt idx="152">
                  <c:v>5.12</c:v>
                </c:pt>
                <c:pt idx="153">
                  <c:v>2.78666666666666</c:v>
                </c:pt>
                <c:pt idx="154">
                  <c:v>4.3899999999999997</c:v>
                </c:pt>
                <c:pt idx="155">
                  <c:v>3.3633333333333302</c:v>
                </c:pt>
                <c:pt idx="156">
                  <c:v>3.4666666666666601</c:v>
                </c:pt>
                <c:pt idx="157">
                  <c:v>3.12333333333333</c:v>
                </c:pt>
                <c:pt idx="158">
                  <c:v>2.8</c:v>
                </c:pt>
                <c:pt idx="159">
                  <c:v>5.1033333333333299</c:v>
                </c:pt>
                <c:pt idx="160">
                  <c:v>7.0566666666666604</c:v>
                </c:pt>
                <c:pt idx="161">
                  <c:v>4.8199999999999896</c:v>
                </c:pt>
                <c:pt idx="162">
                  <c:v>4.05</c:v>
                </c:pt>
                <c:pt idx="163">
                  <c:v>3.5866666666666598</c:v>
                </c:pt>
                <c:pt idx="164">
                  <c:v>3.2966666666666602</c:v>
                </c:pt>
                <c:pt idx="165">
                  <c:v>6.4733333333333301</c:v>
                </c:pt>
                <c:pt idx="166">
                  <c:v>4.2733333333333299</c:v>
                </c:pt>
                <c:pt idx="167">
                  <c:v>4.5699999999999896</c:v>
                </c:pt>
                <c:pt idx="168">
                  <c:v>4.72</c:v>
                </c:pt>
                <c:pt idx="169">
                  <c:v>4.07</c:v>
                </c:pt>
                <c:pt idx="170">
                  <c:v>5.89333333333333</c:v>
                </c:pt>
                <c:pt idx="171">
                  <c:v>2.27</c:v>
                </c:pt>
                <c:pt idx="172">
                  <c:v>2.2633333333333301</c:v>
                </c:pt>
                <c:pt idx="173">
                  <c:v>4.8499999999999996</c:v>
                </c:pt>
                <c:pt idx="174">
                  <c:v>6.4607142857142801</c:v>
                </c:pt>
                <c:pt idx="175">
                  <c:v>8.7785714285714196</c:v>
                </c:pt>
                <c:pt idx="176">
                  <c:v>3.8</c:v>
                </c:pt>
                <c:pt idx="177">
                  <c:v>2.81785714285714</c:v>
                </c:pt>
                <c:pt idx="178">
                  <c:v>5.6517241379310299</c:v>
                </c:pt>
                <c:pt idx="179">
                  <c:v>5.2517241379310304</c:v>
                </c:pt>
                <c:pt idx="180">
                  <c:v>7.4689655172413696</c:v>
                </c:pt>
                <c:pt idx="181">
                  <c:v>3.5392857142857101</c:v>
                </c:pt>
                <c:pt idx="182">
                  <c:v>4.33928571428571</c:v>
                </c:pt>
                <c:pt idx="183">
                  <c:v>3.2666666666666599</c:v>
                </c:pt>
                <c:pt idx="184">
                  <c:v>5.2555555555555502</c:v>
                </c:pt>
                <c:pt idx="185">
                  <c:v>2.9892857142857099</c:v>
                </c:pt>
                <c:pt idx="186">
                  <c:v>4.4413793103448196</c:v>
                </c:pt>
                <c:pt idx="187">
                  <c:v>2.8758620689655099</c:v>
                </c:pt>
                <c:pt idx="188">
                  <c:v>3.7892857142857101</c:v>
                </c:pt>
                <c:pt idx="189">
                  <c:v>4.8428571428571399</c:v>
                </c:pt>
                <c:pt idx="190">
                  <c:v>2.27857142857142</c:v>
                </c:pt>
                <c:pt idx="191">
                  <c:v>4.05</c:v>
                </c:pt>
                <c:pt idx="192">
                  <c:v>7.2038461538461496</c:v>
                </c:pt>
                <c:pt idx="193">
                  <c:v>2.7366666666666601</c:v>
                </c:pt>
                <c:pt idx="194">
                  <c:v>4.4607142857142801</c:v>
                </c:pt>
                <c:pt idx="195">
                  <c:v>6.4071428571428504</c:v>
                </c:pt>
                <c:pt idx="196">
                  <c:v>5.1392857142857098</c:v>
                </c:pt>
                <c:pt idx="197">
                  <c:v>7.5433333333333303</c:v>
                </c:pt>
                <c:pt idx="198">
                  <c:v>7.7933333333333303</c:v>
                </c:pt>
                <c:pt idx="199">
                  <c:v>4.3533333333333299</c:v>
                </c:pt>
                <c:pt idx="200">
                  <c:v>2.8833333333333302</c:v>
                </c:pt>
                <c:pt idx="201">
                  <c:v>4.64333333333333</c:v>
                </c:pt>
                <c:pt idx="202">
                  <c:v>5.7333333333333298</c:v>
                </c:pt>
                <c:pt idx="203">
                  <c:v>7.9733333333333301</c:v>
                </c:pt>
                <c:pt idx="204">
                  <c:v>4.2566666666666597</c:v>
                </c:pt>
                <c:pt idx="205">
                  <c:v>4.9833333333333298</c:v>
                </c:pt>
                <c:pt idx="206">
                  <c:v>3.5266666666666602</c:v>
                </c:pt>
                <c:pt idx="207">
                  <c:v>5.38</c:v>
                </c:pt>
                <c:pt idx="208">
                  <c:v>3.6033333333333299</c:v>
                </c:pt>
                <c:pt idx="209">
                  <c:v>5.83</c:v>
                </c:pt>
                <c:pt idx="210">
                  <c:v>2.98</c:v>
                </c:pt>
                <c:pt idx="211">
                  <c:v>4.4285714285714199</c:v>
                </c:pt>
                <c:pt idx="212">
                  <c:v>3.8533333333333299</c:v>
                </c:pt>
                <c:pt idx="213">
                  <c:v>5.7666666666666604</c:v>
                </c:pt>
                <c:pt idx="214">
                  <c:v>3.2896551724137901</c:v>
                </c:pt>
                <c:pt idx="215">
                  <c:v>5.08275862068965</c:v>
                </c:pt>
                <c:pt idx="216">
                  <c:v>4.8827586206896498</c:v>
                </c:pt>
                <c:pt idx="217">
                  <c:v>4.1724137931034404</c:v>
                </c:pt>
                <c:pt idx="218">
                  <c:v>3.27241379310344</c:v>
                </c:pt>
                <c:pt idx="219">
                  <c:v>2.4066666666666601</c:v>
                </c:pt>
                <c:pt idx="220">
                  <c:v>4.66</c:v>
                </c:pt>
                <c:pt idx="221">
                  <c:v>4.53666666666666</c:v>
                </c:pt>
                <c:pt idx="222">
                  <c:v>5.7266666666666604</c:v>
                </c:pt>
                <c:pt idx="223">
                  <c:v>3.95333333333333</c:v>
                </c:pt>
                <c:pt idx="224">
                  <c:v>4.43</c:v>
                </c:pt>
                <c:pt idx="225">
                  <c:v>5.1034482758620596</c:v>
                </c:pt>
                <c:pt idx="226">
                  <c:v>5.0933333333333302</c:v>
                </c:pt>
                <c:pt idx="227">
                  <c:v>4.3433333333333302</c:v>
                </c:pt>
                <c:pt idx="228">
                  <c:v>5.3333333333333304</c:v>
                </c:pt>
                <c:pt idx="229">
                  <c:v>3.9433333333333298</c:v>
                </c:pt>
                <c:pt idx="230">
                  <c:v>3.5733333333333301</c:v>
                </c:pt>
                <c:pt idx="231">
                  <c:v>4.8033333333333301</c:v>
                </c:pt>
                <c:pt idx="232">
                  <c:v>3.9833333333333298</c:v>
                </c:pt>
                <c:pt idx="233">
                  <c:v>3.93</c:v>
                </c:pt>
                <c:pt idx="234">
                  <c:v>3.45</c:v>
                </c:pt>
                <c:pt idx="235">
                  <c:v>3.2366666666666601</c:v>
                </c:pt>
                <c:pt idx="236">
                  <c:v>7.0266666666666602</c:v>
                </c:pt>
                <c:pt idx="237">
                  <c:v>4.5666666666666602</c:v>
                </c:pt>
                <c:pt idx="238">
                  <c:v>2.8866666666666601</c:v>
                </c:pt>
                <c:pt idx="239">
                  <c:v>2.4862068965517201</c:v>
                </c:pt>
                <c:pt idx="240">
                  <c:v>2.4068965517241301</c:v>
                </c:pt>
                <c:pt idx="241">
                  <c:v>2.9931034482758601</c:v>
                </c:pt>
                <c:pt idx="242">
                  <c:v>4.8862068965517196</c:v>
                </c:pt>
                <c:pt idx="243">
                  <c:v>3.05</c:v>
                </c:pt>
                <c:pt idx="244">
                  <c:v>2.8035714285714199</c:v>
                </c:pt>
                <c:pt idx="245">
                  <c:v>2.2964285714285699</c:v>
                </c:pt>
                <c:pt idx="246">
                  <c:v>3.6892857142857101</c:v>
                </c:pt>
                <c:pt idx="247">
                  <c:v>5.6892857142857096</c:v>
                </c:pt>
                <c:pt idx="248">
                  <c:v>3.97586206896551</c:v>
                </c:pt>
                <c:pt idx="249">
                  <c:v>2.6793103448275799</c:v>
                </c:pt>
                <c:pt idx="250">
                  <c:v>4.4310344827586201</c:v>
                </c:pt>
                <c:pt idx="251">
                  <c:v>3.6827586206896501</c:v>
                </c:pt>
                <c:pt idx="252">
                  <c:v>1.66333333333333</c:v>
                </c:pt>
                <c:pt idx="253">
                  <c:v>3.2833333333333301</c:v>
                </c:pt>
                <c:pt idx="254">
                  <c:v>3.8833333333333302</c:v>
                </c:pt>
                <c:pt idx="255">
                  <c:v>5.26</c:v>
                </c:pt>
                <c:pt idx="256">
                  <c:v>3.6933333333333298</c:v>
                </c:pt>
                <c:pt idx="257">
                  <c:v>3.26</c:v>
                </c:pt>
                <c:pt idx="258">
                  <c:v>3.5999999999999899</c:v>
                </c:pt>
                <c:pt idx="259">
                  <c:v>2.73870967741935</c:v>
                </c:pt>
                <c:pt idx="260">
                  <c:v>2.5741935483870901</c:v>
                </c:pt>
                <c:pt idx="261">
                  <c:v>3.5774193548387001</c:v>
                </c:pt>
                <c:pt idx="262">
                  <c:v>2.6774193548387002</c:v>
                </c:pt>
                <c:pt idx="263">
                  <c:v>2.8193548387096699</c:v>
                </c:pt>
                <c:pt idx="264">
                  <c:v>4.2935483870967701</c:v>
                </c:pt>
                <c:pt idx="265">
                  <c:v>3.69677419354838</c:v>
                </c:pt>
                <c:pt idx="266">
                  <c:v>4.4354838709677402</c:v>
                </c:pt>
                <c:pt idx="267">
                  <c:v>3.1290322580645098</c:v>
                </c:pt>
                <c:pt idx="268">
                  <c:v>4.32666666666666</c:v>
                </c:pt>
                <c:pt idx="269">
                  <c:v>2.83</c:v>
                </c:pt>
                <c:pt idx="270">
                  <c:v>4.2233333333333301</c:v>
                </c:pt>
                <c:pt idx="271">
                  <c:v>3.7620689655172401</c:v>
                </c:pt>
                <c:pt idx="272">
                  <c:v>5.4793103448275797</c:v>
                </c:pt>
                <c:pt idx="273">
                  <c:v>7.2033333333333296</c:v>
                </c:pt>
                <c:pt idx="274">
                  <c:v>4.3633333333333297</c:v>
                </c:pt>
                <c:pt idx="275">
                  <c:v>5.1333333333333302</c:v>
                </c:pt>
                <c:pt idx="276">
                  <c:v>2.5033333333333299</c:v>
                </c:pt>
                <c:pt idx="277">
                  <c:v>4.1354838709677404</c:v>
                </c:pt>
                <c:pt idx="278">
                  <c:v>2.96999999999999</c:v>
                </c:pt>
                <c:pt idx="279">
                  <c:v>2.61</c:v>
                </c:pt>
                <c:pt idx="280">
                  <c:v>4.0666666666666602</c:v>
                </c:pt>
                <c:pt idx="281">
                  <c:v>4.22</c:v>
                </c:pt>
                <c:pt idx="282">
                  <c:v>4.5966666666666596</c:v>
                </c:pt>
                <c:pt idx="283">
                  <c:v>2.3896551724137902</c:v>
                </c:pt>
                <c:pt idx="284">
                  <c:v>5.39310344827586</c:v>
                </c:pt>
                <c:pt idx="285">
                  <c:v>4.9586206896551701</c:v>
                </c:pt>
                <c:pt idx="286">
                  <c:v>5.6758620689655102</c:v>
                </c:pt>
                <c:pt idx="287">
                  <c:v>5.9344827586206899</c:v>
                </c:pt>
                <c:pt idx="288">
                  <c:v>3.2862068965517199</c:v>
                </c:pt>
                <c:pt idx="289">
                  <c:v>3.4241379310344802</c:v>
                </c:pt>
                <c:pt idx="290">
                  <c:v>3.6586206896551698</c:v>
                </c:pt>
                <c:pt idx="291">
                  <c:v>2.3892857142857098</c:v>
                </c:pt>
                <c:pt idx="292">
                  <c:v>1.6142857142857101</c:v>
                </c:pt>
                <c:pt idx="293">
                  <c:v>2.9214285714285699</c:v>
                </c:pt>
                <c:pt idx="294">
                  <c:v>3.3499999999999899</c:v>
                </c:pt>
                <c:pt idx="295">
                  <c:v>4.6137931034482698</c:v>
                </c:pt>
                <c:pt idx="296">
                  <c:v>3.30689655172413</c:v>
                </c:pt>
                <c:pt idx="297">
                  <c:v>1.8172413793103399</c:v>
                </c:pt>
                <c:pt idx="298">
                  <c:v>0.78965517241379302</c:v>
                </c:pt>
                <c:pt idx="299">
                  <c:v>3.4241379310344802</c:v>
                </c:pt>
                <c:pt idx="300">
                  <c:v>4.16206896551724</c:v>
                </c:pt>
                <c:pt idx="301">
                  <c:v>2.4933333333333301</c:v>
                </c:pt>
                <c:pt idx="302">
                  <c:v>1.99</c:v>
                </c:pt>
                <c:pt idx="303">
                  <c:v>1.75</c:v>
                </c:pt>
                <c:pt idx="304">
                  <c:v>2.11666666666666</c:v>
                </c:pt>
                <c:pt idx="305">
                  <c:v>0.94</c:v>
                </c:pt>
                <c:pt idx="306">
                  <c:v>2.42</c:v>
                </c:pt>
                <c:pt idx="307">
                  <c:v>3.21999999999999</c:v>
                </c:pt>
                <c:pt idx="308">
                  <c:v>6.2166666666666597</c:v>
                </c:pt>
                <c:pt idx="309">
                  <c:v>4.1999999999999904</c:v>
                </c:pt>
                <c:pt idx="310">
                  <c:v>4.18333333333333</c:v>
                </c:pt>
                <c:pt idx="311">
                  <c:v>3.4833333333333298</c:v>
                </c:pt>
                <c:pt idx="312">
                  <c:v>3.5433333333333299</c:v>
                </c:pt>
                <c:pt idx="313">
                  <c:v>2.9033333333333302</c:v>
                </c:pt>
                <c:pt idx="314">
                  <c:v>1.5433333333333299</c:v>
                </c:pt>
                <c:pt idx="315">
                  <c:v>3.6066666666666598</c:v>
                </c:pt>
                <c:pt idx="316">
                  <c:v>3.0633333333333299</c:v>
                </c:pt>
                <c:pt idx="317">
                  <c:v>3.2933333333333299</c:v>
                </c:pt>
                <c:pt idx="318">
                  <c:v>2.0666666666666602</c:v>
                </c:pt>
                <c:pt idx="319">
                  <c:v>4.1233333333333304</c:v>
                </c:pt>
                <c:pt idx="320">
                  <c:v>2.0999999999999899</c:v>
                </c:pt>
                <c:pt idx="321">
                  <c:v>2.25</c:v>
                </c:pt>
                <c:pt idx="322">
                  <c:v>1.6566666666666601</c:v>
                </c:pt>
                <c:pt idx="323">
                  <c:v>2.4166666666666599</c:v>
                </c:pt>
                <c:pt idx="324">
                  <c:v>2.8366666666666598</c:v>
                </c:pt>
                <c:pt idx="325">
                  <c:v>4.0966666666666596</c:v>
                </c:pt>
                <c:pt idx="326">
                  <c:v>3.04</c:v>
                </c:pt>
                <c:pt idx="327">
                  <c:v>2.4655172413793101</c:v>
                </c:pt>
                <c:pt idx="328">
                  <c:v>2.7965517241379301</c:v>
                </c:pt>
                <c:pt idx="329">
                  <c:v>2.2666666666666599</c:v>
                </c:pt>
                <c:pt idx="330">
                  <c:v>3.6933333333333298</c:v>
                </c:pt>
                <c:pt idx="331">
                  <c:v>4.5933333333333302</c:v>
                </c:pt>
                <c:pt idx="332">
                  <c:v>2.63448275862069</c:v>
                </c:pt>
                <c:pt idx="333">
                  <c:v>2.4931034482758601</c:v>
                </c:pt>
                <c:pt idx="334">
                  <c:v>1.7689655172413701</c:v>
                </c:pt>
                <c:pt idx="335">
                  <c:v>5.1137931034482698</c:v>
                </c:pt>
                <c:pt idx="336">
                  <c:v>1.71</c:v>
                </c:pt>
                <c:pt idx="337">
                  <c:v>6.0433333333333303</c:v>
                </c:pt>
                <c:pt idx="338">
                  <c:v>4.9033333333333298</c:v>
                </c:pt>
                <c:pt idx="339">
                  <c:v>3.7299999999999902</c:v>
                </c:pt>
                <c:pt idx="340">
                  <c:v>3.96999999999999</c:v>
                </c:pt>
                <c:pt idx="341">
                  <c:v>2.43333333333333</c:v>
                </c:pt>
                <c:pt idx="342">
                  <c:v>1.57666666666666</c:v>
                </c:pt>
                <c:pt idx="343">
                  <c:v>2.9733333333333301</c:v>
                </c:pt>
                <c:pt idx="344">
                  <c:v>1.12666666666666</c:v>
                </c:pt>
                <c:pt idx="345">
                  <c:v>1.9166666666666601</c:v>
                </c:pt>
                <c:pt idx="346">
                  <c:v>1.93333333333333</c:v>
                </c:pt>
                <c:pt idx="347">
                  <c:v>4.1233333333333304</c:v>
                </c:pt>
                <c:pt idx="348">
                  <c:v>2.5793103448275798</c:v>
                </c:pt>
                <c:pt idx="349">
                  <c:v>5.3551724137930998</c:v>
                </c:pt>
                <c:pt idx="350">
                  <c:v>4.6827586206896497</c:v>
                </c:pt>
                <c:pt idx="351">
                  <c:v>4.4103448275861998</c:v>
                </c:pt>
                <c:pt idx="352">
                  <c:v>4.3285714285714203</c:v>
                </c:pt>
                <c:pt idx="353">
                  <c:v>1.38620689655172</c:v>
                </c:pt>
                <c:pt idx="354">
                  <c:v>3.66206896551724</c:v>
                </c:pt>
                <c:pt idx="355">
                  <c:v>1.82758620689655</c:v>
                </c:pt>
                <c:pt idx="356">
                  <c:v>2.22413793103448</c:v>
                </c:pt>
                <c:pt idx="357">
                  <c:v>3.0655172413793101</c:v>
                </c:pt>
                <c:pt idx="358">
                  <c:v>4.4724137931034402</c:v>
                </c:pt>
                <c:pt idx="359">
                  <c:v>1.2034482758620599</c:v>
                </c:pt>
                <c:pt idx="360">
                  <c:v>1.9379310344827501</c:v>
                </c:pt>
                <c:pt idx="361">
                  <c:v>0.81379310344827505</c:v>
                </c:pt>
                <c:pt idx="362">
                  <c:v>3.0068965517241302</c:v>
                </c:pt>
                <c:pt idx="363">
                  <c:v>4.4172413793103402</c:v>
                </c:pt>
                <c:pt idx="364">
                  <c:v>8.7896551724137897</c:v>
                </c:pt>
                <c:pt idx="365">
                  <c:v>2.4166666666666599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28-4269-B10F-B6E4830DCE4E}"/>
            </c:ext>
          </c:extLst>
        </c:ser>
        <c:ser>
          <c:idx val="2"/>
          <c:order val="2"/>
          <c:tx>
            <c:strRef>
              <c:f>'Met Data'!$K$2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Data'!$K$3:$K$368</c:f>
              <c:numCache>
                <c:formatCode>General</c:formatCode>
                <c:ptCount val="366"/>
                <c:pt idx="0">
                  <c:v>0.81818181818181801</c:v>
                </c:pt>
                <c:pt idx="1">
                  <c:v>0.52272727272727204</c:v>
                </c:pt>
                <c:pt idx="2">
                  <c:v>0.90454545454545399</c:v>
                </c:pt>
                <c:pt idx="3">
                  <c:v>1.3772727272727201</c:v>
                </c:pt>
                <c:pt idx="4">
                  <c:v>0.513636363636363</c:v>
                </c:pt>
                <c:pt idx="5">
                  <c:v>0.263636363636363</c:v>
                </c:pt>
                <c:pt idx="6">
                  <c:v>0.45454545454545398</c:v>
                </c:pt>
                <c:pt idx="7">
                  <c:v>2.66363636363636</c:v>
                </c:pt>
                <c:pt idx="8">
                  <c:v>0.62727272727272698</c:v>
                </c:pt>
                <c:pt idx="9">
                  <c:v>2.44090909090909</c:v>
                </c:pt>
                <c:pt idx="10">
                  <c:v>0.72727272727272696</c:v>
                </c:pt>
                <c:pt idx="11">
                  <c:v>2.2409090909090899</c:v>
                </c:pt>
                <c:pt idx="12">
                  <c:v>0.38636363636363602</c:v>
                </c:pt>
                <c:pt idx="13">
                  <c:v>0.55454545454545401</c:v>
                </c:pt>
                <c:pt idx="14">
                  <c:v>1.2318181818181799</c:v>
                </c:pt>
                <c:pt idx="15">
                  <c:v>3.5545454545454498</c:v>
                </c:pt>
                <c:pt idx="16">
                  <c:v>3.2090909090909001</c:v>
                </c:pt>
                <c:pt idx="17">
                  <c:v>2.75454545454545</c:v>
                </c:pt>
                <c:pt idx="18">
                  <c:v>2.7954545454545401</c:v>
                </c:pt>
                <c:pt idx="19">
                  <c:v>1.7136363636363601</c:v>
                </c:pt>
                <c:pt idx="20">
                  <c:v>2.53181818181818</c:v>
                </c:pt>
                <c:pt idx="21">
                  <c:v>2.3954545454545402</c:v>
                </c:pt>
                <c:pt idx="22">
                  <c:v>3.4090909090908998</c:v>
                </c:pt>
                <c:pt idx="23">
                  <c:v>0.34285714285714203</c:v>
                </c:pt>
                <c:pt idx="24">
                  <c:v>2.1380952380952301</c:v>
                </c:pt>
                <c:pt idx="25">
                  <c:v>1.4142857142857099</c:v>
                </c:pt>
                <c:pt idx="26">
                  <c:v>1.29523809523809</c:v>
                </c:pt>
                <c:pt idx="27">
                  <c:v>0.7</c:v>
                </c:pt>
                <c:pt idx="28">
                  <c:v>7.6190476190476197E-2</c:v>
                </c:pt>
                <c:pt idx="29">
                  <c:v>0.128571428571428</c:v>
                </c:pt>
                <c:pt idx="30">
                  <c:v>2.8619047619047602</c:v>
                </c:pt>
                <c:pt idx="31">
                  <c:v>1.6818181818181801</c:v>
                </c:pt>
                <c:pt idx="32">
                  <c:v>1.3090909090909</c:v>
                </c:pt>
                <c:pt idx="33">
                  <c:v>0.42727272727272703</c:v>
                </c:pt>
                <c:pt idx="34">
                  <c:v>1.63636363636363</c:v>
                </c:pt>
                <c:pt idx="35">
                  <c:v>0.92727272727272703</c:v>
                </c:pt>
                <c:pt idx="36">
                  <c:v>0.54545454545454497</c:v>
                </c:pt>
                <c:pt idx="37">
                  <c:v>1.7681818181818101</c:v>
                </c:pt>
                <c:pt idx="38">
                  <c:v>2.8772727272727199</c:v>
                </c:pt>
                <c:pt idx="39">
                  <c:v>1.02272727272727</c:v>
                </c:pt>
                <c:pt idx="40">
                  <c:v>1.2863636363636299</c:v>
                </c:pt>
                <c:pt idx="41">
                  <c:v>3.2727272727272698</c:v>
                </c:pt>
                <c:pt idx="42">
                  <c:v>3.2363636363636301</c:v>
                </c:pt>
                <c:pt idx="43">
                  <c:v>3.7681818181818101</c:v>
                </c:pt>
                <c:pt idx="44">
                  <c:v>0.88181818181818095</c:v>
                </c:pt>
                <c:pt idx="45">
                  <c:v>1.5772727272727201</c:v>
                </c:pt>
                <c:pt idx="46">
                  <c:v>1.9636363636363601</c:v>
                </c:pt>
                <c:pt idx="47">
                  <c:v>2.00454545454545</c:v>
                </c:pt>
                <c:pt idx="48">
                  <c:v>1.4090909090909001</c:v>
                </c:pt>
                <c:pt idx="49">
                  <c:v>1.3636363636363599E-2</c:v>
                </c:pt>
                <c:pt idx="50">
                  <c:v>1.02272727272727</c:v>
                </c:pt>
                <c:pt idx="51">
                  <c:v>8.6363636363636295E-2</c:v>
                </c:pt>
                <c:pt idx="52">
                  <c:v>0.33636363636363598</c:v>
                </c:pt>
                <c:pt idx="53">
                  <c:v>1.0181818181818101</c:v>
                </c:pt>
                <c:pt idx="54">
                  <c:v>2.4</c:v>
                </c:pt>
                <c:pt idx="55">
                  <c:v>0.65454545454545399</c:v>
                </c:pt>
                <c:pt idx="56">
                  <c:v>0.177272727272727</c:v>
                </c:pt>
                <c:pt idx="57">
                  <c:v>0.45</c:v>
                </c:pt>
                <c:pt idx="58">
                  <c:v>3.4545454545454501</c:v>
                </c:pt>
                <c:pt idx="59">
                  <c:v>0.131818181818181</c:v>
                </c:pt>
                <c:pt idx="60">
                  <c:v>0.42272727272727201</c:v>
                </c:pt>
                <c:pt idx="61">
                  <c:v>1.3181818181818099</c:v>
                </c:pt>
                <c:pt idx="62">
                  <c:v>0.89545454545454495</c:v>
                </c:pt>
                <c:pt idx="63">
                  <c:v>1.5136363636363599</c:v>
                </c:pt>
                <c:pt idx="64">
                  <c:v>1.5909090909090899</c:v>
                </c:pt>
                <c:pt idx="65">
                  <c:v>1.8590909090909</c:v>
                </c:pt>
                <c:pt idx="66">
                  <c:v>3.69545454545454</c:v>
                </c:pt>
                <c:pt idx="67">
                  <c:v>1.3090909090909</c:v>
                </c:pt>
                <c:pt idx="68">
                  <c:v>0.25</c:v>
                </c:pt>
                <c:pt idx="69">
                  <c:v>2.5181818181818101</c:v>
                </c:pt>
                <c:pt idx="70">
                  <c:v>1.39090909090909</c:v>
                </c:pt>
                <c:pt idx="71">
                  <c:v>1.64090909090909</c:v>
                </c:pt>
                <c:pt idx="72">
                  <c:v>1.2909090909090899</c:v>
                </c:pt>
                <c:pt idx="73">
                  <c:v>3.1136363636363602</c:v>
                </c:pt>
                <c:pt idx="74">
                  <c:v>1.25</c:v>
                </c:pt>
                <c:pt idx="75">
                  <c:v>3.50454545454545</c:v>
                </c:pt>
                <c:pt idx="76">
                  <c:v>1.0772727272727201</c:v>
                </c:pt>
                <c:pt idx="77">
                  <c:v>0.79545454545454497</c:v>
                </c:pt>
                <c:pt idx="78">
                  <c:v>1.9363636363636301</c:v>
                </c:pt>
                <c:pt idx="79">
                  <c:v>3.2409090909090899</c:v>
                </c:pt>
                <c:pt idx="80">
                  <c:v>2.9045454545454499</c:v>
                </c:pt>
                <c:pt idx="81">
                  <c:v>2.94545454545454</c:v>
                </c:pt>
                <c:pt idx="82">
                  <c:v>0.70909090909090899</c:v>
                </c:pt>
                <c:pt idx="83">
                  <c:v>1.64090909090909</c:v>
                </c:pt>
                <c:pt idx="84">
                  <c:v>2.8818181818181801</c:v>
                </c:pt>
                <c:pt idx="85">
                  <c:v>1.95</c:v>
                </c:pt>
                <c:pt idx="86">
                  <c:v>0.37272727272727202</c:v>
                </c:pt>
                <c:pt idx="87">
                  <c:v>1.17272727272727</c:v>
                </c:pt>
                <c:pt idx="88">
                  <c:v>0.35</c:v>
                </c:pt>
                <c:pt idx="89">
                  <c:v>0.65454545454545399</c:v>
                </c:pt>
                <c:pt idx="90">
                  <c:v>0.59090909090909005</c:v>
                </c:pt>
                <c:pt idx="91">
                  <c:v>0.50909090909090904</c:v>
                </c:pt>
                <c:pt idx="92">
                  <c:v>1.3772727272727201</c:v>
                </c:pt>
                <c:pt idx="93">
                  <c:v>2.9590909090909001</c:v>
                </c:pt>
                <c:pt idx="94">
                  <c:v>4.3227272727272696</c:v>
                </c:pt>
                <c:pt idx="95">
                  <c:v>3.1136363636363602</c:v>
                </c:pt>
                <c:pt idx="96">
                  <c:v>1.89090909090909</c:v>
                </c:pt>
                <c:pt idx="97">
                  <c:v>2.9</c:v>
                </c:pt>
                <c:pt idx="98">
                  <c:v>3.44090909090909</c:v>
                </c:pt>
                <c:pt idx="99">
                  <c:v>3.1545454545454499</c:v>
                </c:pt>
                <c:pt idx="100">
                  <c:v>3.97272727272727</c:v>
                </c:pt>
                <c:pt idx="101">
                  <c:v>2.0772727272727201</c:v>
                </c:pt>
                <c:pt idx="102">
                  <c:v>2.4227272727272702</c:v>
                </c:pt>
                <c:pt idx="103">
                  <c:v>0.6</c:v>
                </c:pt>
                <c:pt idx="104">
                  <c:v>0.54090909090909001</c:v>
                </c:pt>
                <c:pt idx="105">
                  <c:v>3.0590909090909002</c:v>
                </c:pt>
                <c:pt idx="106">
                  <c:v>3.8636363636363602</c:v>
                </c:pt>
                <c:pt idx="107">
                  <c:v>1.3727272727272699</c:v>
                </c:pt>
                <c:pt idx="108">
                  <c:v>0.222727272727272</c:v>
                </c:pt>
                <c:pt idx="109">
                  <c:v>1.1227272727272699</c:v>
                </c:pt>
                <c:pt idx="110">
                  <c:v>1.0954545454545399</c:v>
                </c:pt>
                <c:pt idx="111">
                  <c:v>2.7909090909090901</c:v>
                </c:pt>
                <c:pt idx="112">
                  <c:v>2.9909090909090899</c:v>
                </c:pt>
                <c:pt idx="113">
                  <c:v>1.36363636363636</c:v>
                </c:pt>
                <c:pt idx="114">
                  <c:v>2.1590909090908998</c:v>
                </c:pt>
                <c:pt idx="115">
                  <c:v>4.1090909090908996</c:v>
                </c:pt>
                <c:pt idx="116">
                  <c:v>3.5363636363636299</c:v>
                </c:pt>
                <c:pt idx="117">
                  <c:v>2.3727272727272699</c:v>
                </c:pt>
                <c:pt idx="118">
                  <c:v>3.1318181818181801</c:v>
                </c:pt>
                <c:pt idx="119">
                  <c:v>3.7454545454545398</c:v>
                </c:pt>
                <c:pt idx="120">
                  <c:v>2.47272727272727</c:v>
                </c:pt>
                <c:pt idx="121">
                  <c:v>2.5136363636363601</c:v>
                </c:pt>
                <c:pt idx="122">
                  <c:v>3.8272727272727201</c:v>
                </c:pt>
                <c:pt idx="123">
                  <c:v>1.5409090909090899</c:v>
                </c:pt>
                <c:pt idx="124">
                  <c:v>1.08636363636363</c:v>
                </c:pt>
                <c:pt idx="125">
                  <c:v>1.7954545454545401</c:v>
                </c:pt>
                <c:pt idx="126">
                  <c:v>1.72272727272727</c:v>
                </c:pt>
                <c:pt idx="127">
                  <c:v>0.104545454545454</c:v>
                </c:pt>
                <c:pt idx="128">
                  <c:v>0.20909090909090899</c:v>
                </c:pt>
                <c:pt idx="129">
                  <c:v>0.99090909090909096</c:v>
                </c:pt>
                <c:pt idx="130">
                  <c:v>1.63636363636363</c:v>
                </c:pt>
                <c:pt idx="131">
                  <c:v>2.7863636363636299</c:v>
                </c:pt>
                <c:pt idx="132">
                  <c:v>3.3136363636363599</c:v>
                </c:pt>
                <c:pt idx="133">
                  <c:v>0.94090909090909003</c:v>
                </c:pt>
                <c:pt idx="134">
                  <c:v>1.69545454545454</c:v>
                </c:pt>
                <c:pt idx="135">
                  <c:v>1.2090909090908999</c:v>
                </c:pt>
                <c:pt idx="136">
                  <c:v>1.42272727272727</c:v>
                </c:pt>
                <c:pt idx="137">
                  <c:v>0.88636363636363602</c:v>
                </c:pt>
                <c:pt idx="138">
                  <c:v>1.27272727272727</c:v>
                </c:pt>
                <c:pt idx="139">
                  <c:v>0.45</c:v>
                </c:pt>
                <c:pt idx="140">
                  <c:v>1.4045454545454501</c:v>
                </c:pt>
                <c:pt idx="141">
                  <c:v>1.02727272727272</c:v>
                </c:pt>
                <c:pt idx="142">
                  <c:v>2.3545454545454501</c:v>
                </c:pt>
                <c:pt idx="143">
                  <c:v>6.2954545454545396</c:v>
                </c:pt>
                <c:pt idx="144">
                  <c:v>3.8181818181818099</c:v>
                </c:pt>
                <c:pt idx="145">
                  <c:v>3.8</c:v>
                </c:pt>
                <c:pt idx="146">
                  <c:v>0.79090909090909101</c:v>
                </c:pt>
                <c:pt idx="147">
                  <c:v>1.6818181818181801</c:v>
                </c:pt>
                <c:pt idx="148">
                  <c:v>3.9</c:v>
                </c:pt>
                <c:pt idx="149">
                  <c:v>1.7090909090908999</c:v>
                </c:pt>
                <c:pt idx="150">
                  <c:v>0.78181818181818097</c:v>
                </c:pt>
                <c:pt idx="151">
                  <c:v>1.94090909090909</c:v>
                </c:pt>
                <c:pt idx="152">
                  <c:v>1.47727272727272</c:v>
                </c:pt>
                <c:pt idx="153">
                  <c:v>2.2363636363636301</c:v>
                </c:pt>
                <c:pt idx="154">
                  <c:v>3.4</c:v>
                </c:pt>
                <c:pt idx="155">
                  <c:v>5.6590909090909003</c:v>
                </c:pt>
                <c:pt idx="156">
                  <c:v>0.98181818181818103</c:v>
                </c:pt>
                <c:pt idx="157">
                  <c:v>0.81363636363636305</c:v>
                </c:pt>
                <c:pt idx="158">
                  <c:v>1.08181818181818</c:v>
                </c:pt>
                <c:pt idx="159">
                  <c:v>1.44545454545454</c:v>
                </c:pt>
                <c:pt idx="160">
                  <c:v>2.7727272727272698</c:v>
                </c:pt>
                <c:pt idx="161">
                  <c:v>5.6772727272727197</c:v>
                </c:pt>
                <c:pt idx="162">
                  <c:v>3.03181818181818</c:v>
                </c:pt>
                <c:pt idx="163">
                  <c:v>4.2181818181818098</c:v>
                </c:pt>
                <c:pt idx="164">
                  <c:v>2.6727272727272702</c:v>
                </c:pt>
                <c:pt idx="165">
                  <c:v>0.55454545454545401</c:v>
                </c:pt>
                <c:pt idx="166">
                  <c:v>1.86818181818181</c:v>
                </c:pt>
                <c:pt idx="167">
                  <c:v>0.86818181818181805</c:v>
                </c:pt>
                <c:pt idx="168">
                  <c:v>1.8227272727272701</c:v>
                </c:pt>
                <c:pt idx="169">
                  <c:v>1.3136363636363599</c:v>
                </c:pt>
                <c:pt idx="170">
                  <c:v>2.6772727272727201</c:v>
                </c:pt>
                <c:pt idx="171">
                  <c:v>2.4636363636363598</c:v>
                </c:pt>
                <c:pt idx="172">
                  <c:v>1.5</c:v>
                </c:pt>
                <c:pt idx="173">
                  <c:v>2.2409090909090899</c:v>
                </c:pt>
                <c:pt idx="174">
                  <c:v>2.0409090909090901</c:v>
                </c:pt>
                <c:pt idx="175">
                  <c:v>2.28181818181818</c:v>
                </c:pt>
                <c:pt idx="176">
                  <c:v>1.6318181818181801</c:v>
                </c:pt>
                <c:pt idx="177">
                  <c:v>0.16818181818181799</c:v>
                </c:pt>
                <c:pt idx="178">
                  <c:v>2.22727272727272</c:v>
                </c:pt>
                <c:pt idx="179">
                  <c:v>4.39047619047619</c:v>
                </c:pt>
                <c:pt idx="180">
                  <c:v>3.09523809523809</c:v>
                </c:pt>
                <c:pt idx="181">
                  <c:v>7.7666666666666604</c:v>
                </c:pt>
                <c:pt idx="182">
                  <c:v>1.3476190476190399</c:v>
                </c:pt>
                <c:pt idx="183">
                  <c:v>1.25714285714285</c:v>
                </c:pt>
                <c:pt idx="184">
                  <c:v>2.4904761904761901</c:v>
                </c:pt>
                <c:pt idx="185">
                  <c:v>7.0857142857142801</c:v>
                </c:pt>
                <c:pt idx="186">
                  <c:v>5.5476190476190403</c:v>
                </c:pt>
                <c:pt idx="187">
                  <c:v>4.1095238095238003</c:v>
                </c:pt>
                <c:pt idx="188">
                  <c:v>1.51428571428571</c:v>
                </c:pt>
                <c:pt idx="189">
                  <c:v>4.0714285714285703</c:v>
                </c:pt>
                <c:pt idx="190">
                  <c:v>3.88095238095238</c:v>
                </c:pt>
                <c:pt idx="191">
                  <c:v>2.7380952380952301</c:v>
                </c:pt>
                <c:pt idx="192">
                  <c:v>2.8571428571428501</c:v>
                </c:pt>
                <c:pt idx="193">
                  <c:v>2.5571428571428498</c:v>
                </c:pt>
                <c:pt idx="194">
                  <c:v>2.5571428571428498</c:v>
                </c:pt>
                <c:pt idx="195">
                  <c:v>5.4714285714285698</c:v>
                </c:pt>
                <c:pt idx="196">
                  <c:v>4.5142857142857098</c:v>
                </c:pt>
                <c:pt idx="197">
                  <c:v>4.1666666666666599</c:v>
                </c:pt>
                <c:pt idx="198">
                  <c:v>5.3190476190476099</c:v>
                </c:pt>
                <c:pt idx="199">
                  <c:v>3.21428571428571</c:v>
                </c:pt>
                <c:pt idx="200">
                  <c:v>5.4476190476190398</c:v>
                </c:pt>
                <c:pt idx="201">
                  <c:v>1.02380952380952</c:v>
                </c:pt>
                <c:pt idx="202">
                  <c:v>4.0190476190476101</c:v>
                </c:pt>
                <c:pt idx="203">
                  <c:v>3.4523809523809499</c:v>
                </c:pt>
                <c:pt idx="204">
                  <c:v>3.8</c:v>
                </c:pt>
                <c:pt idx="205">
                  <c:v>1.24285714285714</c:v>
                </c:pt>
                <c:pt idx="206">
                  <c:v>2.1142857142857099</c:v>
                </c:pt>
                <c:pt idx="207">
                  <c:v>2.2952380952380902</c:v>
                </c:pt>
                <c:pt idx="208">
                  <c:v>1.2047619047619</c:v>
                </c:pt>
                <c:pt idx="209">
                  <c:v>0.90476190476190399</c:v>
                </c:pt>
                <c:pt idx="210">
                  <c:v>1.56666666666666</c:v>
                </c:pt>
                <c:pt idx="211">
                  <c:v>3.05238095238095</c:v>
                </c:pt>
                <c:pt idx="212">
                  <c:v>2.0904761904761902</c:v>
                </c:pt>
                <c:pt idx="213">
                  <c:v>1.24285714285714</c:v>
                </c:pt>
                <c:pt idx="214">
                  <c:v>2.4</c:v>
                </c:pt>
                <c:pt idx="215">
                  <c:v>3.2666666666666599</c:v>
                </c:pt>
                <c:pt idx="216">
                  <c:v>1.43333333333333</c:v>
                </c:pt>
                <c:pt idx="217">
                  <c:v>4.4238095238095196</c:v>
                </c:pt>
                <c:pt idx="218">
                  <c:v>4.5952380952380896</c:v>
                </c:pt>
                <c:pt idx="219">
                  <c:v>0.97619047619047605</c:v>
                </c:pt>
                <c:pt idx="220">
                  <c:v>0.78095238095237995</c:v>
                </c:pt>
                <c:pt idx="221">
                  <c:v>2.41904761904761</c:v>
                </c:pt>
                <c:pt idx="222">
                  <c:v>1.6142857142857101</c:v>
                </c:pt>
                <c:pt idx="223">
                  <c:v>0.47142857142857097</c:v>
                </c:pt>
                <c:pt idx="224">
                  <c:v>1.0190476190476101</c:v>
                </c:pt>
                <c:pt idx="225">
                  <c:v>1.9238095238095201</c:v>
                </c:pt>
                <c:pt idx="226">
                  <c:v>3.6857142857142802</c:v>
                </c:pt>
                <c:pt idx="227">
                  <c:v>1.9047619047619</c:v>
                </c:pt>
                <c:pt idx="228">
                  <c:v>2.53809523809523</c:v>
                </c:pt>
                <c:pt idx="229">
                  <c:v>1.4</c:v>
                </c:pt>
                <c:pt idx="230">
                  <c:v>3.8095238095238</c:v>
                </c:pt>
                <c:pt idx="231">
                  <c:v>1.85238095238095</c:v>
                </c:pt>
                <c:pt idx="232">
                  <c:v>0.79523809523809497</c:v>
                </c:pt>
                <c:pt idx="233">
                  <c:v>1.44761904761904</c:v>
                </c:pt>
                <c:pt idx="234">
                  <c:v>2.5666666666666602</c:v>
                </c:pt>
                <c:pt idx="235">
                  <c:v>1.16190476190476</c:v>
                </c:pt>
                <c:pt idx="236">
                  <c:v>1.01428571428571</c:v>
                </c:pt>
                <c:pt idx="237">
                  <c:v>0.53809523809523796</c:v>
                </c:pt>
                <c:pt idx="238">
                  <c:v>1.7619047619047601</c:v>
                </c:pt>
                <c:pt idx="239">
                  <c:v>1.03809523809523</c:v>
                </c:pt>
                <c:pt idx="240">
                  <c:v>0.82380952380952299</c:v>
                </c:pt>
                <c:pt idx="241">
                  <c:v>1.58095238095238</c:v>
                </c:pt>
                <c:pt idx="242">
                  <c:v>2.1333333333333302</c:v>
                </c:pt>
                <c:pt idx="243">
                  <c:v>1.2749999999999999</c:v>
                </c:pt>
                <c:pt idx="244">
                  <c:v>1.1399999999999999</c:v>
                </c:pt>
                <c:pt idx="245">
                  <c:v>0.33</c:v>
                </c:pt>
                <c:pt idx="246">
                  <c:v>1.3149999999999999</c:v>
                </c:pt>
                <c:pt idx="247">
                  <c:v>2.8699999999999899</c:v>
                </c:pt>
                <c:pt idx="248">
                  <c:v>0.99</c:v>
                </c:pt>
                <c:pt idx="249">
                  <c:v>1.5249999999999999</c:v>
                </c:pt>
                <c:pt idx="250">
                  <c:v>0.36</c:v>
                </c:pt>
                <c:pt idx="251">
                  <c:v>2.5350000000000001</c:v>
                </c:pt>
                <c:pt idx="252">
                  <c:v>4.3250000000000002</c:v>
                </c:pt>
                <c:pt idx="253">
                  <c:v>0.76</c:v>
                </c:pt>
                <c:pt idx="254">
                  <c:v>1.27142857142857</c:v>
                </c:pt>
                <c:pt idx="255">
                  <c:v>1.3095238095238</c:v>
                </c:pt>
                <c:pt idx="256">
                  <c:v>1.5761904761904699</c:v>
                </c:pt>
                <c:pt idx="257">
                  <c:v>0.338095238095238</c:v>
                </c:pt>
                <c:pt idx="258">
                  <c:v>0.709523809523809</c:v>
                </c:pt>
                <c:pt idx="259">
                  <c:v>0.19523809523809499</c:v>
                </c:pt>
                <c:pt idx="260">
                  <c:v>1.3714285714285701</c:v>
                </c:pt>
                <c:pt idx="261">
                  <c:v>1.4047619047619</c:v>
                </c:pt>
                <c:pt idx="262">
                  <c:v>3.3333333333333299</c:v>
                </c:pt>
                <c:pt idx="263">
                  <c:v>2.0619047619047599</c:v>
                </c:pt>
                <c:pt idx="264">
                  <c:v>1.5</c:v>
                </c:pt>
                <c:pt idx="265">
                  <c:v>2.4380952380952299</c:v>
                </c:pt>
                <c:pt idx="266">
                  <c:v>4.0047619047619003</c:v>
                </c:pt>
                <c:pt idx="267">
                  <c:v>3.6761904761904698</c:v>
                </c:pt>
                <c:pt idx="268">
                  <c:v>2.0809523809523802</c:v>
                </c:pt>
                <c:pt idx="269">
                  <c:v>1.3428571428571401</c:v>
                </c:pt>
                <c:pt idx="270">
                  <c:v>2.1590909090908998</c:v>
                </c:pt>
                <c:pt idx="271">
                  <c:v>1.89545454545454</c:v>
                </c:pt>
                <c:pt idx="272">
                  <c:v>1.9318181818181801</c:v>
                </c:pt>
                <c:pt idx="273">
                  <c:v>0.57272727272727197</c:v>
                </c:pt>
                <c:pt idx="274">
                  <c:v>0.50909090909090904</c:v>
                </c:pt>
                <c:pt idx="275">
                  <c:v>0.78181818181818097</c:v>
                </c:pt>
                <c:pt idx="276">
                  <c:v>2.5227272727272698</c:v>
                </c:pt>
                <c:pt idx="277">
                  <c:v>2.4545454545454501</c:v>
                </c:pt>
                <c:pt idx="278">
                  <c:v>0.60454545454545405</c:v>
                </c:pt>
                <c:pt idx="279">
                  <c:v>0.83636363636363598</c:v>
                </c:pt>
                <c:pt idx="280">
                  <c:v>0.95</c:v>
                </c:pt>
                <c:pt idx="281">
                  <c:v>3.2409090909090899</c:v>
                </c:pt>
                <c:pt idx="282">
                  <c:v>3.3714285714285701</c:v>
                </c:pt>
                <c:pt idx="283">
                  <c:v>2.3727272727272699</c:v>
                </c:pt>
                <c:pt idx="284">
                  <c:v>1.7681818181818101</c:v>
                </c:pt>
                <c:pt idx="285">
                  <c:v>2.0363636363636299</c:v>
                </c:pt>
                <c:pt idx="286">
                  <c:v>2.8409090909090899</c:v>
                </c:pt>
                <c:pt idx="287">
                  <c:v>1.1772727272727199</c:v>
                </c:pt>
                <c:pt idx="288">
                  <c:v>0.57272727272727197</c:v>
                </c:pt>
                <c:pt idx="289">
                  <c:v>0.368181818181818</c:v>
                </c:pt>
                <c:pt idx="290">
                  <c:v>0.92272727272727195</c:v>
                </c:pt>
                <c:pt idx="291">
                  <c:v>3.0636363636363599</c:v>
                </c:pt>
                <c:pt idx="292">
                  <c:v>0.61363636363636298</c:v>
                </c:pt>
                <c:pt idx="293">
                  <c:v>4.8772727272727199</c:v>
                </c:pt>
                <c:pt idx="294">
                  <c:v>1.66363636363636</c:v>
                </c:pt>
                <c:pt idx="295">
                  <c:v>1.5363636363636299</c:v>
                </c:pt>
                <c:pt idx="296">
                  <c:v>1.2090909090908999</c:v>
                </c:pt>
                <c:pt idx="297">
                  <c:v>0.34090909090909</c:v>
                </c:pt>
                <c:pt idx="298">
                  <c:v>0.513636363636363</c:v>
                </c:pt>
                <c:pt idx="299">
                  <c:v>1.94545454545454</c:v>
                </c:pt>
                <c:pt idx="300">
                  <c:v>1.0727272727272701</c:v>
                </c:pt>
                <c:pt idx="301">
                  <c:v>0.59090909090909005</c:v>
                </c:pt>
                <c:pt idx="302">
                  <c:v>0.75</c:v>
                </c:pt>
                <c:pt idx="303">
                  <c:v>0.41363636363636302</c:v>
                </c:pt>
                <c:pt idx="304">
                  <c:v>0.56818181818181801</c:v>
                </c:pt>
                <c:pt idx="305">
                  <c:v>0.145454545454545</c:v>
                </c:pt>
                <c:pt idx="306">
                  <c:v>0.50454545454545396</c:v>
                </c:pt>
                <c:pt idx="307">
                  <c:v>1.94545454545454</c:v>
                </c:pt>
                <c:pt idx="308">
                  <c:v>0.49090909090909002</c:v>
                </c:pt>
                <c:pt idx="309">
                  <c:v>2.6090909090909</c:v>
                </c:pt>
                <c:pt idx="310">
                  <c:v>0.64545454545454495</c:v>
                </c:pt>
                <c:pt idx="311">
                  <c:v>0.486363636363636</c:v>
                </c:pt>
                <c:pt idx="312">
                  <c:v>2.0499999999999998</c:v>
                </c:pt>
                <c:pt idx="313">
                  <c:v>0.46363636363636301</c:v>
                </c:pt>
                <c:pt idx="314">
                  <c:v>0.22727272727272699</c:v>
                </c:pt>
                <c:pt idx="315">
                  <c:v>0.99090909090909096</c:v>
                </c:pt>
                <c:pt idx="316">
                  <c:v>0.88636363636363602</c:v>
                </c:pt>
                <c:pt idx="317">
                  <c:v>0.972727272727272</c:v>
                </c:pt>
                <c:pt idx="318">
                  <c:v>0.163636363636363</c:v>
                </c:pt>
                <c:pt idx="319">
                  <c:v>1.3181818181818099</c:v>
                </c:pt>
                <c:pt idx="320">
                  <c:v>1.8181818181818099</c:v>
                </c:pt>
                <c:pt idx="321">
                  <c:v>0.56818181818181801</c:v>
                </c:pt>
                <c:pt idx="322">
                  <c:v>1.25454545454545</c:v>
                </c:pt>
                <c:pt idx="323">
                  <c:v>1.8272727272727201</c:v>
                </c:pt>
                <c:pt idx="324">
                  <c:v>0.661904761904761</c:v>
                </c:pt>
                <c:pt idx="325">
                  <c:v>0.395454545454545</c:v>
                </c:pt>
                <c:pt idx="326">
                  <c:v>0.46363636363636301</c:v>
                </c:pt>
                <c:pt idx="327">
                  <c:v>0.30454545454545401</c:v>
                </c:pt>
                <c:pt idx="328">
                  <c:v>1.1772727272727199</c:v>
                </c:pt>
                <c:pt idx="329">
                  <c:v>2.63636363636363</c:v>
                </c:pt>
                <c:pt idx="330">
                  <c:v>2.2681818181818101</c:v>
                </c:pt>
                <c:pt idx="331">
                  <c:v>4.3409090909090899</c:v>
                </c:pt>
                <c:pt idx="332">
                  <c:v>2.5636363636363599</c:v>
                </c:pt>
                <c:pt idx="333">
                  <c:v>0.64545454545454495</c:v>
                </c:pt>
                <c:pt idx="334">
                  <c:v>0.63636363636363602</c:v>
                </c:pt>
                <c:pt idx="335">
                  <c:v>1.7681818181818101</c:v>
                </c:pt>
                <c:pt idx="336">
                  <c:v>2.16818181818181</c:v>
                </c:pt>
                <c:pt idx="337">
                  <c:v>2.2090909090909001</c:v>
                </c:pt>
                <c:pt idx="338">
                  <c:v>1.2</c:v>
                </c:pt>
                <c:pt idx="339">
                  <c:v>3.7181818181818098</c:v>
                </c:pt>
                <c:pt idx="340">
                  <c:v>0.9</c:v>
                </c:pt>
                <c:pt idx="341">
                  <c:v>1.45</c:v>
                </c:pt>
                <c:pt idx="342">
                  <c:v>2.6818181818181799</c:v>
                </c:pt>
                <c:pt idx="343">
                  <c:v>1.9590909090908999</c:v>
                </c:pt>
                <c:pt idx="344">
                  <c:v>1.2045454545454499</c:v>
                </c:pt>
                <c:pt idx="345">
                  <c:v>0.64090909090908998</c:v>
                </c:pt>
                <c:pt idx="346">
                  <c:v>1.5727272727272701</c:v>
                </c:pt>
                <c:pt idx="347">
                  <c:v>1.08636363636363</c:v>
                </c:pt>
                <c:pt idx="348">
                  <c:v>0.75454545454545396</c:v>
                </c:pt>
                <c:pt idx="349">
                  <c:v>1.4045454545454501</c:v>
                </c:pt>
                <c:pt idx="350">
                  <c:v>3.3454545454545399</c:v>
                </c:pt>
                <c:pt idx="351">
                  <c:v>2.7318181818181801</c:v>
                </c:pt>
                <c:pt idx="352">
                  <c:v>4.8818181818181801</c:v>
                </c:pt>
                <c:pt idx="353">
                  <c:v>1.17272727272727</c:v>
                </c:pt>
                <c:pt idx="354">
                  <c:v>0.86818181818181805</c:v>
                </c:pt>
                <c:pt idx="355">
                  <c:v>9.0909090909090905E-3</c:v>
                </c:pt>
                <c:pt idx="356">
                  <c:v>0.486363636363636</c:v>
                </c:pt>
                <c:pt idx="357">
                  <c:v>2.1545454545454499</c:v>
                </c:pt>
                <c:pt idx="358">
                  <c:v>2.4909090909090899</c:v>
                </c:pt>
                <c:pt idx="359">
                  <c:v>1.11818181818181</c:v>
                </c:pt>
                <c:pt idx="360">
                  <c:v>0.24545454545454501</c:v>
                </c:pt>
                <c:pt idx="361">
                  <c:v>0.5</c:v>
                </c:pt>
                <c:pt idx="362">
                  <c:v>0.70454545454545403</c:v>
                </c:pt>
                <c:pt idx="363">
                  <c:v>1.8227272727272701</c:v>
                </c:pt>
                <c:pt idx="364">
                  <c:v>1.9045454545454501</c:v>
                </c:pt>
                <c:pt idx="365">
                  <c:v>1.8199999999999901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28-4269-B10F-B6E4830DCE4E}"/>
            </c:ext>
          </c:extLst>
        </c:ser>
        <c:ser>
          <c:idx val="3"/>
          <c:order val="3"/>
          <c:tx>
            <c:strRef>
              <c:f>'Met Data'!$L$2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Data'!$L$3:$L$368</c:f>
              <c:numCache>
                <c:formatCode>General</c:formatCode>
                <c:ptCount val="366"/>
                <c:pt idx="0">
                  <c:v>2.1440000000000001</c:v>
                </c:pt>
                <c:pt idx="1">
                  <c:v>5.0999999999999996</c:v>
                </c:pt>
                <c:pt idx="2">
                  <c:v>3.7120000000000002</c:v>
                </c:pt>
                <c:pt idx="3">
                  <c:v>4.1680000000000001</c:v>
                </c:pt>
                <c:pt idx="4">
                  <c:v>2.1520000000000001</c:v>
                </c:pt>
                <c:pt idx="5">
                  <c:v>3.01538461538461</c:v>
                </c:pt>
                <c:pt idx="6">
                  <c:v>4.3153846153846098</c:v>
                </c:pt>
                <c:pt idx="7">
                  <c:v>4.2740740740740701</c:v>
                </c:pt>
                <c:pt idx="8">
                  <c:v>6.8444444444444397</c:v>
                </c:pt>
                <c:pt idx="9">
                  <c:v>3.2962962962962901</c:v>
                </c:pt>
                <c:pt idx="10">
                  <c:v>2.8357142857142801</c:v>
                </c:pt>
                <c:pt idx="11">
                  <c:v>3.2428571428571402</c:v>
                </c:pt>
                <c:pt idx="12">
                  <c:v>4.0714285714285703</c:v>
                </c:pt>
                <c:pt idx="13">
                  <c:v>3.8642857142857099</c:v>
                </c:pt>
                <c:pt idx="14">
                  <c:v>3.1214285714285701</c:v>
                </c:pt>
                <c:pt idx="15">
                  <c:v>2.6206896551724101</c:v>
                </c:pt>
                <c:pt idx="16">
                  <c:v>5.8896551724137902</c:v>
                </c:pt>
                <c:pt idx="17">
                  <c:v>1.8482758620689601</c:v>
                </c:pt>
                <c:pt idx="18">
                  <c:v>4.5241379310344803</c:v>
                </c:pt>
                <c:pt idx="19">
                  <c:v>0.52413793103448203</c:v>
                </c:pt>
                <c:pt idx="20">
                  <c:v>1.41333333333333</c:v>
                </c:pt>
                <c:pt idx="21">
                  <c:v>3.9266666666666601</c:v>
                </c:pt>
                <c:pt idx="22">
                  <c:v>3.0533333333333301</c:v>
                </c:pt>
                <c:pt idx="23">
                  <c:v>2.1933333333333298</c:v>
                </c:pt>
                <c:pt idx="24">
                  <c:v>1.84</c:v>
                </c:pt>
                <c:pt idx="25">
                  <c:v>3.5333333333333301</c:v>
                </c:pt>
                <c:pt idx="26">
                  <c:v>1.7466666666666599</c:v>
                </c:pt>
                <c:pt idx="27">
                  <c:v>0.76666666666666605</c:v>
                </c:pt>
                <c:pt idx="28">
                  <c:v>1.2333333333333301</c:v>
                </c:pt>
                <c:pt idx="29">
                  <c:v>2.5933333333333302</c:v>
                </c:pt>
                <c:pt idx="30">
                  <c:v>3.1066666666666598</c:v>
                </c:pt>
                <c:pt idx="31">
                  <c:v>2.7466666666666599</c:v>
                </c:pt>
                <c:pt idx="32">
                  <c:v>2.04</c:v>
                </c:pt>
                <c:pt idx="33">
                  <c:v>2.0933333333333302</c:v>
                </c:pt>
                <c:pt idx="34">
                  <c:v>3.44</c:v>
                </c:pt>
                <c:pt idx="35">
                  <c:v>1.2666666666666599</c:v>
                </c:pt>
                <c:pt idx="36">
                  <c:v>4.43333333333333</c:v>
                </c:pt>
                <c:pt idx="37">
                  <c:v>3.26</c:v>
                </c:pt>
                <c:pt idx="38">
                  <c:v>2.1266666666666598</c:v>
                </c:pt>
                <c:pt idx="39">
                  <c:v>3.6137931034482702</c:v>
                </c:pt>
                <c:pt idx="40">
                  <c:v>1.3724137931034399</c:v>
                </c:pt>
                <c:pt idx="41">
                  <c:v>2.1800000000000002</c:v>
                </c:pt>
                <c:pt idx="42">
                  <c:v>2.39333333333333</c:v>
                </c:pt>
                <c:pt idx="43">
                  <c:v>4.0866666666666598</c:v>
                </c:pt>
                <c:pt idx="44">
                  <c:v>4.1666666666666599</c:v>
                </c:pt>
                <c:pt idx="45">
                  <c:v>2.2666666666666599</c:v>
                </c:pt>
                <c:pt idx="46">
                  <c:v>2.1066666666666598</c:v>
                </c:pt>
                <c:pt idx="47">
                  <c:v>3.78</c:v>
                </c:pt>
                <c:pt idx="48">
                  <c:v>4.38</c:v>
                </c:pt>
                <c:pt idx="49">
                  <c:v>3.26</c:v>
                </c:pt>
                <c:pt idx="50">
                  <c:v>2.8866666666666601</c:v>
                </c:pt>
                <c:pt idx="51">
                  <c:v>2.1800000000000002</c:v>
                </c:pt>
                <c:pt idx="52">
                  <c:v>2.2827586206896502</c:v>
                </c:pt>
                <c:pt idx="53">
                  <c:v>6.8142857142857096</c:v>
                </c:pt>
                <c:pt idx="54">
                  <c:v>1.6071428571428501</c:v>
                </c:pt>
                <c:pt idx="55">
                  <c:v>2.8714285714285701</c:v>
                </c:pt>
                <c:pt idx="56">
                  <c:v>1.46896551724137</c:v>
                </c:pt>
                <c:pt idx="57">
                  <c:v>4</c:v>
                </c:pt>
                <c:pt idx="58">
                  <c:v>1.97241379310344</c:v>
                </c:pt>
                <c:pt idx="59">
                  <c:v>3.6551724137931001</c:v>
                </c:pt>
                <c:pt idx="60">
                  <c:v>3.3285714285714199</c:v>
                </c:pt>
                <c:pt idx="61">
                  <c:v>2.3172413793103401</c:v>
                </c:pt>
                <c:pt idx="62">
                  <c:v>0.74482758620689604</c:v>
                </c:pt>
                <c:pt idx="63">
                  <c:v>1</c:v>
                </c:pt>
                <c:pt idx="64">
                  <c:v>2.6357142857142799</c:v>
                </c:pt>
                <c:pt idx="65">
                  <c:v>4.2285714285714198</c:v>
                </c:pt>
                <c:pt idx="66">
                  <c:v>3.7857142857142798</c:v>
                </c:pt>
                <c:pt idx="67">
                  <c:v>2.2428571428571402</c:v>
                </c:pt>
                <c:pt idx="68">
                  <c:v>3.3</c:v>
                </c:pt>
                <c:pt idx="69">
                  <c:v>3.77857142857142</c:v>
                </c:pt>
                <c:pt idx="70">
                  <c:v>2.5793103448275798</c:v>
                </c:pt>
                <c:pt idx="71">
                  <c:v>2.4214285714285699</c:v>
                </c:pt>
                <c:pt idx="72">
                  <c:v>2.4827586206896499</c:v>
                </c:pt>
                <c:pt idx="73">
                  <c:v>3.2</c:v>
                </c:pt>
                <c:pt idx="74">
                  <c:v>3.2482758620689598</c:v>
                </c:pt>
                <c:pt idx="75">
                  <c:v>4.28666666666666</c:v>
                </c:pt>
                <c:pt idx="76">
                  <c:v>2.4866666666666601</c:v>
                </c:pt>
                <c:pt idx="77">
                  <c:v>1.94</c:v>
                </c:pt>
                <c:pt idx="78">
                  <c:v>2.5066666666666602</c:v>
                </c:pt>
                <c:pt idx="79">
                  <c:v>1.78666666666666</c:v>
                </c:pt>
                <c:pt idx="80">
                  <c:v>2.0344827586206802</c:v>
                </c:pt>
                <c:pt idx="81">
                  <c:v>2.6758620689655102</c:v>
                </c:pt>
                <c:pt idx="82">
                  <c:v>1.8785714285714199</c:v>
                </c:pt>
                <c:pt idx="83">
                  <c:v>4.6933333333333298</c:v>
                </c:pt>
                <c:pt idx="84">
                  <c:v>1.28666666666666</c:v>
                </c:pt>
                <c:pt idx="85">
                  <c:v>1.3333333333333299</c:v>
                </c:pt>
                <c:pt idx="86">
                  <c:v>2.6137931034482702</c:v>
                </c:pt>
                <c:pt idx="87">
                  <c:v>2.4</c:v>
                </c:pt>
                <c:pt idx="88">
                  <c:v>2.7666666666666599</c:v>
                </c:pt>
                <c:pt idx="89">
                  <c:v>1.63333333333333</c:v>
                </c:pt>
                <c:pt idx="90">
                  <c:v>2.3333333333333299</c:v>
                </c:pt>
                <c:pt idx="91">
                  <c:v>1.6</c:v>
                </c:pt>
                <c:pt idx="92">
                  <c:v>3.84</c:v>
                </c:pt>
                <c:pt idx="93">
                  <c:v>3.4666666666666601</c:v>
                </c:pt>
                <c:pt idx="94">
                  <c:v>3.9066666666666601</c:v>
                </c:pt>
                <c:pt idx="95">
                  <c:v>1.91333333333333</c:v>
                </c:pt>
                <c:pt idx="96">
                  <c:v>1.7655172413793101</c:v>
                </c:pt>
                <c:pt idx="97">
                  <c:v>2.77857142857142</c:v>
                </c:pt>
                <c:pt idx="98">
                  <c:v>2.3481481481481401</c:v>
                </c:pt>
                <c:pt idx="99">
                  <c:v>1.8384615384615299</c:v>
                </c:pt>
                <c:pt idx="100">
                  <c:v>1.472</c:v>
                </c:pt>
                <c:pt idx="101">
                  <c:v>2.56</c:v>
                </c:pt>
                <c:pt idx="102">
                  <c:v>2.0962962962962899</c:v>
                </c:pt>
                <c:pt idx="103">
                  <c:v>1.5</c:v>
                </c:pt>
                <c:pt idx="104">
                  <c:v>1.1310344827586201</c:v>
                </c:pt>
                <c:pt idx="105">
                  <c:v>2.3172413793103401</c:v>
                </c:pt>
                <c:pt idx="106">
                  <c:v>4.6068965517241303</c:v>
                </c:pt>
                <c:pt idx="107">
                  <c:v>3.2642857142857098</c:v>
                </c:pt>
                <c:pt idx="108">
                  <c:v>1.86206896551724</c:v>
                </c:pt>
                <c:pt idx="109">
                  <c:v>2.72413793103448</c:v>
                </c:pt>
                <c:pt idx="110">
                  <c:v>2.2689655172413699</c:v>
                </c:pt>
                <c:pt idx="111">
                  <c:v>1.17241379310344</c:v>
                </c:pt>
                <c:pt idx="112">
                  <c:v>2.77931034482758</c:v>
                </c:pt>
                <c:pt idx="113">
                  <c:v>2.08965517241379</c:v>
                </c:pt>
                <c:pt idx="114">
                  <c:v>2.8827586206896498</c:v>
                </c:pt>
                <c:pt idx="115">
                  <c:v>2.6137931034482702</c:v>
                </c:pt>
                <c:pt idx="116">
                  <c:v>2.0413793103448201</c:v>
                </c:pt>
                <c:pt idx="117">
                  <c:v>2.5793103448275798</c:v>
                </c:pt>
                <c:pt idx="118">
                  <c:v>2.47586206896551</c:v>
                </c:pt>
                <c:pt idx="119">
                  <c:v>1.24827586206896</c:v>
                </c:pt>
                <c:pt idx="120">
                  <c:v>3.1655172413793098</c:v>
                </c:pt>
                <c:pt idx="121">
                  <c:v>2.6758620689655102</c:v>
                </c:pt>
                <c:pt idx="122">
                  <c:v>2.8482758620689599</c:v>
                </c:pt>
                <c:pt idx="123">
                  <c:v>2.6214285714285701</c:v>
                </c:pt>
                <c:pt idx="124">
                  <c:v>2.7103448275862001</c:v>
                </c:pt>
                <c:pt idx="125">
                  <c:v>2.1862068965517198</c:v>
                </c:pt>
                <c:pt idx="126">
                  <c:v>2.5310344827586202</c:v>
                </c:pt>
                <c:pt idx="127">
                  <c:v>2.0137931034482701</c:v>
                </c:pt>
                <c:pt idx="128">
                  <c:v>2.2689655172413699</c:v>
                </c:pt>
                <c:pt idx="129">
                  <c:v>1.17241379310344</c:v>
                </c:pt>
                <c:pt idx="130">
                  <c:v>2.44285714285714</c:v>
                </c:pt>
                <c:pt idx="131">
                  <c:v>2.4214285714285699</c:v>
                </c:pt>
                <c:pt idx="132">
                  <c:v>3.9928571428571402</c:v>
                </c:pt>
                <c:pt idx="133">
                  <c:v>2.9793103448275802</c:v>
                </c:pt>
                <c:pt idx="134">
                  <c:v>2.9310344827586201</c:v>
                </c:pt>
                <c:pt idx="135">
                  <c:v>4.6137931034482698</c:v>
                </c:pt>
                <c:pt idx="136">
                  <c:v>4.4068965517241301</c:v>
                </c:pt>
                <c:pt idx="137">
                  <c:v>2.5103448275861999</c:v>
                </c:pt>
                <c:pt idx="138">
                  <c:v>2.5241379310344798</c:v>
                </c:pt>
                <c:pt idx="139">
                  <c:v>4.0896551724137904</c:v>
                </c:pt>
                <c:pt idx="140">
                  <c:v>2.63448275862069</c:v>
                </c:pt>
                <c:pt idx="141">
                  <c:v>2.0206896551724101</c:v>
                </c:pt>
                <c:pt idx="142">
                  <c:v>3.69655172413793</c:v>
                </c:pt>
                <c:pt idx="143">
                  <c:v>1.52413793103448</c:v>
                </c:pt>
                <c:pt idx="144">
                  <c:v>3.5586206896551702</c:v>
                </c:pt>
                <c:pt idx="145">
                  <c:v>4.2428571428571402</c:v>
                </c:pt>
                <c:pt idx="146">
                  <c:v>2.6888888888888798</c:v>
                </c:pt>
                <c:pt idx="147">
                  <c:v>2.3142857142857101</c:v>
                </c:pt>
                <c:pt idx="148">
                  <c:v>3.0642857142857101</c:v>
                </c:pt>
                <c:pt idx="149">
                  <c:v>2.5655172413793101</c:v>
                </c:pt>
                <c:pt idx="150">
                  <c:v>3.6137931034482702</c:v>
                </c:pt>
                <c:pt idx="151">
                  <c:v>4.5586206896551698</c:v>
                </c:pt>
                <c:pt idx="152">
                  <c:v>4.7586206896551699</c:v>
                </c:pt>
                <c:pt idx="153">
                  <c:v>2.3357142857142801</c:v>
                </c:pt>
                <c:pt idx="154">
                  <c:v>2.8</c:v>
                </c:pt>
                <c:pt idx="155">
                  <c:v>1.78571428571428</c:v>
                </c:pt>
                <c:pt idx="156">
                  <c:v>1.8827586206896501</c:v>
                </c:pt>
                <c:pt idx="157">
                  <c:v>2.4071428571428499</c:v>
                </c:pt>
                <c:pt idx="158">
                  <c:v>2.6413793103448202</c:v>
                </c:pt>
                <c:pt idx="159">
                  <c:v>3.0965517241379299</c:v>
                </c:pt>
                <c:pt idx="160">
                  <c:v>2.17241379310344</c:v>
                </c:pt>
                <c:pt idx="161">
                  <c:v>1.9655172413793101</c:v>
                </c:pt>
                <c:pt idx="162">
                  <c:v>3.3172413793103401</c:v>
                </c:pt>
                <c:pt idx="163">
                  <c:v>1.9793103448275799</c:v>
                </c:pt>
                <c:pt idx="164">
                  <c:v>2</c:v>
                </c:pt>
                <c:pt idx="165">
                  <c:v>2.8758620689655099</c:v>
                </c:pt>
                <c:pt idx="166">
                  <c:v>2.5793103448275798</c:v>
                </c:pt>
                <c:pt idx="167">
                  <c:v>3.7642857142857098</c:v>
                </c:pt>
                <c:pt idx="168">
                  <c:v>2.8</c:v>
                </c:pt>
                <c:pt idx="169">
                  <c:v>3.8758620689655099</c:v>
                </c:pt>
                <c:pt idx="170">
                  <c:v>1.6357142857142799</c:v>
                </c:pt>
                <c:pt idx="171">
                  <c:v>2.2071428571428502</c:v>
                </c:pt>
                <c:pt idx="172">
                  <c:v>2.4620689655172399</c:v>
                </c:pt>
                <c:pt idx="173">
                  <c:v>2.4827586206896499</c:v>
                </c:pt>
                <c:pt idx="174">
                  <c:v>3.1241379310344799</c:v>
                </c:pt>
                <c:pt idx="175">
                  <c:v>4.4137931034482696</c:v>
                </c:pt>
                <c:pt idx="176">
                  <c:v>2.36551724137931</c:v>
                </c:pt>
                <c:pt idx="177">
                  <c:v>2.8206896551724099</c:v>
                </c:pt>
                <c:pt idx="178">
                  <c:v>2.1931034482758598</c:v>
                </c:pt>
                <c:pt idx="179">
                  <c:v>2.77931034482758</c:v>
                </c:pt>
                <c:pt idx="180">
                  <c:v>2.1857142857142802</c:v>
                </c:pt>
                <c:pt idx="181">
                  <c:v>1.4285714285714199</c:v>
                </c:pt>
                <c:pt idx="182">
                  <c:v>3.0714285714285698</c:v>
                </c:pt>
                <c:pt idx="183">
                  <c:v>2.6571428571428499</c:v>
                </c:pt>
                <c:pt idx="184">
                  <c:v>2.3142857142857101</c:v>
                </c:pt>
                <c:pt idx="185">
                  <c:v>2.6357142857142799</c:v>
                </c:pt>
                <c:pt idx="186">
                  <c:v>1.8592592592592501</c:v>
                </c:pt>
                <c:pt idx="187">
                  <c:v>2.5407407407407399</c:v>
                </c:pt>
                <c:pt idx="188">
                  <c:v>2.6071428571428501</c:v>
                </c:pt>
                <c:pt idx="189">
                  <c:v>2.4785714285714202</c:v>
                </c:pt>
                <c:pt idx="190">
                  <c:v>2.2428571428571402</c:v>
                </c:pt>
                <c:pt idx="191">
                  <c:v>1.55862068965517</c:v>
                </c:pt>
                <c:pt idx="192">
                  <c:v>1.9862068965517199</c:v>
                </c:pt>
                <c:pt idx="193">
                  <c:v>1.04</c:v>
                </c:pt>
                <c:pt idx="194">
                  <c:v>1.32666666666666</c:v>
                </c:pt>
                <c:pt idx="195">
                  <c:v>1.08965517241379</c:v>
                </c:pt>
                <c:pt idx="196">
                  <c:v>2.2758620689655098</c:v>
                </c:pt>
                <c:pt idx="197">
                  <c:v>0.49333333333333301</c:v>
                </c:pt>
                <c:pt idx="198">
                  <c:v>2.1800000000000002</c:v>
                </c:pt>
                <c:pt idx="199">
                  <c:v>1.37333333333333</c:v>
                </c:pt>
                <c:pt idx="200">
                  <c:v>1.84</c:v>
                </c:pt>
                <c:pt idx="201">
                  <c:v>2.08</c:v>
                </c:pt>
                <c:pt idx="202">
                  <c:v>1.66</c:v>
                </c:pt>
                <c:pt idx="203">
                  <c:v>1.8333333333333299</c:v>
                </c:pt>
                <c:pt idx="204">
                  <c:v>1.9586206896551701</c:v>
                </c:pt>
                <c:pt idx="205">
                  <c:v>3.28</c:v>
                </c:pt>
                <c:pt idx="206">
                  <c:v>1.82666666666666</c:v>
                </c:pt>
                <c:pt idx="207">
                  <c:v>1.38</c:v>
                </c:pt>
                <c:pt idx="208">
                  <c:v>1.22068965517241</c:v>
                </c:pt>
                <c:pt idx="209">
                  <c:v>1.5724137931034401</c:v>
                </c:pt>
                <c:pt idx="210">
                  <c:v>1.8413793103448199</c:v>
                </c:pt>
                <c:pt idx="211">
                  <c:v>1.42</c:v>
                </c:pt>
                <c:pt idx="212">
                  <c:v>2.1866666666666599</c:v>
                </c:pt>
                <c:pt idx="213">
                  <c:v>2.9666666666666601</c:v>
                </c:pt>
                <c:pt idx="214">
                  <c:v>1.41333333333333</c:v>
                </c:pt>
                <c:pt idx="215">
                  <c:v>1.5066666666666599</c:v>
                </c:pt>
                <c:pt idx="216">
                  <c:v>1.28666666666666</c:v>
                </c:pt>
                <c:pt idx="217">
                  <c:v>1.5933333333333299</c:v>
                </c:pt>
                <c:pt idx="218">
                  <c:v>1.89333333333333</c:v>
                </c:pt>
                <c:pt idx="219">
                  <c:v>1.63448275862068</c:v>
                </c:pt>
                <c:pt idx="220">
                  <c:v>1.7862068965517199</c:v>
                </c:pt>
                <c:pt idx="221">
                  <c:v>2.08</c:v>
                </c:pt>
                <c:pt idx="222">
                  <c:v>1.68</c:v>
                </c:pt>
                <c:pt idx="223">
                  <c:v>2.1933333333333298</c:v>
                </c:pt>
                <c:pt idx="224">
                  <c:v>2.7933333333333299</c:v>
                </c:pt>
                <c:pt idx="225">
                  <c:v>2.4733333333333301</c:v>
                </c:pt>
                <c:pt idx="226">
                  <c:v>2.5066666666666602</c:v>
                </c:pt>
                <c:pt idx="227">
                  <c:v>1.86</c:v>
                </c:pt>
                <c:pt idx="228">
                  <c:v>3.0965517241379299</c:v>
                </c:pt>
                <c:pt idx="229">
                  <c:v>2.7266666666666599</c:v>
                </c:pt>
                <c:pt idx="230">
                  <c:v>1.52</c:v>
                </c:pt>
                <c:pt idx="231">
                  <c:v>1.02</c:v>
                </c:pt>
                <c:pt idx="232">
                  <c:v>1.26</c:v>
                </c:pt>
                <c:pt idx="233">
                  <c:v>2.0666666666666602</c:v>
                </c:pt>
                <c:pt idx="234">
                  <c:v>1.28</c:v>
                </c:pt>
                <c:pt idx="235">
                  <c:v>2.0333333333333301</c:v>
                </c:pt>
                <c:pt idx="236">
                  <c:v>2.1866666666666599</c:v>
                </c:pt>
                <c:pt idx="237">
                  <c:v>1.3133333333333299</c:v>
                </c:pt>
                <c:pt idx="238">
                  <c:v>1.4066666666666601</c:v>
                </c:pt>
                <c:pt idx="239">
                  <c:v>1.32666666666666</c:v>
                </c:pt>
                <c:pt idx="240">
                  <c:v>1.9866666666666599</c:v>
                </c:pt>
                <c:pt idx="241">
                  <c:v>1.34666666666666</c:v>
                </c:pt>
                <c:pt idx="242">
                  <c:v>0.78666666666666596</c:v>
                </c:pt>
                <c:pt idx="243">
                  <c:v>2.1333333333333302</c:v>
                </c:pt>
                <c:pt idx="244">
                  <c:v>1.7931034482758601</c:v>
                </c:pt>
                <c:pt idx="245">
                  <c:v>2.4896551724137899</c:v>
                </c:pt>
                <c:pt idx="246">
                  <c:v>1.2413793103448201</c:v>
                </c:pt>
                <c:pt idx="247">
                  <c:v>1.33793103448275</c:v>
                </c:pt>
                <c:pt idx="248">
                  <c:v>2.8689655172413699</c:v>
                </c:pt>
                <c:pt idx="249">
                  <c:v>2.75172413793103</c:v>
                </c:pt>
                <c:pt idx="250">
                  <c:v>3.5142857142857098</c:v>
                </c:pt>
                <c:pt idx="251">
                  <c:v>0.92857142857142805</c:v>
                </c:pt>
                <c:pt idx="252">
                  <c:v>2.2827586206896502</c:v>
                </c:pt>
                <c:pt idx="253">
                  <c:v>1.7586206896551699</c:v>
                </c:pt>
                <c:pt idx="254">
                  <c:v>2.8620689655172402</c:v>
                </c:pt>
                <c:pt idx="255">
                  <c:v>1.66206896551724</c:v>
                </c:pt>
                <c:pt idx="256">
                  <c:v>0.86206896551724099</c:v>
                </c:pt>
                <c:pt idx="257">
                  <c:v>2.4275862068965499</c:v>
                </c:pt>
                <c:pt idx="258">
                  <c:v>2.4896551724137899</c:v>
                </c:pt>
                <c:pt idx="259">
                  <c:v>1.8333333333333299</c:v>
                </c:pt>
                <c:pt idx="260">
                  <c:v>1.76129032258064</c:v>
                </c:pt>
                <c:pt idx="261">
                  <c:v>2.3548387096774102</c:v>
                </c:pt>
                <c:pt idx="262">
                  <c:v>1.4</c:v>
                </c:pt>
                <c:pt idx="263">
                  <c:v>2.2903225806451601</c:v>
                </c:pt>
                <c:pt idx="264">
                  <c:v>3.2193548387096702</c:v>
                </c:pt>
                <c:pt idx="265">
                  <c:v>2.04516129032258</c:v>
                </c:pt>
                <c:pt idx="266">
                  <c:v>2.7096774193548301</c:v>
                </c:pt>
                <c:pt idx="267">
                  <c:v>1.17333333333333</c:v>
                </c:pt>
                <c:pt idx="268">
                  <c:v>1.7096774193548301</c:v>
                </c:pt>
                <c:pt idx="269">
                  <c:v>1.6193548387096699</c:v>
                </c:pt>
                <c:pt idx="270">
                  <c:v>2.5354838709677399</c:v>
                </c:pt>
                <c:pt idx="271">
                  <c:v>0.72258064516128995</c:v>
                </c:pt>
                <c:pt idx="272">
                  <c:v>2.87096774193548</c:v>
                </c:pt>
                <c:pt idx="273">
                  <c:v>1.90967741935483</c:v>
                </c:pt>
                <c:pt idx="274">
                  <c:v>2.3354838709677401</c:v>
                </c:pt>
                <c:pt idx="275">
                  <c:v>2.77241379310344</c:v>
                </c:pt>
                <c:pt idx="276">
                  <c:v>3.68</c:v>
                </c:pt>
                <c:pt idx="277">
                  <c:v>2.1161290322580601</c:v>
                </c:pt>
                <c:pt idx="278">
                  <c:v>3.01935483870967</c:v>
                </c:pt>
                <c:pt idx="279">
                  <c:v>3.4965517241379298</c:v>
                </c:pt>
                <c:pt idx="280">
                  <c:v>2.6133333333333302</c:v>
                </c:pt>
                <c:pt idx="281">
                  <c:v>2.34</c:v>
                </c:pt>
                <c:pt idx="282">
                  <c:v>3.02</c:v>
                </c:pt>
                <c:pt idx="283">
                  <c:v>0.75862068965517204</c:v>
                </c:pt>
                <c:pt idx="284">
                  <c:v>2.3448275862068901</c:v>
                </c:pt>
                <c:pt idx="285">
                  <c:v>3.38620689655172</c:v>
                </c:pt>
                <c:pt idx="286">
                  <c:v>4.7642857142857098</c:v>
                </c:pt>
                <c:pt idx="287">
                  <c:v>2.1214285714285701</c:v>
                </c:pt>
                <c:pt idx="288">
                  <c:v>2.6142857142857099</c:v>
                </c:pt>
                <c:pt idx="289">
                  <c:v>4.2785714285714196</c:v>
                </c:pt>
                <c:pt idx="290">
                  <c:v>3.2285714285714202</c:v>
                </c:pt>
                <c:pt idx="291">
                  <c:v>4.0296296296296203</c:v>
                </c:pt>
                <c:pt idx="292">
                  <c:v>2.4500000000000002</c:v>
                </c:pt>
                <c:pt idx="293">
                  <c:v>3.2214285714285702</c:v>
                </c:pt>
                <c:pt idx="294">
                  <c:v>2.8857142857142799</c:v>
                </c:pt>
                <c:pt idx="295">
                  <c:v>3.3357142857142801</c:v>
                </c:pt>
                <c:pt idx="296">
                  <c:v>2.44285714285714</c:v>
                </c:pt>
                <c:pt idx="297">
                  <c:v>1.3857142857142799</c:v>
                </c:pt>
                <c:pt idx="298">
                  <c:v>3.02857142857142</c:v>
                </c:pt>
                <c:pt idx="299">
                  <c:v>1.55172413793103</c:v>
                </c:pt>
                <c:pt idx="300">
                  <c:v>1.5448275862068901</c:v>
                </c:pt>
                <c:pt idx="301">
                  <c:v>3.7533333333333299</c:v>
                </c:pt>
                <c:pt idx="302">
                  <c:v>2.3333333333333299</c:v>
                </c:pt>
                <c:pt idx="303">
                  <c:v>2.0133333333333301</c:v>
                </c:pt>
                <c:pt idx="304">
                  <c:v>1.8333333333333299</c:v>
                </c:pt>
                <c:pt idx="305">
                  <c:v>2.0066666666666602</c:v>
                </c:pt>
                <c:pt idx="306">
                  <c:v>2.0206896551724101</c:v>
                </c:pt>
                <c:pt idx="307">
                  <c:v>2.42068965517241</c:v>
                </c:pt>
                <c:pt idx="308">
                  <c:v>3.5448275862068899</c:v>
                </c:pt>
                <c:pt idx="309">
                  <c:v>1.2</c:v>
                </c:pt>
                <c:pt idx="310">
                  <c:v>2.8214285714285698</c:v>
                </c:pt>
                <c:pt idx="311">
                  <c:v>1.6551724137931001</c:v>
                </c:pt>
                <c:pt idx="312">
                  <c:v>2.8758620689655099</c:v>
                </c:pt>
                <c:pt idx="313">
                  <c:v>1.55862068965517</c:v>
                </c:pt>
                <c:pt idx="314">
                  <c:v>2.1310344827586198</c:v>
                </c:pt>
                <c:pt idx="315">
                  <c:v>2.5629629629629598</c:v>
                </c:pt>
                <c:pt idx="316">
                  <c:v>2.5571428571428498</c:v>
                </c:pt>
                <c:pt idx="317">
                  <c:v>2.7071428571428502</c:v>
                </c:pt>
                <c:pt idx="318">
                  <c:v>2.6</c:v>
                </c:pt>
                <c:pt idx="319">
                  <c:v>4.4142857142857101</c:v>
                </c:pt>
                <c:pt idx="320">
                  <c:v>3.6357142857142799</c:v>
                </c:pt>
                <c:pt idx="321">
                  <c:v>2.8642857142857099</c:v>
                </c:pt>
                <c:pt idx="322">
                  <c:v>3.7</c:v>
                </c:pt>
                <c:pt idx="323">
                  <c:v>5.0642857142857096</c:v>
                </c:pt>
                <c:pt idx="324">
                  <c:v>4.9931034482758596</c:v>
                </c:pt>
                <c:pt idx="325">
                  <c:v>1.9862068965517199</c:v>
                </c:pt>
                <c:pt idx="326">
                  <c:v>1.77241379310344</c:v>
                </c:pt>
                <c:pt idx="327">
                  <c:v>4.50344827586206</c:v>
                </c:pt>
                <c:pt idx="328">
                  <c:v>3.06</c:v>
                </c:pt>
                <c:pt idx="329">
                  <c:v>3.4733333333333301</c:v>
                </c:pt>
                <c:pt idx="330">
                  <c:v>2.5533333333333301</c:v>
                </c:pt>
                <c:pt idx="331">
                  <c:v>3.7034482758620602</c:v>
                </c:pt>
                <c:pt idx="332">
                  <c:v>2.77241379310344</c:v>
                </c:pt>
                <c:pt idx="333">
                  <c:v>2.9586206896551701</c:v>
                </c:pt>
                <c:pt idx="334">
                  <c:v>2.4896551724137899</c:v>
                </c:pt>
                <c:pt idx="335">
                  <c:v>2.7862068965517199</c:v>
                </c:pt>
                <c:pt idx="336">
                  <c:v>3.3034482758620598</c:v>
                </c:pt>
                <c:pt idx="337">
                  <c:v>1.49655172413793</c:v>
                </c:pt>
                <c:pt idx="338">
                  <c:v>3.33103448275862</c:v>
                </c:pt>
                <c:pt idx="339">
                  <c:v>1.8962962962962899</c:v>
                </c:pt>
                <c:pt idx="340">
                  <c:v>2.0571428571428498</c:v>
                </c:pt>
                <c:pt idx="341">
                  <c:v>1.9071428571428499</c:v>
                </c:pt>
                <c:pt idx="342">
                  <c:v>2.2148148148148099</c:v>
                </c:pt>
                <c:pt idx="343">
                  <c:v>2.3857142857142799</c:v>
                </c:pt>
                <c:pt idx="344">
                  <c:v>2</c:v>
                </c:pt>
                <c:pt idx="345">
                  <c:v>3.8551724137930998</c:v>
                </c:pt>
                <c:pt idx="346">
                  <c:v>3.3793103448275801</c:v>
                </c:pt>
                <c:pt idx="347">
                  <c:v>3.0571428571428498</c:v>
                </c:pt>
                <c:pt idx="348">
                  <c:v>3.9931034482758601</c:v>
                </c:pt>
                <c:pt idx="349">
                  <c:v>2.9931034482758601</c:v>
                </c:pt>
                <c:pt idx="350">
                  <c:v>1.61379310344827</c:v>
                </c:pt>
                <c:pt idx="351">
                  <c:v>2.0620689655172399</c:v>
                </c:pt>
                <c:pt idx="352">
                  <c:v>3.0482758620689601</c:v>
                </c:pt>
                <c:pt idx="353">
                  <c:v>4.8074074074073998</c:v>
                </c:pt>
                <c:pt idx="354">
                  <c:v>3.75</c:v>
                </c:pt>
                <c:pt idx="355">
                  <c:v>4.1642857142857101</c:v>
                </c:pt>
                <c:pt idx="356">
                  <c:v>4.1642857142857101</c:v>
                </c:pt>
                <c:pt idx="357">
                  <c:v>3.7214285714285702</c:v>
                </c:pt>
                <c:pt idx="358">
                  <c:v>3.38518518518518</c:v>
                </c:pt>
                <c:pt idx="359">
                  <c:v>3.8444444444444401</c:v>
                </c:pt>
                <c:pt idx="360">
                  <c:v>4.2</c:v>
                </c:pt>
                <c:pt idx="361">
                  <c:v>3.45185185185185</c:v>
                </c:pt>
                <c:pt idx="362">
                  <c:v>2.7</c:v>
                </c:pt>
                <c:pt idx="363">
                  <c:v>2.3692307692307599</c:v>
                </c:pt>
                <c:pt idx="364">
                  <c:v>2.9076923076923</c:v>
                </c:pt>
                <c:pt idx="365">
                  <c:v>6.7666666666666604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28-4269-B10F-B6E4830DCE4E}"/>
            </c:ext>
          </c:extLst>
        </c:ser>
        <c:ser>
          <c:idx val="4"/>
          <c:order val="4"/>
          <c:tx>
            <c:strRef>
              <c:f>'Met Data'!$M$2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Data'!$M$3:$M$368</c:f>
              <c:numCache>
                <c:formatCode>General</c:formatCode>
                <c:ptCount val="366"/>
                <c:pt idx="0">
                  <c:v>2.5499999999999998</c:v>
                </c:pt>
                <c:pt idx="1">
                  <c:v>2.3166666666666602</c:v>
                </c:pt>
                <c:pt idx="2">
                  <c:v>6.6333333333333302</c:v>
                </c:pt>
                <c:pt idx="3">
                  <c:v>1.93333333333333</c:v>
                </c:pt>
                <c:pt idx="4">
                  <c:v>2.9833333333333298</c:v>
                </c:pt>
                <c:pt idx="5">
                  <c:v>0.43333333333333302</c:v>
                </c:pt>
                <c:pt idx="6">
                  <c:v>2.7833333333333301</c:v>
                </c:pt>
                <c:pt idx="7">
                  <c:v>2.3833333333333302</c:v>
                </c:pt>
                <c:pt idx="8">
                  <c:v>0.3</c:v>
                </c:pt>
                <c:pt idx="9">
                  <c:v>0.88333333333333297</c:v>
                </c:pt>
                <c:pt idx="10">
                  <c:v>0.33333333333333298</c:v>
                </c:pt>
                <c:pt idx="11">
                  <c:v>0.96666666666666601</c:v>
                </c:pt>
                <c:pt idx="12">
                  <c:v>3.0333333333333301</c:v>
                </c:pt>
                <c:pt idx="13">
                  <c:v>2.8833333333333302</c:v>
                </c:pt>
                <c:pt idx="14">
                  <c:v>2.5833333333333299</c:v>
                </c:pt>
                <c:pt idx="15">
                  <c:v>0.266666666666666</c:v>
                </c:pt>
                <c:pt idx="16">
                  <c:v>1.81666666666666</c:v>
                </c:pt>
                <c:pt idx="17">
                  <c:v>4.1499999999999897</c:v>
                </c:pt>
                <c:pt idx="18">
                  <c:v>2.5166666666666599</c:v>
                </c:pt>
                <c:pt idx="19">
                  <c:v>3.3333333333333299</c:v>
                </c:pt>
                <c:pt idx="20">
                  <c:v>2.4</c:v>
                </c:pt>
                <c:pt idx="21">
                  <c:v>2.6333333333333302</c:v>
                </c:pt>
                <c:pt idx="22">
                  <c:v>5.5166666666666604</c:v>
                </c:pt>
                <c:pt idx="23">
                  <c:v>1.3818181818181801</c:v>
                </c:pt>
                <c:pt idx="24">
                  <c:v>0.46666666666666601</c:v>
                </c:pt>
                <c:pt idx="25">
                  <c:v>1.8</c:v>
                </c:pt>
                <c:pt idx="26">
                  <c:v>4.2166666666666597</c:v>
                </c:pt>
                <c:pt idx="27">
                  <c:v>0.96666666666666601</c:v>
                </c:pt>
                <c:pt idx="28">
                  <c:v>0.233333333333333</c:v>
                </c:pt>
                <c:pt idx="29">
                  <c:v>1.45</c:v>
                </c:pt>
                <c:pt idx="30">
                  <c:v>1.6666666666666601E-2</c:v>
                </c:pt>
                <c:pt idx="31">
                  <c:v>5.1333333333333302</c:v>
                </c:pt>
                <c:pt idx="32">
                  <c:v>5.1666666666666599</c:v>
                </c:pt>
                <c:pt idx="33">
                  <c:v>0.483333333333333</c:v>
                </c:pt>
                <c:pt idx="34">
                  <c:v>4.8</c:v>
                </c:pt>
                <c:pt idx="35">
                  <c:v>2.0166666666666599</c:v>
                </c:pt>
                <c:pt idx="36">
                  <c:v>0.15</c:v>
                </c:pt>
                <c:pt idx="37">
                  <c:v>3.0166666666666599</c:v>
                </c:pt>
                <c:pt idx="38">
                  <c:v>2.69999999999999</c:v>
                </c:pt>
                <c:pt idx="39">
                  <c:v>0.51666666666666605</c:v>
                </c:pt>
                <c:pt idx="40">
                  <c:v>2.7333333333333298</c:v>
                </c:pt>
                <c:pt idx="41">
                  <c:v>5.3166666666666602</c:v>
                </c:pt>
                <c:pt idx="42">
                  <c:v>1.8</c:v>
                </c:pt>
                <c:pt idx="43">
                  <c:v>0.44999999999999901</c:v>
                </c:pt>
                <c:pt idx="44">
                  <c:v>1.13333333333333</c:v>
                </c:pt>
                <c:pt idx="45">
                  <c:v>1.7333333333333301</c:v>
                </c:pt>
                <c:pt idx="46">
                  <c:v>0.73333333333333295</c:v>
                </c:pt>
                <c:pt idx="47">
                  <c:v>2.8833333333333302</c:v>
                </c:pt>
                <c:pt idx="48">
                  <c:v>2.85</c:v>
                </c:pt>
                <c:pt idx="49">
                  <c:v>3.86666666666666</c:v>
                </c:pt>
                <c:pt idx="50">
                  <c:v>1.18333333333333</c:v>
                </c:pt>
                <c:pt idx="51">
                  <c:v>1.3333333333333299</c:v>
                </c:pt>
                <c:pt idx="52">
                  <c:v>6.18333333333333</c:v>
                </c:pt>
                <c:pt idx="53">
                  <c:v>0.7</c:v>
                </c:pt>
                <c:pt idx="54">
                  <c:v>1.5999999999999901</c:v>
                </c:pt>
                <c:pt idx="55">
                  <c:v>0.86666666666666603</c:v>
                </c:pt>
                <c:pt idx="56">
                  <c:v>0.93333333333333302</c:v>
                </c:pt>
                <c:pt idx="57">
                  <c:v>0.41666666666666602</c:v>
                </c:pt>
                <c:pt idx="58">
                  <c:v>0.38333333333333303</c:v>
                </c:pt>
                <c:pt idx="59">
                  <c:v>2.3166666666666602</c:v>
                </c:pt>
                <c:pt idx="60">
                  <c:v>2.18333333333333</c:v>
                </c:pt>
                <c:pt idx="61">
                  <c:v>0.61666666666666603</c:v>
                </c:pt>
                <c:pt idx="62">
                  <c:v>2.93333333333333</c:v>
                </c:pt>
                <c:pt idx="63">
                  <c:v>3.5</c:v>
                </c:pt>
                <c:pt idx="64">
                  <c:v>1.9166666666666601</c:v>
                </c:pt>
                <c:pt idx="65">
                  <c:v>5.4</c:v>
                </c:pt>
                <c:pt idx="66">
                  <c:v>1.7666666666666599</c:v>
                </c:pt>
                <c:pt idx="67">
                  <c:v>0.54999999999999905</c:v>
                </c:pt>
                <c:pt idx="68">
                  <c:v>2.0666666666666602</c:v>
                </c:pt>
                <c:pt idx="69">
                  <c:v>3.44999999999999</c:v>
                </c:pt>
                <c:pt idx="70">
                  <c:v>1.5833333333333299</c:v>
                </c:pt>
                <c:pt idx="71">
                  <c:v>1.38333333333333</c:v>
                </c:pt>
                <c:pt idx="72">
                  <c:v>0.483333333333333</c:v>
                </c:pt>
                <c:pt idx="73">
                  <c:v>0.31666666666666599</c:v>
                </c:pt>
                <c:pt idx="74">
                  <c:v>2.25</c:v>
                </c:pt>
                <c:pt idx="75">
                  <c:v>1.4</c:v>
                </c:pt>
                <c:pt idx="76">
                  <c:v>3.68333333333333</c:v>
                </c:pt>
                <c:pt idx="77">
                  <c:v>0.85</c:v>
                </c:pt>
                <c:pt idx="78">
                  <c:v>8.3333333333333301E-2</c:v>
                </c:pt>
                <c:pt idx="79">
                  <c:v>1.11666666666666</c:v>
                </c:pt>
                <c:pt idx="80">
                  <c:v>1.63333333333333</c:v>
                </c:pt>
                <c:pt idx="81">
                  <c:v>2.2833333333333301</c:v>
                </c:pt>
                <c:pt idx="82">
                  <c:v>3.7833333333333301</c:v>
                </c:pt>
                <c:pt idx="83">
                  <c:v>2.9</c:v>
                </c:pt>
                <c:pt idx="84">
                  <c:v>3.7333333333333298</c:v>
                </c:pt>
                <c:pt idx="85">
                  <c:v>1.93333333333333</c:v>
                </c:pt>
                <c:pt idx="86">
                  <c:v>1.2166666666666599</c:v>
                </c:pt>
                <c:pt idx="87">
                  <c:v>2.3333333333333299</c:v>
                </c:pt>
                <c:pt idx="88">
                  <c:v>2.2333333333333298</c:v>
                </c:pt>
                <c:pt idx="89">
                  <c:v>2.0833333333333299</c:v>
                </c:pt>
                <c:pt idx="90">
                  <c:v>1.3333333333333299</c:v>
                </c:pt>
                <c:pt idx="91">
                  <c:v>0.36666666666666597</c:v>
                </c:pt>
                <c:pt idx="92">
                  <c:v>4.36666666666666</c:v>
                </c:pt>
                <c:pt idx="93">
                  <c:v>5.5833333333333304</c:v>
                </c:pt>
                <c:pt idx="94">
                  <c:v>3.93333333333333</c:v>
                </c:pt>
                <c:pt idx="95">
                  <c:v>1.2666666666666599</c:v>
                </c:pt>
                <c:pt idx="96">
                  <c:v>1.18333333333333</c:v>
                </c:pt>
                <c:pt idx="97">
                  <c:v>4.7333333333333298</c:v>
                </c:pt>
                <c:pt idx="98">
                  <c:v>4.3166666666666602</c:v>
                </c:pt>
                <c:pt idx="99">
                  <c:v>4.43333333333333</c:v>
                </c:pt>
                <c:pt idx="100">
                  <c:v>1.3333333333333299</c:v>
                </c:pt>
                <c:pt idx="101">
                  <c:v>3.7833333333333301</c:v>
                </c:pt>
                <c:pt idx="102">
                  <c:v>4.5166666666666604</c:v>
                </c:pt>
                <c:pt idx="103">
                  <c:v>4.5</c:v>
                </c:pt>
                <c:pt idx="104">
                  <c:v>0.9</c:v>
                </c:pt>
                <c:pt idx="105">
                  <c:v>7.6</c:v>
                </c:pt>
                <c:pt idx="106">
                  <c:v>3.44999999999999</c:v>
                </c:pt>
                <c:pt idx="107">
                  <c:v>2.4166666666666599</c:v>
                </c:pt>
                <c:pt idx="108">
                  <c:v>1.5999999999999901</c:v>
                </c:pt>
                <c:pt idx="109">
                  <c:v>1.1499999999999999</c:v>
                </c:pt>
                <c:pt idx="110">
                  <c:v>2.0833333333333299</c:v>
                </c:pt>
                <c:pt idx="111">
                  <c:v>0.76666666666666605</c:v>
                </c:pt>
                <c:pt idx="112">
                  <c:v>0.3</c:v>
                </c:pt>
                <c:pt idx="113">
                  <c:v>2.5333333333333301</c:v>
                </c:pt>
                <c:pt idx="114">
                  <c:v>7.3833333333333302</c:v>
                </c:pt>
                <c:pt idx="115">
                  <c:v>0.7</c:v>
                </c:pt>
                <c:pt idx="116">
                  <c:v>4.5818181818181802</c:v>
                </c:pt>
                <c:pt idx="117">
                  <c:v>5.5454545454545396</c:v>
                </c:pt>
                <c:pt idx="118">
                  <c:v>4.68333333333333</c:v>
                </c:pt>
                <c:pt idx="119">
                  <c:v>5.3999999999999897</c:v>
                </c:pt>
                <c:pt idx="120">
                  <c:v>0.25</c:v>
                </c:pt>
                <c:pt idx="121">
                  <c:v>0.133333333333333</c:v>
                </c:pt>
                <c:pt idx="122">
                  <c:v>2.1333333333333302</c:v>
                </c:pt>
                <c:pt idx="123">
                  <c:v>3</c:v>
                </c:pt>
                <c:pt idx="124">
                  <c:v>4.8499999999999996</c:v>
                </c:pt>
                <c:pt idx="125">
                  <c:v>2.36666666666666</c:v>
                </c:pt>
                <c:pt idx="126">
                  <c:v>5.4166666666666599</c:v>
                </c:pt>
                <c:pt idx="127">
                  <c:v>2.1666666666666599</c:v>
                </c:pt>
                <c:pt idx="128">
                  <c:v>1.2333333333333301</c:v>
                </c:pt>
                <c:pt idx="129">
                  <c:v>1.56666666666666</c:v>
                </c:pt>
                <c:pt idx="130">
                  <c:v>3.7166666666666601</c:v>
                </c:pt>
                <c:pt idx="131">
                  <c:v>5.86666666666666</c:v>
                </c:pt>
                <c:pt idx="132">
                  <c:v>5.1666666666666599</c:v>
                </c:pt>
                <c:pt idx="133">
                  <c:v>4.86666666666666</c:v>
                </c:pt>
                <c:pt idx="134">
                  <c:v>8.7833333333333297</c:v>
                </c:pt>
                <c:pt idx="135">
                  <c:v>4.86666666666666</c:v>
                </c:pt>
                <c:pt idx="136">
                  <c:v>3.7166666666666601</c:v>
                </c:pt>
                <c:pt idx="137">
                  <c:v>2.61666666666666</c:v>
                </c:pt>
                <c:pt idx="138">
                  <c:v>2.35</c:v>
                </c:pt>
                <c:pt idx="139">
                  <c:v>0.31666666666666599</c:v>
                </c:pt>
                <c:pt idx="140">
                  <c:v>2</c:v>
                </c:pt>
                <c:pt idx="141">
                  <c:v>2.93333333333333</c:v>
                </c:pt>
                <c:pt idx="142">
                  <c:v>2.8</c:v>
                </c:pt>
                <c:pt idx="143">
                  <c:v>5.61666666666666</c:v>
                </c:pt>
                <c:pt idx="144">
                  <c:v>3.1666666666666599</c:v>
                </c:pt>
                <c:pt idx="145">
                  <c:v>6.1499999999999897</c:v>
                </c:pt>
                <c:pt idx="146">
                  <c:v>2.7666666666666599</c:v>
                </c:pt>
                <c:pt idx="147">
                  <c:v>2.7333333333333298</c:v>
                </c:pt>
                <c:pt idx="148">
                  <c:v>3.2333333333333298</c:v>
                </c:pt>
                <c:pt idx="149">
                  <c:v>1.88333333333333</c:v>
                </c:pt>
                <c:pt idx="150">
                  <c:v>4.7</c:v>
                </c:pt>
                <c:pt idx="151">
                  <c:v>2.5</c:v>
                </c:pt>
                <c:pt idx="152">
                  <c:v>2.7833333333333301</c:v>
                </c:pt>
                <c:pt idx="153">
                  <c:v>1.7833333333333301</c:v>
                </c:pt>
                <c:pt idx="154">
                  <c:v>2.44999999999999</c:v>
                </c:pt>
                <c:pt idx="155">
                  <c:v>4.1333333333333302</c:v>
                </c:pt>
                <c:pt idx="156">
                  <c:v>5.3</c:v>
                </c:pt>
                <c:pt idx="157">
                  <c:v>2.44999999999999</c:v>
                </c:pt>
                <c:pt idx="158">
                  <c:v>1.7333333333333301</c:v>
                </c:pt>
                <c:pt idx="159">
                  <c:v>1.55</c:v>
                </c:pt>
                <c:pt idx="160">
                  <c:v>4.8363636363636298</c:v>
                </c:pt>
                <c:pt idx="161">
                  <c:v>7.1454545454545402</c:v>
                </c:pt>
                <c:pt idx="162">
                  <c:v>0.88333333333333297</c:v>
                </c:pt>
                <c:pt idx="163">
                  <c:v>5.3166666666666602</c:v>
                </c:pt>
                <c:pt idx="164">
                  <c:v>1.2</c:v>
                </c:pt>
                <c:pt idx="165">
                  <c:v>2.0499999999999998</c:v>
                </c:pt>
                <c:pt idx="166">
                  <c:v>2.68333333333333</c:v>
                </c:pt>
                <c:pt idx="167">
                  <c:v>2.5333333333333301</c:v>
                </c:pt>
                <c:pt idx="168">
                  <c:v>5.5</c:v>
                </c:pt>
                <c:pt idx="169">
                  <c:v>11.883333333333301</c:v>
                </c:pt>
                <c:pt idx="170">
                  <c:v>9.0181818181818105</c:v>
                </c:pt>
                <c:pt idx="171">
                  <c:v>1.9090909090909001</c:v>
                </c:pt>
                <c:pt idx="172">
                  <c:v>1.9636363636363601</c:v>
                </c:pt>
                <c:pt idx="173">
                  <c:v>3.0181818181818101</c:v>
                </c:pt>
                <c:pt idx="174">
                  <c:v>3.7454545454545398</c:v>
                </c:pt>
                <c:pt idx="175">
                  <c:v>3.1090909090909</c:v>
                </c:pt>
                <c:pt idx="176">
                  <c:v>1.25454545454545</c:v>
                </c:pt>
                <c:pt idx="177">
                  <c:v>2.9818181818181801</c:v>
                </c:pt>
                <c:pt idx="178">
                  <c:v>0.90909090909090895</c:v>
                </c:pt>
                <c:pt idx="179">
                  <c:v>1.7833333333333301</c:v>
                </c:pt>
                <c:pt idx="180">
                  <c:v>2.5833333333333299</c:v>
                </c:pt>
                <c:pt idx="181">
                  <c:v>2.1333333333333302</c:v>
                </c:pt>
                <c:pt idx="182">
                  <c:v>0.83333333333333304</c:v>
                </c:pt>
                <c:pt idx="183">
                  <c:v>3.5666666666666602</c:v>
                </c:pt>
                <c:pt idx="184">
                  <c:v>0.73333333333333295</c:v>
                </c:pt>
                <c:pt idx="185">
                  <c:v>9.9999999999999895E-2</c:v>
                </c:pt>
                <c:pt idx="186">
                  <c:v>2.18333333333333</c:v>
                </c:pt>
                <c:pt idx="187">
                  <c:v>4.5666666666666602</c:v>
                </c:pt>
                <c:pt idx="188">
                  <c:v>3.7833333333333301</c:v>
                </c:pt>
                <c:pt idx="189">
                  <c:v>4.18333333333333</c:v>
                </c:pt>
                <c:pt idx="190">
                  <c:v>2.2666666666666599</c:v>
                </c:pt>
                <c:pt idx="191">
                  <c:v>4.6500000000000004</c:v>
                </c:pt>
                <c:pt idx="192">
                  <c:v>1.61666666666666</c:v>
                </c:pt>
                <c:pt idx="193">
                  <c:v>5.0666666666666602</c:v>
                </c:pt>
                <c:pt idx="194">
                  <c:v>4.1666666666666599</c:v>
                </c:pt>
                <c:pt idx="195">
                  <c:v>2.0666666666666602</c:v>
                </c:pt>
                <c:pt idx="196">
                  <c:v>6.0666666666666602</c:v>
                </c:pt>
                <c:pt idx="197">
                  <c:v>4.5999999999999996</c:v>
                </c:pt>
                <c:pt idx="198">
                  <c:v>1.1000000000000001</c:v>
                </c:pt>
                <c:pt idx="199">
                  <c:v>1.3499999999999901</c:v>
                </c:pt>
                <c:pt idx="200">
                  <c:v>2.75</c:v>
                </c:pt>
                <c:pt idx="201">
                  <c:v>3.6333333333333302</c:v>
                </c:pt>
                <c:pt idx="202">
                  <c:v>4.68333333333333</c:v>
                </c:pt>
                <c:pt idx="203">
                  <c:v>5.2666666666666604</c:v>
                </c:pt>
                <c:pt idx="204">
                  <c:v>2.0499999999999998</c:v>
                </c:pt>
                <c:pt idx="205">
                  <c:v>1.1499999999999999</c:v>
                </c:pt>
                <c:pt idx="206">
                  <c:v>0.45</c:v>
                </c:pt>
                <c:pt idx="207">
                  <c:v>2.0166666666666599</c:v>
                </c:pt>
                <c:pt idx="208">
                  <c:v>1.2666666666666599</c:v>
                </c:pt>
                <c:pt idx="209">
                  <c:v>2.7999999999999901</c:v>
                </c:pt>
                <c:pt idx="210">
                  <c:v>1.55</c:v>
                </c:pt>
                <c:pt idx="211">
                  <c:v>2.44999999999999</c:v>
                </c:pt>
                <c:pt idx="212">
                  <c:v>5.2666666666666604</c:v>
                </c:pt>
                <c:pt idx="213">
                  <c:v>4.4166666666666599</c:v>
                </c:pt>
                <c:pt idx="214">
                  <c:v>2.0833333333333299</c:v>
                </c:pt>
                <c:pt idx="215">
                  <c:v>5.9833333333333298</c:v>
                </c:pt>
                <c:pt idx="216">
                  <c:v>2.9833333333333298</c:v>
                </c:pt>
                <c:pt idx="217">
                  <c:v>4.4833333333333298</c:v>
                </c:pt>
                <c:pt idx="218">
                  <c:v>2.2000000000000002</c:v>
                </c:pt>
                <c:pt idx="219">
                  <c:v>3.61666666666666</c:v>
                </c:pt>
                <c:pt idx="220">
                  <c:v>3.4</c:v>
                </c:pt>
                <c:pt idx="221">
                  <c:v>1.38333333333333</c:v>
                </c:pt>
                <c:pt idx="222">
                  <c:v>4.7</c:v>
                </c:pt>
                <c:pt idx="223">
                  <c:v>4.9666666666666597</c:v>
                </c:pt>
                <c:pt idx="224">
                  <c:v>3.11666666666666</c:v>
                </c:pt>
                <c:pt idx="225">
                  <c:v>6.7</c:v>
                </c:pt>
                <c:pt idx="226">
                  <c:v>3.2833333333333301</c:v>
                </c:pt>
                <c:pt idx="227">
                  <c:v>1.5999999999999901</c:v>
                </c:pt>
                <c:pt idx="228">
                  <c:v>6.5999999999999899</c:v>
                </c:pt>
                <c:pt idx="229">
                  <c:v>3.3</c:v>
                </c:pt>
                <c:pt idx="230">
                  <c:v>2.1333333333333302</c:v>
                </c:pt>
                <c:pt idx="231">
                  <c:v>3.65</c:v>
                </c:pt>
                <c:pt idx="232">
                  <c:v>2.36666666666666</c:v>
                </c:pt>
                <c:pt idx="233">
                  <c:v>4.4666666666666597</c:v>
                </c:pt>
                <c:pt idx="234">
                  <c:v>1.4833333333333301</c:v>
                </c:pt>
                <c:pt idx="235">
                  <c:v>0.56666666666666599</c:v>
                </c:pt>
                <c:pt idx="236">
                  <c:v>2.4666666666666601</c:v>
                </c:pt>
                <c:pt idx="237">
                  <c:v>3.0666666666666602</c:v>
                </c:pt>
                <c:pt idx="238">
                  <c:v>1.0333333333333301</c:v>
                </c:pt>
                <c:pt idx="239">
                  <c:v>1.9</c:v>
                </c:pt>
                <c:pt idx="240">
                  <c:v>3.0166666666666599</c:v>
                </c:pt>
                <c:pt idx="241">
                  <c:v>1.56666666666666</c:v>
                </c:pt>
                <c:pt idx="242">
                  <c:v>1.7333333333333301</c:v>
                </c:pt>
                <c:pt idx="243">
                  <c:v>0.8</c:v>
                </c:pt>
                <c:pt idx="244">
                  <c:v>3.0833333333333299</c:v>
                </c:pt>
                <c:pt idx="245">
                  <c:v>1.0833333333333299</c:v>
                </c:pt>
                <c:pt idx="246">
                  <c:v>2.44999999999999</c:v>
                </c:pt>
                <c:pt idx="247">
                  <c:v>3.2</c:v>
                </c:pt>
                <c:pt idx="248">
                  <c:v>5.93333333333333</c:v>
                </c:pt>
                <c:pt idx="249">
                  <c:v>1.2</c:v>
                </c:pt>
                <c:pt idx="250">
                  <c:v>0.88333333333333297</c:v>
                </c:pt>
                <c:pt idx="251">
                  <c:v>4.36666666666666</c:v>
                </c:pt>
                <c:pt idx="252">
                  <c:v>3.44999999999999</c:v>
                </c:pt>
                <c:pt idx="253">
                  <c:v>6.4666666666666597</c:v>
                </c:pt>
                <c:pt idx="254">
                  <c:v>2.0166666666666599</c:v>
                </c:pt>
                <c:pt idx="255">
                  <c:v>1.4833333333333301</c:v>
                </c:pt>
                <c:pt idx="256">
                  <c:v>2.4166666666666599</c:v>
                </c:pt>
                <c:pt idx="257">
                  <c:v>1.3</c:v>
                </c:pt>
                <c:pt idx="258">
                  <c:v>2.6</c:v>
                </c:pt>
                <c:pt idx="259">
                  <c:v>4.5999999999999996</c:v>
                </c:pt>
                <c:pt idx="260">
                  <c:v>3.93333333333333</c:v>
                </c:pt>
                <c:pt idx="261">
                  <c:v>8.7333333333333307</c:v>
                </c:pt>
                <c:pt idx="262">
                  <c:v>3.85</c:v>
                </c:pt>
                <c:pt idx="263">
                  <c:v>1.7999999999999901</c:v>
                </c:pt>
                <c:pt idx="264">
                  <c:v>3.93333333333333</c:v>
                </c:pt>
                <c:pt idx="265">
                  <c:v>1.86666666666666</c:v>
                </c:pt>
                <c:pt idx="266">
                  <c:v>5.5166666666666604</c:v>
                </c:pt>
                <c:pt idx="267">
                  <c:v>1.56666666666666</c:v>
                </c:pt>
                <c:pt idx="268">
                  <c:v>1.0833333333333299</c:v>
                </c:pt>
                <c:pt idx="269">
                  <c:v>1.05</c:v>
                </c:pt>
                <c:pt idx="270">
                  <c:v>5.1499999999999897</c:v>
                </c:pt>
                <c:pt idx="271">
                  <c:v>2.15</c:v>
                </c:pt>
                <c:pt idx="272">
                  <c:v>5.61666666666666</c:v>
                </c:pt>
                <c:pt idx="273">
                  <c:v>2.35</c:v>
                </c:pt>
                <c:pt idx="274">
                  <c:v>2.2833333333333301</c:v>
                </c:pt>
                <c:pt idx="275">
                  <c:v>4.2666666666666604</c:v>
                </c:pt>
                <c:pt idx="276">
                  <c:v>1.13333333333333</c:v>
                </c:pt>
                <c:pt idx="277">
                  <c:v>2.0666666666666602</c:v>
                </c:pt>
                <c:pt idx="278">
                  <c:v>1.43333333333333</c:v>
                </c:pt>
                <c:pt idx="279">
                  <c:v>1.5</c:v>
                </c:pt>
                <c:pt idx="280">
                  <c:v>4.18333333333333</c:v>
                </c:pt>
                <c:pt idx="281">
                  <c:v>2.2166666666666601</c:v>
                </c:pt>
                <c:pt idx="282">
                  <c:v>2.9833333333333298</c:v>
                </c:pt>
                <c:pt idx="283">
                  <c:v>3.5333333333333301</c:v>
                </c:pt>
                <c:pt idx="284">
                  <c:v>1.88333333333333</c:v>
                </c:pt>
                <c:pt idx="285">
                  <c:v>2.6666666666666599</c:v>
                </c:pt>
                <c:pt idx="286">
                  <c:v>3.6333333333333302</c:v>
                </c:pt>
                <c:pt idx="287">
                  <c:v>4.2166666666666597</c:v>
                </c:pt>
                <c:pt idx="288">
                  <c:v>1.4666666666666599</c:v>
                </c:pt>
                <c:pt idx="289">
                  <c:v>2.75</c:v>
                </c:pt>
                <c:pt idx="290">
                  <c:v>3.0666666666666602</c:v>
                </c:pt>
                <c:pt idx="291">
                  <c:v>1.1000000000000001</c:v>
                </c:pt>
                <c:pt idx="292">
                  <c:v>1.13333333333333</c:v>
                </c:pt>
                <c:pt idx="293">
                  <c:v>0.51666666666666605</c:v>
                </c:pt>
                <c:pt idx="294">
                  <c:v>3.7166666666666601</c:v>
                </c:pt>
                <c:pt idx="295">
                  <c:v>2.8333333333333299</c:v>
                </c:pt>
                <c:pt idx="296">
                  <c:v>0.85</c:v>
                </c:pt>
                <c:pt idx="297">
                  <c:v>1.0333333333333301</c:v>
                </c:pt>
                <c:pt idx="298">
                  <c:v>3.5166666666666599</c:v>
                </c:pt>
                <c:pt idx="299">
                  <c:v>4.75</c:v>
                </c:pt>
                <c:pt idx="300">
                  <c:v>5.6333333333333302</c:v>
                </c:pt>
                <c:pt idx="301">
                  <c:v>3.7833333333333301</c:v>
                </c:pt>
                <c:pt idx="302">
                  <c:v>0.39999999999999902</c:v>
                </c:pt>
                <c:pt idx="303">
                  <c:v>3.4666666666666601</c:v>
                </c:pt>
                <c:pt idx="304">
                  <c:v>2.68333333333333</c:v>
                </c:pt>
                <c:pt idx="305">
                  <c:v>1.68333333333333</c:v>
                </c:pt>
                <c:pt idx="306">
                  <c:v>5.1333333333333302</c:v>
                </c:pt>
                <c:pt idx="307">
                  <c:v>1.86666666666666</c:v>
                </c:pt>
                <c:pt idx="308">
                  <c:v>1.13333333333333</c:v>
                </c:pt>
                <c:pt idx="309">
                  <c:v>0.472727272727272</c:v>
                </c:pt>
                <c:pt idx="310">
                  <c:v>2.35</c:v>
                </c:pt>
                <c:pt idx="311">
                  <c:v>2.86666666666666</c:v>
                </c:pt>
                <c:pt idx="312">
                  <c:v>3.2166666666666601</c:v>
                </c:pt>
                <c:pt idx="313">
                  <c:v>2.0499999999999998</c:v>
                </c:pt>
                <c:pt idx="314">
                  <c:v>3.94999999999999</c:v>
                </c:pt>
                <c:pt idx="315">
                  <c:v>3.0666666666666602</c:v>
                </c:pt>
                <c:pt idx="316">
                  <c:v>1.2</c:v>
                </c:pt>
                <c:pt idx="317">
                  <c:v>1.25</c:v>
                </c:pt>
                <c:pt idx="318">
                  <c:v>2.0666666666666602</c:v>
                </c:pt>
                <c:pt idx="319">
                  <c:v>5.2166666666666597</c:v>
                </c:pt>
                <c:pt idx="320">
                  <c:v>5.3333333333333304</c:v>
                </c:pt>
                <c:pt idx="321">
                  <c:v>6.0833333333333304</c:v>
                </c:pt>
                <c:pt idx="322">
                  <c:v>0.98333333333333295</c:v>
                </c:pt>
                <c:pt idx="323">
                  <c:v>2.36666666666666</c:v>
                </c:pt>
                <c:pt idx="324">
                  <c:v>1.4166666666666601</c:v>
                </c:pt>
                <c:pt idx="325">
                  <c:v>1.2333333333333301</c:v>
                </c:pt>
                <c:pt idx="326">
                  <c:v>0.21666666666666601</c:v>
                </c:pt>
                <c:pt idx="327">
                  <c:v>1.8333333333333299</c:v>
                </c:pt>
                <c:pt idx="328">
                  <c:v>2.0166666666666599</c:v>
                </c:pt>
                <c:pt idx="329">
                  <c:v>5.8833333333333302</c:v>
                </c:pt>
                <c:pt idx="330">
                  <c:v>1.4833333333333301</c:v>
                </c:pt>
                <c:pt idx="331">
                  <c:v>7.43333333333333</c:v>
                </c:pt>
                <c:pt idx="332">
                  <c:v>0.66666666666666596</c:v>
                </c:pt>
                <c:pt idx="333">
                  <c:v>5.2333333333333298</c:v>
                </c:pt>
                <c:pt idx="334">
                  <c:v>6.75</c:v>
                </c:pt>
                <c:pt idx="335">
                  <c:v>1.0833333333333299</c:v>
                </c:pt>
                <c:pt idx="336">
                  <c:v>2.2666666666666599</c:v>
                </c:pt>
                <c:pt idx="337">
                  <c:v>3.0333333333333301</c:v>
                </c:pt>
                <c:pt idx="338">
                  <c:v>1.0833333333333299</c:v>
                </c:pt>
                <c:pt idx="339">
                  <c:v>2.61666666666666</c:v>
                </c:pt>
                <c:pt idx="340">
                  <c:v>3.1</c:v>
                </c:pt>
                <c:pt idx="341">
                  <c:v>6.1090909090908996</c:v>
                </c:pt>
                <c:pt idx="342">
                  <c:v>1.7833333333333301</c:v>
                </c:pt>
                <c:pt idx="343">
                  <c:v>6.61666666666666</c:v>
                </c:pt>
                <c:pt idx="344">
                  <c:v>2.0333333333333301</c:v>
                </c:pt>
                <c:pt idx="345">
                  <c:v>2.4666666666666601</c:v>
                </c:pt>
                <c:pt idx="346">
                  <c:v>1.7333333333333301</c:v>
                </c:pt>
                <c:pt idx="347">
                  <c:v>1.5333333333333301</c:v>
                </c:pt>
                <c:pt idx="348">
                  <c:v>4.9166666666666599</c:v>
                </c:pt>
                <c:pt idx="349">
                  <c:v>1.5999999999999901</c:v>
                </c:pt>
                <c:pt idx="350">
                  <c:v>4.3166666666666602</c:v>
                </c:pt>
                <c:pt idx="351">
                  <c:v>1.25</c:v>
                </c:pt>
                <c:pt idx="352">
                  <c:v>6.43333333333333</c:v>
                </c:pt>
                <c:pt idx="353">
                  <c:v>4.3333333333333304</c:v>
                </c:pt>
                <c:pt idx="354">
                  <c:v>0.89999999999999902</c:v>
                </c:pt>
                <c:pt idx="355">
                  <c:v>0.78333333333333299</c:v>
                </c:pt>
                <c:pt idx="356">
                  <c:v>1.1666666666666601</c:v>
                </c:pt>
                <c:pt idx="357">
                  <c:v>4.1499999999999897</c:v>
                </c:pt>
                <c:pt idx="358">
                  <c:v>5.0166666666666604</c:v>
                </c:pt>
                <c:pt idx="359">
                  <c:v>0.56666666666666599</c:v>
                </c:pt>
                <c:pt idx="360">
                  <c:v>1.2833333333333301</c:v>
                </c:pt>
                <c:pt idx="361">
                  <c:v>1.5833333333333299</c:v>
                </c:pt>
                <c:pt idx="362">
                  <c:v>4.2833333333333297</c:v>
                </c:pt>
                <c:pt idx="363">
                  <c:v>3.68333333333333</c:v>
                </c:pt>
                <c:pt idx="364">
                  <c:v>4.68333333333333</c:v>
                </c:pt>
                <c:pt idx="3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328-4269-B10F-B6E4830DC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PET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Data'!$P$2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Data'!$P$3:$P$368</c:f>
              <c:numCache>
                <c:formatCode>General</c:formatCode>
                <c:ptCount val="366"/>
                <c:pt idx="0">
                  <c:v>5.6670911405215199</c:v>
                </c:pt>
                <c:pt idx="1">
                  <c:v>5.47016136211003</c:v>
                </c:pt>
                <c:pt idx="2">
                  <c:v>5.5060411752421698</c:v>
                </c:pt>
                <c:pt idx="3">
                  <c:v>4.9972624433289496</c:v>
                </c:pt>
                <c:pt idx="4">
                  <c:v>5.1481016165606404</c:v>
                </c:pt>
                <c:pt idx="5">
                  <c:v>5.1335474577147604</c:v>
                </c:pt>
                <c:pt idx="6">
                  <c:v>5.4532643793489903</c:v>
                </c:pt>
                <c:pt idx="7">
                  <c:v>5.57690448669634</c:v>
                </c:pt>
                <c:pt idx="8">
                  <c:v>5.14581424029529</c:v>
                </c:pt>
                <c:pt idx="9">
                  <c:v>4.7411675639454902</c:v>
                </c:pt>
                <c:pt idx="10">
                  <c:v>4.6490051927409599</c:v>
                </c:pt>
                <c:pt idx="11">
                  <c:v>4.8719680350014798</c:v>
                </c:pt>
                <c:pt idx="12">
                  <c:v>5.1562686308583903</c:v>
                </c:pt>
                <c:pt idx="13">
                  <c:v>5.3875143634853799</c:v>
                </c:pt>
                <c:pt idx="14">
                  <c:v>5.8399033494252999</c:v>
                </c:pt>
                <c:pt idx="15">
                  <c:v>5.6587590306219901</c:v>
                </c:pt>
                <c:pt idx="16">
                  <c:v>5.3270431561074503</c:v>
                </c:pt>
                <c:pt idx="17">
                  <c:v>5.0203920634541701</c:v>
                </c:pt>
                <c:pt idx="18">
                  <c:v>5.3707211610908496</c:v>
                </c:pt>
                <c:pt idx="19">
                  <c:v>5.3547882621027503</c:v>
                </c:pt>
                <c:pt idx="20">
                  <c:v>5.3930487438230301</c:v>
                </c:pt>
                <c:pt idx="21">
                  <c:v>5.5152286930917596</c:v>
                </c:pt>
                <c:pt idx="22">
                  <c:v>5.2065069869691296</c:v>
                </c:pt>
                <c:pt idx="23">
                  <c:v>4.7133252171052504</c:v>
                </c:pt>
                <c:pt idx="24">
                  <c:v>4.3325050650897401</c:v>
                </c:pt>
                <c:pt idx="25">
                  <c:v>4.7335288521335803</c:v>
                </c:pt>
                <c:pt idx="26">
                  <c:v>4.92375694808094</c:v>
                </c:pt>
                <c:pt idx="27">
                  <c:v>4.99641153289756</c:v>
                </c:pt>
                <c:pt idx="28">
                  <c:v>5.19563668339761</c:v>
                </c:pt>
                <c:pt idx="29">
                  <c:v>5.2986070991408996</c:v>
                </c:pt>
                <c:pt idx="30">
                  <c:v>5.6287813361802304</c:v>
                </c:pt>
                <c:pt idx="31">
                  <c:v>5.5733898517327303</c:v>
                </c:pt>
                <c:pt idx="32">
                  <c:v>4.8866884380741</c:v>
                </c:pt>
                <c:pt idx="33">
                  <c:v>4.6016509460585002</c:v>
                </c:pt>
                <c:pt idx="34">
                  <c:v>5.2770860248475602</c:v>
                </c:pt>
                <c:pt idx="35">
                  <c:v>4.27430593476155</c:v>
                </c:pt>
                <c:pt idx="36">
                  <c:v>4.96013704262971</c:v>
                </c:pt>
                <c:pt idx="37">
                  <c:v>4.6946370204271801</c:v>
                </c:pt>
                <c:pt idx="38">
                  <c:v>5.0220708698278598</c:v>
                </c:pt>
                <c:pt idx="39">
                  <c:v>4.61421103176027</c:v>
                </c:pt>
                <c:pt idx="40">
                  <c:v>4.40551625163656</c:v>
                </c:pt>
                <c:pt idx="41">
                  <c:v>4.4685640225242098</c:v>
                </c:pt>
                <c:pt idx="42">
                  <c:v>4.3571116145332098</c:v>
                </c:pt>
                <c:pt idx="43">
                  <c:v>3.9824902366083998</c:v>
                </c:pt>
                <c:pt idx="44">
                  <c:v>3.6699943049553201</c:v>
                </c:pt>
                <c:pt idx="45">
                  <c:v>4.0108603157722298</c:v>
                </c:pt>
                <c:pt idx="46">
                  <c:v>4.2159434978261299</c:v>
                </c:pt>
                <c:pt idx="47">
                  <c:v>4.4742152890515898</c:v>
                </c:pt>
                <c:pt idx="48">
                  <c:v>4.8952010783751296</c:v>
                </c:pt>
                <c:pt idx="49">
                  <c:v>4.3668387336618597</c:v>
                </c:pt>
                <c:pt idx="50">
                  <c:v>4.6555880727780803</c:v>
                </c:pt>
                <c:pt idx="51">
                  <c:v>4.46937460417998</c:v>
                </c:pt>
                <c:pt idx="52">
                  <c:v>4.4113780272088796</c:v>
                </c:pt>
                <c:pt idx="53">
                  <c:v>3.9052160279772399</c:v>
                </c:pt>
                <c:pt idx="54">
                  <c:v>4.8281000917338197</c:v>
                </c:pt>
                <c:pt idx="55">
                  <c:v>4.4819172090086496</c:v>
                </c:pt>
                <c:pt idx="56">
                  <c:v>4.3896941334323998</c:v>
                </c:pt>
                <c:pt idx="57">
                  <c:v>4.0964729959716299</c:v>
                </c:pt>
                <c:pt idx="58">
                  <c:v>4.1211840462926297</c:v>
                </c:pt>
                <c:pt idx="59">
                  <c:v>4.4835430215906102</c:v>
                </c:pt>
                <c:pt idx="60">
                  <c:v>4.3251674269725902</c:v>
                </c:pt>
                <c:pt idx="61">
                  <c:v>3.8149865129266902</c:v>
                </c:pt>
                <c:pt idx="62">
                  <c:v>3.8891905260327699</c:v>
                </c:pt>
                <c:pt idx="63">
                  <c:v>4.10786263681889</c:v>
                </c:pt>
                <c:pt idx="64">
                  <c:v>4.0766889307448597</c:v>
                </c:pt>
                <c:pt idx="65">
                  <c:v>3.8855543781492301</c:v>
                </c:pt>
                <c:pt idx="66">
                  <c:v>3.6905019360086202</c:v>
                </c:pt>
                <c:pt idx="67">
                  <c:v>3.5528537387163399</c:v>
                </c:pt>
                <c:pt idx="68">
                  <c:v>3.7245673615528201</c:v>
                </c:pt>
                <c:pt idx="69">
                  <c:v>3.2545752102886598</c:v>
                </c:pt>
                <c:pt idx="70">
                  <c:v>3.17975180664317</c:v>
                </c:pt>
                <c:pt idx="71">
                  <c:v>3.3146668186599602</c:v>
                </c:pt>
                <c:pt idx="72">
                  <c:v>3.3312157637355302</c:v>
                </c:pt>
                <c:pt idx="73">
                  <c:v>3.9291146060483402</c:v>
                </c:pt>
                <c:pt idx="74">
                  <c:v>3.4649343661814198</c:v>
                </c:pt>
                <c:pt idx="75">
                  <c:v>3.6481150031845502</c:v>
                </c:pt>
                <c:pt idx="76">
                  <c:v>3.23711449028497</c:v>
                </c:pt>
                <c:pt idx="77">
                  <c:v>3.5497173485221101</c:v>
                </c:pt>
                <c:pt idx="78">
                  <c:v>3.6735377917360399</c:v>
                </c:pt>
                <c:pt idx="79">
                  <c:v>3.2764370104371201</c:v>
                </c:pt>
                <c:pt idx="80">
                  <c:v>3.2063273498641101</c:v>
                </c:pt>
                <c:pt idx="81">
                  <c:v>2.9655145666728702</c:v>
                </c:pt>
                <c:pt idx="82">
                  <c:v>3.1669873410987299</c:v>
                </c:pt>
                <c:pt idx="83">
                  <c:v>3.15831903524233</c:v>
                </c:pt>
                <c:pt idx="84">
                  <c:v>2.9834653601225298</c:v>
                </c:pt>
                <c:pt idx="85">
                  <c:v>2.8333092043964401</c:v>
                </c:pt>
                <c:pt idx="86">
                  <c:v>3.21972745270357</c:v>
                </c:pt>
                <c:pt idx="87">
                  <c:v>3.2466735955910102</c:v>
                </c:pt>
                <c:pt idx="88">
                  <c:v>3.4072037420100298</c:v>
                </c:pt>
                <c:pt idx="89">
                  <c:v>3.0552812923505202</c:v>
                </c:pt>
                <c:pt idx="90">
                  <c:v>3.01312511683413</c:v>
                </c:pt>
                <c:pt idx="91">
                  <c:v>3.2186093862229201</c:v>
                </c:pt>
                <c:pt idx="92">
                  <c:v>3.07176916757397</c:v>
                </c:pt>
                <c:pt idx="93">
                  <c:v>2.7784232053438802</c:v>
                </c:pt>
                <c:pt idx="94">
                  <c:v>2.61431180626996</c:v>
                </c:pt>
                <c:pt idx="95">
                  <c:v>2.55102036350638</c:v>
                </c:pt>
                <c:pt idx="96">
                  <c:v>2.5900977274770201</c:v>
                </c:pt>
                <c:pt idx="97">
                  <c:v>2.6944935581784701</c:v>
                </c:pt>
                <c:pt idx="98">
                  <c:v>2.27410330215878</c:v>
                </c:pt>
                <c:pt idx="99">
                  <c:v>2.42845739075634</c:v>
                </c:pt>
                <c:pt idx="100">
                  <c:v>2.30587050945396</c:v>
                </c:pt>
                <c:pt idx="101">
                  <c:v>2.1258259155745698</c:v>
                </c:pt>
                <c:pt idx="102">
                  <c:v>2.2855460299238599</c:v>
                </c:pt>
                <c:pt idx="103">
                  <c:v>2.1675311808748998</c:v>
                </c:pt>
                <c:pt idx="104">
                  <c:v>2.6480171040382698</c:v>
                </c:pt>
                <c:pt idx="105">
                  <c:v>2.1774423034333599</c:v>
                </c:pt>
                <c:pt idx="106">
                  <c:v>2.0825962231468602</c:v>
                </c:pt>
                <c:pt idx="107">
                  <c:v>1.83123332157564</c:v>
                </c:pt>
                <c:pt idx="108">
                  <c:v>1.9918324383127699</c:v>
                </c:pt>
                <c:pt idx="109">
                  <c:v>2.3214267905608299</c:v>
                </c:pt>
                <c:pt idx="110">
                  <c:v>1.88439420500637</c:v>
                </c:pt>
                <c:pt idx="111">
                  <c:v>1.9179571566201901</c:v>
                </c:pt>
                <c:pt idx="112">
                  <c:v>2.1115808573458499</c:v>
                </c:pt>
                <c:pt idx="113">
                  <c:v>1.81614923585608</c:v>
                </c:pt>
                <c:pt idx="114">
                  <c:v>1.8798608741396901</c:v>
                </c:pt>
                <c:pt idx="115">
                  <c:v>1.88699621875139</c:v>
                </c:pt>
                <c:pt idx="116">
                  <c:v>1.76466679700699</c:v>
                </c:pt>
                <c:pt idx="117">
                  <c:v>1.95217239254561</c:v>
                </c:pt>
                <c:pt idx="118">
                  <c:v>1.6384329462009699</c:v>
                </c:pt>
                <c:pt idx="119">
                  <c:v>1.6462620711534199</c:v>
                </c:pt>
                <c:pt idx="120">
                  <c:v>1.5886994013641</c:v>
                </c:pt>
                <c:pt idx="121">
                  <c:v>1.52724346363737</c:v>
                </c:pt>
                <c:pt idx="122">
                  <c:v>1.7604236957874</c:v>
                </c:pt>
                <c:pt idx="123">
                  <c:v>1.87410891042832</c:v>
                </c:pt>
                <c:pt idx="124">
                  <c:v>1.5837713381857701</c:v>
                </c:pt>
                <c:pt idx="125">
                  <c:v>1.9285474517201799</c:v>
                </c:pt>
                <c:pt idx="126">
                  <c:v>1.69465579062546</c:v>
                </c:pt>
                <c:pt idx="127">
                  <c:v>1.6998944555739099</c:v>
                </c:pt>
                <c:pt idx="128">
                  <c:v>1.6080556103689001</c:v>
                </c:pt>
                <c:pt idx="129">
                  <c:v>1.41413311869791</c:v>
                </c:pt>
                <c:pt idx="130">
                  <c:v>1.66219643843515</c:v>
                </c:pt>
                <c:pt idx="131">
                  <c:v>1.5723667757897</c:v>
                </c:pt>
                <c:pt idx="132">
                  <c:v>1.62543661304557</c:v>
                </c:pt>
                <c:pt idx="133">
                  <c:v>1.6139957133282601</c:v>
                </c:pt>
                <c:pt idx="134">
                  <c:v>1.6005498237626701</c:v>
                </c:pt>
                <c:pt idx="135">
                  <c:v>1.76114821084059</c:v>
                </c:pt>
                <c:pt idx="136">
                  <c:v>1.51265723824432</c:v>
                </c:pt>
                <c:pt idx="137">
                  <c:v>1.42917243065086</c:v>
                </c:pt>
                <c:pt idx="138">
                  <c:v>1.4324355889067</c:v>
                </c:pt>
                <c:pt idx="139">
                  <c:v>1.4124835611223401</c:v>
                </c:pt>
                <c:pt idx="140">
                  <c:v>1.2765511235284199</c:v>
                </c:pt>
                <c:pt idx="141">
                  <c:v>1.1618550175400399</c:v>
                </c:pt>
                <c:pt idx="142">
                  <c:v>1.3880525200190601</c:v>
                </c:pt>
                <c:pt idx="143">
                  <c:v>1.28085602366637</c:v>
                </c:pt>
                <c:pt idx="144">
                  <c:v>1.28602442078779</c:v>
                </c:pt>
                <c:pt idx="145">
                  <c:v>1.33540018897607</c:v>
                </c:pt>
                <c:pt idx="146">
                  <c:v>1.45727309162839</c:v>
                </c:pt>
                <c:pt idx="147">
                  <c:v>1.60616595463803</c:v>
                </c:pt>
                <c:pt idx="148">
                  <c:v>1.41028048478178</c:v>
                </c:pt>
                <c:pt idx="149">
                  <c:v>1.2181769845433199</c:v>
                </c:pt>
                <c:pt idx="150">
                  <c:v>1.4140792042866701</c:v>
                </c:pt>
                <c:pt idx="151">
                  <c:v>1.3648777039729501</c:v>
                </c:pt>
                <c:pt idx="152">
                  <c:v>1.1270486273289499</c:v>
                </c:pt>
                <c:pt idx="153">
                  <c:v>1.25249803659369</c:v>
                </c:pt>
                <c:pt idx="154">
                  <c:v>1.2350476326500801</c:v>
                </c:pt>
                <c:pt idx="155">
                  <c:v>1.1815334376359199</c:v>
                </c:pt>
                <c:pt idx="156">
                  <c:v>1.11819764768331</c:v>
                </c:pt>
                <c:pt idx="157">
                  <c:v>1.2201388257180199</c:v>
                </c:pt>
                <c:pt idx="158">
                  <c:v>1.26531828522689</c:v>
                </c:pt>
                <c:pt idx="159">
                  <c:v>1.2369277599155599</c:v>
                </c:pt>
                <c:pt idx="160">
                  <c:v>1.0943317227835101</c:v>
                </c:pt>
                <c:pt idx="161">
                  <c:v>1.2594125286590201</c:v>
                </c:pt>
                <c:pt idx="162">
                  <c:v>1.3128498286819099</c:v>
                </c:pt>
                <c:pt idx="163">
                  <c:v>1.1474480520873001</c:v>
                </c:pt>
                <c:pt idx="164">
                  <c:v>1.2613045443409601</c:v>
                </c:pt>
                <c:pt idx="165">
                  <c:v>1.17147222127628</c:v>
                </c:pt>
                <c:pt idx="166">
                  <c:v>1.0572111213197799</c:v>
                </c:pt>
                <c:pt idx="167">
                  <c:v>1.0716644953435599</c:v>
                </c:pt>
                <c:pt idx="168">
                  <c:v>1.12776465530811</c:v>
                </c:pt>
                <c:pt idx="169">
                  <c:v>1.1020204232536399</c:v>
                </c:pt>
                <c:pt idx="170">
                  <c:v>1.0991176814324299</c:v>
                </c:pt>
                <c:pt idx="171">
                  <c:v>1.06265243044536</c:v>
                </c:pt>
                <c:pt idx="172">
                  <c:v>1.01861486176599</c:v>
                </c:pt>
                <c:pt idx="173">
                  <c:v>1.17304690631908</c:v>
                </c:pt>
                <c:pt idx="174">
                  <c:v>1.05340987186552</c:v>
                </c:pt>
                <c:pt idx="175">
                  <c:v>1.1237466528878399</c:v>
                </c:pt>
                <c:pt idx="176">
                  <c:v>1.1592232631741799</c:v>
                </c:pt>
                <c:pt idx="177">
                  <c:v>1.0801233950998499</c:v>
                </c:pt>
                <c:pt idx="178">
                  <c:v>1.01058351362291</c:v>
                </c:pt>
                <c:pt idx="179">
                  <c:v>1.0356452508213501</c:v>
                </c:pt>
                <c:pt idx="180">
                  <c:v>1.2161265984409499</c:v>
                </c:pt>
                <c:pt idx="181">
                  <c:v>1.0914719035015701</c:v>
                </c:pt>
                <c:pt idx="182">
                  <c:v>1.0977706117478601</c:v>
                </c:pt>
                <c:pt idx="183">
                  <c:v>1.17483894696367</c:v>
                </c:pt>
                <c:pt idx="184">
                  <c:v>1.1350548695748499</c:v>
                </c:pt>
                <c:pt idx="185">
                  <c:v>1.3082124240908799</c:v>
                </c:pt>
                <c:pt idx="186">
                  <c:v>1.1532462604149001</c:v>
                </c:pt>
                <c:pt idx="187">
                  <c:v>1.1860865780805001</c:v>
                </c:pt>
                <c:pt idx="188">
                  <c:v>1.0756170169258299</c:v>
                </c:pt>
                <c:pt idx="189">
                  <c:v>1.1571191090080499</c:v>
                </c:pt>
                <c:pt idx="190">
                  <c:v>1.1823583053236399</c:v>
                </c:pt>
                <c:pt idx="191">
                  <c:v>1.1413084648267999</c:v>
                </c:pt>
                <c:pt idx="192">
                  <c:v>1.2366027185060899</c:v>
                </c:pt>
                <c:pt idx="193">
                  <c:v>1.20462827119224</c:v>
                </c:pt>
                <c:pt idx="194">
                  <c:v>1.08107866384151</c:v>
                </c:pt>
                <c:pt idx="195">
                  <c:v>1.0543699556166799</c:v>
                </c:pt>
                <c:pt idx="196">
                  <c:v>1.0854702771695099</c:v>
                </c:pt>
                <c:pt idx="197">
                  <c:v>0.98557119798157899</c:v>
                </c:pt>
                <c:pt idx="198">
                  <c:v>1.0101770597585</c:v>
                </c:pt>
                <c:pt idx="199">
                  <c:v>1.0019139083521</c:v>
                </c:pt>
                <c:pt idx="200">
                  <c:v>1.1757544824616699</c:v>
                </c:pt>
                <c:pt idx="201">
                  <c:v>1.0943315234208899</c:v>
                </c:pt>
                <c:pt idx="202">
                  <c:v>1.2263410572015001</c:v>
                </c:pt>
                <c:pt idx="203">
                  <c:v>1.3752263361541199</c:v>
                </c:pt>
                <c:pt idx="204">
                  <c:v>1.3244433723498701</c:v>
                </c:pt>
                <c:pt idx="205">
                  <c:v>1.44760057498724</c:v>
                </c:pt>
                <c:pt idx="206">
                  <c:v>1.60850212631903</c:v>
                </c:pt>
                <c:pt idx="207">
                  <c:v>1.55883335001025</c:v>
                </c:pt>
                <c:pt idx="208">
                  <c:v>1.4832490994765199</c:v>
                </c:pt>
                <c:pt idx="209">
                  <c:v>1.5379059871907199</c:v>
                </c:pt>
                <c:pt idx="210">
                  <c:v>1.61262260286068</c:v>
                </c:pt>
                <c:pt idx="211">
                  <c:v>1.7014054560095799</c:v>
                </c:pt>
                <c:pt idx="212">
                  <c:v>1.57863389711225</c:v>
                </c:pt>
                <c:pt idx="213">
                  <c:v>1.5098843625253899</c:v>
                </c:pt>
                <c:pt idx="214">
                  <c:v>1.28491883482887</c:v>
                </c:pt>
                <c:pt idx="215">
                  <c:v>1.3386149785468899</c:v>
                </c:pt>
                <c:pt idx="216">
                  <c:v>1.55222576978494</c:v>
                </c:pt>
                <c:pt idx="217">
                  <c:v>1.4979769801628799</c:v>
                </c:pt>
                <c:pt idx="218">
                  <c:v>1.51963915749211</c:v>
                </c:pt>
                <c:pt idx="219">
                  <c:v>1.7182656587563401</c:v>
                </c:pt>
                <c:pt idx="220">
                  <c:v>1.45992841951307</c:v>
                </c:pt>
                <c:pt idx="221">
                  <c:v>1.43429877915796</c:v>
                </c:pt>
                <c:pt idx="222">
                  <c:v>1.4617211304547399</c:v>
                </c:pt>
                <c:pt idx="223">
                  <c:v>1.64327704752056</c:v>
                </c:pt>
                <c:pt idx="224">
                  <c:v>1.7219137683755099</c:v>
                </c:pt>
                <c:pt idx="225">
                  <c:v>1.6752410691035</c:v>
                </c:pt>
                <c:pt idx="226">
                  <c:v>1.6478784943890401</c:v>
                </c:pt>
                <c:pt idx="227">
                  <c:v>1.7164445634915999</c:v>
                </c:pt>
                <c:pt idx="228">
                  <c:v>1.83858279668266</c:v>
                </c:pt>
                <c:pt idx="229">
                  <c:v>1.65941446777998</c:v>
                </c:pt>
                <c:pt idx="230">
                  <c:v>1.8302956478085199</c:v>
                </c:pt>
                <c:pt idx="231">
                  <c:v>1.86992300057723</c:v>
                </c:pt>
                <c:pt idx="232">
                  <c:v>1.7326605302545099</c:v>
                </c:pt>
                <c:pt idx="233">
                  <c:v>1.7739522546512301</c:v>
                </c:pt>
                <c:pt idx="234">
                  <c:v>1.8600874849981099</c:v>
                </c:pt>
                <c:pt idx="235">
                  <c:v>1.9096330242923301</c:v>
                </c:pt>
                <c:pt idx="236">
                  <c:v>1.9397244182821201</c:v>
                </c:pt>
                <c:pt idx="237">
                  <c:v>1.7062659547971699</c:v>
                </c:pt>
                <c:pt idx="238">
                  <c:v>1.9297175584059301</c:v>
                </c:pt>
                <c:pt idx="239">
                  <c:v>2.0109048192884398</c:v>
                </c:pt>
                <c:pt idx="240">
                  <c:v>1.9004966666128</c:v>
                </c:pt>
                <c:pt idx="241">
                  <c:v>2.0203052831425601</c:v>
                </c:pt>
                <c:pt idx="242">
                  <c:v>2.13768236411026</c:v>
                </c:pt>
                <c:pt idx="243">
                  <c:v>2.4306848632987301</c:v>
                </c:pt>
                <c:pt idx="244">
                  <c:v>2.2838857553046599</c:v>
                </c:pt>
                <c:pt idx="245">
                  <c:v>2.13744572746974</c:v>
                </c:pt>
                <c:pt idx="246">
                  <c:v>2.20158976988608</c:v>
                </c:pt>
                <c:pt idx="247">
                  <c:v>2.0118416889679498</c:v>
                </c:pt>
                <c:pt idx="248">
                  <c:v>2.43907717587116</c:v>
                </c:pt>
                <c:pt idx="249">
                  <c:v>2.4631446914892501</c:v>
                </c:pt>
                <c:pt idx="250">
                  <c:v>2.5132482169425701</c:v>
                </c:pt>
                <c:pt idx="251">
                  <c:v>2.2941202547295898</c:v>
                </c:pt>
                <c:pt idx="252">
                  <c:v>2.6251015131954198</c:v>
                </c:pt>
                <c:pt idx="253">
                  <c:v>2.7986809667616899</c:v>
                </c:pt>
                <c:pt idx="254">
                  <c:v>2.6610711999077199</c:v>
                </c:pt>
                <c:pt idx="255">
                  <c:v>2.3076791368567799</c:v>
                </c:pt>
                <c:pt idx="256">
                  <c:v>2.7166636421386499</c:v>
                </c:pt>
                <c:pt idx="257">
                  <c:v>2.8776450917507499</c:v>
                </c:pt>
                <c:pt idx="258">
                  <c:v>2.9007479200825799</c:v>
                </c:pt>
                <c:pt idx="259">
                  <c:v>2.7216431909543002</c:v>
                </c:pt>
                <c:pt idx="260">
                  <c:v>2.6828140641286899</c:v>
                </c:pt>
                <c:pt idx="261">
                  <c:v>2.84418375617479</c:v>
                </c:pt>
                <c:pt idx="262">
                  <c:v>2.76130603025703</c:v>
                </c:pt>
                <c:pt idx="263">
                  <c:v>2.9434337638791899</c:v>
                </c:pt>
                <c:pt idx="264">
                  <c:v>2.8650949205126</c:v>
                </c:pt>
                <c:pt idx="265">
                  <c:v>2.84690777824148</c:v>
                </c:pt>
                <c:pt idx="266">
                  <c:v>2.75735755546836</c:v>
                </c:pt>
                <c:pt idx="267">
                  <c:v>2.5822558734868299</c:v>
                </c:pt>
                <c:pt idx="268">
                  <c:v>3.0759435950739098</c:v>
                </c:pt>
                <c:pt idx="269">
                  <c:v>3.0351526425456301</c:v>
                </c:pt>
                <c:pt idx="270">
                  <c:v>2.92273242129352</c:v>
                </c:pt>
                <c:pt idx="271">
                  <c:v>3.0079671587405801</c:v>
                </c:pt>
                <c:pt idx="272">
                  <c:v>3.4114061949116499</c:v>
                </c:pt>
                <c:pt idx="273">
                  <c:v>3.4573036102364698</c:v>
                </c:pt>
                <c:pt idx="274">
                  <c:v>3.4181246576745901</c:v>
                </c:pt>
                <c:pt idx="275">
                  <c:v>3.28237222726839</c:v>
                </c:pt>
                <c:pt idx="276">
                  <c:v>2.9435441276045902</c:v>
                </c:pt>
                <c:pt idx="277">
                  <c:v>3.3810413875387701</c:v>
                </c:pt>
                <c:pt idx="278">
                  <c:v>3.3814368699018198</c:v>
                </c:pt>
                <c:pt idx="279">
                  <c:v>3.44855016002714</c:v>
                </c:pt>
                <c:pt idx="280">
                  <c:v>3.0735601882933201</c:v>
                </c:pt>
                <c:pt idx="281">
                  <c:v>2.8856583502815898</c:v>
                </c:pt>
                <c:pt idx="282">
                  <c:v>2.97068142496583</c:v>
                </c:pt>
                <c:pt idx="283">
                  <c:v>3.3415142660940802</c:v>
                </c:pt>
                <c:pt idx="284">
                  <c:v>3.8727634784268798</c:v>
                </c:pt>
                <c:pt idx="285">
                  <c:v>3.7654187532628201</c:v>
                </c:pt>
                <c:pt idx="286">
                  <c:v>3.5839169020731898</c:v>
                </c:pt>
                <c:pt idx="287">
                  <c:v>3.5135934353686902</c:v>
                </c:pt>
                <c:pt idx="288">
                  <c:v>3.66659887182134</c:v>
                </c:pt>
                <c:pt idx="289">
                  <c:v>4.4221266913625099</c:v>
                </c:pt>
                <c:pt idx="290">
                  <c:v>4.1615819400289</c:v>
                </c:pt>
                <c:pt idx="291">
                  <c:v>4.1616928735003</c:v>
                </c:pt>
                <c:pt idx="292">
                  <c:v>4.1355638104854497</c:v>
                </c:pt>
                <c:pt idx="293">
                  <c:v>4.2548689124348202</c:v>
                </c:pt>
                <c:pt idx="294">
                  <c:v>3.8892850116651498</c:v>
                </c:pt>
                <c:pt idx="295">
                  <c:v>3.7538214127918499</c:v>
                </c:pt>
                <c:pt idx="296">
                  <c:v>3.9920282440950898</c:v>
                </c:pt>
                <c:pt idx="297">
                  <c:v>3.94572673133468</c:v>
                </c:pt>
                <c:pt idx="298">
                  <c:v>4.24133991088486</c:v>
                </c:pt>
                <c:pt idx="299">
                  <c:v>3.98512648995679</c:v>
                </c:pt>
                <c:pt idx="300">
                  <c:v>4.06785476536513</c:v>
                </c:pt>
                <c:pt idx="301">
                  <c:v>3.8638743234578601</c:v>
                </c:pt>
                <c:pt idx="302">
                  <c:v>4.2171092806571897</c:v>
                </c:pt>
                <c:pt idx="303">
                  <c:v>4.4006301765887699</c:v>
                </c:pt>
                <c:pt idx="304">
                  <c:v>4.6060103377193604</c:v>
                </c:pt>
                <c:pt idx="305">
                  <c:v>4.4078340774843401</c:v>
                </c:pt>
                <c:pt idx="306">
                  <c:v>4.7355757109775203</c:v>
                </c:pt>
                <c:pt idx="307">
                  <c:v>4.6816234323257397</c:v>
                </c:pt>
                <c:pt idx="308">
                  <c:v>4.6727463269062399</c:v>
                </c:pt>
                <c:pt idx="309">
                  <c:v>4.2180058763468802</c:v>
                </c:pt>
                <c:pt idx="310">
                  <c:v>4.3094672807614902</c:v>
                </c:pt>
                <c:pt idx="311">
                  <c:v>4.1336721636417497</c:v>
                </c:pt>
                <c:pt idx="312">
                  <c:v>4.3938915359457704</c:v>
                </c:pt>
                <c:pt idx="313">
                  <c:v>5.1862560436492702</c:v>
                </c:pt>
                <c:pt idx="314">
                  <c:v>4.8906124961293598</c:v>
                </c:pt>
                <c:pt idx="315">
                  <c:v>4.5262878878537398</c:v>
                </c:pt>
                <c:pt idx="316">
                  <c:v>4.3459922348738003</c:v>
                </c:pt>
                <c:pt idx="317">
                  <c:v>4.6406514807717096</c:v>
                </c:pt>
                <c:pt idx="318">
                  <c:v>5.0457035491188602</c:v>
                </c:pt>
                <c:pt idx="319">
                  <c:v>4.8091723913410096</c:v>
                </c:pt>
                <c:pt idx="320">
                  <c:v>4.4924353878463998</c:v>
                </c:pt>
                <c:pt idx="321">
                  <c:v>4.3049572040258504</c:v>
                </c:pt>
                <c:pt idx="322">
                  <c:v>4.1173997511743199</c:v>
                </c:pt>
                <c:pt idx="323">
                  <c:v>4.5766974923540298</c:v>
                </c:pt>
                <c:pt idx="324">
                  <c:v>4.2114496325231201</c:v>
                </c:pt>
                <c:pt idx="325">
                  <c:v>4.3766355597309001</c:v>
                </c:pt>
                <c:pt idx="326">
                  <c:v>4.8353730549956699</c:v>
                </c:pt>
                <c:pt idx="327">
                  <c:v>4.8959034423889598</c:v>
                </c:pt>
                <c:pt idx="328">
                  <c:v>4.5291120809301404</c:v>
                </c:pt>
                <c:pt idx="329">
                  <c:v>4.6952794682709396</c:v>
                </c:pt>
                <c:pt idx="330">
                  <c:v>4.7009583495068297</c:v>
                </c:pt>
                <c:pt idx="331">
                  <c:v>4.6692836926226899</c:v>
                </c:pt>
                <c:pt idx="332">
                  <c:v>4.5223331629764099</c:v>
                </c:pt>
                <c:pt idx="333">
                  <c:v>4.4045021528656898</c:v>
                </c:pt>
                <c:pt idx="334">
                  <c:v>4.9008684982534403</c:v>
                </c:pt>
                <c:pt idx="335">
                  <c:v>4.4310616880942204</c:v>
                </c:pt>
                <c:pt idx="336">
                  <c:v>4.8682330205678701</c:v>
                </c:pt>
                <c:pt idx="337">
                  <c:v>5.2050138478161401</c:v>
                </c:pt>
                <c:pt idx="338">
                  <c:v>4.6641306366413202</c:v>
                </c:pt>
                <c:pt idx="339">
                  <c:v>4.1875145428280103</c:v>
                </c:pt>
                <c:pt idx="340">
                  <c:v>4.78641268464904</c:v>
                </c:pt>
                <c:pt idx="341">
                  <c:v>4.7928671108875296</c:v>
                </c:pt>
                <c:pt idx="342">
                  <c:v>4.8235358630714096</c:v>
                </c:pt>
                <c:pt idx="343">
                  <c:v>4.3850054551207398</c:v>
                </c:pt>
                <c:pt idx="344">
                  <c:v>5.2714081938624204</c:v>
                </c:pt>
                <c:pt idx="345">
                  <c:v>5.2469107263269903</c:v>
                </c:pt>
                <c:pt idx="346">
                  <c:v>5.0310266433765403</c:v>
                </c:pt>
                <c:pt idx="347">
                  <c:v>5.1072739426404103</c:v>
                </c:pt>
                <c:pt idx="348">
                  <c:v>5.4539790972000102</c:v>
                </c:pt>
                <c:pt idx="349">
                  <c:v>4.5883036332124396</c:v>
                </c:pt>
                <c:pt idx="350">
                  <c:v>4.7700419489867203</c:v>
                </c:pt>
                <c:pt idx="351">
                  <c:v>5.0336294289784602</c:v>
                </c:pt>
                <c:pt idx="352">
                  <c:v>4.98855977845243</c:v>
                </c:pt>
                <c:pt idx="353">
                  <c:v>4.9791838222051101</c:v>
                </c:pt>
                <c:pt idx="354">
                  <c:v>5.3026714900844496</c:v>
                </c:pt>
                <c:pt idx="355">
                  <c:v>5.2799428567790896</c:v>
                </c:pt>
                <c:pt idx="356">
                  <c:v>4.9208206081117201</c:v>
                </c:pt>
                <c:pt idx="357">
                  <c:v>5.2220060011835203</c:v>
                </c:pt>
                <c:pt idx="358">
                  <c:v>5.4909304436539399</c:v>
                </c:pt>
                <c:pt idx="359">
                  <c:v>4.9163537354420397</c:v>
                </c:pt>
                <c:pt idx="360">
                  <c:v>5.7188006673869101</c:v>
                </c:pt>
                <c:pt idx="361">
                  <c:v>5.7794443898681997</c:v>
                </c:pt>
                <c:pt idx="362">
                  <c:v>4.8778466207725302</c:v>
                </c:pt>
                <c:pt idx="363">
                  <c:v>4.8055507109703601</c:v>
                </c:pt>
                <c:pt idx="364">
                  <c:v>5.3791049074685899</c:v>
                </c:pt>
                <c:pt idx="365">
                  <c:v>5.4752128018447301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31-4CA4-A6A8-8F5CF2DAC164}"/>
            </c:ext>
          </c:extLst>
        </c:ser>
        <c:ser>
          <c:idx val="1"/>
          <c:order val="1"/>
          <c:tx>
            <c:strRef>
              <c:f>'Met Data'!$Q$2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Data'!$Q$3:$Q$368</c:f>
              <c:numCache>
                <c:formatCode>General</c:formatCode>
                <c:ptCount val="366"/>
                <c:pt idx="0">
                  <c:v>4.7314305048111098</c:v>
                </c:pt>
                <c:pt idx="1">
                  <c:v>4.7184733001505199</c:v>
                </c:pt>
                <c:pt idx="2">
                  <c:v>4.5153833563593304</c:v>
                </c:pt>
                <c:pt idx="3">
                  <c:v>4.6266971172714904</c:v>
                </c:pt>
                <c:pt idx="4">
                  <c:v>4.7524735832446101</c:v>
                </c:pt>
                <c:pt idx="5">
                  <c:v>4.5675277776113097</c:v>
                </c:pt>
                <c:pt idx="6">
                  <c:v>4.0945523595888398</c:v>
                </c:pt>
                <c:pt idx="7">
                  <c:v>4.0360392602952304</c:v>
                </c:pt>
                <c:pt idx="8">
                  <c:v>4.1608753956650997</c:v>
                </c:pt>
                <c:pt idx="9">
                  <c:v>4.5179186785714496</c:v>
                </c:pt>
                <c:pt idx="10">
                  <c:v>4.5303746944186001</c:v>
                </c:pt>
                <c:pt idx="11">
                  <c:v>4.1021279144140701</c:v>
                </c:pt>
                <c:pt idx="12">
                  <c:v>4.3613860913388498</c:v>
                </c:pt>
                <c:pt idx="13">
                  <c:v>4.5029029229169799</c:v>
                </c:pt>
                <c:pt idx="14">
                  <c:v>4.6368762557636201</c:v>
                </c:pt>
                <c:pt idx="15">
                  <c:v>4.4386060395545801</c:v>
                </c:pt>
                <c:pt idx="16">
                  <c:v>4.10260332014568</c:v>
                </c:pt>
                <c:pt idx="17">
                  <c:v>4.3976375931712202</c:v>
                </c:pt>
                <c:pt idx="18">
                  <c:v>4.5811789756342201</c:v>
                </c:pt>
                <c:pt idx="19">
                  <c:v>4.23484882575071</c:v>
                </c:pt>
                <c:pt idx="20">
                  <c:v>4.2358684276247196</c:v>
                </c:pt>
                <c:pt idx="21">
                  <c:v>4.0376213451036698</c:v>
                </c:pt>
                <c:pt idx="22">
                  <c:v>4.3725520099572401</c:v>
                </c:pt>
                <c:pt idx="23">
                  <c:v>4.19340465226154</c:v>
                </c:pt>
                <c:pt idx="24">
                  <c:v>4.6119458181628401</c:v>
                </c:pt>
                <c:pt idx="25">
                  <c:v>4.4486726941054897</c:v>
                </c:pt>
                <c:pt idx="26">
                  <c:v>4.6925683722845504</c:v>
                </c:pt>
                <c:pt idx="27">
                  <c:v>4.8021312602016</c:v>
                </c:pt>
                <c:pt idx="28">
                  <c:v>4.81456570354226</c:v>
                </c:pt>
                <c:pt idx="29">
                  <c:v>4.4640725934925003</c:v>
                </c:pt>
                <c:pt idx="30">
                  <c:v>4.1799437739427896</c:v>
                </c:pt>
                <c:pt idx="31">
                  <c:v>4.5867414057587403</c:v>
                </c:pt>
                <c:pt idx="32">
                  <c:v>4.65070177511826</c:v>
                </c:pt>
                <c:pt idx="33">
                  <c:v>4.2568283320677196</c:v>
                </c:pt>
                <c:pt idx="34">
                  <c:v>3.6726350990735899</c:v>
                </c:pt>
                <c:pt idx="35">
                  <c:v>4.0355922642947899</c:v>
                </c:pt>
                <c:pt idx="36">
                  <c:v>4.5836031413853302</c:v>
                </c:pt>
                <c:pt idx="37">
                  <c:v>4.2844164584952198</c:v>
                </c:pt>
                <c:pt idx="38">
                  <c:v>4.0819751344129296</c:v>
                </c:pt>
                <c:pt idx="39">
                  <c:v>4.260490854165</c:v>
                </c:pt>
                <c:pt idx="40">
                  <c:v>3.7833097987788902</c:v>
                </c:pt>
                <c:pt idx="41">
                  <c:v>3.6396000191553801</c:v>
                </c:pt>
                <c:pt idx="42">
                  <c:v>3.70262305339519</c:v>
                </c:pt>
                <c:pt idx="43">
                  <c:v>4.0784584132757997</c:v>
                </c:pt>
                <c:pt idx="44">
                  <c:v>4.0775156504528702</c:v>
                </c:pt>
                <c:pt idx="45">
                  <c:v>4.1796467400508099</c:v>
                </c:pt>
                <c:pt idx="46">
                  <c:v>3.8490703816040499</c:v>
                </c:pt>
                <c:pt idx="47">
                  <c:v>3.7481412243719401</c:v>
                </c:pt>
                <c:pt idx="48">
                  <c:v>3.8682529987421499</c:v>
                </c:pt>
                <c:pt idx="49">
                  <c:v>3.6105345286952</c:v>
                </c:pt>
                <c:pt idx="50">
                  <c:v>3.6240453059598501</c:v>
                </c:pt>
                <c:pt idx="51">
                  <c:v>3.73403385362748</c:v>
                </c:pt>
                <c:pt idx="52">
                  <c:v>3.6261565374234999</c:v>
                </c:pt>
                <c:pt idx="53">
                  <c:v>3.6095974227769201</c:v>
                </c:pt>
                <c:pt idx="54">
                  <c:v>3.9865323105658801</c:v>
                </c:pt>
                <c:pt idx="55">
                  <c:v>3.88204927928038</c:v>
                </c:pt>
                <c:pt idx="56">
                  <c:v>4.05937925457948</c:v>
                </c:pt>
                <c:pt idx="57">
                  <c:v>3.8269283002116601</c:v>
                </c:pt>
                <c:pt idx="58">
                  <c:v>3.4828962462929298</c:v>
                </c:pt>
                <c:pt idx="59">
                  <c:v>3.6905226687271502</c:v>
                </c:pt>
                <c:pt idx="60">
                  <c:v>3.7650592582328399</c:v>
                </c:pt>
                <c:pt idx="61">
                  <c:v>3.6493457095997699</c:v>
                </c:pt>
                <c:pt idx="62">
                  <c:v>3.6858306163975501</c:v>
                </c:pt>
                <c:pt idx="63">
                  <c:v>3.6617176102227802</c:v>
                </c:pt>
                <c:pt idx="64">
                  <c:v>3.8548213926682098</c:v>
                </c:pt>
                <c:pt idx="65">
                  <c:v>3.4909393601542198</c:v>
                </c:pt>
                <c:pt idx="66">
                  <c:v>3.8084649299222599</c:v>
                </c:pt>
                <c:pt idx="67">
                  <c:v>3.6161533155938699</c:v>
                </c:pt>
                <c:pt idx="68">
                  <c:v>3.9222011256035199</c:v>
                </c:pt>
                <c:pt idx="69">
                  <c:v>3.4661109817168501</c:v>
                </c:pt>
                <c:pt idx="70">
                  <c:v>3.54178935257598</c:v>
                </c:pt>
                <c:pt idx="71">
                  <c:v>3.3591305391228099</c:v>
                </c:pt>
                <c:pt idx="72">
                  <c:v>3.37236322021164</c:v>
                </c:pt>
                <c:pt idx="73">
                  <c:v>3.1968269295082399</c:v>
                </c:pt>
                <c:pt idx="74">
                  <c:v>3.15313078143424</c:v>
                </c:pt>
                <c:pt idx="75">
                  <c:v>3.4068572568745799</c:v>
                </c:pt>
                <c:pt idx="76">
                  <c:v>3.17632774581707</c:v>
                </c:pt>
                <c:pt idx="77">
                  <c:v>3.38121466442426</c:v>
                </c:pt>
                <c:pt idx="78">
                  <c:v>3.2035769560803802</c:v>
                </c:pt>
                <c:pt idx="79">
                  <c:v>3.31927458571925</c:v>
                </c:pt>
                <c:pt idx="80">
                  <c:v>3.3284502448926401</c:v>
                </c:pt>
                <c:pt idx="81">
                  <c:v>3.1676733133647299</c:v>
                </c:pt>
                <c:pt idx="82">
                  <c:v>3.1307694102164598</c:v>
                </c:pt>
                <c:pt idx="83">
                  <c:v>2.9971927749729499</c:v>
                </c:pt>
                <c:pt idx="84">
                  <c:v>3.1405308327099699</c:v>
                </c:pt>
                <c:pt idx="85">
                  <c:v>3.1295018555019598</c:v>
                </c:pt>
                <c:pt idx="86">
                  <c:v>2.6600638405747499</c:v>
                </c:pt>
                <c:pt idx="87">
                  <c:v>2.7816184084358899</c:v>
                </c:pt>
                <c:pt idx="88">
                  <c:v>3.16549451986696</c:v>
                </c:pt>
                <c:pt idx="89">
                  <c:v>2.84233525233393</c:v>
                </c:pt>
                <c:pt idx="90">
                  <c:v>2.8748972399291501</c:v>
                </c:pt>
                <c:pt idx="91">
                  <c:v>2.5469261916112398</c:v>
                </c:pt>
                <c:pt idx="92">
                  <c:v>2.8493466745517901</c:v>
                </c:pt>
                <c:pt idx="93">
                  <c:v>3.04847392107171</c:v>
                </c:pt>
                <c:pt idx="94">
                  <c:v>2.9631357104845102</c:v>
                </c:pt>
                <c:pt idx="95">
                  <c:v>2.8364094228266699</c:v>
                </c:pt>
                <c:pt idx="96">
                  <c:v>2.7733248568186499</c:v>
                </c:pt>
                <c:pt idx="97">
                  <c:v>2.4928303491288801</c:v>
                </c:pt>
                <c:pt idx="98">
                  <c:v>2.4645244256425198</c:v>
                </c:pt>
                <c:pt idx="99">
                  <c:v>2.6085032852196299</c:v>
                </c:pt>
                <c:pt idx="100">
                  <c:v>2.45140037536581</c:v>
                </c:pt>
                <c:pt idx="101">
                  <c:v>2.54129590695179</c:v>
                </c:pt>
                <c:pt idx="102">
                  <c:v>2.5074868670786801</c:v>
                </c:pt>
                <c:pt idx="103">
                  <c:v>2.53164431510397</c:v>
                </c:pt>
                <c:pt idx="104">
                  <c:v>2.2462315590791202</c:v>
                </c:pt>
                <c:pt idx="105">
                  <c:v>2.3441419540899799</c:v>
                </c:pt>
                <c:pt idx="106">
                  <c:v>2.0871356285448601</c:v>
                </c:pt>
                <c:pt idx="107">
                  <c:v>2.1715863377271001</c:v>
                </c:pt>
                <c:pt idx="108">
                  <c:v>2.2979139363353802</c:v>
                </c:pt>
                <c:pt idx="109">
                  <c:v>2.3194627801487999</c:v>
                </c:pt>
                <c:pt idx="110">
                  <c:v>2.3321304827068001</c:v>
                </c:pt>
                <c:pt idx="111">
                  <c:v>2.2184505421646001</c:v>
                </c:pt>
                <c:pt idx="112">
                  <c:v>2.2540363688604601</c:v>
                </c:pt>
                <c:pt idx="113">
                  <c:v>2.2396347152399998</c:v>
                </c:pt>
                <c:pt idx="114">
                  <c:v>2.0110185254269899</c:v>
                </c:pt>
                <c:pt idx="115">
                  <c:v>2.1294944258891699</c:v>
                </c:pt>
                <c:pt idx="116">
                  <c:v>2.1336270025185899</c:v>
                </c:pt>
                <c:pt idx="117">
                  <c:v>2.0365768668725401</c:v>
                </c:pt>
                <c:pt idx="118">
                  <c:v>2.1199579861729001</c:v>
                </c:pt>
                <c:pt idx="119">
                  <c:v>1.7270113091402699</c:v>
                </c:pt>
                <c:pt idx="120">
                  <c:v>1.93510583623638</c:v>
                </c:pt>
                <c:pt idx="121">
                  <c:v>1.84994231207221</c:v>
                </c:pt>
                <c:pt idx="122">
                  <c:v>1.8652259443704999</c:v>
                </c:pt>
                <c:pt idx="123">
                  <c:v>1.88347487361168</c:v>
                </c:pt>
                <c:pt idx="124">
                  <c:v>1.9813737718090501</c:v>
                </c:pt>
                <c:pt idx="125">
                  <c:v>1.78778032014411</c:v>
                </c:pt>
                <c:pt idx="126">
                  <c:v>1.87782016455675</c:v>
                </c:pt>
                <c:pt idx="127">
                  <c:v>1.84976774954056</c:v>
                </c:pt>
                <c:pt idx="128">
                  <c:v>1.7318330822852801</c:v>
                </c:pt>
                <c:pt idx="129">
                  <c:v>1.6655372035048599</c:v>
                </c:pt>
                <c:pt idx="130">
                  <c:v>1.82340706114468</c:v>
                </c:pt>
                <c:pt idx="131">
                  <c:v>1.58246048642455</c:v>
                </c:pt>
                <c:pt idx="132">
                  <c:v>1.6419912913333301</c:v>
                </c:pt>
                <c:pt idx="133">
                  <c:v>1.7493116405284199</c:v>
                </c:pt>
                <c:pt idx="134">
                  <c:v>1.5662445189592999</c:v>
                </c:pt>
                <c:pt idx="135">
                  <c:v>1.7909891224832299</c:v>
                </c:pt>
                <c:pt idx="136">
                  <c:v>1.67932593217038</c:v>
                </c:pt>
                <c:pt idx="137">
                  <c:v>1.7647102566828801</c:v>
                </c:pt>
                <c:pt idx="138">
                  <c:v>1.8502469543140301</c:v>
                </c:pt>
                <c:pt idx="139">
                  <c:v>1.4599096570605601</c:v>
                </c:pt>
                <c:pt idx="140">
                  <c:v>1.48780958137737</c:v>
                </c:pt>
                <c:pt idx="141">
                  <c:v>1.4103441752322401</c:v>
                </c:pt>
                <c:pt idx="142">
                  <c:v>1.40773401519768</c:v>
                </c:pt>
                <c:pt idx="143">
                  <c:v>1.5324788885576901</c:v>
                </c:pt>
                <c:pt idx="144">
                  <c:v>1.3513771562845001</c:v>
                </c:pt>
                <c:pt idx="145">
                  <c:v>1.45255211799902</c:v>
                </c:pt>
                <c:pt idx="146">
                  <c:v>1.5797115913466899</c:v>
                </c:pt>
                <c:pt idx="147">
                  <c:v>1.52168431166894</c:v>
                </c:pt>
                <c:pt idx="148">
                  <c:v>1.3043403353641301</c:v>
                </c:pt>
                <c:pt idx="149">
                  <c:v>1.3290261075951599</c:v>
                </c:pt>
                <c:pt idx="150">
                  <c:v>1.39784343044145</c:v>
                </c:pt>
                <c:pt idx="151">
                  <c:v>1.4712646827298701</c:v>
                </c:pt>
                <c:pt idx="152">
                  <c:v>1.30717057222476</c:v>
                </c:pt>
                <c:pt idx="153">
                  <c:v>1.4941006859236099</c:v>
                </c:pt>
                <c:pt idx="154">
                  <c:v>1.35454855749501</c:v>
                </c:pt>
                <c:pt idx="155">
                  <c:v>1.3233452483653401</c:v>
                </c:pt>
                <c:pt idx="156">
                  <c:v>1.31169017597242</c:v>
                </c:pt>
                <c:pt idx="157">
                  <c:v>1.3774495437093499</c:v>
                </c:pt>
                <c:pt idx="158">
                  <c:v>1.37514607405536</c:v>
                </c:pt>
                <c:pt idx="159">
                  <c:v>1.2907055368786999</c:v>
                </c:pt>
                <c:pt idx="160">
                  <c:v>1.1704038738008</c:v>
                </c:pt>
                <c:pt idx="161">
                  <c:v>1.2848931912011301</c:v>
                </c:pt>
                <c:pt idx="162">
                  <c:v>1.2113320799843399</c:v>
                </c:pt>
                <c:pt idx="163">
                  <c:v>1.4600871377923801</c:v>
                </c:pt>
                <c:pt idx="164">
                  <c:v>1.34458805503312</c:v>
                </c:pt>
                <c:pt idx="165">
                  <c:v>1.38085812732775</c:v>
                </c:pt>
                <c:pt idx="166">
                  <c:v>1.38162675040215</c:v>
                </c:pt>
                <c:pt idx="167">
                  <c:v>1.17648432087559</c:v>
                </c:pt>
                <c:pt idx="168">
                  <c:v>1.1014836099696199</c:v>
                </c:pt>
                <c:pt idx="169">
                  <c:v>1.1347149368896201</c:v>
                </c:pt>
                <c:pt idx="170">
                  <c:v>1.25671546368113</c:v>
                </c:pt>
                <c:pt idx="171">
                  <c:v>1.3590610231009399</c:v>
                </c:pt>
                <c:pt idx="172">
                  <c:v>1.3770648366319</c:v>
                </c:pt>
                <c:pt idx="173">
                  <c:v>1.14995789296724</c:v>
                </c:pt>
                <c:pt idx="174">
                  <c:v>1.1771575957217399</c:v>
                </c:pt>
                <c:pt idx="175">
                  <c:v>1.3519764431878101</c:v>
                </c:pt>
                <c:pt idx="176">
                  <c:v>1.34392263247945</c:v>
                </c:pt>
                <c:pt idx="177">
                  <c:v>1.47912334327964</c:v>
                </c:pt>
                <c:pt idx="178">
                  <c:v>1.2990420850019999</c:v>
                </c:pt>
                <c:pt idx="179">
                  <c:v>1.2839514040086699</c:v>
                </c:pt>
                <c:pt idx="180">
                  <c:v>1.3058632096396601</c:v>
                </c:pt>
                <c:pt idx="181">
                  <c:v>1.4482050520096601</c:v>
                </c:pt>
                <c:pt idx="182">
                  <c:v>1.3964370426983801</c:v>
                </c:pt>
                <c:pt idx="183">
                  <c:v>1.2730824905906899</c:v>
                </c:pt>
                <c:pt idx="184">
                  <c:v>1.2896889465411501</c:v>
                </c:pt>
                <c:pt idx="185">
                  <c:v>1.4660191910043801</c:v>
                </c:pt>
                <c:pt idx="186">
                  <c:v>1.3068901655768601</c:v>
                </c:pt>
                <c:pt idx="187">
                  <c:v>1.41669004164846</c:v>
                </c:pt>
                <c:pt idx="188">
                  <c:v>1.3370081337281099</c:v>
                </c:pt>
                <c:pt idx="189">
                  <c:v>1.6936819221313</c:v>
                </c:pt>
                <c:pt idx="190">
                  <c:v>1.4303197134636301</c:v>
                </c:pt>
                <c:pt idx="191">
                  <c:v>1.34234874078288</c:v>
                </c:pt>
                <c:pt idx="192">
                  <c:v>1.4005767318328199</c:v>
                </c:pt>
                <c:pt idx="193">
                  <c:v>1.5241946960031101</c:v>
                </c:pt>
                <c:pt idx="194">
                  <c:v>1.1833728950226901</c:v>
                </c:pt>
                <c:pt idx="195">
                  <c:v>1.32556972588678</c:v>
                </c:pt>
                <c:pt idx="196">
                  <c:v>1.2285245260717499</c:v>
                </c:pt>
                <c:pt idx="197">
                  <c:v>1.11837858032715</c:v>
                </c:pt>
                <c:pt idx="198">
                  <c:v>1.2757644672773201</c:v>
                </c:pt>
                <c:pt idx="199">
                  <c:v>1.3903947480338801</c:v>
                </c:pt>
                <c:pt idx="200">
                  <c:v>1.4312964730661999</c:v>
                </c:pt>
                <c:pt idx="201">
                  <c:v>1.23251722447282</c:v>
                </c:pt>
                <c:pt idx="202">
                  <c:v>1.55725377410155</c:v>
                </c:pt>
                <c:pt idx="203">
                  <c:v>1.24522053814258</c:v>
                </c:pt>
                <c:pt idx="204">
                  <c:v>1.3859271813606999</c:v>
                </c:pt>
                <c:pt idx="205">
                  <c:v>1.45895733681155</c:v>
                </c:pt>
                <c:pt idx="206">
                  <c:v>1.3793054622795899</c:v>
                </c:pt>
                <c:pt idx="207">
                  <c:v>1.53088528913385</c:v>
                </c:pt>
                <c:pt idx="208">
                  <c:v>1.5836053821317999</c:v>
                </c:pt>
                <c:pt idx="209">
                  <c:v>1.6019548518300599</c:v>
                </c:pt>
                <c:pt idx="210">
                  <c:v>1.6077513956073599</c:v>
                </c:pt>
                <c:pt idx="211">
                  <c:v>1.4764466109261301</c:v>
                </c:pt>
                <c:pt idx="212">
                  <c:v>1.4161434812322</c:v>
                </c:pt>
                <c:pt idx="213">
                  <c:v>1.4216364054283901</c:v>
                </c:pt>
                <c:pt idx="214">
                  <c:v>1.4857250646951901</c:v>
                </c:pt>
                <c:pt idx="215">
                  <c:v>1.4618721174640501</c:v>
                </c:pt>
                <c:pt idx="216">
                  <c:v>1.3278392687764899</c:v>
                </c:pt>
                <c:pt idx="217">
                  <c:v>1.47551454127292</c:v>
                </c:pt>
                <c:pt idx="218">
                  <c:v>1.4915207810797499</c:v>
                </c:pt>
                <c:pt idx="219">
                  <c:v>1.7881547154649999</c:v>
                </c:pt>
                <c:pt idx="220">
                  <c:v>1.7221488940763401</c:v>
                </c:pt>
                <c:pt idx="221">
                  <c:v>1.78798041526371</c:v>
                </c:pt>
                <c:pt idx="222">
                  <c:v>1.78444613895236</c:v>
                </c:pt>
                <c:pt idx="223">
                  <c:v>1.79702295751458</c:v>
                </c:pt>
                <c:pt idx="224">
                  <c:v>1.75622712343688</c:v>
                </c:pt>
                <c:pt idx="225">
                  <c:v>1.8143744354657301</c:v>
                </c:pt>
                <c:pt idx="226">
                  <c:v>1.7504322855227901</c:v>
                </c:pt>
                <c:pt idx="227">
                  <c:v>1.72694084936311</c:v>
                </c:pt>
                <c:pt idx="228">
                  <c:v>1.9911176675537099</c:v>
                </c:pt>
                <c:pt idx="229">
                  <c:v>1.888960132222</c:v>
                </c:pt>
                <c:pt idx="230">
                  <c:v>1.8335933724759199</c:v>
                </c:pt>
                <c:pt idx="231">
                  <c:v>1.7788236818437999</c:v>
                </c:pt>
                <c:pt idx="232">
                  <c:v>1.7879198703522201</c:v>
                </c:pt>
                <c:pt idx="233">
                  <c:v>1.8884109943012299</c:v>
                </c:pt>
                <c:pt idx="234">
                  <c:v>2.20927169374758</c:v>
                </c:pt>
                <c:pt idx="235">
                  <c:v>1.9660073359530601</c:v>
                </c:pt>
                <c:pt idx="236">
                  <c:v>1.72961358813406</c:v>
                </c:pt>
                <c:pt idx="237">
                  <c:v>2.0311984249146202</c:v>
                </c:pt>
                <c:pt idx="238">
                  <c:v>2.0005217214048798</c:v>
                </c:pt>
                <c:pt idx="239">
                  <c:v>2.19808146037672</c:v>
                </c:pt>
                <c:pt idx="240">
                  <c:v>2.1823268558862501</c:v>
                </c:pt>
                <c:pt idx="241">
                  <c:v>1.8307871864441201</c:v>
                </c:pt>
                <c:pt idx="242">
                  <c:v>2.1498109306225701</c:v>
                </c:pt>
                <c:pt idx="243">
                  <c:v>2.1147026396135802</c:v>
                </c:pt>
                <c:pt idx="244">
                  <c:v>2.04836351360946</c:v>
                </c:pt>
                <c:pt idx="245">
                  <c:v>2.1933906940536101</c:v>
                </c:pt>
                <c:pt idx="246">
                  <c:v>2.0025541274337399</c:v>
                </c:pt>
                <c:pt idx="247">
                  <c:v>2.0261980789565999</c:v>
                </c:pt>
                <c:pt idx="248">
                  <c:v>2.26836536246158</c:v>
                </c:pt>
                <c:pt idx="249">
                  <c:v>2.1403968231495001</c:v>
                </c:pt>
                <c:pt idx="250">
                  <c:v>2.4179314095726698</c:v>
                </c:pt>
                <c:pt idx="251">
                  <c:v>2.2362909221430498</c:v>
                </c:pt>
                <c:pt idx="252">
                  <c:v>2.5120136328346701</c:v>
                </c:pt>
                <c:pt idx="253">
                  <c:v>2.3151045080086101</c:v>
                </c:pt>
                <c:pt idx="254">
                  <c:v>2.3727724062230302</c:v>
                </c:pt>
                <c:pt idx="255">
                  <c:v>2.4036248389024699</c:v>
                </c:pt>
                <c:pt idx="256">
                  <c:v>2.56639010677653</c:v>
                </c:pt>
                <c:pt idx="257">
                  <c:v>2.3157931057843801</c:v>
                </c:pt>
                <c:pt idx="258">
                  <c:v>2.2894884287258899</c:v>
                </c:pt>
                <c:pt idx="259">
                  <c:v>2.42321708135252</c:v>
                </c:pt>
                <c:pt idx="260">
                  <c:v>2.45933848636487</c:v>
                </c:pt>
                <c:pt idx="261">
                  <c:v>2.2883058912546601</c:v>
                </c:pt>
                <c:pt idx="262">
                  <c:v>2.6656714596224198</c:v>
                </c:pt>
                <c:pt idx="263">
                  <c:v>2.6640837362866301</c:v>
                </c:pt>
                <c:pt idx="264">
                  <c:v>2.5405503102234701</c:v>
                </c:pt>
                <c:pt idx="265">
                  <c:v>2.75659518409562</c:v>
                </c:pt>
                <c:pt idx="266">
                  <c:v>2.4043238309259301</c:v>
                </c:pt>
                <c:pt idx="267">
                  <c:v>2.32653952570764</c:v>
                </c:pt>
                <c:pt idx="268">
                  <c:v>2.5198296361703401</c:v>
                </c:pt>
                <c:pt idx="269">
                  <c:v>2.6371707298843199</c:v>
                </c:pt>
                <c:pt idx="270">
                  <c:v>2.4067153885809098</c:v>
                </c:pt>
                <c:pt idx="271">
                  <c:v>2.71659484771267</c:v>
                </c:pt>
                <c:pt idx="272">
                  <c:v>2.6496213239398698</c:v>
                </c:pt>
                <c:pt idx="273">
                  <c:v>2.7120872842053001</c:v>
                </c:pt>
                <c:pt idx="274">
                  <c:v>2.5284096014561799</c:v>
                </c:pt>
                <c:pt idx="275">
                  <c:v>2.88480468453885</c:v>
                </c:pt>
                <c:pt idx="276">
                  <c:v>2.7808067783335901</c:v>
                </c:pt>
                <c:pt idx="277">
                  <c:v>3.0772949163384999</c:v>
                </c:pt>
                <c:pt idx="278">
                  <c:v>3.1690364753373701</c:v>
                </c:pt>
                <c:pt idx="279">
                  <c:v>2.8220150579732999</c:v>
                </c:pt>
                <c:pt idx="280">
                  <c:v>2.68549157073894</c:v>
                </c:pt>
                <c:pt idx="281">
                  <c:v>2.6969590648562201</c:v>
                </c:pt>
                <c:pt idx="282">
                  <c:v>2.9040985917251398</c:v>
                </c:pt>
                <c:pt idx="283">
                  <c:v>2.90858576113735</c:v>
                </c:pt>
                <c:pt idx="284">
                  <c:v>2.9187130451018599</c:v>
                </c:pt>
                <c:pt idx="285">
                  <c:v>2.9944315874670302</c:v>
                </c:pt>
                <c:pt idx="286">
                  <c:v>2.9220059834019998</c:v>
                </c:pt>
                <c:pt idx="287">
                  <c:v>3.1812494285264998</c:v>
                </c:pt>
                <c:pt idx="288">
                  <c:v>3.1846462671739202</c:v>
                </c:pt>
                <c:pt idx="289">
                  <c:v>3.2300602691540199</c:v>
                </c:pt>
                <c:pt idx="290">
                  <c:v>2.98673361950474</c:v>
                </c:pt>
                <c:pt idx="291">
                  <c:v>3.3877860671285598</c:v>
                </c:pt>
                <c:pt idx="292">
                  <c:v>3.30175747979975</c:v>
                </c:pt>
                <c:pt idx="293">
                  <c:v>2.9372247945615499</c:v>
                </c:pt>
                <c:pt idx="294">
                  <c:v>2.9112128548041598</c:v>
                </c:pt>
                <c:pt idx="295">
                  <c:v>3.5318790230099002</c:v>
                </c:pt>
                <c:pt idx="296">
                  <c:v>3.2578637469081699</c:v>
                </c:pt>
                <c:pt idx="297">
                  <c:v>3.4101531049699898</c:v>
                </c:pt>
                <c:pt idx="298">
                  <c:v>3.2764418127891499</c:v>
                </c:pt>
                <c:pt idx="299">
                  <c:v>3.3023555527193</c:v>
                </c:pt>
                <c:pt idx="300">
                  <c:v>2.9394492851949701</c:v>
                </c:pt>
                <c:pt idx="301">
                  <c:v>3.1793308523033601</c:v>
                </c:pt>
                <c:pt idx="302">
                  <c:v>3.2908149619424898</c:v>
                </c:pt>
                <c:pt idx="303">
                  <c:v>3.7910621493299299</c:v>
                </c:pt>
                <c:pt idx="304">
                  <c:v>3.7273958064413302</c:v>
                </c:pt>
                <c:pt idx="305">
                  <c:v>3.7508089301659</c:v>
                </c:pt>
                <c:pt idx="306">
                  <c:v>3.2496546498492198</c:v>
                </c:pt>
                <c:pt idx="307">
                  <c:v>3.3917308243993398</c:v>
                </c:pt>
                <c:pt idx="308">
                  <c:v>3.4940085056696999</c:v>
                </c:pt>
                <c:pt idx="309">
                  <c:v>3.6290518837480299</c:v>
                </c:pt>
                <c:pt idx="310">
                  <c:v>3.3196725038188899</c:v>
                </c:pt>
                <c:pt idx="311">
                  <c:v>3.5694722560107999</c:v>
                </c:pt>
                <c:pt idx="312">
                  <c:v>3.5998767062500399</c:v>
                </c:pt>
                <c:pt idx="313">
                  <c:v>3.8854632375309301</c:v>
                </c:pt>
                <c:pt idx="314">
                  <c:v>3.4766729681443</c:v>
                </c:pt>
                <c:pt idx="315">
                  <c:v>3.49823939059966</c:v>
                </c:pt>
                <c:pt idx="316">
                  <c:v>3.8424324154218401</c:v>
                </c:pt>
                <c:pt idx="317">
                  <c:v>3.93837814578281</c:v>
                </c:pt>
                <c:pt idx="318">
                  <c:v>3.82063419166102</c:v>
                </c:pt>
                <c:pt idx="319">
                  <c:v>3.4660928584042798</c:v>
                </c:pt>
                <c:pt idx="320">
                  <c:v>3.7178898330930501</c:v>
                </c:pt>
                <c:pt idx="321">
                  <c:v>3.8903759726723899</c:v>
                </c:pt>
                <c:pt idx="322">
                  <c:v>3.9105195639997401</c:v>
                </c:pt>
                <c:pt idx="323">
                  <c:v>3.75734672122165</c:v>
                </c:pt>
                <c:pt idx="324">
                  <c:v>3.5492721007612098</c:v>
                </c:pt>
                <c:pt idx="325">
                  <c:v>3.6984174874033999</c:v>
                </c:pt>
                <c:pt idx="326">
                  <c:v>3.9426742076693699</c:v>
                </c:pt>
                <c:pt idx="327">
                  <c:v>3.7475647250722499</c:v>
                </c:pt>
                <c:pt idx="328">
                  <c:v>4.1132182691665697</c:v>
                </c:pt>
                <c:pt idx="329">
                  <c:v>4.0838977840275996</c:v>
                </c:pt>
                <c:pt idx="330">
                  <c:v>4.2967341086411999</c:v>
                </c:pt>
                <c:pt idx="331">
                  <c:v>3.7863185649490698</c:v>
                </c:pt>
                <c:pt idx="332">
                  <c:v>3.91369181219603</c:v>
                </c:pt>
                <c:pt idx="333">
                  <c:v>3.5204814386258598</c:v>
                </c:pt>
                <c:pt idx="334">
                  <c:v>4.0516623269738101</c:v>
                </c:pt>
                <c:pt idx="335">
                  <c:v>3.5036176940509298</c:v>
                </c:pt>
                <c:pt idx="336">
                  <c:v>3.8786861346319301</c:v>
                </c:pt>
                <c:pt idx="337">
                  <c:v>3.6269671816345701</c:v>
                </c:pt>
                <c:pt idx="338">
                  <c:v>3.8159631078200702</c:v>
                </c:pt>
                <c:pt idx="339">
                  <c:v>3.9805130657979602</c:v>
                </c:pt>
                <c:pt idx="340">
                  <c:v>3.9985245379954399</c:v>
                </c:pt>
                <c:pt idx="341">
                  <c:v>4.0668482894046898</c:v>
                </c:pt>
                <c:pt idx="342">
                  <c:v>4.3303303245888296</c:v>
                </c:pt>
                <c:pt idx="343">
                  <c:v>4.0534379567104599</c:v>
                </c:pt>
                <c:pt idx="344">
                  <c:v>4.1505313677650202</c:v>
                </c:pt>
                <c:pt idx="345">
                  <c:v>3.8850422651579102</c:v>
                </c:pt>
                <c:pt idx="346">
                  <c:v>4.3816384015384404</c:v>
                </c:pt>
                <c:pt idx="347">
                  <c:v>4.03321434314394</c:v>
                </c:pt>
                <c:pt idx="348">
                  <c:v>4.1838965938969297</c:v>
                </c:pt>
                <c:pt idx="349">
                  <c:v>3.9954599380242</c:v>
                </c:pt>
                <c:pt idx="350">
                  <c:v>4.0087446707632299</c:v>
                </c:pt>
                <c:pt idx="351">
                  <c:v>3.8624789224218001</c:v>
                </c:pt>
                <c:pt idx="352">
                  <c:v>4.1713118658622399</c:v>
                </c:pt>
                <c:pt idx="353">
                  <c:v>4.2492728260034598</c:v>
                </c:pt>
                <c:pt idx="354">
                  <c:v>3.9108587200843599</c:v>
                </c:pt>
                <c:pt idx="355">
                  <c:v>4.3560784704810001</c:v>
                </c:pt>
                <c:pt idx="356">
                  <c:v>4.1386344294122503</c:v>
                </c:pt>
                <c:pt idx="357">
                  <c:v>3.7757934515094398</c:v>
                </c:pt>
                <c:pt idx="358">
                  <c:v>3.82075028631309</c:v>
                </c:pt>
                <c:pt idx="359">
                  <c:v>4.4822943456663404</c:v>
                </c:pt>
                <c:pt idx="360">
                  <c:v>4.2854150969519402</c:v>
                </c:pt>
                <c:pt idx="361">
                  <c:v>4.2768570571644897</c:v>
                </c:pt>
                <c:pt idx="362">
                  <c:v>4.2622812571545499</c:v>
                </c:pt>
                <c:pt idx="363">
                  <c:v>3.8040621578745699</c:v>
                </c:pt>
                <c:pt idx="364">
                  <c:v>3.8298931146257198</c:v>
                </c:pt>
                <c:pt idx="365">
                  <c:v>4.2176739505731602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31-4CA4-A6A8-8F5CF2DAC164}"/>
            </c:ext>
          </c:extLst>
        </c:ser>
        <c:ser>
          <c:idx val="2"/>
          <c:order val="2"/>
          <c:tx>
            <c:strRef>
              <c:f>'Met Data'!$R$2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Data'!$R$3:$R$368</c:f>
              <c:numCache>
                <c:formatCode>General</c:formatCode>
                <c:ptCount val="366"/>
                <c:pt idx="0">
                  <c:v>5.3002895815377</c:v>
                </c:pt>
                <c:pt idx="1">
                  <c:v>5.0443253515841704</c:v>
                </c:pt>
                <c:pt idx="2">
                  <c:v>5.4438080121549701</c:v>
                </c:pt>
                <c:pt idx="3">
                  <c:v>5.5807338265087596</c:v>
                </c:pt>
                <c:pt idx="4">
                  <c:v>5.5138696286660904</c:v>
                </c:pt>
                <c:pt idx="5">
                  <c:v>5.5457152204075504</c:v>
                </c:pt>
                <c:pt idx="6">
                  <c:v>5.2739991655865204</c:v>
                </c:pt>
                <c:pt idx="7">
                  <c:v>5.6732772805813596</c:v>
                </c:pt>
                <c:pt idx="8">
                  <c:v>4.90625391178797</c:v>
                </c:pt>
                <c:pt idx="9">
                  <c:v>5.2305429510939803</c:v>
                </c:pt>
                <c:pt idx="10">
                  <c:v>5.0873053364071001</c:v>
                </c:pt>
                <c:pt idx="11">
                  <c:v>4.6794441425299196</c:v>
                </c:pt>
                <c:pt idx="12">
                  <c:v>5.1301329319532103</c:v>
                </c:pt>
                <c:pt idx="13">
                  <c:v>5.19744133974074</c:v>
                </c:pt>
                <c:pt idx="14">
                  <c:v>5.2671831121425399</c:v>
                </c:pt>
                <c:pt idx="15">
                  <c:v>5.35878162845927</c:v>
                </c:pt>
                <c:pt idx="16">
                  <c:v>5.2682852155127904</c:v>
                </c:pt>
                <c:pt idx="17">
                  <c:v>4.8337628210664896</c:v>
                </c:pt>
                <c:pt idx="18">
                  <c:v>5.0897381351700002</c:v>
                </c:pt>
                <c:pt idx="19">
                  <c:v>4.5915208711096902</c:v>
                </c:pt>
                <c:pt idx="20">
                  <c:v>4.6867151111493701</c:v>
                </c:pt>
                <c:pt idx="21">
                  <c:v>5.2880710984128898</c:v>
                </c:pt>
                <c:pt idx="22">
                  <c:v>5.2992470732997701</c:v>
                </c:pt>
                <c:pt idx="23">
                  <c:v>4.7594661928263404</c:v>
                </c:pt>
                <c:pt idx="24">
                  <c:v>4.80624859628879</c:v>
                </c:pt>
                <c:pt idx="25">
                  <c:v>4.5900785905512302</c:v>
                </c:pt>
                <c:pt idx="26">
                  <c:v>4.2900508767835301</c:v>
                </c:pt>
                <c:pt idx="27">
                  <c:v>4.7600303251450402</c:v>
                </c:pt>
                <c:pt idx="28">
                  <c:v>4.9175211851141496</c:v>
                </c:pt>
                <c:pt idx="29">
                  <c:v>5.0765637470404199</c:v>
                </c:pt>
                <c:pt idx="30">
                  <c:v>4.7663700449037103</c:v>
                </c:pt>
                <c:pt idx="31">
                  <c:v>4.6529025662627701</c:v>
                </c:pt>
                <c:pt idx="32">
                  <c:v>3.8964840182874299</c:v>
                </c:pt>
                <c:pt idx="33">
                  <c:v>5.0181335019624198</c:v>
                </c:pt>
                <c:pt idx="34">
                  <c:v>4.2368011111500996</c:v>
                </c:pt>
                <c:pt idx="35">
                  <c:v>4.95246132066816</c:v>
                </c:pt>
                <c:pt idx="36">
                  <c:v>4.65455297630242</c:v>
                </c:pt>
                <c:pt idx="37">
                  <c:v>4.6944113449094598</c:v>
                </c:pt>
                <c:pt idx="38">
                  <c:v>4.0795407136929196</c:v>
                </c:pt>
                <c:pt idx="39">
                  <c:v>4.8241352001453901</c:v>
                </c:pt>
                <c:pt idx="40">
                  <c:v>4.1270805984366898</c:v>
                </c:pt>
                <c:pt idx="41">
                  <c:v>3.62479226319034</c:v>
                </c:pt>
                <c:pt idx="42">
                  <c:v>4.6645023009942204</c:v>
                </c:pt>
                <c:pt idx="43">
                  <c:v>4.6620900620686498</c:v>
                </c:pt>
                <c:pt idx="44">
                  <c:v>4.6763077133246798</c:v>
                </c:pt>
                <c:pt idx="45">
                  <c:v>4.3146839003125104</c:v>
                </c:pt>
                <c:pt idx="46">
                  <c:v>3.7637816856066002</c:v>
                </c:pt>
                <c:pt idx="47">
                  <c:v>3.8261001998958202</c:v>
                </c:pt>
                <c:pt idx="48">
                  <c:v>4.1914732089855402</c:v>
                </c:pt>
                <c:pt idx="49">
                  <c:v>4.4113204300391198</c:v>
                </c:pt>
                <c:pt idx="50">
                  <c:v>4.3841376554355804</c:v>
                </c:pt>
                <c:pt idx="51">
                  <c:v>4.9693259437908699</c:v>
                </c:pt>
                <c:pt idx="52">
                  <c:v>4.7878861075128398</c:v>
                </c:pt>
                <c:pt idx="53">
                  <c:v>4.0222279504458101</c:v>
                </c:pt>
                <c:pt idx="54">
                  <c:v>4.2280532549353298</c:v>
                </c:pt>
                <c:pt idx="55">
                  <c:v>4.1972566837463097</c:v>
                </c:pt>
                <c:pt idx="56">
                  <c:v>3.7180503043386799</c:v>
                </c:pt>
                <c:pt idx="57">
                  <c:v>4.1978361035629597</c:v>
                </c:pt>
                <c:pt idx="58">
                  <c:v>3.7969828325823598</c:v>
                </c:pt>
                <c:pt idx="59">
                  <c:v>4.1908681950652404</c:v>
                </c:pt>
                <c:pt idx="60">
                  <c:v>4.2196048881349899</c:v>
                </c:pt>
                <c:pt idx="61">
                  <c:v>3.8343705070364198</c:v>
                </c:pt>
                <c:pt idx="62">
                  <c:v>4.2591322338139097</c:v>
                </c:pt>
                <c:pt idx="63">
                  <c:v>3.8930077454368801</c:v>
                </c:pt>
                <c:pt idx="64">
                  <c:v>3.79195345193494</c:v>
                </c:pt>
                <c:pt idx="65">
                  <c:v>3.9659981524960299</c:v>
                </c:pt>
                <c:pt idx="66">
                  <c:v>3.9291055796836201</c:v>
                </c:pt>
                <c:pt idx="67">
                  <c:v>3.3788058605810001</c:v>
                </c:pt>
                <c:pt idx="68">
                  <c:v>3.8466114707676198</c:v>
                </c:pt>
                <c:pt idx="69">
                  <c:v>3.4183641296980598</c:v>
                </c:pt>
                <c:pt idx="70">
                  <c:v>3.3942883486787001</c:v>
                </c:pt>
                <c:pt idx="71">
                  <c:v>3.4277069220468301</c:v>
                </c:pt>
                <c:pt idx="72">
                  <c:v>3.1165170781020999</c:v>
                </c:pt>
                <c:pt idx="73">
                  <c:v>3.3698852758339299</c:v>
                </c:pt>
                <c:pt idx="74">
                  <c:v>3.5584139488044402</c:v>
                </c:pt>
                <c:pt idx="75">
                  <c:v>3.18857314125921</c:v>
                </c:pt>
                <c:pt idx="76">
                  <c:v>3.4210119301426598</c:v>
                </c:pt>
                <c:pt idx="77">
                  <c:v>3.79269498125822</c:v>
                </c:pt>
                <c:pt idx="78">
                  <c:v>3.4054288221587101</c:v>
                </c:pt>
                <c:pt idx="79">
                  <c:v>3.3571266588973399</c:v>
                </c:pt>
                <c:pt idx="80">
                  <c:v>3.2321957628537499</c:v>
                </c:pt>
                <c:pt idx="81">
                  <c:v>3.2609796819303298</c:v>
                </c:pt>
                <c:pt idx="82">
                  <c:v>2.92138938940926</c:v>
                </c:pt>
                <c:pt idx="83">
                  <c:v>3.2424051327299499</c:v>
                </c:pt>
                <c:pt idx="84">
                  <c:v>2.9456158663745402</c:v>
                </c:pt>
                <c:pt idx="85">
                  <c:v>2.9966187246243599</c:v>
                </c:pt>
                <c:pt idx="86">
                  <c:v>2.8295483165886499</c:v>
                </c:pt>
                <c:pt idx="87">
                  <c:v>3.3611895298550398</c:v>
                </c:pt>
                <c:pt idx="88">
                  <c:v>3.37042335958796</c:v>
                </c:pt>
                <c:pt idx="89">
                  <c:v>3.0211095467674101</c:v>
                </c:pt>
                <c:pt idx="90">
                  <c:v>2.9286124171635399</c:v>
                </c:pt>
                <c:pt idx="91">
                  <c:v>2.6357211651872801</c:v>
                </c:pt>
                <c:pt idx="92">
                  <c:v>3.0848116914344001</c:v>
                </c:pt>
                <c:pt idx="93">
                  <c:v>3.1643365321727002</c:v>
                </c:pt>
                <c:pt idx="94">
                  <c:v>2.51177424210639</c:v>
                </c:pt>
                <c:pt idx="95">
                  <c:v>2.6567476060047199</c:v>
                </c:pt>
                <c:pt idx="96">
                  <c:v>2.7120896444228899</c:v>
                </c:pt>
                <c:pt idx="97">
                  <c:v>2.2411583493472298</c:v>
                </c:pt>
                <c:pt idx="98">
                  <c:v>2.0977189438604098</c:v>
                </c:pt>
                <c:pt idx="99">
                  <c:v>2.3517659430234299</c:v>
                </c:pt>
                <c:pt idx="100">
                  <c:v>2.2588212121252198</c:v>
                </c:pt>
                <c:pt idx="101">
                  <c:v>2.3979149458025599</c:v>
                </c:pt>
                <c:pt idx="102">
                  <c:v>2.2709154699981902</c:v>
                </c:pt>
                <c:pt idx="103">
                  <c:v>2.5064670669161502</c:v>
                </c:pt>
                <c:pt idx="104">
                  <c:v>2.5162030654259699</c:v>
                </c:pt>
                <c:pt idx="105">
                  <c:v>2.19476983281527</c:v>
                </c:pt>
                <c:pt idx="106">
                  <c:v>2.34491602590957</c:v>
                </c:pt>
                <c:pt idx="107">
                  <c:v>2.1220514695153998</c:v>
                </c:pt>
                <c:pt idx="108">
                  <c:v>2.36973632406472</c:v>
                </c:pt>
                <c:pt idx="109">
                  <c:v>2.2601466686618701</c:v>
                </c:pt>
                <c:pt idx="110">
                  <c:v>2.2442512042574001</c:v>
                </c:pt>
                <c:pt idx="111">
                  <c:v>1.9658167048849999</c:v>
                </c:pt>
                <c:pt idx="112">
                  <c:v>2.0567605620447602</c:v>
                </c:pt>
                <c:pt idx="113">
                  <c:v>2.2494957423800601</c:v>
                </c:pt>
                <c:pt idx="114">
                  <c:v>2.0637937831644799</c:v>
                </c:pt>
                <c:pt idx="115">
                  <c:v>2.1193650497328802</c:v>
                </c:pt>
                <c:pt idx="116">
                  <c:v>2.2092145763574398</c:v>
                </c:pt>
                <c:pt idx="117">
                  <c:v>2.0221121462673199</c:v>
                </c:pt>
                <c:pt idx="118">
                  <c:v>2.0398713196239799</c:v>
                </c:pt>
                <c:pt idx="119">
                  <c:v>1.96924916616884</c:v>
                </c:pt>
                <c:pt idx="120">
                  <c:v>2.0921052723020299</c:v>
                </c:pt>
                <c:pt idx="121">
                  <c:v>1.87402399448046</c:v>
                </c:pt>
                <c:pt idx="122">
                  <c:v>1.91768219321378</c:v>
                </c:pt>
                <c:pt idx="123">
                  <c:v>2.3208598202331299</c:v>
                </c:pt>
                <c:pt idx="124">
                  <c:v>1.9503363862698699</c:v>
                </c:pt>
                <c:pt idx="125">
                  <c:v>2.0088196138202101</c:v>
                </c:pt>
                <c:pt idx="126">
                  <c:v>1.94260799792165</c:v>
                </c:pt>
                <c:pt idx="127">
                  <c:v>2.0536834161317898</c:v>
                </c:pt>
                <c:pt idx="128">
                  <c:v>1.91307238826314</c:v>
                </c:pt>
                <c:pt idx="129">
                  <c:v>1.6201345164829699</c:v>
                </c:pt>
                <c:pt idx="130">
                  <c:v>1.80696864272368</c:v>
                </c:pt>
                <c:pt idx="131">
                  <c:v>1.4913730014274</c:v>
                </c:pt>
                <c:pt idx="132">
                  <c:v>1.62678039483797</c:v>
                </c:pt>
                <c:pt idx="133">
                  <c:v>1.8201981788969901</c:v>
                </c:pt>
                <c:pt idx="134">
                  <c:v>1.8529395882884601</c:v>
                </c:pt>
                <c:pt idx="135">
                  <c:v>2.29628762636644</c:v>
                </c:pt>
                <c:pt idx="136">
                  <c:v>2.1065655537435402</c:v>
                </c:pt>
                <c:pt idx="137">
                  <c:v>1.6558155698505901</c:v>
                </c:pt>
                <c:pt idx="138">
                  <c:v>1.6792496107302399</c:v>
                </c:pt>
                <c:pt idx="139">
                  <c:v>1.97950041857592</c:v>
                </c:pt>
                <c:pt idx="140">
                  <c:v>1.81223057849349</c:v>
                </c:pt>
                <c:pt idx="141">
                  <c:v>1.6546472122340701</c:v>
                </c:pt>
                <c:pt idx="142">
                  <c:v>1.2227208339676301</c:v>
                </c:pt>
                <c:pt idx="143">
                  <c:v>1.7602180234501701</c:v>
                </c:pt>
                <c:pt idx="144">
                  <c:v>1.6400789643331</c:v>
                </c:pt>
                <c:pt idx="145">
                  <c:v>1.6905392810155</c:v>
                </c:pt>
                <c:pt idx="146">
                  <c:v>1.69802252680614</c:v>
                </c:pt>
                <c:pt idx="147">
                  <c:v>1.8350053101302899</c:v>
                </c:pt>
                <c:pt idx="148">
                  <c:v>1.62840235536504</c:v>
                </c:pt>
                <c:pt idx="149">
                  <c:v>1.48107398503486</c:v>
                </c:pt>
                <c:pt idx="150">
                  <c:v>1.6246462048877199</c:v>
                </c:pt>
                <c:pt idx="151">
                  <c:v>1.4479727769359401</c:v>
                </c:pt>
                <c:pt idx="152">
                  <c:v>1.5523899836253201</c:v>
                </c:pt>
                <c:pt idx="153">
                  <c:v>1.4778493727814399</c:v>
                </c:pt>
                <c:pt idx="154">
                  <c:v>1.26059886003919</c:v>
                </c:pt>
                <c:pt idx="155">
                  <c:v>1.320066085238</c:v>
                </c:pt>
                <c:pt idx="156">
                  <c:v>1.6759638089176501</c:v>
                </c:pt>
                <c:pt idx="157">
                  <c:v>1.7295701835949699</c:v>
                </c:pt>
                <c:pt idx="158">
                  <c:v>1.6447533684492099</c:v>
                </c:pt>
                <c:pt idx="159">
                  <c:v>1.43090516688798</c:v>
                </c:pt>
                <c:pt idx="160">
                  <c:v>1.30055224789721</c:v>
                </c:pt>
                <c:pt idx="161">
                  <c:v>1.4033197828361399</c:v>
                </c:pt>
                <c:pt idx="162">
                  <c:v>1.6272038754899101</c:v>
                </c:pt>
                <c:pt idx="163">
                  <c:v>1.4692387224691099</c:v>
                </c:pt>
                <c:pt idx="164">
                  <c:v>1.58157755284307</c:v>
                </c:pt>
                <c:pt idx="165">
                  <c:v>1.6211076900811601</c:v>
                </c:pt>
                <c:pt idx="166">
                  <c:v>1.5640581536651701</c:v>
                </c:pt>
                <c:pt idx="167">
                  <c:v>1.5179935350500799</c:v>
                </c:pt>
                <c:pt idx="168">
                  <c:v>1.38485437425936</c:v>
                </c:pt>
                <c:pt idx="169">
                  <c:v>1.5433225842782901</c:v>
                </c:pt>
                <c:pt idx="170">
                  <c:v>1.3535722743469101</c:v>
                </c:pt>
                <c:pt idx="171">
                  <c:v>1.5425551512791</c:v>
                </c:pt>
                <c:pt idx="172">
                  <c:v>1.4887775037816799</c:v>
                </c:pt>
                <c:pt idx="173">
                  <c:v>1.5466702174373801</c:v>
                </c:pt>
                <c:pt idx="174">
                  <c:v>1.3429029563591199</c:v>
                </c:pt>
                <c:pt idx="175">
                  <c:v>1.4992065977426601</c:v>
                </c:pt>
                <c:pt idx="176">
                  <c:v>1.60432792469186</c:v>
                </c:pt>
                <c:pt idx="177">
                  <c:v>1.6258138520821599</c:v>
                </c:pt>
                <c:pt idx="178">
                  <c:v>1.44171784861906</c:v>
                </c:pt>
                <c:pt idx="179">
                  <c:v>1.53093050374257</c:v>
                </c:pt>
                <c:pt idx="180">
                  <c:v>1.3371187077731701</c:v>
                </c:pt>
                <c:pt idx="181">
                  <c:v>1.3410226797210301</c:v>
                </c:pt>
                <c:pt idx="182">
                  <c:v>1.6511527695703201</c:v>
                </c:pt>
                <c:pt idx="183">
                  <c:v>1.6041576036456699</c:v>
                </c:pt>
                <c:pt idx="184">
                  <c:v>1.38875386402851</c:v>
                </c:pt>
                <c:pt idx="185">
                  <c:v>1.27084263397786</c:v>
                </c:pt>
                <c:pt idx="186">
                  <c:v>1.5105981415105201</c:v>
                </c:pt>
                <c:pt idx="187">
                  <c:v>1.83531261271716</c:v>
                </c:pt>
                <c:pt idx="188">
                  <c:v>1.64852961418123</c:v>
                </c:pt>
                <c:pt idx="189">
                  <c:v>1.7168616095922999</c:v>
                </c:pt>
                <c:pt idx="190">
                  <c:v>1.4547167208326199</c:v>
                </c:pt>
                <c:pt idx="191">
                  <c:v>1.58252040740123</c:v>
                </c:pt>
                <c:pt idx="192">
                  <c:v>1.4896061771534901</c:v>
                </c:pt>
                <c:pt idx="193">
                  <c:v>1.56286173199885</c:v>
                </c:pt>
                <c:pt idx="194">
                  <c:v>1.4107478527239601</c:v>
                </c:pt>
                <c:pt idx="195">
                  <c:v>1.4112498820533601</c:v>
                </c:pt>
                <c:pt idx="196">
                  <c:v>1.10904778031504</c:v>
                </c:pt>
                <c:pt idx="197">
                  <c:v>1.2449247672958601</c:v>
                </c:pt>
                <c:pt idx="198">
                  <c:v>1.206604977459</c:v>
                </c:pt>
                <c:pt idx="199">
                  <c:v>1.3495100791313701</c:v>
                </c:pt>
                <c:pt idx="200">
                  <c:v>1.42057967743019</c:v>
                </c:pt>
                <c:pt idx="201">
                  <c:v>1.6762293048007399</c:v>
                </c:pt>
                <c:pt idx="202">
                  <c:v>1.7998370791859599</c:v>
                </c:pt>
                <c:pt idx="203">
                  <c:v>1.4408664399009901</c:v>
                </c:pt>
                <c:pt idx="204">
                  <c:v>1.64390262873787</c:v>
                </c:pt>
                <c:pt idx="205">
                  <c:v>1.7057047707753099</c:v>
                </c:pt>
                <c:pt idx="206">
                  <c:v>1.6268596641547299</c:v>
                </c:pt>
                <c:pt idx="207">
                  <c:v>1.6761260921749099</c:v>
                </c:pt>
                <c:pt idx="208">
                  <c:v>1.9416095139368701</c:v>
                </c:pt>
                <c:pt idx="209">
                  <c:v>1.71125659523228</c:v>
                </c:pt>
                <c:pt idx="210">
                  <c:v>1.89731414629641</c:v>
                </c:pt>
                <c:pt idx="211">
                  <c:v>1.73331506262782</c:v>
                </c:pt>
                <c:pt idx="212">
                  <c:v>1.72617171841124</c:v>
                </c:pt>
                <c:pt idx="213">
                  <c:v>1.83242552461789</c:v>
                </c:pt>
                <c:pt idx="214">
                  <c:v>1.58831779694192</c:v>
                </c:pt>
                <c:pt idx="215">
                  <c:v>1.7771406396973799</c:v>
                </c:pt>
                <c:pt idx="216">
                  <c:v>1.61509194777145</c:v>
                </c:pt>
                <c:pt idx="217">
                  <c:v>1.7087780032575901</c:v>
                </c:pt>
                <c:pt idx="218">
                  <c:v>1.8664400981707201</c:v>
                </c:pt>
                <c:pt idx="219">
                  <c:v>1.9472768551550801</c:v>
                </c:pt>
                <c:pt idx="220">
                  <c:v>1.8723506748779699</c:v>
                </c:pt>
                <c:pt idx="221">
                  <c:v>1.9363195360085901</c:v>
                </c:pt>
                <c:pt idx="222">
                  <c:v>1.8227006055745001</c:v>
                </c:pt>
                <c:pt idx="223">
                  <c:v>2.2797009902415901</c:v>
                </c:pt>
                <c:pt idx="224">
                  <c:v>2.13023616344638</c:v>
                </c:pt>
                <c:pt idx="225">
                  <c:v>1.9689576221043901</c:v>
                </c:pt>
                <c:pt idx="226">
                  <c:v>1.9543624302211</c:v>
                </c:pt>
                <c:pt idx="227">
                  <c:v>2.0643711322192999</c:v>
                </c:pt>
                <c:pt idx="228">
                  <c:v>2.0498151508424001</c:v>
                </c:pt>
                <c:pt idx="229">
                  <c:v>2.0924687547980598</c:v>
                </c:pt>
                <c:pt idx="230">
                  <c:v>1.8877164659625201</c:v>
                </c:pt>
                <c:pt idx="231">
                  <c:v>2.1151951861259302</c:v>
                </c:pt>
                <c:pt idx="232">
                  <c:v>2.3019869482036999</c:v>
                </c:pt>
                <c:pt idx="233">
                  <c:v>2.1134173464686099</c:v>
                </c:pt>
                <c:pt idx="234">
                  <c:v>2.14466626973543</c:v>
                </c:pt>
                <c:pt idx="235">
                  <c:v>2.2125723940533</c:v>
                </c:pt>
                <c:pt idx="236">
                  <c:v>2.3561946917588301</c:v>
                </c:pt>
                <c:pt idx="237">
                  <c:v>2.4191416182710301</c:v>
                </c:pt>
                <c:pt idx="238">
                  <c:v>2.1900862213159198</c:v>
                </c:pt>
                <c:pt idx="239">
                  <c:v>2.3383458574959501</c:v>
                </c:pt>
                <c:pt idx="240">
                  <c:v>2.4321543276915598</c:v>
                </c:pt>
                <c:pt idx="241">
                  <c:v>2.1868077925067202</c:v>
                </c:pt>
                <c:pt idx="242">
                  <c:v>2.2509303121036002</c:v>
                </c:pt>
                <c:pt idx="243">
                  <c:v>2.1770674954127398</c:v>
                </c:pt>
                <c:pt idx="244">
                  <c:v>2.3636160622397799</c:v>
                </c:pt>
                <c:pt idx="245">
                  <c:v>2.6605142190284399</c:v>
                </c:pt>
                <c:pt idx="246">
                  <c:v>2.3679466170247401</c:v>
                </c:pt>
                <c:pt idx="247">
                  <c:v>2.3589463989639601</c:v>
                </c:pt>
                <c:pt idx="248">
                  <c:v>2.7068441321453398</c:v>
                </c:pt>
                <c:pt idx="249">
                  <c:v>2.3451869084018599</c:v>
                </c:pt>
                <c:pt idx="250">
                  <c:v>2.8017883777366399</c:v>
                </c:pt>
                <c:pt idx="251">
                  <c:v>2.7160333670291199</c:v>
                </c:pt>
                <c:pt idx="252">
                  <c:v>2.40359264277707</c:v>
                </c:pt>
                <c:pt idx="253">
                  <c:v>2.7631827362986501</c:v>
                </c:pt>
                <c:pt idx="254">
                  <c:v>2.7733516827554299</c:v>
                </c:pt>
                <c:pt idx="255">
                  <c:v>2.8499681861117399</c:v>
                </c:pt>
                <c:pt idx="256">
                  <c:v>2.8229621746536102</c:v>
                </c:pt>
                <c:pt idx="257">
                  <c:v>2.9948545462146399</c:v>
                </c:pt>
                <c:pt idx="258">
                  <c:v>3.0958983181372601</c:v>
                </c:pt>
                <c:pt idx="259">
                  <c:v>3.31558731154874</c:v>
                </c:pt>
                <c:pt idx="260">
                  <c:v>3.33309051929669</c:v>
                </c:pt>
                <c:pt idx="261">
                  <c:v>2.8466418319640399</c:v>
                </c:pt>
                <c:pt idx="262">
                  <c:v>3.5361842394573402</c:v>
                </c:pt>
                <c:pt idx="263">
                  <c:v>3.5048009940199498</c:v>
                </c:pt>
                <c:pt idx="264">
                  <c:v>3.2502854852365299</c:v>
                </c:pt>
                <c:pt idx="265">
                  <c:v>3.1532466580707901</c:v>
                </c:pt>
                <c:pt idx="266">
                  <c:v>2.9848355719023001</c:v>
                </c:pt>
                <c:pt idx="267">
                  <c:v>3.2472235152550302</c:v>
                </c:pt>
                <c:pt idx="268">
                  <c:v>3.0194712909896202</c:v>
                </c:pt>
                <c:pt idx="269">
                  <c:v>3.690897059004</c:v>
                </c:pt>
                <c:pt idx="270">
                  <c:v>3.0825243500204902</c:v>
                </c:pt>
                <c:pt idx="271">
                  <c:v>3.2680039216479599</c:v>
                </c:pt>
                <c:pt idx="272">
                  <c:v>3.1221011462077599</c:v>
                </c:pt>
                <c:pt idx="273">
                  <c:v>3.6118721814547898</c:v>
                </c:pt>
                <c:pt idx="274">
                  <c:v>3.9913377868737001</c:v>
                </c:pt>
                <c:pt idx="275">
                  <c:v>3.79237583146277</c:v>
                </c:pt>
                <c:pt idx="276">
                  <c:v>3.7080305350664999</c:v>
                </c:pt>
                <c:pt idx="277">
                  <c:v>4.3130634426462597</c:v>
                </c:pt>
                <c:pt idx="278">
                  <c:v>4.3292926375216698</c:v>
                </c:pt>
                <c:pt idx="279">
                  <c:v>4.3351690605416504</c:v>
                </c:pt>
                <c:pt idx="280">
                  <c:v>3.8655475599318199</c:v>
                </c:pt>
                <c:pt idx="281">
                  <c:v>3.4458424367367502</c:v>
                </c:pt>
                <c:pt idx="282">
                  <c:v>3.48119629351732</c:v>
                </c:pt>
                <c:pt idx="283">
                  <c:v>2.9574189664944801</c:v>
                </c:pt>
                <c:pt idx="284">
                  <c:v>3.7604768415740599</c:v>
                </c:pt>
                <c:pt idx="285">
                  <c:v>3.9525233886015099</c:v>
                </c:pt>
                <c:pt idx="286">
                  <c:v>4.2710218496395997</c:v>
                </c:pt>
                <c:pt idx="287">
                  <c:v>3.9727096750478901</c:v>
                </c:pt>
                <c:pt idx="288">
                  <c:v>4.1993593309668</c:v>
                </c:pt>
                <c:pt idx="289">
                  <c:v>4.4917113796506696</c:v>
                </c:pt>
                <c:pt idx="290">
                  <c:v>4.1860674362002701</c:v>
                </c:pt>
                <c:pt idx="291">
                  <c:v>3.9413419635765599</c:v>
                </c:pt>
                <c:pt idx="292">
                  <c:v>4.0037490227720003</c:v>
                </c:pt>
                <c:pt idx="293">
                  <c:v>4.5661149158777601</c:v>
                </c:pt>
                <c:pt idx="294">
                  <c:v>3.8837771981771101</c:v>
                </c:pt>
                <c:pt idx="295">
                  <c:v>4.3327176932129996</c:v>
                </c:pt>
                <c:pt idx="296">
                  <c:v>3.5120285804502198</c:v>
                </c:pt>
                <c:pt idx="297">
                  <c:v>4.2218408416808497</c:v>
                </c:pt>
                <c:pt idx="298">
                  <c:v>4.07909072422762</c:v>
                </c:pt>
                <c:pt idx="299">
                  <c:v>3.7900776667054901</c:v>
                </c:pt>
                <c:pt idx="300">
                  <c:v>3.9067275738649201</c:v>
                </c:pt>
                <c:pt idx="301">
                  <c:v>4.4290499199253297</c:v>
                </c:pt>
                <c:pt idx="302">
                  <c:v>4.5336211787487199</c:v>
                </c:pt>
                <c:pt idx="303">
                  <c:v>4.4543711369120702</c:v>
                </c:pt>
                <c:pt idx="304">
                  <c:v>4.2228070523882399</c:v>
                </c:pt>
                <c:pt idx="305">
                  <c:v>4.6601164132631299</c:v>
                </c:pt>
                <c:pt idx="306">
                  <c:v>4.0936800431524896</c:v>
                </c:pt>
                <c:pt idx="307">
                  <c:v>4.5357192960406802</c:v>
                </c:pt>
                <c:pt idx="308">
                  <c:v>4.0468550871150901</c:v>
                </c:pt>
                <c:pt idx="309">
                  <c:v>3.9705357418312399</c:v>
                </c:pt>
                <c:pt idx="310">
                  <c:v>4.3000850927514103</c:v>
                </c:pt>
                <c:pt idx="311">
                  <c:v>4.5401204015455896</c:v>
                </c:pt>
                <c:pt idx="312">
                  <c:v>4.0084700506883797</c:v>
                </c:pt>
                <c:pt idx="313">
                  <c:v>4.6248543988498501</c:v>
                </c:pt>
                <c:pt idx="314">
                  <c:v>4.7905230548515503</c:v>
                </c:pt>
                <c:pt idx="315">
                  <c:v>4.4507781493854903</c:v>
                </c:pt>
                <c:pt idx="316">
                  <c:v>4.4628141545401503</c:v>
                </c:pt>
                <c:pt idx="317">
                  <c:v>4.21513943306838</c:v>
                </c:pt>
                <c:pt idx="318">
                  <c:v>4.4051411991437703</c:v>
                </c:pt>
                <c:pt idx="319">
                  <c:v>4.6894895954701497</c:v>
                </c:pt>
                <c:pt idx="320">
                  <c:v>5.18082671843516</c:v>
                </c:pt>
                <c:pt idx="321">
                  <c:v>4.8617044252374404</c:v>
                </c:pt>
                <c:pt idx="322">
                  <c:v>5.1788291742028303</c:v>
                </c:pt>
                <c:pt idx="323">
                  <c:v>4.6118385644109896</c:v>
                </c:pt>
                <c:pt idx="324">
                  <c:v>4.7645494430303801</c:v>
                </c:pt>
                <c:pt idx="325">
                  <c:v>4.3139997329077397</c:v>
                </c:pt>
                <c:pt idx="326">
                  <c:v>4.6907224955806797</c:v>
                </c:pt>
                <c:pt idx="327">
                  <c:v>4.9888281844121698</c:v>
                </c:pt>
                <c:pt idx="328">
                  <c:v>4.6678938484495296</c:v>
                </c:pt>
                <c:pt idx="329">
                  <c:v>5.1084092131502103</c:v>
                </c:pt>
                <c:pt idx="330">
                  <c:v>5.0734894316277499</c:v>
                </c:pt>
                <c:pt idx="331">
                  <c:v>4.3769921750595504</c:v>
                </c:pt>
                <c:pt idx="332">
                  <c:v>4.9084033329097201</c:v>
                </c:pt>
                <c:pt idx="333">
                  <c:v>5.1645013403608404</c:v>
                </c:pt>
                <c:pt idx="334">
                  <c:v>4.9496681172332702</c:v>
                </c:pt>
                <c:pt idx="335">
                  <c:v>4.6904739446972998</c:v>
                </c:pt>
                <c:pt idx="336">
                  <c:v>4.6911390430152897</c:v>
                </c:pt>
                <c:pt idx="337">
                  <c:v>4.7598644407320503</c:v>
                </c:pt>
                <c:pt idx="338">
                  <c:v>4.7237246582039401</c:v>
                </c:pt>
                <c:pt idx="339">
                  <c:v>4.7679370940451804</c:v>
                </c:pt>
                <c:pt idx="340">
                  <c:v>5.0529054479945801</c:v>
                </c:pt>
                <c:pt idx="341">
                  <c:v>5.1415144101699601</c:v>
                </c:pt>
                <c:pt idx="342">
                  <c:v>4.40716009553657</c:v>
                </c:pt>
                <c:pt idx="343">
                  <c:v>4.4917489033465099</c:v>
                </c:pt>
                <c:pt idx="344">
                  <c:v>4.8142714104160103</c:v>
                </c:pt>
                <c:pt idx="345">
                  <c:v>5.0763678132495098</c:v>
                </c:pt>
                <c:pt idx="346">
                  <c:v>5.4304096429369402</c:v>
                </c:pt>
                <c:pt idx="347">
                  <c:v>4.6978930391275799</c:v>
                </c:pt>
                <c:pt idx="348">
                  <c:v>5.23969874104698</c:v>
                </c:pt>
                <c:pt idx="349">
                  <c:v>4.6205154777083504</c:v>
                </c:pt>
                <c:pt idx="350">
                  <c:v>4.6025159850897603</c:v>
                </c:pt>
                <c:pt idx="351">
                  <c:v>4.5028651008892204</c:v>
                </c:pt>
                <c:pt idx="352">
                  <c:v>4.5352498679258</c:v>
                </c:pt>
                <c:pt idx="353">
                  <c:v>4.85109865407901</c:v>
                </c:pt>
                <c:pt idx="354">
                  <c:v>4.8513805405436798</c:v>
                </c:pt>
                <c:pt idx="355">
                  <c:v>5.1053956480939604</c:v>
                </c:pt>
                <c:pt idx="356">
                  <c:v>5.2153750654164197</c:v>
                </c:pt>
                <c:pt idx="357">
                  <c:v>4.9302128810580896</c:v>
                </c:pt>
                <c:pt idx="358">
                  <c:v>4.9539973080097104</c:v>
                </c:pt>
                <c:pt idx="359">
                  <c:v>5.6471793539629997</c:v>
                </c:pt>
                <c:pt idx="360">
                  <c:v>5.1544709514345302</c:v>
                </c:pt>
                <c:pt idx="361">
                  <c:v>4.9884818070017598</c:v>
                </c:pt>
                <c:pt idx="362">
                  <c:v>5.0333749511885504</c:v>
                </c:pt>
                <c:pt idx="363">
                  <c:v>4.9601120225528899</c:v>
                </c:pt>
                <c:pt idx="364">
                  <c:v>4.7869900887848003</c:v>
                </c:pt>
                <c:pt idx="365">
                  <c:v>5.9326187522648404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31-4CA4-A6A8-8F5CF2DAC164}"/>
            </c:ext>
          </c:extLst>
        </c:ser>
        <c:ser>
          <c:idx val="3"/>
          <c:order val="3"/>
          <c:tx>
            <c:strRef>
              <c:f>'Met Data'!$S$2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Data'!$S$3:$S$368</c:f>
              <c:numCache>
                <c:formatCode>General</c:formatCode>
                <c:ptCount val="366"/>
                <c:pt idx="0">
                  <c:v>5.1156695210488401</c:v>
                </c:pt>
                <c:pt idx="1">
                  <c:v>4.1734840219778304</c:v>
                </c:pt>
                <c:pt idx="2">
                  <c:v>4.5425951432696703</c:v>
                </c:pt>
                <c:pt idx="3">
                  <c:v>4.4632480649158301</c:v>
                </c:pt>
                <c:pt idx="4">
                  <c:v>4.9404066497144798</c:v>
                </c:pt>
                <c:pt idx="5">
                  <c:v>4.3756714557078196</c:v>
                </c:pt>
                <c:pt idx="6">
                  <c:v>4.1764003680813202</c:v>
                </c:pt>
                <c:pt idx="7">
                  <c:v>4.4751184437908202</c:v>
                </c:pt>
                <c:pt idx="8">
                  <c:v>4.5434725233334001</c:v>
                </c:pt>
                <c:pt idx="9">
                  <c:v>4.3406035827446301</c:v>
                </c:pt>
                <c:pt idx="10">
                  <c:v>4.2947966440234202</c:v>
                </c:pt>
                <c:pt idx="11">
                  <c:v>4.2502938829451997</c:v>
                </c:pt>
                <c:pt idx="12">
                  <c:v>4.1708461237910903</c:v>
                </c:pt>
                <c:pt idx="13">
                  <c:v>4.2610769847391596</c:v>
                </c:pt>
                <c:pt idx="14">
                  <c:v>5.06768128899982</c:v>
                </c:pt>
                <c:pt idx="15">
                  <c:v>4.7085697473065098</c:v>
                </c:pt>
                <c:pt idx="16">
                  <c:v>4.4798656963229</c:v>
                </c:pt>
                <c:pt idx="17">
                  <c:v>4.64018022483409</c:v>
                </c:pt>
                <c:pt idx="18">
                  <c:v>4.0848780487065204</c:v>
                </c:pt>
                <c:pt idx="19">
                  <c:v>4.6771075386165597</c:v>
                </c:pt>
                <c:pt idx="20">
                  <c:v>5.0178944944470398</c:v>
                </c:pt>
                <c:pt idx="21">
                  <c:v>4.1738265399796699</c:v>
                </c:pt>
                <c:pt idx="22">
                  <c:v>3.69481729139908</c:v>
                </c:pt>
                <c:pt idx="23">
                  <c:v>4.3056713260445303</c:v>
                </c:pt>
                <c:pt idx="24">
                  <c:v>3.6951015609470699</c:v>
                </c:pt>
                <c:pt idx="25">
                  <c:v>4.0108675797292701</c:v>
                </c:pt>
                <c:pt idx="26">
                  <c:v>4.1048046533981104</c:v>
                </c:pt>
                <c:pt idx="27">
                  <c:v>4.0166623515260396</c:v>
                </c:pt>
                <c:pt idx="28">
                  <c:v>4.5477935392619004</c:v>
                </c:pt>
                <c:pt idx="29">
                  <c:v>4.3361172970357398</c:v>
                </c:pt>
                <c:pt idx="30">
                  <c:v>4.5817758046725903</c:v>
                </c:pt>
                <c:pt idx="31">
                  <c:v>4.3319549187801902</c:v>
                </c:pt>
                <c:pt idx="32">
                  <c:v>3.9776866067621199</c:v>
                </c:pt>
                <c:pt idx="33">
                  <c:v>4.02727149032743</c:v>
                </c:pt>
                <c:pt idx="34">
                  <c:v>4.0155463003514704</c:v>
                </c:pt>
                <c:pt idx="35">
                  <c:v>3.7161648586188898</c:v>
                </c:pt>
                <c:pt idx="36">
                  <c:v>4.1235933840964503</c:v>
                </c:pt>
                <c:pt idx="37">
                  <c:v>3.8637388883533799</c:v>
                </c:pt>
                <c:pt idx="38">
                  <c:v>4.4234931604239298</c:v>
                </c:pt>
                <c:pt idx="39">
                  <c:v>4.0829643850344599</c:v>
                </c:pt>
                <c:pt idx="40">
                  <c:v>3.8540938646663601</c:v>
                </c:pt>
                <c:pt idx="41">
                  <c:v>3.9715696567376901</c:v>
                </c:pt>
                <c:pt idx="42">
                  <c:v>3.3699681861202002</c:v>
                </c:pt>
                <c:pt idx="43">
                  <c:v>3.5900874487366101</c:v>
                </c:pt>
                <c:pt idx="44">
                  <c:v>3.5400214663159399</c:v>
                </c:pt>
                <c:pt idx="45">
                  <c:v>3.3317989721924901</c:v>
                </c:pt>
                <c:pt idx="46">
                  <c:v>3.6023573994559999</c:v>
                </c:pt>
                <c:pt idx="47">
                  <c:v>3.6842369372969901</c:v>
                </c:pt>
                <c:pt idx="48">
                  <c:v>3.5970705080862801</c:v>
                </c:pt>
                <c:pt idx="49">
                  <c:v>3.9692907037805099</c:v>
                </c:pt>
                <c:pt idx="50">
                  <c:v>3.73946860322968</c:v>
                </c:pt>
                <c:pt idx="51">
                  <c:v>3.9756634479393602</c:v>
                </c:pt>
                <c:pt idx="52">
                  <c:v>3.4093034749851601</c:v>
                </c:pt>
                <c:pt idx="53">
                  <c:v>3.3865998720646702</c:v>
                </c:pt>
                <c:pt idx="54">
                  <c:v>3.7871816958122699</c:v>
                </c:pt>
                <c:pt idx="55">
                  <c:v>3.5490353016013598</c:v>
                </c:pt>
                <c:pt idx="56">
                  <c:v>3.9921631522056402</c:v>
                </c:pt>
                <c:pt idx="57">
                  <c:v>3.2903793264861498</c:v>
                </c:pt>
                <c:pt idx="58">
                  <c:v>4.1833671251183402</c:v>
                </c:pt>
                <c:pt idx="59">
                  <c:v>2.9701613981980799</c:v>
                </c:pt>
                <c:pt idx="60">
                  <c:v>3.4240311955877401</c:v>
                </c:pt>
                <c:pt idx="61">
                  <c:v>3.2847618844763802</c:v>
                </c:pt>
                <c:pt idx="62">
                  <c:v>3.5803336332636402</c:v>
                </c:pt>
                <c:pt idx="63">
                  <c:v>3.4371457147158</c:v>
                </c:pt>
                <c:pt idx="64">
                  <c:v>3.22427246002459</c:v>
                </c:pt>
                <c:pt idx="65">
                  <c:v>2.9828730007155602</c:v>
                </c:pt>
                <c:pt idx="66">
                  <c:v>2.9698999884512198</c:v>
                </c:pt>
                <c:pt idx="67">
                  <c:v>2.6481871933319998</c:v>
                </c:pt>
                <c:pt idx="68">
                  <c:v>2.9401346482464801</c:v>
                </c:pt>
                <c:pt idx="69">
                  <c:v>2.5522208475113501</c:v>
                </c:pt>
                <c:pt idx="70">
                  <c:v>3.20860667383237</c:v>
                </c:pt>
                <c:pt idx="71">
                  <c:v>3.1232373886222802</c:v>
                </c:pt>
                <c:pt idx="72">
                  <c:v>3.21700716289685</c:v>
                </c:pt>
                <c:pt idx="73">
                  <c:v>3.0392687362129198</c:v>
                </c:pt>
                <c:pt idx="74">
                  <c:v>2.8693274271571001</c:v>
                </c:pt>
                <c:pt idx="75">
                  <c:v>2.5989578210029398</c:v>
                </c:pt>
                <c:pt idx="76">
                  <c:v>2.8517585529116598</c:v>
                </c:pt>
                <c:pt idx="77">
                  <c:v>3.0060581481435098</c:v>
                </c:pt>
                <c:pt idx="78">
                  <c:v>2.9219821631104002</c:v>
                </c:pt>
                <c:pt idx="79">
                  <c:v>2.7671344483574698</c:v>
                </c:pt>
                <c:pt idx="80">
                  <c:v>2.6678979676134</c:v>
                </c:pt>
                <c:pt idx="81">
                  <c:v>2.9320257091030602</c:v>
                </c:pt>
                <c:pt idx="82">
                  <c:v>2.6169076952642101</c:v>
                </c:pt>
                <c:pt idx="83">
                  <c:v>2.4359462718904501</c:v>
                </c:pt>
                <c:pt idx="84">
                  <c:v>2.6792023074030098</c:v>
                </c:pt>
                <c:pt idx="85">
                  <c:v>3.3011659577436401</c:v>
                </c:pt>
                <c:pt idx="86">
                  <c:v>2.8770809353010498</c:v>
                </c:pt>
                <c:pt idx="87">
                  <c:v>2.9907588646450001</c:v>
                </c:pt>
                <c:pt idx="88">
                  <c:v>2.6910401266418802</c:v>
                </c:pt>
                <c:pt idx="89">
                  <c:v>2.4834444848680701</c:v>
                </c:pt>
                <c:pt idx="90">
                  <c:v>2.6439430533652102</c:v>
                </c:pt>
                <c:pt idx="91">
                  <c:v>2.8020435565495698</c:v>
                </c:pt>
                <c:pt idx="92">
                  <c:v>2.7279110182902602</c:v>
                </c:pt>
                <c:pt idx="93">
                  <c:v>2.4436788319378602</c:v>
                </c:pt>
                <c:pt idx="94">
                  <c:v>2.4401977677314601</c:v>
                </c:pt>
                <c:pt idx="95">
                  <c:v>2.48493592911516</c:v>
                </c:pt>
                <c:pt idx="96">
                  <c:v>2.0579722898164099</c:v>
                </c:pt>
                <c:pt idx="97">
                  <c:v>2.1007041099705202</c:v>
                </c:pt>
                <c:pt idx="98">
                  <c:v>1.8428455965425199</c:v>
                </c:pt>
                <c:pt idx="99">
                  <c:v>2.0448295204184301</c:v>
                </c:pt>
                <c:pt idx="100">
                  <c:v>2.2058062408458601</c:v>
                </c:pt>
                <c:pt idx="101">
                  <c:v>1.74963192967944</c:v>
                </c:pt>
                <c:pt idx="102">
                  <c:v>1.9863014700113699</c:v>
                </c:pt>
                <c:pt idx="103">
                  <c:v>2.1272661269222999</c:v>
                </c:pt>
                <c:pt idx="104">
                  <c:v>2.0933842605353901</c:v>
                </c:pt>
                <c:pt idx="105">
                  <c:v>2.2171041919747001</c:v>
                </c:pt>
                <c:pt idx="106">
                  <c:v>1.7501181306570499</c:v>
                </c:pt>
                <c:pt idx="107">
                  <c:v>1.7436107608554301</c:v>
                </c:pt>
                <c:pt idx="108">
                  <c:v>1.94114548314883</c:v>
                </c:pt>
                <c:pt idx="109">
                  <c:v>1.8378726172436499</c:v>
                </c:pt>
                <c:pt idx="110">
                  <c:v>1.5587016680299901</c:v>
                </c:pt>
                <c:pt idx="111">
                  <c:v>1.6548621732230999</c:v>
                </c:pt>
                <c:pt idx="112">
                  <c:v>1.5674434370038399</c:v>
                </c:pt>
                <c:pt idx="113">
                  <c:v>1.61335756462753</c:v>
                </c:pt>
                <c:pt idx="114">
                  <c:v>1.5027011278143001</c:v>
                </c:pt>
                <c:pt idx="115">
                  <c:v>1.69066110021306</c:v>
                </c:pt>
                <c:pt idx="116">
                  <c:v>1.68723575343912</c:v>
                </c:pt>
                <c:pt idx="117">
                  <c:v>1.8103293855916101</c:v>
                </c:pt>
                <c:pt idx="118">
                  <c:v>1.6816877659343401</c:v>
                </c:pt>
                <c:pt idx="119">
                  <c:v>1.6696155313270999</c:v>
                </c:pt>
                <c:pt idx="120">
                  <c:v>1.66970422509512</c:v>
                </c:pt>
                <c:pt idx="121">
                  <c:v>1.56591133355906</c:v>
                </c:pt>
                <c:pt idx="122">
                  <c:v>1.8153605066996401</c:v>
                </c:pt>
                <c:pt idx="123">
                  <c:v>1.4246680557347999</c:v>
                </c:pt>
                <c:pt idx="124">
                  <c:v>1.39686817987717</c:v>
                </c:pt>
                <c:pt idx="125">
                  <c:v>1.46409646474203</c:v>
                </c:pt>
                <c:pt idx="126">
                  <c:v>1.4345521583508201</c:v>
                </c:pt>
                <c:pt idx="127">
                  <c:v>1.6428334879601501</c:v>
                </c:pt>
                <c:pt idx="128">
                  <c:v>1.6510387271701701</c:v>
                </c:pt>
                <c:pt idx="129">
                  <c:v>1.6034624895771801</c:v>
                </c:pt>
                <c:pt idx="130">
                  <c:v>1.57329696635336</c:v>
                </c:pt>
                <c:pt idx="131">
                  <c:v>1.5218514318470999</c:v>
                </c:pt>
                <c:pt idx="132">
                  <c:v>1.46991319246861</c:v>
                </c:pt>
                <c:pt idx="133">
                  <c:v>1.7335034977139201</c:v>
                </c:pt>
                <c:pt idx="134">
                  <c:v>1.3542864080452801</c:v>
                </c:pt>
                <c:pt idx="135">
                  <c:v>1.4285530568691001</c:v>
                </c:pt>
                <c:pt idx="136">
                  <c:v>1.2668202686791701</c:v>
                </c:pt>
                <c:pt idx="137">
                  <c:v>1.36111403075621</c:v>
                </c:pt>
                <c:pt idx="138">
                  <c:v>1.21011672141106</c:v>
                </c:pt>
                <c:pt idx="139">
                  <c:v>1.1647209471819799</c:v>
                </c:pt>
                <c:pt idx="140">
                  <c:v>1.09887850259451</c:v>
                </c:pt>
                <c:pt idx="141">
                  <c:v>1.2439224602750001</c:v>
                </c:pt>
                <c:pt idx="142">
                  <c:v>1.21768712617834</c:v>
                </c:pt>
                <c:pt idx="143">
                  <c:v>1.12929990529715</c:v>
                </c:pt>
                <c:pt idx="144">
                  <c:v>1.26831102365746</c:v>
                </c:pt>
                <c:pt idx="145">
                  <c:v>1.1170446337672499</c:v>
                </c:pt>
                <c:pt idx="146">
                  <c:v>1.15391802031854</c:v>
                </c:pt>
                <c:pt idx="147">
                  <c:v>1.24241439726467</c:v>
                </c:pt>
                <c:pt idx="148">
                  <c:v>1.27848911262641</c:v>
                </c:pt>
                <c:pt idx="149">
                  <c:v>1.2346891579071999</c:v>
                </c:pt>
                <c:pt idx="150">
                  <c:v>1.2920775625224401</c:v>
                </c:pt>
                <c:pt idx="151">
                  <c:v>1.24207436800048</c:v>
                </c:pt>
                <c:pt idx="152">
                  <c:v>0.87616298324624498</c:v>
                </c:pt>
                <c:pt idx="153">
                  <c:v>1.0884608983492099</c:v>
                </c:pt>
                <c:pt idx="154">
                  <c:v>0.94029294743459702</c:v>
                </c:pt>
                <c:pt idx="155">
                  <c:v>1.0138654033396699</c:v>
                </c:pt>
                <c:pt idx="156">
                  <c:v>0.93833896014180795</c:v>
                </c:pt>
                <c:pt idx="157">
                  <c:v>1.1096922270407199</c:v>
                </c:pt>
                <c:pt idx="158">
                  <c:v>1.04164916114671</c:v>
                </c:pt>
                <c:pt idx="159">
                  <c:v>0.95873258954107099</c:v>
                </c:pt>
                <c:pt idx="160">
                  <c:v>0.93064135902708001</c:v>
                </c:pt>
                <c:pt idx="161">
                  <c:v>1.07358015967061</c:v>
                </c:pt>
                <c:pt idx="162">
                  <c:v>1.22848092579364</c:v>
                </c:pt>
                <c:pt idx="163">
                  <c:v>1.0811345381111901</c:v>
                </c:pt>
                <c:pt idx="164">
                  <c:v>1.31116085629705</c:v>
                </c:pt>
                <c:pt idx="165">
                  <c:v>1.1021264469123799</c:v>
                </c:pt>
                <c:pt idx="166">
                  <c:v>1.18509865412074</c:v>
                </c:pt>
                <c:pt idx="167">
                  <c:v>1.20835211487642</c:v>
                </c:pt>
                <c:pt idx="168">
                  <c:v>1.18779083629558</c:v>
                </c:pt>
                <c:pt idx="169">
                  <c:v>0.90133502683518196</c:v>
                </c:pt>
                <c:pt idx="170">
                  <c:v>1.0492049061848401</c:v>
                </c:pt>
                <c:pt idx="171">
                  <c:v>0.95506489587569499</c:v>
                </c:pt>
                <c:pt idx="172">
                  <c:v>0.85292639212578802</c:v>
                </c:pt>
                <c:pt idx="173">
                  <c:v>0.98199358344277898</c:v>
                </c:pt>
                <c:pt idx="174">
                  <c:v>0.94656468510129799</c:v>
                </c:pt>
                <c:pt idx="175">
                  <c:v>1.0889747979077</c:v>
                </c:pt>
                <c:pt idx="176">
                  <c:v>1.0208048810716099</c:v>
                </c:pt>
                <c:pt idx="177">
                  <c:v>0.97810658795429595</c:v>
                </c:pt>
                <c:pt idx="178">
                  <c:v>0.90457648507279298</c:v>
                </c:pt>
                <c:pt idx="179">
                  <c:v>0.98962724918159894</c:v>
                </c:pt>
                <c:pt idx="180">
                  <c:v>1.2219726743936601</c:v>
                </c:pt>
                <c:pt idx="181">
                  <c:v>1.13403924306215</c:v>
                </c:pt>
                <c:pt idx="182">
                  <c:v>1.03182731120008</c:v>
                </c:pt>
                <c:pt idx="183">
                  <c:v>1.1585335138072801</c:v>
                </c:pt>
                <c:pt idx="184">
                  <c:v>1.13165778379763</c:v>
                </c:pt>
                <c:pt idx="185">
                  <c:v>1.1549653440790799</c:v>
                </c:pt>
                <c:pt idx="186">
                  <c:v>1.0467158284672899</c:v>
                </c:pt>
                <c:pt idx="187">
                  <c:v>1.0495959399025301</c:v>
                </c:pt>
                <c:pt idx="188">
                  <c:v>0.87212342362085105</c:v>
                </c:pt>
                <c:pt idx="189">
                  <c:v>0.963711059373207</c:v>
                </c:pt>
                <c:pt idx="190">
                  <c:v>0.94572547363132997</c:v>
                </c:pt>
                <c:pt idx="191">
                  <c:v>0.928909310391834</c:v>
                </c:pt>
                <c:pt idx="192">
                  <c:v>1.0025561080527401</c:v>
                </c:pt>
                <c:pt idx="193">
                  <c:v>1.1392988578041701</c:v>
                </c:pt>
                <c:pt idx="194">
                  <c:v>1.2061106074183101</c:v>
                </c:pt>
                <c:pt idx="195">
                  <c:v>1.08772148944397</c:v>
                </c:pt>
                <c:pt idx="196">
                  <c:v>0.94193825817400201</c:v>
                </c:pt>
                <c:pt idx="197">
                  <c:v>1.1589647191816199</c:v>
                </c:pt>
                <c:pt idx="198">
                  <c:v>1.0460247979900501</c:v>
                </c:pt>
                <c:pt idx="199">
                  <c:v>1.1888499073482</c:v>
                </c:pt>
                <c:pt idx="200">
                  <c:v>1.4082710112286101</c:v>
                </c:pt>
                <c:pt idx="201">
                  <c:v>1.2501919514791699</c:v>
                </c:pt>
                <c:pt idx="202">
                  <c:v>1.0544491767950099</c:v>
                </c:pt>
                <c:pt idx="203">
                  <c:v>1.35056989970224</c:v>
                </c:pt>
                <c:pt idx="204">
                  <c:v>1.1816936268934299</c:v>
                </c:pt>
                <c:pt idx="205">
                  <c:v>1.1271393467631201</c:v>
                </c:pt>
                <c:pt idx="206">
                  <c:v>1.4369147078942399</c:v>
                </c:pt>
                <c:pt idx="207">
                  <c:v>1.3226527145016</c:v>
                </c:pt>
                <c:pt idx="208">
                  <c:v>1.40868014829115</c:v>
                </c:pt>
                <c:pt idx="209">
                  <c:v>1.2683308435204901</c:v>
                </c:pt>
                <c:pt idx="210">
                  <c:v>1.31760658963864</c:v>
                </c:pt>
                <c:pt idx="211">
                  <c:v>1.57403379553346</c:v>
                </c:pt>
                <c:pt idx="212">
                  <c:v>1.60032210621773</c:v>
                </c:pt>
                <c:pt idx="213">
                  <c:v>1.18863883509873</c:v>
                </c:pt>
                <c:pt idx="214">
                  <c:v>1.54884825313339</c:v>
                </c:pt>
                <c:pt idx="215">
                  <c:v>1.3135892156242499</c:v>
                </c:pt>
                <c:pt idx="216">
                  <c:v>1.6217906530713</c:v>
                </c:pt>
                <c:pt idx="217">
                  <c:v>1.4575923970919999</c:v>
                </c:pt>
                <c:pt idx="218">
                  <c:v>1.46027059163204</c:v>
                </c:pt>
                <c:pt idx="219">
                  <c:v>1.5284089220343899</c:v>
                </c:pt>
                <c:pt idx="220">
                  <c:v>1.39717935133021</c:v>
                </c:pt>
                <c:pt idx="221">
                  <c:v>1.3668494947183301</c:v>
                </c:pt>
                <c:pt idx="222">
                  <c:v>1.6178270964270001</c:v>
                </c:pt>
                <c:pt idx="223">
                  <c:v>1.4130590805332399</c:v>
                </c:pt>
                <c:pt idx="224">
                  <c:v>1.5593133289510299</c:v>
                </c:pt>
                <c:pt idx="225">
                  <c:v>1.69407925358724</c:v>
                </c:pt>
                <c:pt idx="226">
                  <c:v>1.5389997246256699</c:v>
                </c:pt>
                <c:pt idx="227">
                  <c:v>1.78615290887678</c:v>
                </c:pt>
                <c:pt idx="228">
                  <c:v>1.7515241968414399</c:v>
                </c:pt>
                <c:pt idx="229">
                  <c:v>1.6880320740680801</c:v>
                </c:pt>
                <c:pt idx="230">
                  <c:v>1.63576948348863</c:v>
                </c:pt>
                <c:pt idx="231">
                  <c:v>1.7292609655947899</c:v>
                </c:pt>
                <c:pt idx="232">
                  <c:v>1.58922724062089</c:v>
                </c:pt>
                <c:pt idx="233">
                  <c:v>1.6049253554031699</c:v>
                </c:pt>
                <c:pt idx="234">
                  <c:v>1.7549417911581799</c:v>
                </c:pt>
                <c:pt idx="235">
                  <c:v>1.8149377274360901</c:v>
                </c:pt>
                <c:pt idx="236">
                  <c:v>1.9393466505642201</c:v>
                </c:pt>
                <c:pt idx="237">
                  <c:v>1.9791350802630601</c:v>
                </c:pt>
                <c:pt idx="238">
                  <c:v>1.7204160934621899</c:v>
                </c:pt>
                <c:pt idx="239">
                  <c:v>1.9649277738886799</c:v>
                </c:pt>
                <c:pt idx="240">
                  <c:v>1.8027656213366201</c:v>
                </c:pt>
                <c:pt idx="241">
                  <c:v>1.92594524401446</c:v>
                </c:pt>
                <c:pt idx="242">
                  <c:v>1.9272884798321399</c:v>
                </c:pt>
                <c:pt idx="243">
                  <c:v>1.78083884928638</c:v>
                </c:pt>
                <c:pt idx="244">
                  <c:v>1.9439199208192099</c:v>
                </c:pt>
                <c:pt idx="245">
                  <c:v>1.97341557241084</c:v>
                </c:pt>
                <c:pt idx="246">
                  <c:v>2.2015057722122902</c:v>
                </c:pt>
                <c:pt idx="247">
                  <c:v>2.2638263663836899</c:v>
                </c:pt>
                <c:pt idx="248">
                  <c:v>2.1741303115466799</c:v>
                </c:pt>
                <c:pt idx="249">
                  <c:v>2.6372999572181599</c:v>
                </c:pt>
                <c:pt idx="250">
                  <c:v>2.2590968955806598</c:v>
                </c:pt>
                <c:pt idx="251">
                  <c:v>2.3905628846276699</c:v>
                </c:pt>
                <c:pt idx="252">
                  <c:v>2.3402307138221299</c:v>
                </c:pt>
                <c:pt idx="253">
                  <c:v>2.4658456438424698</c:v>
                </c:pt>
                <c:pt idx="254">
                  <c:v>2.5203759274511199</c:v>
                </c:pt>
                <c:pt idx="255">
                  <c:v>2.4561551460720801</c:v>
                </c:pt>
                <c:pt idx="256">
                  <c:v>2.7321673997665901</c:v>
                </c:pt>
                <c:pt idx="257">
                  <c:v>2.7805604536575501</c:v>
                </c:pt>
                <c:pt idx="258">
                  <c:v>2.8536961428385701</c:v>
                </c:pt>
                <c:pt idx="259">
                  <c:v>2.7448495155489501</c:v>
                </c:pt>
                <c:pt idx="260">
                  <c:v>2.3038394037521801</c:v>
                </c:pt>
                <c:pt idx="261">
                  <c:v>2.4895045267515798</c:v>
                </c:pt>
                <c:pt idx="262">
                  <c:v>2.9524226155234001</c:v>
                </c:pt>
                <c:pt idx="263">
                  <c:v>2.6079852685953799</c:v>
                </c:pt>
                <c:pt idx="264">
                  <c:v>2.5291808949805898</c:v>
                </c:pt>
                <c:pt idx="265">
                  <c:v>2.7731427501422199</c:v>
                </c:pt>
                <c:pt idx="266">
                  <c:v>2.9074888272075099</c:v>
                </c:pt>
                <c:pt idx="267">
                  <c:v>2.6482824209583402</c:v>
                </c:pt>
                <c:pt idx="268">
                  <c:v>2.77163138127296</c:v>
                </c:pt>
                <c:pt idx="269">
                  <c:v>2.7514934617631002</c:v>
                </c:pt>
                <c:pt idx="270">
                  <c:v>2.5239789777356298</c:v>
                </c:pt>
                <c:pt idx="271">
                  <c:v>2.9124688274201902</c:v>
                </c:pt>
                <c:pt idx="272">
                  <c:v>3.0301169839706499</c:v>
                </c:pt>
                <c:pt idx="273">
                  <c:v>3.0391651317767501</c:v>
                </c:pt>
                <c:pt idx="274">
                  <c:v>3.1344846299028601</c:v>
                </c:pt>
                <c:pt idx="275">
                  <c:v>2.67999137318309</c:v>
                </c:pt>
                <c:pt idx="276">
                  <c:v>2.6267019098693898</c:v>
                </c:pt>
                <c:pt idx="277">
                  <c:v>2.9969150746190301</c:v>
                </c:pt>
                <c:pt idx="278">
                  <c:v>3.6835653067924499</c:v>
                </c:pt>
                <c:pt idx="279">
                  <c:v>3.48913907693712</c:v>
                </c:pt>
                <c:pt idx="280">
                  <c:v>3.2023495967689999</c:v>
                </c:pt>
                <c:pt idx="281">
                  <c:v>3.17237402264742</c:v>
                </c:pt>
                <c:pt idx="282">
                  <c:v>2.9927535869051698</c:v>
                </c:pt>
                <c:pt idx="283">
                  <c:v>3.1945622949860502</c:v>
                </c:pt>
                <c:pt idx="284">
                  <c:v>3.09829846104553</c:v>
                </c:pt>
                <c:pt idx="285">
                  <c:v>3.1898556083501601</c:v>
                </c:pt>
                <c:pt idx="286">
                  <c:v>2.8010527940918499</c:v>
                </c:pt>
                <c:pt idx="287">
                  <c:v>3.3703073222958699</c:v>
                </c:pt>
                <c:pt idx="288">
                  <c:v>3.38126626556343</c:v>
                </c:pt>
                <c:pt idx="289">
                  <c:v>3.6697847167500699</c:v>
                </c:pt>
                <c:pt idx="290">
                  <c:v>3.6501097708482901</c:v>
                </c:pt>
                <c:pt idx="291">
                  <c:v>3.62574940177287</c:v>
                </c:pt>
                <c:pt idx="292">
                  <c:v>3.66959381833122</c:v>
                </c:pt>
                <c:pt idx="293">
                  <c:v>3.5959017855332398</c:v>
                </c:pt>
                <c:pt idx="294">
                  <c:v>3.2017409158500101</c:v>
                </c:pt>
                <c:pt idx="295">
                  <c:v>3.1675130366347202</c:v>
                </c:pt>
                <c:pt idx="296">
                  <c:v>3.9950820359854</c:v>
                </c:pt>
                <c:pt idx="297">
                  <c:v>3.85285471712224</c:v>
                </c:pt>
                <c:pt idx="298">
                  <c:v>3.6885688559975298</c:v>
                </c:pt>
                <c:pt idx="299">
                  <c:v>3.3673341745851202</c:v>
                </c:pt>
                <c:pt idx="300">
                  <c:v>3.3953963720052101</c:v>
                </c:pt>
                <c:pt idx="301">
                  <c:v>3.4434492702842898</c:v>
                </c:pt>
                <c:pt idx="302">
                  <c:v>3.3627687789188001</c:v>
                </c:pt>
                <c:pt idx="303">
                  <c:v>3.6212758496943001</c:v>
                </c:pt>
                <c:pt idx="304">
                  <c:v>3.6221065003823201</c:v>
                </c:pt>
                <c:pt idx="305">
                  <c:v>3.7201195926675101</c:v>
                </c:pt>
                <c:pt idx="306">
                  <c:v>3.9229800727639801</c:v>
                </c:pt>
                <c:pt idx="307">
                  <c:v>3.7721036011503699</c:v>
                </c:pt>
                <c:pt idx="308">
                  <c:v>3.88455253177142</c:v>
                </c:pt>
                <c:pt idx="309">
                  <c:v>4.0760534235233097</c:v>
                </c:pt>
                <c:pt idx="310">
                  <c:v>4.0520587966685797</c:v>
                </c:pt>
                <c:pt idx="311">
                  <c:v>3.7049667302609</c:v>
                </c:pt>
                <c:pt idx="312">
                  <c:v>3.6868257972960401</c:v>
                </c:pt>
                <c:pt idx="313">
                  <c:v>4.1429679319374797</c:v>
                </c:pt>
                <c:pt idx="314">
                  <c:v>4.1215554711877997</c:v>
                </c:pt>
                <c:pt idx="315">
                  <c:v>3.7023332875121699</c:v>
                </c:pt>
                <c:pt idx="316">
                  <c:v>4.5241378427322596</c:v>
                </c:pt>
                <c:pt idx="317">
                  <c:v>4.3413812651192902</c:v>
                </c:pt>
                <c:pt idx="318">
                  <c:v>4.1525272114649203</c:v>
                </c:pt>
                <c:pt idx="319">
                  <c:v>4.2364665935127901</c:v>
                </c:pt>
                <c:pt idx="320">
                  <c:v>3.3966006321689299</c:v>
                </c:pt>
                <c:pt idx="321">
                  <c:v>3.6007125870413299</c:v>
                </c:pt>
                <c:pt idx="322">
                  <c:v>3.9699839092353999</c:v>
                </c:pt>
                <c:pt idx="323">
                  <c:v>3.76613816935249</c:v>
                </c:pt>
                <c:pt idx="324">
                  <c:v>3.5538494230042001</c:v>
                </c:pt>
                <c:pt idx="325">
                  <c:v>3.8669424136886801</c:v>
                </c:pt>
                <c:pt idx="326">
                  <c:v>4.9461859725186796</c:v>
                </c:pt>
                <c:pt idx="327">
                  <c:v>4.27874570080286</c:v>
                </c:pt>
                <c:pt idx="328">
                  <c:v>3.7408466618542899</c:v>
                </c:pt>
                <c:pt idx="329">
                  <c:v>4.5210591669477198</c:v>
                </c:pt>
                <c:pt idx="330">
                  <c:v>4.5297311334553996</c:v>
                </c:pt>
                <c:pt idx="331">
                  <c:v>4.01000589575614</c:v>
                </c:pt>
                <c:pt idx="332">
                  <c:v>4.1551143893683697</c:v>
                </c:pt>
                <c:pt idx="333">
                  <c:v>3.8709685301224299</c:v>
                </c:pt>
                <c:pt idx="334">
                  <c:v>4.2730672413417103</c:v>
                </c:pt>
                <c:pt idx="335">
                  <c:v>4.2523796228768704</c:v>
                </c:pt>
                <c:pt idx="336">
                  <c:v>4.44731982388089</c:v>
                </c:pt>
                <c:pt idx="337">
                  <c:v>4.7082998613426899</c:v>
                </c:pt>
                <c:pt idx="338">
                  <c:v>4.07685014845356</c:v>
                </c:pt>
                <c:pt idx="339">
                  <c:v>3.9832817994855199</c:v>
                </c:pt>
                <c:pt idx="340">
                  <c:v>4.2828764166494997</c:v>
                </c:pt>
                <c:pt idx="341">
                  <c:v>4.1708034774737399</c:v>
                </c:pt>
                <c:pt idx="342">
                  <c:v>4.2981092558818901</c:v>
                </c:pt>
                <c:pt idx="343">
                  <c:v>4.2350587014117096</c:v>
                </c:pt>
                <c:pt idx="344">
                  <c:v>3.90282268121967</c:v>
                </c:pt>
                <c:pt idx="345">
                  <c:v>4.5526715027977298</c:v>
                </c:pt>
                <c:pt idx="346">
                  <c:v>4.4272517692475102</c:v>
                </c:pt>
                <c:pt idx="347">
                  <c:v>4.7283771934232597</c:v>
                </c:pt>
                <c:pt idx="348">
                  <c:v>4.3302795048374803</c:v>
                </c:pt>
                <c:pt idx="349">
                  <c:v>4.3513352527547697</c:v>
                </c:pt>
                <c:pt idx="350">
                  <c:v>4.3150449407214602</c:v>
                </c:pt>
                <c:pt idx="351">
                  <c:v>4.1815635852244704</c:v>
                </c:pt>
                <c:pt idx="352">
                  <c:v>4.0183274037405603</c:v>
                </c:pt>
                <c:pt idx="353">
                  <c:v>4.3278716758073204</c:v>
                </c:pt>
                <c:pt idx="354">
                  <c:v>5.3935671990951901</c:v>
                </c:pt>
                <c:pt idx="355">
                  <c:v>4.4566913545793003</c:v>
                </c:pt>
                <c:pt idx="356">
                  <c:v>4.88993698649558</c:v>
                </c:pt>
                <c:pt idx="357">
                  <c:v>4.5288852948882097</c:v>
                </c:pt>
                <c:pt idx="358">
                  <c:v>4.43007468544464</c:v>
                </c:pt>
                <c:pt idx="359">
                  <c:v>4.8526011424146898</c:v>
                </c:pt>
                <c:pt idx="360">
                  <c:v>5.1986034592483401</c:v>
                </c:pt>
                <c:pt idx="361">
                  <c:v>4.7473376455265504</c:v>
                </c:pt>
                <c:pt idx="362">
                  <c:v>4.5862810570556798</c:v>
                </c:pt>
                <c:pt idx="363">
                  <c:v>4.5647633381517601</c:v>
                </c:pt>
                <c:pt idx="364">
                  <c:v>4.6057363426608502</c:v>
                </c:pt>
                <c:pt idx="365">
                  <c:v>3.33983924968393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31-4CA4-A6A8-8F5CF2DAC164}"/>
            </c:ext>
          </c:extLst>
        </c:ser>
        <c:ser>
          <c:idx val="4"/>
          <c:order val="4"/>
          <c:tx>
            <c:strRef>
              <c:f>'Met Data'!$T$2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Data'!$T$3:$T$368</c:f>
              <c:numCache>
                <c:formatCode>General</c:formatCode>
                <c:ptCount val="366"/>
                <c:pt idx="0">
                  <c:v>3.6545263506553698</c:v>
                </c:pt>
                <c:pt idx="1">
                  <c:v>3.0374578661788201</c:v>
                </c:pt>
                <c:pt idx="2">
                  <c:v>3.5424660833564698</c:v>
                </c:pt>
                <c:pt idx="3">
                  <c:v>4.6893309655458602</c:v>
                </c:pt>
                <c:pt idx="4">
                  <c:v>4.0957861961112103</c:v>
                </c:pt>
                <c:pt idx="5">
                  <c:v>4.0765351917680999</c:v>
                </c:pt>
                <c:pt idx="6">
                  <c:v>3.5869881049730998</c:v>
                </c:pt>
                <c:pt idx="7">
                  <c:v>4.2605807421289903</c:v>
                </c:pt>
                <c:pt idx="8">
                  <c:v>4.14669035003873</c:v>
                </c:pt>
                <c:pt idx="9">
                  <c:v>3.4815515936566799</c:v>
                </c:pt>
                <c:pt idx="10">
                  <c:v>4.1035718910061201</c:v>
                </c:pt>
                <c:pt idx="11">
                  <c:v>3.7942004669494902</c:v>
                </c:pt>
                <c:pt idx="12">
                  <c:v>3.9941259720520699</c:v>
                </c:pt>
                <c:pt idx="13">
                  <c:v>4.3919546564694203</c:v>
                </c:pt>
                <c:pt idx="14">
                  <c:v>4.2128718222508397</c:v>
                </c:pt>
                <c:pt idx="15">
                  <c:v>4.0252286180437302</c:v>
                </c:pt>
                <c:pt idx="16">
                  <c:v>4.3125410240098896</c:v>
                </c:pt>
                <c:pt idx="17">
                  <c:v>3.9046074195490301</c:v>
                </c:pt>
                <c:pt idx="18">
                  <c:v>4.0894627552594898</c:v>
                </c:pt>
                <c:pt idx="19">
                  <c:v>4.4627747616983804</c:v>
                </c:pt>
                <c:pt idx="20">
                  <c:v>3.8954755691343999</c:v>
                </c:pt>
                <c:pt idx="21">
                  <c:v>3.2997711779398098</c:v>
                </c:pt>
                <c:pt idx="22">
                  <c:v>3.46570930270954</c:v>
                </c:pt>
                <c:pt idx="23">
                  <c:v>4.0186876239346203</c:v>
                </c:pt>
                <c:pt idx="24">
                  <c:v>4.1496250953293998</c:v>
                </c:pt>
                <c:pt idx="25">
                  <c:v>4.1034832888531598</c:v>
                </c:pt>
                <c:pt idx="26">
                  <c:v>3.2920480795367801</c:v>
                </c:pt>
                <c:pt idx="27">
                  <c:v>3.7580315328576899</c:v>
                </c:pt>
                <c:pt idx="28">
                  <c:v>4.4825712398856101</c:v>
                </c:pt>
                <c:pt idx="29">
                  <c:v>4.1485395322845697</c:v>
                </c:pt>
                <c:pt idx="30">
                  <c:v>3.9002627778438899</c:v>
                </c:pt>
                <c:pt idx="31">
                  <c:v>3.3425533464765702</c:v>
                </c:pt>
                <c:pt idx="32">
                  <c:v>3.37031285883524</c:v>
                </c:pt>
                <c:pt idx="33">
                  <c:v>4.5373745966907704</c:v>
                </c:pt>
                <c:pt idx="34">
                  <c:v>3.5125215918157</c:v>
                </c:pt>
                <c:pt idx="35">
                  <c:v>3.7922889429532498</c:v>
                </c:pt>
                <c:pt idx="36">
                  <c:v>3.67022287265541</c:v>
                </c:pt>
                <c:pt idx="37">
                  <c:v>3.8754357428809398</c:v>
                </c:pt>
                <c:pt idx="38">
                  <c:v>3.8024866154372199</c:v>
                </c:pt>
                <c:pt idx="39">
                  <c:v>3.9226252937625699</c:v>
                </c:pt>
                <c:pt idx="40">
                  <c:v>3.6312925833969301</c:v>
                </c:pt>
                <c:pt idx="41">
                  <c:v>3.7825096271499201</c:v>
                </c:pt>
                <c:pt idx="42">
                  <c:v>3.5345089397679601</c:v>
                </c:pt>
                <c:pt idx="43">
                  <c:v>3.2860966338213999</c:v>
                </c:pt>
                <c:pt idx="44">
                  <c:v>3.8932908527116399</c:v>
                </c:pt>
                <c:pt idx="45">
                  <c:v>3.7918051722380999</c:v>
                </c:pt>
                <c:pt idx="46">
                  <c:v>3.8813294167315999</c:v>
                </c:pt>
                <c:pt idx="47">
                  <c:v>3.5062121478789399</c:v>
                </c:pt>
                <c:pt idx="48">
                  <c:v>3.5342235016405201</c:v>
                </c:pt>
                <c:pt idx="49">
                  <c:v>3.6338116563958698</c:v>
                </c:pt>
                <c:pt idx="50">
                  <c:v>3.7477053916930299</c:v>
                </c:pt>
                <c:pt idx="51">
                  <c:v>3.7395681594102799</c:v>
                </c:pt>
                <c:pt idx="52">
                  <c:v>3.0629444033618198</c:v>
                </c:pt>
                <c:pt idx="53">
                  <c:v>3.7397228058893299</c:v>
                </c:pt>
                <c:pt idx="54">
                  <c:v>3.5683594386422701</c:v>
                </c:pt>
                <c:pt idx="55">
                  <c:v>3.5556810366886502</c:v>
                </c:pt>
                <c:pt idx="56">
                  <c:v>3.6102637976598602</c:v>
                </c:pt>
                <c:pt idx="57">
                  <c:v>3.6752740997587301</c:v>
                </c:pt>
                <c:pt idx="58">
                  <c:v>3.6973328494211302</c:v>
                </c:pt>
                <c:pt idx="59">
                  <c:v>3.5365052642272401</c:v>
                </c:pt>
                <c:pt idx="60">
                  <c:v>3.0680063753167199</c:v>
                </c:pt>
                <c:pt idx="61">
                  <c:v>3.2161744467378801</c:v>
                </c:pt>
                <c:pt idx="62">
                  <c:v>2.8476580172568502</c:v>
                </c:pt>
                <c:pt idx="63">
                  <c:v>3.0856400612975601</c:v>
                </c:pt>
                <c:pt idx="64">
                  <c:v>2.4477007585282702</c:v>
                </c:pt>
                <c:pt idx="65">
                  <c:v>3.2051572713162999</c:v>
                </c:pt>
                <c:pt idx="66">
                  <c:v>3.3473688975414899</c:v>
                </c:pt>
                <c:pt idx="67">
                  <c:v>3.3552920602916099</c:v>
                </c:pt>
                <c:pt idx="68">
                  <c:v>3.2920876744510998</c:v>
                </c:pt>
                <c:pt idx="69">
                  <c:v>2.5592177640993499</c:v>
                </c:pt>
                <c:pt idx="70">
                  <c:v>2.85115032224514</c:v>
                </c:pt>
                <c:pt idx="71">
                  <c:v>2.7545575054438101</c:v>
                </c:pt>
                <c:pt idx="72">
                  <c:v>2.9925841251346701</c:v>
                </c:pt>
                <c:pt idx="73">
                  <c:v>2.9125814341448</c:v>
                </c:pt>
                <c:pt idx="74">
                  <c:v>2.3685635659939601</c:v>
                </c:pt>
                <c:pt idx="75">
                  <c:v>2.7759280674014901</c:v>
                </c:pt>
                <c:pt idx="76">
                  <c:v>2.7162290778951999</c:v>
                </c:pt>
                <c:pt idx="77">
                  <c:v>2.8216063312721902</c:v>
                </c:pt>
                <c:pt idx="78">
                  <c:v>2.7500481593686201</c:v>
                </c:pt>
                <c:pt idx="79">
                  <c:v>2.6292753041097501</c:v>
                </c:pt>
                <c:pt idx="80">
                  <c:v>2.3413673129625598</c:v>
                </c:pt>
                <c:pt idx="81">
                  <c:v>2.7038604411954998</c:v>
                </c:pt>
                <c:pt idx="82">
                  <c:v>2.1387131538714801</c:v>
                </c:pt>
                <c:pt idx="83">
                  <c:v>2.4308063740099</c:v>
                </c:pt>
                <c:pt idx="84">
                  <c:v>2.3866525377963699</c:v>
                </c:pt>
                <c:pt idx="85">
                  <c:v>2.6501779961824399</c:v>
                </c:pt>
                <c:pt idx="86">
                  <c:v>2.2352735074469998</c:v>
                </c:pt>
                <c:pt idx="87">
                  <c:v>2.3461969045698901</c:v>
                </c:pt>
                <c:pt idx="88">
                  <c:v>2.5330458314755799</c:v>
                </c:pt>
                <c:pt idx="89">
                  <c:v>2.4661161715906501</c:v>
                </c:pt>
                <c:pt idx="90">
                  <c:v>2.3173978620084501</c:v>
                </c:pt>
                <c:pt idx="91">
                  <c:v>2.1311275850035698</c:v>
                </c:pt>
                <c:pt idx="92">
                  <c:v>2.1942415542804201</c:v>
                </c:pt>
                <c:pt idx="93">
                  <c:v>2.18875214188912</c:v>
                </c:pt>
                <c:pt idx="94">
                  <c:v>2.25899576438928</c:v>
                </c:pt>
                <c:pt idx="95">
                  <c:v>2.2952223200603901</c:v>
                </c:pt>
                <c:pt idx="96">
                  <c:v>1.94562323949851</c:v>
                </c:pt>
                <c:pt idx="97">
                  <c:v>1.65226329552866</c:v>
                </c:pt>
                <c:pt idx="98">
                  <c:v>1.8668252234765801</c:v>
                </c:pt>
                <c:pt idx="99">
                  <c:v>1.97301093095216</c:v>
                </c:pt>
                <c:pt idx="100">
                  <c:v>1.63836682585681</c:v>
                </c:pt>
                <c:pt idx="101">
                  <c:v>1.8936832301932101</c:v>
                </c:pt>
                <c:pt idx="102">
                  <c:v>1.6971366028359001</c:v>
                </c:pt>
                <c:pt idx="103">
                  <c:v>1.6970685904410301</c:v>
                </c:pt>
                <c:pt idx="104">
                  <c:v>2.0649391337631702</c:v>
                </c:pt>
                <c:pt idx="105">
                  <c:v>1.7084212444020199</c:v>
                </c:pt>
                <c:pt idx="106">
                  <c:v>1.46996077972592</c:v>
                </c:pt>
                <c:pt idx="107">
                  <c:v>1.64274717869015</c:v>
                </c:pt>
                <c:pt idx="108">
                  <c:v>1.70342846945819</c:v>
                </c:pt>
                <c:pt idx="109">
                  <c:v>1.68674688590323</c:v>
                </c:pt>
                <c:pt idx="110">
                  <c:v>1.5152419322458901</c:v>
                </c:pt>
                <c:pt idx="111">
                  <c:v>1.65518894118648</c:v>
                </c:pt>
                <c:pt idx="112">
                  <c:v>1.66585763602601</c:v>
                </c:pt>
                <c:pt idx="113">
                  <c:v>1.5754379638326901</c:v>
                </c:pt>
                <c:pt idx="114">
                  <c:v>1.4622003711311999</c:v>
                </c:pt>
                <c:pt idx="115">
                  <c:v>1.4965322621758601</c:v>
                </c:pt>
                <c:pt idx="116">
                  <c:v>1.5702581753512701</c:v>
                </c:pt>
                <c:pt idx="117">
                  <c:v>1.27231342308323</c:v>
                </c:pt>
                <c:pt idx="118">
                  <c:v>1.5077932055652401</c:v>
                </c:pt>
                <c:pt idx="119">
                  <c:v>1.60300410285803</c:v>
                </c:pt>
                <c:pt idx="120">
                  <c:v>1.67837953393642</c:v>
                </c:pt>
                <c:pt idx="121">
                  <c:v>1.44561782365903</c:v>
                </c:pt>
                <c:pt idx="122">
                  <c:v>1.4319782957140901</c:v>
                </c:pt>
                <c:pt idx="123">
                  <c:v>1.16413167388704</c:v>
                </c:pt>
                <c:pt idx="124">
                  <c:v>1.3049016144750001</c:v>
                </c:pt>
                <c:pt idx="125">
                  <c:v>1.29751787384439</c:v>
                </c:pt>
                <c:pt idx="126">
                  <c:v>1.3071916611718599</c:v>
                </c:pt>
                <c:pt idx="127">
                  <c:v>1.27112414081248</c:v>
                </c:pt>
                <c:pt idx="128">
                  <c:v>1.3593529897032299</c:v>
                </c:pt>
                <c:pt idx="129">
                  <c:v>1.1980493949464299</c:v>
                </c:pt>
                <c:pt idx="130">
                  <c:v>1.0818629782871001</c:v>
                </c:pt>
                <c:pt idx="131">
                  <c:v>0.93360919947406795</c:v>
                </c:pt>
                <c:pt idx="132">
                  <c:v>1.3361527471355901</c:v>
                </c:pt>
                <c:pt idx="133">
                  <c:v>1.1907632624443201</c:v>
                </c:pt>
                <c:pt idx="134">
                  <c:v>1.16840876605303</c:v>
                </c:pt>
                <c:pt idx="135">
                  <c:v>1.23845839693481</c:v>
                </c:pt>
                <c:pt idx="136">
                  <c:v>1.3074898165915401</c:v>
                </c:pt>
                <c:pt idx="137">
                  <c:v>1.3321153360432201</c:v>
                </c:pt>
                <c:pt idx="138">
                  <c:v>1.2961776408629699</c:v>
                </c:pt>
                <c:pt idx="139">
                  <c:v>1.26598619456247</c:v>
                </c:pt>
                <c:pt idx="140">
                  <c:v>1.0607063970516699</c:v>
                </c:pt>
                <c:pt idx="141">
                  <c:v>1.10734547072848</c:v>
                </c:pt>
                <c:pt idx="142">
                  <c:v>0.94921082080766905</c:v>
                </c:pt>
                <c:pt idx="143">
                  <c:v>0.95593712910075901</c:v>
                </c:pt>
                <c:pt idx="144">
                  <c:v>0.98597820560947502</c:v>
                </c:pt>
                <c:pt idx="145">
                  <c:v>1.02530679052105</c:v>
                </c:pt>
                <c:pt idx="146">
                  <c:v>1.05508542906727</c:v>
                </c:pt>
                <c:pt idx="147">
                  <c:v>0.96273544691676505</c:v>
                </c:pt>
                <c:pt idx="148">
                  <c:v>1.08816831727148</c:v>
                </c:pt>
                <c:pt idx="149">
                  <c:v>1.0187040175234601</c:v>
                </c:pt>
                <c:pt idx="150">
                  <c:v>1.10197006718848</c:v>
                </c:pt>
                <c:pt idx="151">
                  <c:v>1.1690097853574</c:v>
                </c:pt>
                <c:pt idx="152">
                  <c:v>1.0280895768516001</c:v>
                </c:pt>
                <c:pt idx="153">
                  <c:v>0.97110296937720297</c:v>
                </c:pt>
                <c:pt idx="154">
                  <c:v>0.960770877493487</c:v>
                </c:pt>
                <c:pt idx="155">
                  <c:v>0.84332690198160198</c:v>
                </c:pt>
                <c:pt idx="156">
                  <c:v>0.93242759876210701</c:v>
                </c:pt>
                <c:pt idx="157">
                  <c:v>0.99912564942381998</c:v>
                </c:pt>
                <c:pt idx="158">
                  <c:v>1.0839051549829499</c:v>
                </c:pt>
                <c:pt idx="159">
                  <c:v>0.94567596592895498</c:v>
                </c:pt>
                <c:pt idx="160">
                  <c:v>0.77149259834587403</c:v>
                </c:pt>
                <c:pt idx="161">
                  <c:v>0.76887644299908198</c:v>
                </c:pt>
                <c:pt idx="162">
                  <c:v>0.886573255907814</c:v>
                </c:pt>
                <c:pt idx="163">
                  <c:v>0.75300621765048603</c:v>
                </c:pt>
                <c:pt idx="164">
                  <c:v>1.0949815777606999</c:v>
                </c:pt>
                <c:pt idx="165">
                  <c:v>0.76363291076582096</c:v>
                </c:pt>
                <c:pt idx="166">
                  <c:v>0.84633721178312304</c:v>
                </c:pt>
                <c:pt idx="167">
                  <c:v>0.91611783655738799</c:v>
                </c:pt>
                <c:pt idx="168">
                  <c:v>0.749895043982166</c:v>
                </c:pt>
                <c:pt idx="169">
                  <c:v>0.72031723210574305</c:v>
                </c:pt>
                <c:pt idx="170">
                  <c:v>0.829345309973199</c:v>
                </c:pt>
                <c:pt idx="171">
                  <c:v>0.90574236110997597</c:v>
                </c:pt>
                <c:pt idx="172">
                  <c:v>0.89904843691310898</c:v>
                </c:pt>
                <c:pt idx="173">
                  <c:v>0.82913615112138495</c:v>
                </c:pt>
                <c:pt idx="174">
                  <c:v>0.88746237543267503</c:v>
                </c:pt>
                <c:pt idx="175">
                  <c:v>0.97866599470650895</c:v>
                </c:pt>
                <c:pt idx="176">
                  <c:v>1.0040569739087299</c:v>
                </c:pt>
                <c:pt idx="177">
                  <c:v>0.89055521132494797</c:v>
                </c:pt>
                <c:pt idx="178">
                  <c:v>0.949335994975394</c:v>
                </c:pt>
                <c:pt idx="179">
                  <c:v>0.92539172734817898</c:v>
                </c:pt>
                <c:pt idx="180">
                  <c:v>0.82623977006466498</c:v>
                </c:pt>
                <c:pt idx="181">
                  <c:v>0.80690048817841498</c:v>
                </c:pt>
                <c:pt idx="182">
                  <c:v>1.0149186441071101</c:v>
                </c:pt>
                <c:pt idx="183">
                  <c:v>0.89125379504041602</c:v>
                </c:pt>
                <c:pt idx="184">
                  <c:v>0.87224086772784204</c:v>
                </c:pt>
                <c:pt idx="185">
                  <c:v>0.96939333533810901</c:v>
                </c:pt>
                <c:pt idx="186">
                  <c:v>0.851628840058262</c:v>
                </c:pt>
                <c:pt idx="187">
                  <c:v>0.80851868655974801</c:v>
                </c:pt>
                <c:pt idx="188">
                  <c:v>1.09493770994468</c:v>
                </c:pt>
                <c:pt idx="189">
                  <c:v>0.89025740200721304</c:v>
                </c:pt>
                <c:pt idx="190">
                  <c:v>1.06467045295546</c:v>
                </c:pt>
                <c:pt idx="191">
                  <c:v>1.03430816091664</c:v>
                </c:pt>
                <c:pt idx="192">
                  <c:v>1.0039262064680501</c:v>
                </c:pt>
                <c:pt idx="193">
                  <c:v>0.87492032925951801</c:v>
                </c:pt>
                <c:pt idx="194">
                  <c:v>0.80250527716076203</c:v>
                </c:pt>
                <c:pt idx="195">
                  <c:v>0.97822362204517799</c:v>
                </c:pt>
                <c:pt idx="196">
                  <c:v>0.78802331007485205</c:v>
                </c:pt>
                <c:pt idx="197">
                  <c:v>0.944748845250029</c:v>
                </c:pt>
                <c:pt idx="198">
                  <c:v>1.0240187106181899</c:v>
                </c:pt>
                <c:pt idx="199">
                  <c:v>1.16174529470798</c:v>
                </c:pt>
                <c:pt idx="200">
                  <c:v>0.94669865516537999</c:v>
                </c:pt>
                <c:pt idx="201">
                  <c:v>1.0815395194790001</c:v>
                </c:pt>
                <c:pt idx="202">
                  <c:v>1.0771273773513399</c:v>
                </c:pt>
                <c:pt idx="203">
                  <c:v>0.87955885998233896</c:v>
                </c:pt>
                <c:pt idx="204">
                  <c:v>0.953998897248024</c:v>
                </c:pt>
                <c:pt idx="205">
                  <c:v>1.2467505566806001</c:v>
                </c:pt>
                <c:pt idx="206">
                  <c:v>1.3150067848265401</c:v>
                </c:pt>
                <c:pt idx="207">
                  <c:v>1.11956275252086</c:v>
                </c:pt>
                <c:pt idx="208">
                  <c:v>1.28515382274214</c:v>
                </c:pt>
                <c:pt idx="209">
                  <c:v>1.1959337492079301</c:v>
                </c:pt>
                <c:pt idx="210">
                  <c:v>1.3658842309244701</c:v>
                </c:pt>
                <c:pt idx="211">
                  <c:v>0.89818915942500899</c:v>
                </c:pt>
                <c:pt idx="212">
                  <c:v>0.94454335980482496</c:v>
                </c:pt>
                <c:pt idx="213">
                  <c:v>1.0832642567801201</c:v>
                </c:pt>
                <c:pt idx="214">
                  <c:v>1.39183263100002</c:v>
                </c:pt>
                <c:pt idx="215">
                  <c:v>1.0301492818772899</c:v>
                </c:pt>
                <c:pt idx="216">
                  <c:v>1.3432284560273799</c:v>
                </c:pt>
                <c:pt idx="217">
                  <c:v>1.0259838566514501</c:v>
                </c:pt>
                <c:pt idx="218">
                  <c:v>1.1029484647982599</c:v>
                </c:pt>
                <c:pt idx="219">
                  <c:v>1.10790183862933</c:v>
                </c:pt>
                <c:pt idx="220">
                  <c:v>1.32402542664303</c:v>
                </c:pt>
                <c:pt idx="221">
                  <c:v>1.2882274194230801</c:v>
                </c:pt>
                <c:pt idx="222">
                  <c:v>1.2700812995642401</c:v>
                </c:pt>
                <c:pt idx="223">
                  <c:v>1.216678160996</c:v>
                </c:pt>
                <c:pt idx="224">
                  <c:v>1.2041756804414001</c:v>
                </c:pt>
                <c:pt idx="225">
                  <c:v>1.1357294741412001</c:v>
                </c:pt>
                <c:pt idx="226">
                  <c:v>1.2410385498851699</c:v>
                </c:pt>
                <c:pt idx="227">
                  <c:v>1.30158376837533</c:v>
                </c:pt>
                <c:pt idx="228">
                  <c:v>1.3713845776081399</c:v>
                </c:pt>
                <c:pt idx="229">
                  <c:v>1.38797998518043</c:v>
                </c:pt>
                <c:pt idx="230">
                  <c:v>1.56092628574794</c:v>
                </c:pt>
                <c:pt idx="231">
                  <c:v>1.4422774750484899</c:v>
                </c:pt>
                <c:pt idx="232">
                  <c:v>1.70464821639982</c:v>
                </c:pt>
                <c:pt idx="233">
                  <c:v>1.6762831823304301</c:v>
                </c:pt>
                <c:pt idx="234">
                  <c:v>1.44273965203753</c:v>
                </c:pt>
                <c:pt idx="235">
                  <c:v>1.7386735184612501</c:v>
                </c:pt>
                <c:pt idx="236">
                  <c:v>1.45538034550647</c:v>
                </c:pt>
                <c:pt idx="237">
                  <c:v>1.4899612238642299</c:v>
                </c:pt>
                <c:pt idx="238">
                  <c:v>1.6543487023337</c:v>
                </c:pt>
                <c:pt idx="239">
                  <c:v>1.6425180639822501</c:v>
                </c:pt>
                <c:pt idx="240">
                  <c:v>1.5065040723285099</c:v>
                </c:pt>
                <c:pt idx="241">
                  <c:v>1.7782422370636499</c:v>
                </c:pt>
                <c:pt idx="242">
                  <c:v>1.8075127039194601</c:v>
                </c:pt>
                <c:pt idx="243">
                  <c:v>1.80445161149383</c:v>
                </c:pt>
                <c:pt idx="244">
                  <c:v>1.4517482623371101</c:v>
                </c:pt>
                <c:pt idx="245">
                  <c:v>1.75831978881469</c:v>
                </c:pt>
                <c:pt idx="246">
                  <c:v>1.8005069619965</c:v>
                </c:pt>
                <c:pt idx="247">
                  <c:v>1.49919962363172</c:v>
                </c:pt>
                <c:pt idx="248">
                  <c:v>1.4735664157819599</c:v>
                </c:pt>
                <c:pt idx="249">
                  <c:v>1.8170202832795099</c:v>
                </c:pt>
                <c:pt idx="250">
                  <c:v>1.8773510693625799</c:v>
                </c:pt>
                <c:pt idx="251">
                  <c:v>1.8525160666589899</c:v>
                </c:pt>
                <c:pt idx="252">
                  <c:v>1.67590206119575</c:v>
                </c:pt>
                <c:pt idx="253">
                  <c:v>1.7070370554204599</c:v>
                </c:pt>
                <c:pt idx="254">
                  <c:v>1.9219866027073</c:v>
                </c:pt>
                <c:pt idx="255">
                  <c:v>1.86072433418519</c:v>
                </c:pt>
                <c:pt idx="256">
                  <c:v>1.6515892534407901</c:v>
                </c:pt>
                <c:pt idx="257">
                  <c:v>1.8040111781852</c:v>
                </c:pt>
                <c:pt idx="258">
                  <c:v>1.8880733064353601</c:v>
                </c:pt>
                <c:pt idx="259">
                  <c:v>2.0382752192881299</c:v>
                </c:pt>
                <c:pt idx="260">
                  <c:v>2.00744960029109</c:v>
                </c:pt>
                <c:pt idx="261">
                  <c:v>1.9387559167362001</c:v>
                </c:pt>
                <c:pt idx="262">
                  <c:v>2.0861830094945102</c:v>
                </c:pt>
                <c:pt idx="263">
                  <c:v>2.1398164486974101</c:v>
                </c:pt>
                <c:pt idx="264">
                  <c:v>2.31412085445224</c:v>
                </c:pt>
                <c:pt idx="265">
                  <c:v>2.2059606634486699</c:v>
                </c:pt>
                <c:pt idx="266">
                  <c:v>1.6755097599300399</c:v>
                </c:pt>
                <c:pt idx="267">
                  <c:v>2.1669648664524801</c:v>
                </c:pt>
                <c:pt idx="268">
                  <c:v>2.2423317945335</c:v>
                </c:pt>
                <c:pt idx="269">
                  <c:v>2.4484809787012698</c:v>
                </c:pt>
                <c:pt idx="270">
                  <c:v>2.13295390564413</c:v>
                </c:pt>
                <c:pt idx="271">
                  <c:v>2.3067555107961</c:v>
                </c:pt>
                <c:pt idx="272">
                  <c:v>2.4465918649770302</c:v>
                </c:pt>
                <c:pt idx="273">
                  <c:v>2.46735033441291</c:v>
                </c:pt>
                <c:pt idx="274">
                  <c:v>2.1199025888480301</c:v>
                </c:pt>
                <c:pt idx="275">
                  <c:v>2.6275875550097898</c:v>
                </c:pt>
                <c:pt idx="276">
                  <c:v>2.2251605523882798</c:v>
                </c:pt>
                <c:pt idx="277">
                  <c:v>2.2142725820580198</c:v>
                </c:pt>
                <c:pt idx="278">
                  <c:v>2.5217662070296001</c:v>
                </c:pt>
                <c:pt idx="279">
                  <c:v>2.4929362431341402</c:v>
                </c:pt>
                <c:pt idx="280">
                  <c:v>2.0932595279969002</c:v>
                </c:pt>
                <c:pt idx="281">
                  <c:v>2.3166472445358202</c:v>
                </c:pt>
                <c:pt idx="282">
                  <c:v>2.57259273420483</c:v>
                </c:pt>
                <c:pt idx="283">
                  <c:v>2.44735536591925</c:v>
                </c:pt>
                <c:pt idx="284">
                  <c:v>2.6706436990123898</c:v>
                </c:pt>
                <c:pt idx="285">
                  <c:v>1.9257972512671799</c:v>
                </c:pt>
                <c:pt idx="286">
                  <c:v>2.2182002807721002</c:v>
                </c:pt>
                <c:pt idx="287">
                  <c:v>2.3809243707544998</c:v>
                </c:pt>
                <c:pt idx="288">
                  <c:v>2.7800377367024298</c:v>
                </c:pt>
                <c:pt idx="289">
                  <c:v>2.65151934906442</c:v>
                </c:pt>
                <c:pt idx="290">
                  <c:v>2.2346438003254501</c:v>
                </c:pt>
                <c:pt idx="291">
                  <c:v>2.9905003990183601</c:v>
                </c:pt>
                <c:pt idx="292">
                  <c:v>2.7134262355768599</c:v>
                </c:pt>
                <c:pt idx="293">
                  <c:v>2.2874725559703002</c:v>
                </c:pt>
                <c:pt idx="294">
                  <c:v>2.31884542682567</c:v>
                </c:pt>
                <c:pt idx="295">
                  <c:v>2.7150999093147798</c:v>
                </c:pt>
                <c:pt idx="296">
                  <c:v>2.95103134032406</c:v>
                </c:pt>
                <c:pt idx="297">
                  <c:v>2.6842724832832401</c:v>
                </c:pt>
                <c:pt idx="298">
                  <c:v>2.91343955355575</c:v>
                </c:pt>
                <c:pt idx="299">
                  <c:v>2.4549016141153701</c:v>
                </c:pt>
                <c:pt idx="300">
                  <c:v>2.5803220554406501</c:v>
                </c:pt>
                <c:pt idx="301">
                  <c:v>2.91115304555708</c:v>
                </c:pt>
                <c:pt idx="302">
                  <c:v>3.19138361024571</c:v>
                </c:pt>
                <c:pt idx="303">
                  <c:v>3.1814806222099299</c:v>
                </c:pt>
                <c:pt idx="304">
                  <c:v>3.1007141373476301</c:v>
                </c:pt>
                <c:pt idx="305">
                  <c:v>3.50405600149278</c:v>
                </c:pt>
                <c:pt idx="306">
                  <c:v>2.61745839191309</c:v>
                </c:pt>
                <c:pt idx="307">
                  <c:v>2.7392607073945601</c:v>
                </c:pt>
                <c:pt idx="308">
                  <c:v>3.4135545366379101</c:v>
                </c:pt>
                <c:pt idx="309">
                  <c:v>3.2963131788019302</c:v>
                </c:pt>
                <c:pt idx="310">
                  <c:v>3.43315852526095</c:v>
                </c:pt>
                <c:pt idx="311">
                  <c:v>3.09770464623969</c:v>
                </c:pt>
                <c:pt idx="312">
                  <c:v>3.3024968395707299</c:v>
                </c:pt>
                <c:pt idx="313">
                  <c:v>2.6586912182490101</c:v>
                </c:pt>
                <c:pt idx="314">
                  <c:v>2.87577977788037</c:v>
                </c:pt>
                <c:pt idx="315">
                  <c:v>2.8947392121826798</c:v>
                </c:pt>
                <c:pt idx="316">
                  <c:v>3.2727192045008802</c:v>
                </c:pt>
                <c:pt idx="317">
                  <c:v>3.2542764283054399</c:v>
                </c:pt>
                <c:pt idx="318">
                  <c:v>3.39036465144653</c:v>
                </c:pt>
                <c:pt idx="319">
                  <c:v>3.3940384004400501</c:v>
                </c:pt>
                <c:pt idx="320">
                  <c:v>2.86263659321907</c:v>
                </c:pt>
                <c:pt idx="321">
                  <c:v>3.2654882571522399</c:v>
                </c:pt>
                <c:pt idx="322">
                  <c:v>3.5976260978488002</c:v>
                </c:pt>
                <c:pt idx="323">
                  <c:v>3.2574752266568199</c:v>
                </c:pt>
                <c:pt idx="324">
                  <c:v>3.2248407363783</c:v>
                </c:pt>
                <c:pt idx="325">
                  <c:v>3.2303061956604</c:v>
                </c:pt>
                <c:pt idx="326">
                  <c:v>3.8851743269165699</c:v>
                </c:pt>
                <c:pt idx="327">
                  <c:v>3.3424019609463702</c:v>
                </c:pt>
                <c:pt idx="328">
                  <c:v>3.2688322627941302</c:v>
                </c:pt>
                <c:pt idx="329">
                  <c:v>3.26798762006384</c:v>
                </c:pt>
                <c:pt idx="330">
                  <c:v>3.19082213890132</c:v>
                </c:pt>
                <c:pt idx="331">
                  <c:v>3.00999975823754</c:v>
                </c:pt>
                <c:pt idx="332">
                  <c:v>4.1701433642644803</c:v>
                </c:pt>
                <c:pt idx="333">
                  <c:v>3.7664149911337801</c:v>
                </c:pt>
                <c:pt idx="334">
                  <c:v>3.2490041935251899</c:v>
                </c:pt>
                <c:pt idx="335">
                  <c:v>3.8649058322152201</c:v>
                </c:pt>
                <c:pt idx="336">
                  <c:v>3.3633315244434101</c:v>
                </c:pt>
                <c:pt idx="337">
                  <c:v>3.8332290024095501</c:v>
                </c:pt>
                <c:pt idx="338">
                  <c:v>3.3753600087216298</c:v>
                </c:pt>
                <c:pt idx="339">
                  <c:v>2.8811659068389401</c:v>
                </c:pt>
                <c:pt idx="340">
                  <c:v>3.4185168625157498</c:v>
                </c:pt>
                <c:pt idx="341">
                  <c:v>2.9122766026990501</c:v>
                </c:pt>
                <c:pt idx="342">
                  <c:v>3.7124167377990198</c:v>
                </c:pt>
                <c:pt idx="343">
                  <c:v>3.19412245919293</c:v>
                </c:pt>
                <c:pt idx="344">
                  <c:v>3.0664285414958901</c:v>
                </c:pt>
                <c:pt idx="345">
                  <c:v>3.6044975025694099</c:v>
                </c:pt>
                <c:pt idx="346">
                  <c:v>4.1436131117359496</c:v>
                </c:pt>
                <c:pt idx="347">
                  <c:v>3.8138486605430502</c:v>
                </c:pt>
                <c:pt idx="348">
                  <c:v>4.2245531095694204</c:v>
                </c:pt>
                <c:pt idx="349">
                  <c:v>4.0567025040665996</c:v>
                </c:pt>
                <c:pt idx="350">
                  <c:v>3.8858032497445998</c:v>
                </c:pt>
                <c:pt idx="351">
                  <c:v>3.5439221574521702</c:v>
                </c:pt>
                <c:pt idx="352">
                  <c:v>2.7226403112081199</c:v>
                </c:pt>
                <c:pt idx="353">
                  <c:v>3.7253118866284498</c:v>
                </c:pt>
                <c:pt idx="354">
                  <c:v>3.69045556475041</c:v>
                </c:pt>
                <c:pt idx="355">
                  <c:v>3.66376320931905</c:v>
                </c:pt>
                <c:pt idx="356">
                  <c:v>4.2904592235930501</c:v>
                </c:pt>
                <c:pt idx="357">
                  <c:v>3.61274265774352</c:v>
                </c:pt>
                <c:pt idx="358">
                  <c:v>4.09028075025509</c:v>
                </c:pt>
                <c:pt idx="359">
                  <c:v>4.1244552423616296</c:v>
                </c:pt>
                <c:pt idx="360">
                  <c:v>4.3692883234689903</c:v>
                </c:pt>
                <c:pt idx="361">
                  <c:v>3.8686759650684999</c:v>
                </c:pt>
                <c:pt idx="362">
                  <c:v>3.65125453231978</c:v>
                </c:pt>
                <c:pt idx="363">
                  <c:v>3.3111049356888498</c:v>
                </c:pt>
                <c:pt idx="364">
                  <c:v>3.7095349810249001</c:v>
                </c:pt>
                <c:pt idx="365">
                  <c:v>5.2329405479025102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631-4CA4-A6A8-8F5CF2DAC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0</xdr:rowOff>
    </xdr:from>
    <xdr:to>
      <xdr:col>15</xdr:col>
      <xdr:colOff>114300</xdr:colOff>
      <xdr:row>15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3EF197-35D9-4462-85DD-DA14E4212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79663</xdr:colOff>
      <xdr:row>16</xdr:row>
      <xdr:rowOff>17317</xdr:rowOff>
    </xdr:from>
    <xdr:to>
      <xdr:col>15</xdr:col>
      <xdr:colOff>108238</xdr:colOff>
      <xdr:row>36</xdr:row>
      <xdr:rowOff>130751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59380D7-09F0-4E9A-A7D1-99CB5C48C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85724</xdr:colOff>
      <xdr:row>1</xdr:row>
      <xdr:rowOff>28575</xdr:rowOff>
    </xdr:from>
    <xdr:to>
      <xdr:col>2</xdr:col>
      <xdr:colOff>1676399</xdr:colOff>
      <xdr:row>1</xdr:row>
      <xdr:rowOff>571500</xdr:rowOff>
    </xdr:to>
    <xdr:pic>
      <xdr:nvPicPr>
        <xdr:cNvPr id="5" name="Picture 4" descr="Text&#10;&#10;Description automatically generated with medium confidence">
          <a:extLst>
            <a:ext uri="{FF2B5EF4-FFF2-40B4-BE49-F238E27FC236}">
              <a16:creationId xmlns:a16="http://schemas.microsoft.com/office/drawing/2014/main" id="{4247593E-C2CC-4A04-9018-D599F59EE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4" y="285750"/>
          <a:ext cx="1590675" cy="54292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8</xdr:col>
      <xdr:colOff>85726</xdr:colOff>
      <xdr:row>57</xdr:row>
      <xdr:rowOff>155864</xdr:rowOff>
    </xdr:from>
    <xdr:to>
      <xdr:col>15</xdr:col>
      <xdr:colOff>112568</xdr:colOff>
      <xdr:row>78</xdr:row>
      <xdr:rowOff>74470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31EC8B8-838A-4D8A-A93F-1E7756424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99579</xdr:colOff>
      <xdr:row>36</xdr:row>
      <xdr:rowOff>180975</xdr:rowOff>
    </xdr:from>
    <xdr:to>
      <xdr:col>15</xdr:col>
      <xdr:colOff>141142</xdr:colOff>
      <xdr:row>57</xdr:row>
      <xdr:rowOff>121228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88F53A5-7F55-4011-AC72-6B3EBC0028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4</xdr:row>
      <xdr:rowOff>95249</xdr:rowOff>
    </xdr:from>
    <xdr:to>
      <xdr:col>6</xdr:col>
      <xdr:colOff>561975</xdr:colOff>
      <xdr:row>22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1E32B3-028B-4260-99BB-BAC9D5DD93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38100</xdr:colOff>
      <xdr:row>4</xdr:row>
      <xdr:rowOff>104775</xdr:rowOff>
    </xdr:from>
    <xdr:to>
      <xdr:col>14</xdr:col>
      <xdr:colOff>276225</xdr:colOff>
      <xdr:row>22</xdr:row>
      <xdr:rowOff>142876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DBC91D7-2351-4293-AEAC-3217C3836A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114300</xdr:colOff>
      <xdr:row>4</xdr:row>
      <xdr:rowOff>114300</xdr:rowOff>
    </xdr:from>
    <xdr:to>
      <xdr:col>21</xdr:col>
      <xdr:colOff>161925</xdr:colOff>
      <xdr:row>22</xdr:row>
      <xdr:rowOff>152401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138DFB-1FB6-4B73-9F58-80074A4AE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94E51-DA52-4E8F-871F-E96719DCF48D}">
  <sheetPr codeName="Sheet1">
    <pageSetUpPr fitToPage="1"/>
  </sheetPr>
  <dimension ref="A1:AK662"/>
  <sheetViews>
    <sheetView tabSelected="1" topLeftCell="C1" zoomScale="110" zoomScaleNormal="110" workbookViewId="0">
      <selection activeCell="E5" sqref="E5"/>
    </sheetView>
  </sheetViews>
  <sheetFormatPr defaultColWidth="9.109375" defaultRowHeight="14.4"/>
  <cols>
    <col min="1" max="1" width="9.109375" customWidth="1"/>
    <col min="2" max="2" width="10.33203125" customWidth="1"/>
    <col min="3" max="3" width="30.109375" style="55" customWidth="1"/>
    <col min="4" max="4" width="26.44140625" style="55" bestFit="1" customWidth="1"/>
    <col min="5" max="5" width="18.44140625" style="55" customWidth="1"/>
    <col min="6" max="6" width="20.44140625" style="55" bestFit="1" customWidth="1"/>
    <col min="7" max="8" width="17.44140625" style="55" bestFit="1" customWidth="1"/>
    <col min="9" max="10" width="22.5546875" style="55" bestFit="1" customWidth="1"/>
    <col min="11" max="15" width="9.109375" style="55"/>
    <col min="16" max="16" width="4.44140625" style="55" customWidth="1"/>
    <col min="17" max="17" width="92.109375" style="55" customWidth="1"/>
    <col min="18" max="18" width="10.6640625" style="55" customWidth="1"/>
    <col min="19" max="25" width="9.109375" style="55" customWidth="1"/>
    <col min="26" max="29" width="9.109375" customWidth="1"/>
    <col min="30" max="30" width="10.88671875" bestFit="1" customWidth="1"/>
  </cols>
  <sheetData>
    <row r="1" spans="2:34" s="55" customFormat="1" ht="20.25" customHeight="1">
      <c r="B1" s="55">
        <f>VLOOKUP(C1,ListMembers!U8:V10,2,FALSE)</f>
        <v>3</v>
      </c>
      <c r="C1" s="110" t="s">
        <v>183</v>
      </c>
      <c r="D1" s="123" t="s">
        <v>152</v>
      </c>
      <c r="E1" s="124"/>
      <c r="F1" s="124"/>
      <c r="G1" s="124"/>
      <c r="H1" s="125"/>
      <c r="Z1"/>
      <c r="AA1"/>
      <c r="AB1"/>
      <c r="AC1"/>
    </row>
    <row r="2" spans="2:34" s="55" customFormat="1" ht="47.25" customHeight="1">
      <c r="C2" s="100"/>
      <c r="D2" s="126" t="s">
        <v>153</v>
      </c>
      <c r="E2" s="127"/>
      <c r="F2" s="127"/>
      <c r="G2" s="127"/>
      <c r="H2" s="128"/>
      <c r="Z2"/>
      <c r="AA2"/>
      <c r="AB2"/>
      <c r="AC2"/>
    </row>
    <row r="3" spans="2:34" s="54" customFormat="1" ht="15" thickBot="1">
      <c r="B3" s="55"/>
      <c r="C3" s="129" t="s">
        <v>184</v>
      </c>
      <c r="D3" s="129"/>
      <c r="E3" s="129"/>
      <c r="F3" s="129"/>
      <c r="G3" s="130"/>
      <c r="H3" s="130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/>
      <c r="AA3"/>
      <c r="AB3"/>
      <c r="AC3"/>
    </row>
    <row r="4" spans="2:34" s="55" customFormat="1" ht="15.6">
      <c r="C4" s="102" t="s">
        <v>172</v>
      </c>
      <c r="D4" s="103" t="s">
        <v>278</v>
      </c>
      <c r="E4" s="58"/>
      <c r="F4" s="102" t="s">
        <v>192</v>
      </c>
      <c r="G4" s="86" t="str">
        <f>IF(H4="","Typical",H4)</f>
        <v>Typical</v>
      </c>
      <c r="H4" s="98"/>
      <c r="Z4"/>
      <c r="AA4"/>
      <c r="AB4"/>
      <c r="AC4"/>
    </row>
    <row r="5" spans="2:34" s="55" customFormat="1" ht="15.6">
      <c r="C5" s="102" t="s">
        <v>26</v>
      </c>
      <c r="D5" s="104" t="s">
        <v>65</v>
      </c>
      <c r="E5" s="58"/>
      <c r="F5" s="102" t="s">
        <v>193</v>
      </c>
      <c r="G5" s="86" t="str">
        <f>IF(H5="","Typical",H5)</f>
        <v>Typical</v>
      </c>
      <c r="H5" s="98"/>
      <c r="Z5"/>
      <c r="AA5"/>
      <c r="AB5"/>
      <c r="AC5"/>
    </row>
    <row r="6" spans="2:34" s="55" customFormat="1" ht="15.6">
      <c r="C6" s="102" t="s">
        <v>95</v>
      </c>
      <c r="D6" s="104" t="s">
        <v>6</v>
      </c>
      <c r="F6" s="102" t="s">
        <v>188</v>
      </c>
      <c r="G6" s="86" t="str">
        <f>IF(H6="","None",H6)</f>
        <v>None</v>
      </c>
      <c r="H6" s="112"/>
      <c r="Z6"/>
      <c r="AA6"/>
      <c r="AB6"/>
      <c r="AC6"/>
    </row>
    <row r="7" spans="2:34" s="55" customFormat="1">
      <c r="C7" s="57" t="s">
        <v>96</v>
      </c>
      <c r="D7" s="85" t="str">
        <f>IF(E7="","General",E7)</f>
        <v>Ice berg</v>
      </c>
      <c r="E7" s="92" t="s">
        <v>88</v>
      </c>
      <c r="Z7"/>
      <c r="AA7"/>
      <c r="AB7"/>
      <c r="AC7"/>
    </row>
    <row r="8" spans="2:34" s="55" customFormat="1">
      <c r="C8" s="64" t="s">
        <v>151</v>
      </c>
      <c r="D8" s="65" t="str">
        <f>CurrentCropName&amp;" "&amp;CurrentCropType&amp;" "&amp;CurrentCropVariety</f>
        <v>Lettuce Vegetable Ice berg</v>
      </c>
      <c r="Z8"/>
      <c r="AA8"/>
      <c r="AB8"/>
      <c r="AC8"/>
    </row>
    <row r="9" spans="2:34" s="55" customFormat="1">
      <c r="C9" s="57" t="s">
        <v>4</v>
      </c>
      <c r="D9" s="91">
        <f ca="1">IF(E9="",TODAY(),E9)</f>
        <v>45231</v>
      </c>
      <c r="E9" s="67">
        <v>45231</v>
      </c>
      <c r="F9" s="57" t="s">
        <v>146</v>
      </c>
      <c r="G9" s="85" t="str">
        <f>IF(H9="",VLOOKUP(CurrentCropNameFull,CropCoefficients,13,FALSE),H9)</f>
        <v>Seedling</v>
      </c>
      <c r="H9" s="72"/>
      <c r="Z9"/>
      <c r="AA9"/>
      <c r="AB9"/>
      <c r="AC9"/>
    </row>
    <row r="10" spans="2:34" s="55" customFormat="1">
      <c r="C10" s="57" t="s">
        <v>5</v>
      </c>
      <c r="D10" s="91">
        <f>IF(E10="",CurrentEstablishDate+125,E10)</f>
        <v>45301</v>
      </c>
      <c r="E10" s="67">
        <v>45301</v>
      </c>
      <c r="F10" s="57" t="s">
        <v>147</v>
      </c>
      <c r="G10" s="85" t="str">
        <f>IF(H10="",VLOOKUP(CurrentCropNameFull,CropCoefficients,15,FALSE),H10)</f>
        <v>Vegetative</v>
      </c>
      <c r="H10" s="72"/>
      <c r="Z10"/>
      <c r="AA10"/>
      <c r="AB10"/>
      <c r="AC10"/>
    </row>
    <row r="11" spans="2:34" s="55" customFormat="1">
      <c r="C11" s="57" t="s">
        <v>137</v>
      </c>
      <c r="D11" s="85">
        <f>IF(CurrentUnits="kg/head",IF(E11="",VLOOKUP(CurrentCropNameFull,CropCoefficients,20,FALSE),E11),"1")</f>
        <v>60000</v>
      </c>
      <c r="E11" s="72">
        <v>60000</v>
      </c>
      <c r="F11" s="57" t="s">
        <v>134</v>
      </c>
      <c r="G11" s="85">
        <f>IF(H11="",VLOOKUP(CurrentCropNameFull,CropCoefficients,23,FALSE),H11)</f>
        <v>0</v>
      </c>
      <c r="H11" s="72"/>
      <c r="Z11"/>
      <c r="AA11"/>
      <c r="AB11"/>
      <c r="AC11"/>
    </row>
    <row r="12" spans="2:34" s="55" customFormat="1">
      <c r="C12" s="57" t="str">
        <f>"Yield ("&amp;CurrentUnits&amp;")"</f>
        <v>Yield (kg/head)</v>
      </c>
      <c r="D12" s="85">
        <f>IF(E12="",VLOOKUP(CurrentCropNameFull,CropCoefficients,17,FALSE),E12)</f>
        <v>0.9</v>
      </c>
      <c r="E12" s="69">
        <v>0.9</v>
      </c>
      <c r="F12" s="57" t="s">
        <v>136</v>
      </c>
      <c r="G12" s="85">
        <f>IF(H12="",VLOOKUP(CurrentCropNameFull,CropCoefficients,22,FALSE),H12)</f>
        <v>0</v>
      </c>
      <c r="H12" s="72"/>
      <c r="Z12"/>
      <c r="AA12"/>
      <c r="AB12"/>
      <c r="AC12"/>
    </row>
    <row r="13" spans="2:34" s="55" customFormat="1">
      <c r="C13" s="57" t="s">
        <v>15</v>
      </c>
      <c r="D13" s="86" t="str">
        <f>IF(E13="",VLOOKUP(CurrentCropNameFull,CropCoefficients,18,FALSE),E13)</f>
        <v>kg/head</v>
      </c>
      <c r="E13" s="71"/>
      <c r="F13" s="57" t="s">
        <v>135</v>
      </c>
      <c r="G13" s="93">
        <f>IF(H13="",VLOOKUP(CurrentCropNameFull,CropCoefficients,26,FALSE),H13)</f>
        <v>96</v>
      </c>
      <c r="H13" s="72"/>
      <c r="Z13"/>
      <c r="AA13"/>
      <c r="AB13"/>
      <c r="AC13"/>
    </row>
    <row r="14" spans="2:34" s="55" customFormat="1">
      <c r="B14" s="90">
        <f>IF(CurrentUnits="kg/head",CurrentYield*CurrentPopulation/1000,IF(CurrentUnits="kg/ha",CurrentYield/1000,CurrentYield))</f>
        <v>54</v>
      </c>
      <c r="C14" s="64" t="str">
        <f>"Yield "&amp;CurrentYield_tperHa&amp;" (t/ha)"</f>
        <v>Yield 54 (t/ha)</v>
      </c>
      <c r="D14" s="90" t="str">
        <f ca="1">"requires "&amp;ROUND(SUM('Model Interface'!P4:Q4),0)&amp;" kg N/ha from all sources"</f>
        <v>requires 95 kg N/ha from all sources</v>
      </c>
      <c r="F14" s="57" t="s">
        <v>158</v>
      </c>
      <c r="G14" s="85" t="str">
        <f>IF(H14="","None removed",H14)</f>
        <v>None removed</v>
      </c>
      <c r="H14" s="72"/>
      <c r="R14" s="83">
        <f>PriorHarvestDate</f>
        <v>45230</v>
      </c>
      <c r="Z14"/>
      <c r="AA14"/>
      <c r="AB14"/>
      <c r="AC14"/>
    </row>
    <row r="15" spans="2:34" s="55" customFormat="1" ht="16.2" thickBot="1">
      <c r="B15" s="55">
        <f ca="1">SUMIF(B29:B43,1,G29:G43)</f>
        <v>62.602339078583221</v>
      </c>
      <c r="C15" s="105" t="s">
        <v>221</v>
      </c>
      <c r="D15" s="106" t="str">
        <f ca="1">SUMIF(B29:B43,1,G29:G43)&amp;" Kg/ha"</f>
        <v>62.6023390785832 Kg/ha</v>
      </c>
      <c r="E15" s="107" t="s">
        <v>187</v>
      </c>
      <c r="F15" s="57" t="s">
        <v>159</v>
      </c>
      <c r="G15" s="85" t="str">
        <f>IF(H15="","Full (Plough)",H15)</f>
        <v>Full (Plough)</v>
      </c>
      <c r="H15" s="72"/>
      <c r="R15" s="122" t="s">
        <v>224</v>
      </c>
      <c r="S15" s="122"/>
      <c r="T15" s="122"/>
      <c r="U15" s="122"/>
      <c r="V15" s="122"/>
      <c r="W15" s="115"/>
      <c r="X15" s="115"/>
      <c r="Y15" s="115"/>
      <c r="Z15" s="120" t="s">
        <v>223</v>
      </c>
      <c r="AA15" s="120"/>
      <c r="AB15" s="120"/>
      <c r="AC15" s="120"/>
      <c r="AD15" s="121" t="s">
        <v>225</v>
      </c>
      <c r="AE15" s="121"/>
      <c r="AF15" s="121"/>
      <c r="AG15" s="121"/>
      <c r="AH15" s="121"/>
    </row>
    <row r="16" spans="2:34" s="55" customFormat="1" ht="5.25" customHeight="1">
      <c r="Z16"/>
      <c r="AA16"/>
      <c r="AB16"/>
      <c r="AC16"/>
    </row>
    <row r="17" spans="1:37" s="54" customFormat="1" ht="15" thickBot="1">
      <c r="A17" s="55"/>
      <c r="B17" s="55"/>
      <c r="C17" s="129" t="s">
        <v>185</v>
      </c>
      <c r="D17" s="129"/>
      <c r="E17" s="129"/>
      <c r="F17" s="129"/>
      <c r="G17" s="129"/>
      <c r="H17" s="129"/>
      <c r="I17" s="55"/>
      <c r="J17" s="55"/>
      <c r="K17" s="55"/>
      <c r="L17" s="55"/>
      <c r="M17" s="55"/>
      <c r="N17" s="55"/>
      <c r="O17" s="55"/>
      <c r="P17" s="55"/>
      <c r="Q17" s="55"/>
      <c r="R17" s="55" t="str">
        <f ca="1">'Model Interface'!J6</f>
        <v>Date</v>
      </c>
      <c r="S17" s="55"/>
      <c r="T17" s="55" t="s">
        <v>157</v>
      </c>
      <c r="U17" s="55" t="s">
        <v>156</v>
      </c>
      <c r="V17" s="55" t="s">
        <v>13</v>
      </c>
      <c r="W17" s="55" t="s">
        <v>174</v>
      </c>
      <c r="X17" s="55" t="s">
        <v>244</v>
      </c>
      <c r="Y17" s="55" t="s">
        <v>245</v>
      </c>
      <c r="Z17" s="55" t="s">
        <v>202</v>
      </c>
      <c r="AA17" s="55" t="s">
        <v>203</v>
      </c>
      <c r="AB17" s="55" t="s">
        <v>188</v>
      </c>
      <c r="AC17" s="55" t="s">
        <v>206</v>
      </c>
      <c r="AD17" s="55" t="s">
        <v>14</v>
      </c>
      <c r="AE17" s="55"/>
      <c r="AF17" s="55" t="s">
        <v>157</v>
      </c>
      <c r="AG17" s="55" t="s">
        <v>156</v>
      </c>
      <c r="AH17" s="55" t="s">
        <v>13</v>
      </c>
      <c r="AI17" s="54" t="s">
        <v>174</v>
      </c>
      <c r="AJ17" s="55" t="s">
        <v>244</v>
      </c>
      <c r="AK17" s="55" t="s">
        <v>245</v>
      </c>
    </row>
    <row r="18" spans="1:37" s="55" customFormat="1" ht="5.25" customHeight="1">
      <c r="F18" s="59"/>
      <c r="G18" s="59"/>
      <c r="H18" s="59"/>
      <c r="R18" s="83">
        <f t="array" aca="1" ref="R18:R662" ca="1">_xlfn._xlws.FILTER('Model Interface'!X7:X496,('Model Interface'!X7:X496&gt;=StartGraphDate)*('Model Interface'!X7:X496&lt;=CurrentHarvestDate),"")</f>
        <v>45230</v>
      </c>
      <c r="S18" s="55">
        <f ca="1">IF(R18&gt;1,R18,"")</f>
        <v>45230</v>
      </c>
      <c r="T18" s="55">
        <f t="shared" ref="T18:T81" ca="1" si="0">VLOOKUP(S18,ModelOutputs,2,FALSE)</f>
        <v>0</v>
      </c>
      <c r="U18" s="55">
        <f t="shared" ref="U18:U81" ca="1" si="1">VLOOKUP(S18,ModelOutputs,7,FALSE)</f>
        <v>108.00000000000001</v>
      </c>
      <c r="V18" s="55">
        <f t="shared" ref="V18:V81" ca="1" si="2">VLOOKUP(S18,ModelOutputs,6,FALSE)</f>
        <v>0</v>
      </c>
      <c r="W18" s="55">
        <f ca="1">-VLOOKUP(S18,ModelOutputs,9,FALSE)</f>
        <v>0</v>
      </c>
      <c r="X18" s="55">
        <f ca="1">VLOOKUP(S18,ModelOutputs,5,FALSE)</f>
        <v>0.25742912124832429</v>
      </c>
      <c r="Y18" s="55">
        <f ca="1">VLOOKUP(S18,ModelOutputs,4,FALSE)</f>
        <v>0</v>
      </c>
      <c r="Z18">
        <f t="shared" ref="Z18:Z81" ca="1" si="3">VLOOKUP(S18,ModelOutputs,10,FALSE)*AWC</f>
        <v>108</v>
      </c>
      <c r="AA18">
        <f ca="1">VLOOKUP(S18,ModelOutputs,11,FALSE)</f>
        <v>0</v>
      </c>
      <c r="AB18">
        <f t="shared" ref="AB18:AB81" ca="1" si="4">VLOOKUP(S18,ModelOutputs,12,FALSE)</f>
        <v>0</v>
      </c>
      <c r="AC18">
        <f t="shared" ref="AC18:AC81" ca="1" si="5">VLOOKUP(S18,ModelOutputs,13,FALSE)</f>
        <v>0.99993345063478134</v>
      </c>
      <c r="AD18" s="83">
        <f t="array" aca="1" ref="AD18:AD662" ca="1">_xlfn._xlws.FILTER('Model Interface'!X7:X1000,('Model Interface'!X7:X1000&gt;=CurrentHarvestDate+1)*('Model Interface'!X7:X1000&lt;=FollowingHarvestDate),"")</f>
        <v>45302</v>
      </c>
      <c r="AE18" s="55">
        <f ca="1">IF(AD18&gt;1,AD18,"")</f>
        <v>45302</v>
      </c>
      <c r="AF18" s="55">
        <f t="shared" ref="AF18:AF20" ca="1" si="6">VLOOKUP(AE18,ModelOutputs,2,FALSE)</f>
        <v>28.635677357760713</v>
      </c>
      <c r="AG18" s="55">
        <f t="shared" ref="AG18:AG20" ca="1" si="7">VLOOKUP(AE18,ModelOutputs,7,FALSE)</f>
        <v>0</v>
      </c>
      <c r="AH18" s="55">
        <f t="shared" ref="AH18:AH20" ca="1" si="8">VLOOKUP(AE18,ModelOutputs,6,FALSE)</f>
        <v>0</v>
      </c>
      <c r="AI18" s="55">
        <f ca="1">-VLOOKUP(AE18,ModelOutputs,9,FALSE)</f>
        <v>0</v>
      </c>
      <c r="AJ18" s="55">
        <f t="shared" ref="AJ18" ca="1" si="9">VLOOKUP(AE18,ModelOutputs,5,FALSE)</f>
        <v>0.17150563009236167</v>
      </c>
      <c r="AK18" s="55">
        <f t="shared" ref="AK18" ca="1" si="10">VLOOKUP(AE18,ModelOutputs,4,FALSE)</f>
        <v>0.64536577269069362</v>
      </c>
    </row>
    <row r="19" spans="1:37" s="55" customFormat="1">
      <c r="C19" s="57" t="s">
        <v>218</v>
      </c>
      <c r="D19" s="85">
        <f>IF(E19="",60,E19)</f>
        <v>30</v>
      </c>
      <c r="E19" s="16">
        <v>30</v>
      </c>
      <c r="F19" s="94" t="str">
        <f ca="1">ROUND('Model Interface'!N3,0)&amp;" kg N/ha available from SOM mineralisation"</f>
        <v>16 kg N/ha available from SOM mineralisation</v>
      </c>
      <c r="R19" s="83">
        <f ca="1"/>
        <v>45231</v>
      </c>
      <c r="S19" s="55">
        <f t="shared" ref="S19:S82" ca="1" si="11">IF(R19&gt;1,R19,"")</f>
        <v>45231</v>
      </c>
      <c r="T19" s="55">
        <f t="shared" ca="1" si="0"/>
        <v>49.901073117640735</v>
      </c>
      <c r="U19" s="55">
        <f t="shared" ca="1" si="1"/>
        <v>2.239690988352546</v>
      </c>
      <c r="V19" s="55">
        <f t="shared" ca="1" si="2"/>
        <v>0</v>
      </c>
      <c r="W19" s="55">
        <f t="shared" ref="W19:W82" ca="1" si="12">-VLOOKUP(S19,ModelOutputs,9,FALSE)+W18</f>
        <v>0</v>
      </c>
      <c r="X19" s="55">
        <f t="shared" ref="X19:X82" ca="1" si="13">VLOOKUP(S19,ModelOutputs,5,FALSE)+X18</f>
        <v>0.49851187375164485</v>
      </c>
      <c r="Y19" s="55">
        <f t="shared" ref="Y19:Y82" ca="1" si="14">VLOOKUP(S19,ModelOutputs,4,FALSE)+Y18</f>
        <v>-0.34000963486259028</v>
      </c>
      <c r="Z19">
        <f t="shared" ca="1" si="3"/>
        <v>105.73415196405496</v>
      </c>
      <c r="AA19">
        <f t="shared" ref="AA19:AA82" ca="1" si="15">VLOOKUP(S19,ModelOutputs,11,FALSE)+AA18</f>
        <v>0</v>
      </c>
      <c r="AB19">
        <f t="shared" ca="1" si="4"/>
        <v>0</v>
      </c>
      <c r="AC19">
        <f t="shared" ca="1" si="5"/>
        <v>2.4708900187025557E-2</v>
      </c>
      <c r="AD19" s="83">
        <f ca="1"/>
        <v>45303</v>
      </c>
      <c r="AE19" s="55">
        <f t="shared" ref="AE19:AE20" ca="1" si="16">IF(AD19&gt;1,AD19,"")</f>
        <v>45303</v>
      </c>
      <c r="AF19" s="55">
        <f t="shared" ca="1" si="6"/>
        <v>29.396200873800485</v>
      </c>
      <c r="AG19" s="55">
        <f t="shared" ca="1" si="7"/>
        <v>0</v>
      </c>
      <c r="AH19" s="55">
        <f t="shared" ca="1" si="8"/>
        <v>0</v>
      </c>
      <c r="AI19" s="55">
        <f t="shared" ref="AI19:AI82" ca="1" si="17">-VLOOKUP(AE19,ModelOutputs,9,FALSE)+AI18</f>
        <v>0</v>
      </c>
      <c r="AJ19" s="55">
        <f t="shared" ref="AJ19:AJ82" ca="1" si="18">VLOOKUP(AE19,ModelOutputs,5,FALSE)+AJ18</f>
        <v>0.34278243266900077</v>
      </c>
      <c r="AK19" s="55">
        <f t="shared" ref="AK19:AK82" ca="1" si="19">VLOOKUP(AE19,ModelOutputs,4,FALSE)+AK18</f>
        <v>1.2346124861538277</v>
      </c>
    </row>
    <row r="20" spans="1:37" s="55" customFormat="1">
      <c r="C20" s="57" t="s">
        <v>228</v>
      </c>
      <c r="D20" s="85" t="str">
        <f>IF(E20="","Sedementary",E20)</f>
        <v>Volcanic</v>
      </c>
      <c r="E20" s="16" t="s">
        <v>229</v>
      </c>
      <c r="F20" s="94"/>
      <c r="R20" s="83">
        <f ca="1"/>
        <v>45232</v>
      </c>
      <c r="S20" s="55">
        <f t="shared" ca="1" si="11"/>
        <v>45232</v>
      </c>
      <c r="T20" s="55">
        <f t="shared" ca="1" si="0"/>
        <v>49.690090131295634</v>
      </c>
      <c r="U20" s="55">
        <f t="shared" ca="1" si="1"/>
        <v>2.3558250828050942</v>
      </c>
      <c r="V20" s="55">
        <f t="shared" ca="1" si="2"/>
        <v>0</v>
      </c>
      <c r="W20" s="55">
        <f t="shared" ca="1" si="12"/>
        <v>0</v>
      </c>
      <c r="X20" s="55">
        <f t="shared" ca="1" si="13"/>
        <v>0.72989667726533325</v>
      </c>
      <c r="Y20" s="55">
        <f t="shared" ca="1" si="14"/>
        <v>-0.66624333026883176</v>
      </c>
      <c r="Z20">
        <f t="shared" ca="1" si="3"/>
        <v>101.41294047558672</v>
      </c>
      <c r="AA20">
        <f t="shared" ca="1" si="15"/>
        <v>0</v>
      </c>
      <c r="AB20">
        <f t="shared" ca="1" si="4"/>
        <v>0</v>
      </c>
      <c r="AC20">
        <f t="shared" ca="1" si="5"/>
        <v>2.7980827496568911E-2</v>
      </c>
      <c r="AD20" s="83">
        <f ca="1"/>
        <v>45304</v>
      </c>
      <c r="AE20" s="55">
        <f t="shared" ca="1" si="16"/>
        <v>45304</v>
      </c>
      <c r="AF20" s="55">
        <f t="shared" ca="1" si="6"/>
        <v>30.176898122578415</v>
      </c>
      <c r="AG20" s="55">
        <f t="shared" ca="1" si="7"/>
        <v>0</v>
      </c>
      <c r="AH20" s="55">
        <f t="shared" ca="1" si="8"/>
        <v>0</v>
      </c>
      <c r="AI20" s="55">
        <f t="shared" ca="1" si="17"/>
        <v>0</v>
      </c>
      <c r="AJ20" s="55">
        <f t="shared" ca="1" si="18"/>
        <v>0.52326514166774118</v>
      </c>
      <c r="AK20" s="55">
        <f t="shared" ca="1" si="19"/>
        <v>1.8348270259330164</v>
      </c>
    </row>
    <row r="21" spans="1:37" s="55" customFormat="1" ht="15.75" customHeight="1">
      <c r="B21" s="55">
        <f>VLOOKUP(SampleDepth,depths,2,FALSE)</f>
        <v>2</v>
      </c>
      <c r="C21" s="57" t="s">
        <v>209</v>
      </c>
      <c r="D21" s="85" t="str">
        <f>IF(E21="","0-30cm",E21)</f>
        <v>Top15cm</v>
      </c>
      <c r="E21" s="16" t="s">
        <v>265</v>
      </c>
      <c r="F21" s="94"/>
      <c r="R21" s="83">
        <f ca="1"/>
        <v>45233</v>
      </c>
      <c r="S21" s="55">
        <f t="shared" ca="1" si="11"/>
        <v>45233</v>
      </c>
      <c r="T21" s="55">
        <f t="shared" ca="1" si="0"/>
        <v>49.487913733210299</v>
      </c>
      <c r="U21" s="55">
        <f t="shared" ca="1" si="1"/>
        <v>2.4763908589258712</v>
      </c>
      <c r="V21" s="55">
        <f t="shared" ca="1" si="2"/>
        <v>0</v>
      </c>
      <c r="W21" s="55">
        <f t="shared" ca="1" si="12"/>
        <v>0</v>
      </c>
      <c r="X21" s="55">
        <f t="shared" ca="1" si="13"/>
        <v>0.95758570771576923</v>
      </c>
      <c r="Y21" s="55">
        <f t="shared" ca="1" si="14"/>
        <v>-0.97554298268382345</v>
      </c>
      <c r="Z21">
        <f t="shared" ca="1" si="3"/>
        <v>100.79017697805565</v>
      </c>
      <c r="AA21">
        <f t="shared" ca="1" si="15"/>
        <v>0</v>
      </c>
      <c r="AB21">
        <f t="shared" ca="1" si="4"/>
        <v>0</v>
      </c>
      <c r="AC21">
        <f t="shared" ca="1" si="5"/>
        <v>3.1623892192874641E-2</v>
      </c>
      <c r="AD21" s="83">
        <f ca="1"/>
        <v>45305</v>
      </c>
      <c r="AE21" s="55">
        <f t="shared" ref="AE21:AE84" ca="1" si="20">IF(AD21&gt;1,AD21,"")</f>
        <v>45305</v>
      </c>
      <c r="AF21" s="55">
        <f t="shared" ref="AF21:AF84" ca="1" si="21">VLOOKUP(AE21,ModelOutputs,2,FALSE)</f>
        <v>30.931997360276576</v>
      </c>
      <c r="AG21" s="55">
        <f t="shared" ref="AG21:AG84" ca="1" si="22">VLOOKUP(AE21,ModelOutputs,7,FALSE)</f>
        <v>0</v>
      </c>
      <c r="AH21" s="55">
        <f t="shared" ref="AH21:AH84" ca="1" si="23">VLOOKUP(AE21,ModelOutputs,6,FALSE)</f>
        <v>0</v>
      </c>
      <c r="AI21" s="55">
        <f t="shared" ca="1" si="17"/>
        <v>0</v>
      </c>
      <c r="AJ21" s="55">
        <f t="shared" ca="1" si="18"/>
        <v>0.70842445486227978</v>
      </c>
      <c r="AK21" s="55">
        <f t="shared" ca="1" si="19"/>
        <v>2.4047669504366369</v>
      </c>
    </row>
    <row r="22" spans="1:37" s="55" customFormat="1" ht="15" customHeight="1">
      <c r="C22" s="57" t="s">
        <v>210</v>
      </c>
      <c r="D22" s="85" t="str">
        <f>IF(E22="","loam",E22)</f>
        <v>SiltLoam</v>
      </c>
      <c r="E22" s="16" t="s">
        <v>273</v>
      </c>
      <c r="F22" s="94"/>
      <c r="R22" s="83">
        <f ca="1"/>
        <v>45234</v>
      </c>
      <c r="S22" s="55">
        <f t="shared" ca="1" si="11"/>
        <v>45234</v>
      </c>
      <c r="T22" s="55">
        <f t="shared" ca="1" si="0"/>
        <v>49.291941212337953</v>
      </c>
      <c r="U22" s="55">
        <f t="shared" ca="1" si="1"/>
        <v>2.6060766793804833</v>
      </c>
      <c r="V22" s="55">
        <f t="shared" ca="1" si="2"/>
        <v>0</v>
      </c>
      <c r="W22" s="55">
        <f t="shared" ca="1" si="12"/>
        <v>0</v>
      </c>
      <c r="X22" s="55">
        <f t="shared" ca="1" si="13"/>
        <v>1.1909998161931239</v>
      </c>
      <c r="Y22" s="55">
        <f t="shared" ca="1" si="14"/>
        <v>-1.2752437915789125</v>
      </c>
      <c r="Z22">
        <f t="shared" ca="1" si="3"/>
        <v>101.43242487608852</v>
      </c>
      <c r="AA22">
        <f t="shared" ca="1" si="15"/>
        <v>0</v>
      </c>
      <c r="AB22">
        <f t="shared" ca="1" si="4"/>
        <v>0</v>
      </c>
      <c r="AC22">
        <f t="shared" ca="1" si="5"/>
        <v>3.5824511682542103E-2</v>
      </c>
      <c r="AD22" s="83">
        <f ca="1"/>
        <v>45306</v>
      </c>
      <c r="AE22" s="55">
        <f t="shared" ca="1" si="20"/>
        <v>45306</v>
      </c>
      <c r="AF22" s="55">
        <f t="shared" ca="1" si="21"/>
        <v>31.626101725378891</v>
      </c>
      <c r="AG22" s="55">
        <f t="shared" ca="1" si="22"/>
        <v>0</v>
      </c>
      <c r="AH22" s="55">
        <f t="shared" ca="1" si="23"/>
        <v>0</v>
      </c>
      <c r="AI22" s="55">
        <f t="shared" ca="1" si="17"/>
        <v>0</v>
      </c>
      <c r="AJ22" s="55">
        <f t="shared" ca="1" si="18"/>
        <v>0.89135881194506661</v>
      </c>
      <c r="AK22" s="55">
        <f t="shared" ca="1" si="19"/>
        <v>2.9159369584561676</v>
      </c>
    </row>
    <row r="23" spans="1:37" s="55" customFormat="1">
      <c r="C23" s="57"/>
      <c r="D23" s="85"/>
      <c r="E23" s="113"/>
      <c r="F23" s="94"/>
      <c r="R23" s="83">
        <f ca="1"/>
        <v>45235</v>
      </c>
      <c r="S23" s="55">
        <f t="shared" ca="1" si="11"/>
        <v>45235</v>
      </c>
      <c r="T23" s="55">
        <f t="shared" ca="1" si="0"/>
        <v>49.113409055146867</v>
      </c>
      <c r="U23" s="55">
        <f t="shared" ca="1" si="1"/>
        <v>2.7477816757486844</v>
      </c>
      <c r="V23" s="55">
        <f t="shared" ca="1" si="2"/>
        <v>0</v>
      </c>
      <c r="W23" s="55">
        <f t="shared" ca="1" si="12"/>
        <v>0</v>
      </c>
      <c r="X23" s="55">
        <f t="shared" ca="1" si="13"/>
        <v>1.4470617445415836</v>
      </c>
      <c r="Y23" s="55">
        <f t="shared" ca="1" si="14"/>
        <v>-1.5681328807502615</v>
      </c>
      <c r="Z23">
        <f t="shared" ca="1" si="3"/>
        <v>107.33788260990217</v>
      </c>
      <c r="AA23">
        <f t="shared" ca="1" si="15"/>
        <v>0</v>
      </c>
      <c r="AB23">
        <f t="shared" ca="1" si="4"/>
        <v>0</v>
      </c>
      <c r="AC23">
        <f t="shared" ca="1" si="5"/>
        <v>4.0749886352777882E-2</v>
      </c>
      <c r="AD23" s="83">
        <f ca="1"/>
        <v>45307</v>
      </c>
      <c r="AE23" s="55">
        <f t="shared" ca="1" si="20"/>
        <v>45307</v>
      </c>
      <c r="AF23" s="55">
        <f t="shared" ca="1" si="21"/>
        <v>32.303700384937642</v>
      </c>
      <c r="AG23" s="55">
        <f t="shared" ca="1" si="22"/>
        <v>0</v>
      </c>
      <c r="AH23" s="55">
        <f t="shared" ca="1" si="23"/>
        <v>0</v>
      </c>
      <c r="AI23" s="55">
        <f t="shared" ca="1" si="17"/>
        <v>0</v>
      </c>
      <c r="AJ23" s="55">
        <f t="shared" ca="1" si="18"/>
        <v>1.0785234812886322</v>
      </c>
      <c r="AK23" s="55">
        <f t="shared" ca="1" si="19"/>
        <v>3.4063709486713547</v>
      </c>
    </row>
    <row r="24" spans="1:37" s="55" customFormat="1">
      <c r="C24" s="57" t="s">
        <v>227</v>
      </c>
      <c r="D24" s="85">
        <f>IF(E24="",0,E24)</f>
        <v>0</v>
      </c>
      <c r="E24" s="113">
        <v>0</v>
      </c>
      <c r="F24" s="94"/>
      <c r="R24" s="83">
        <f ca="1"/>
        <v>45236</v>
      </c>
      <c r="S24" s="55">
        <f t="shared" ca="1" si="11"/>
        <v>45236</v>
      </c>
      <c r="T24" s="55">
        <f t="shared" ca="1" si="0"/>
        <v>48.950745941002033</v>
      </c>
      <c r="U24" s="55">
        <f t="shared" ca="1" si="1"/>
        <v>2.8908247513255545</v>
      </c>
      <c r="V24" s="55">
        <f t="shared" ca="1" si="2"/>
        <v>0</v>
      </c>
      <c r="W24" s="55">
        <f t="shared" ca="1" si="12"/>
        <v>0</v>
      </c>
      <c r="X24" s="55">
        <f t="shared" ca="1" si="13"/>
        <v>1.6993020303815634</v>
      </c>
      <c r="Y24" s="55">
        <f t="shared" ca="1" si="14"/>
        <v>-1.8399932051582057</v>
      </c>
      <c r="Z24">
        <f t="shared" ca="1" si="3"/>
        <v>109.0385737749889</v>
      </c>
      <c r="AA24">
        <f t="shared" ca="1" si="15"/>
        <v>0</v>
      </c>
      <c r="AB24">
        <f t="shared" ca="1" si="4"/>
        <v>0</v>
      </c>
      <c r="AC24">
        <f t="shared" ca="1" si="5"/>
        <v>4.6077210604115078E-2</v>
      </c>
      <c r="AD24" s="83">
        <f ca="1"/>
        <v>45308</v>
      </c>
      <c r="AE24" s="55">
        <f t="shared" ca="1" si="20"/>
        <v>45308</v>
      </c>
      <c r="AF24" s="55">
        <f t="shared" ca="1" si="21"/>
        <v>32.950279184981255</v>
      </c>
      <c r="AG24" s="55">
        <f t="shared" ca="1" si="22"/>
        <v>0</v>
      </c>
      <c r="AH24" s="55">
        <f t="shared" ca="1" si="23"/>
        <v>0</v>
      </c>
      <c r="AI24" s="55">
        <f t="shared" ca="1" si="17"/>
        <v>0</v>
      </c>
      <c r="AJ24" s="55">
        <f t="shared" ca="1" si="18"/>
        <v>1.2666075658576412</v>
      </c>
      <c r="AK24" s="55">
        <f t="shared" ca="1" si="19"/>
        <v>3.864865664145964</v>
      </c>
    </row>
    <row r="25" spans="1:37" s="55" customFormat="1">
      <c r="C25" s="61" t="str">
        <f>IF(COUNT(C29:C34)&gt;0,"Side dressings remaining","Side dressings")</f>
        <v>Side dressings</v>
      </c>
      <c r="D25" s="85">
        <f>IF(E25="",1,E25)</f>
        <v>3</v>
      </c>
      <c r="E25" s="98">
        <v>3</v>
      </c>
      <c r="R25" s="83">
        <f ca="1"/>
        <v>45237</v>
      </c>
      <c r="S25" s="55">
        <f t="shared" ca="1" si="11"/>
        <v>45237</v>
      </c>
      <c r="T25" s="55">
        <f t="shared" ca="1" si="0"/>
        <v>48.795007437712002</v>
      </c>
      <c r="U25" s="55">
        <f t="shared" ca="1" si="1"/>
        <v>3.0464172463191814</v>
      </c>
      <c r="V25" s="55">
        <f t="shared" ca="1" si="2"/>
        <v>0</v>
      </c>
      <c r="W25" s="55">
        <f t="shared" ca="1" si="12"/>
        <v>0</v>
      </c>
      <c r="X25" s="55">
        <f t="shared" ca="1" si="13"/>
        <v>1.9640039024636211</v>
      </c>
      <c r="Y25" s="55">
        <f t="shared" ca="1" si="14"/>
        <v>-2.1048410855366706</v>
      </c>
      <c r="Z25">
        <f t="shared" ca="1" si="3"/>
        <v>111.12477851686114</v>
      </c>
      <c r="AA25">
        <f t="shared" ca="1" si="15"/>
        <v>0</v>
      </c>
      <c r="AB25">
        <f t="shared" ca="1" si="4"/>
        <v>0</v>
      </c>
      <c r="AC25">
        <f t="shared" ca="1" si="5"/>
        <v>5.2275925969990804E-2</v>
      </c>
      <c r="AD25" s="83">
        <f ca="1"/>
        <v>45309</v>
      </c>
      <c r="AE25" s="55">
        <f t="shared" ca="1" si="20"/>
        <v>45309</v>
      </c>
      <c r="AF25" s="55">
        <f t="shared" ca="1" si="21"/>
        <v>33.563106185514783</v>
      </c>
      <c r="AG25" s="55">
        <f t="shared" ca="1" si="22"/>
        <v>0</v>
      </c>
      <c r="AH25" s="55">
        <f t="shared" ca="1" si="23"/>
        <v>0</v>
      </c>
      <c r="AI25" s="55">
        <f t="shared" ca="1" si="17"/>
        <v>0</v>
      </c>
      <c r="AJ25" s="55">
        <f t="shared" ca="1" si="18"/>
        <v>1.4564286085445888</v>
      </c>
      <c r="AK25" s="55">
        <f t="shared" ca="1" si="19"/>
        <v>4.2878716219925499</v>
      </c>
    </row>
    <row r="26" spans="1:37" s="55" customFormat="1" ht="15" thickBot="1">
      <c r="C26" s="56"/>
      <c r="D26" s="56"/>
      <c r="E26" s="56"/>
      <c r="F26" s="56"/>
      <c r="R26" s="83">
        <f ca="1"/>
        <v>45238</v>
      </c>
      <c r="S26" s="55">
        <f t="shared" ca="1" si="11"/>
        <v>45238</v>
      </c>
      <c r="T26" s="55">
        <f t="shared" ca="1" si="0"/>
        <v>48.641125527411717</v>
      </c>
      <c r="U26" s="55">
        <f t="shared" ca="1" si="1"/>
        <v>3.2148613583009027</v>
      </c>
      <c r="V26" s="55">
        <f t="shared" ca="1" si="2"/>
        <v>0</v>
      </c>
      <c r="W26" s="55">
        <f t="shared" ca="1" si="12"/>
        <v>0</v>
      </c>
      <c r="X26" s="55">
        <f t="shared" ca="1" si="13"/>
        <v>2.2353661889524274</v>
      </c>
      <c r="Y26" s="55">
        <f t="shared" ca="1" si="14"/>
        <v>-2.3616411703440456</v>
      </c>
      <c r="Z26">
        <f t="shared" ca="1" si="3"/>
        <v>111.41266739024374</v>
      </c>
      <c r="AA26">
        <f t="shared" ca="1" si="15"/>
        <v>0</v>
      </c>
      <c r="AB26">
        <f t="shared" ca="1" si="4"/>
        <v>0</v>
      </c>
      <c r="AC26">
        <f t="shared" ca="1" si="5"/>
        <v>5.9457230884261018E-2</v>
      </c>
      <c r="AD26" s="83">
        <f ca="1"/>
        <v>45310</v>
      </c>
      <c r="AE26" s="55">
        <f t="shared" ca="1" si="20"/>
        <v>45310</v>
      </c>
      <c r="AF26" s="55">
        <f t="shared" ca="1" si="21"/>
        <v>34.153494043454629</v>
      </c>
      <c r="AG26" s="55">
        <f t="shared" ca="1" si="22"/>
        <v>0</v>
      </c>
      <c r="AH26" s="55">
        <f t="shared" ca="1" si="23"/>
        <v>0</v>
      </c>
      <c r="AI26" s="55">
        <f t="shared" ca="1" si="17"/>
        <v>0</v>
      </c>
      <c r="AJ26" s="55">
        <f t="shared" ca="1" si="18"/>
        <v>1.6513271320275476</v>
      </c>
      <c r="AK26" s="55">
        <f t="shared" ca="1" si="19"/>
        <v>4.6833609564494365</v>
      </c>
    </row>
    <row r="27" spans="1:37" s="55" customFormat="1" ht="15" thickBot="1">
      <c r="C27" s="132" t="s">
        <v>138</v>
      </c>
      <c r="D27" s="133"/>
      <c r="E27" s="60"/>
      <c r="F27" s="134" t="s">
        <v>145</v>
      </c>
      <c r="G27" s="135"/>
      <c r="R27" s="83">
        <f ca="1"/>
        <v>45239</v>
      </c>
      <c r="S27" s="55">
        <f t="shared" ca="1" si="11"/>
        <v>45239</v>
      </c>
      <c r="T27" s="55">
        <f t="shared" ca="1" si="0"/>
        <v>48.495963892050121</v>
      </c>
      <c r="U27" s="55">
        <f t="shared" ca="1" si="1"/>
        <v>3.3857143755146475</v>
      </c>
      <c r="V27" s="55">
        <f t="shared" ca="1" si="2"/>
        <v>0</v>
      </c>
      <c r="W27" s="55">
        <f t="shared" ca="1" si="12"/>
        <v>0</v>
      </c>
      <c r="X27" s="55">
        <f t="shared" ca="1" si="13"/>
        <v>2.4995411457221328</v>
      </c>
      <c r="Y27" s="55">
        <f t="shared" ca="1" si="14"/>
        <v>-2.6001247452616081</v>
      </c>
      <c r="Z27">
        <f t="shared" ca="1" si="3"/>
        <v>111.74048402711385</v>
      </c>
      <c r="AA27">
        <f t="shared" ca="1" si="15"/>
        <v>0</v>
      </c>
      <c r="AB27">
        <f t="shared" ca="1" si="4"/>
        <v>0</v>
      </c>
      <c r="AC27">
        <f t="shared" ca="1" si="5"/>
        <v>6.7234024817951418E-2</v>
      </c>
      <c r="AD27" s="83">
        <f ca="1"/>
        <v>45311</v>
      </c>
      <c r="AE27" s="55">
        <f t="shared" ca="1" si="20"/>
        <v>45311</v>
      </c>
      <c r="AF27" s="55">
        <f t="shared" ca="1" si="21"/>
        <v>34.691697071106233</v>
      </c>
      <c r="AG27" s="55">
        <f t="shared" ca="1" si="22"/>
        <v>0</v>
      </c>
      <c r="AH27" s="55">
        <f t="shared" ca="1" si="23"/>
        <v>0</v>
      </c>
      <c r="AI27" s="55">
        <f t="shared" ca="1" si="17"/>
        <v>0</v>
      </c>
      <c r="AJ27" s="55">
        <f t="shared" ca="1" si="18"/>
        <v>1.8422044933095201</v>
      </c>
      <c r="AK27" s="55">
        <f t="shared" ca="1" si="19"/>
        <v>5.0306866228190676</v>
      </c>
    </row>
    <row r="28" spans="1:37" s="55" customFormat="1" ht="15" thickBot="1">
      <c r="C28" s="108" t="s">
        <v>14</v>
      </c>
      <c r="D28" s="109" t="s">
        <v>112</v>
      </c>
      <c r="F28" s="8" t="s">
        <v>14</v>
      </c>
      <c r="G28" s="62" t="s">
        <v>112</v>
      </c>
      <c r="R28" s="83">
        <f ca="1"/>
        <v>45240</v>
      </c>
      <c r="S28" s="55">
        <f t="shared" ca="1" si="11"/>
        <v>45240</v>
      </c>
      <c r="T28" s="55">
        <f t="shared" ca="1" si="0"/>
        <v>48.344975428331495</v>
      </c>
      <c r="U28" s="55">
        <f t="shared" ca="1" si="1"/>
        <v>3.5723706926028234</v>
      </c>
      <c r="V28" s="55">
        <f t="shared" ca="1" si="2"/>
        <v>0</v>
      </c>
      <c r="W28" s="55">
        <f t="shared" ca="1" si="12"/>
        <v>0</v>
      </c>
      <c r="X28" s="55">
        <f t="shared" ca="1" si="13"/>
        <v>2.767781957430139</v>
      </c>
      <c r="Y28" s="55">
        <f t="shared" ca="1" si="14"/>
        <v>-2.8326977036000587</v>
      </c>
      <c r="Z28">
        <f t="shared" ca="1" si="3"/>
        <v>110.39015819864839</v>
      </c>
      <c r="AA28">
        <f t="shared" ca="1" si="15"/>
        <v>0</v>
      </c>
      <c r="AB28">
        <f t="shared" ca="1" si="4"/>
        <v>0</v>
      </c>
      <c r="AC28">
        <f t="shared" ca="1" si="5"/>
        <v>7.6285672236702101E-2</v>
      </c>
      <c r="AD28" s="83">
        <f ca="1"/>
        <v>45312</v>
      </c>
      <c r="AE28" s="55">
        <f t="shared" ca="1" si="20"/>
        <v>45312</v>
      </c>
      <c r="AF28" s="55">
        <f t="shared" ca="1" si="21"/>
        <v>35.289089378527379</v>
      </c>
      <c r="AG28" s="55">
        <f t="shared" ca="1" si="22"/>
        <v>0</v>
      </c>
      <c r="AH28" s="55">
        <f t="shared" ca="1" si="23"/>
        <v>0</v>
      </c>
      <c r="AI28" s="55">
        <f t="shared" ca="1" si="17"/>
        <v>0</v>
      </c>
      <c r="AJ28" s="55">
        <f t="shared" ca="1" si="18"/>
        <v>2.0634151298750707</v>
      </c>
      <c r="AK28" s="55">
        <f t="shared" ca="1" si="19"/>
        <v>5.4068682936746653</v>
      </c>
    </row>
    <row r="29" spans="1:37" s="55" customFormat="1">
      <c r="A29" s="83">
        <f t="array" aca="1" ref="A29:A43" ca="1">_xlfn._xlws.FILTER('Model Interface'!X7:X496,'Model Interface'!Y7:Y496&gt;0,"")</f>
        <v>45276</v>
      </c>
      <c r="B29" s="55">
        <f t="shared" ref="B29:B43" ca="1" si="24">IF(AND(NOT(F29=""),F29&gt;=StartSchedullingDate),1,0)</f>
        <v>1</v>
      </c>
      <c r="C29" s="78"/>
      <c r="D29" s="80"/>
      <c r="F29" s="74">
        <f ca="1">A29</f>
        <v>45276</v>
      </c>
      <c r="G29" s="76">
        <f ca="1">IFERROR(VLOOKUP(F29,'Model Interface'!$J$7:$O$496,6,FALSE),"")</f>
        <v>21.284724406140047</v>
      </c>
      <c r="H29" s="55" t="str">
        <f ca="1">IF(B29=1,"Suggested","Applied or Planned")</f>
        <v>Suggested</v>
      </c>
      <c r="R29" s="83">
        <f ca="1"/>
        <v>45241</v>
      </c>
      <c r="S29" s="55">
        <f t="shared" ca="1" si="11"/>
        <v>45241</v>
      </c>
      <c r="T29" s="55">
        <f t="shared" ca="1" si="0"/>
        <v>48.185378050521166</v>
      </c>
      <c r="U29" s="55">
        <f t="shared" ca="1" si="1"/>
        <v>3.7711921728178419</v>
      </c>
      <c r="V29" s="55">
        <f t="shared" ca="1" si="2"/>
        <v>0</v>
      </c>
      <c r="W29" s="55">
        <f t="shared" ca="1" si="12"/>
        <v>0</v>
      </c>
      <c r="X29" s="55">
        <f t="shared" ca="1" si="13"/>
        <v>3.029665087161316</v>
      </c>
      <c r="Y29" s="55">
        <f t="shared" ca="1" si="14"/>
        <v>-3.0553567309265457</v>
      </c>
      <c r="Z29">
        <f t="shared" ca="1" si="3"/>
        <v>107.32573273691499</v>
      </c>
      <c r="AA29">
        <f t="shared" ca="1" si="15"/>
        <v>0</v>
      </c>
      <c r="AB29">
        <f t="shared" ca="1" si="4"/>
        <v>0</v>
      </c>
      <c r="AC29">
        <f t="shared" ca="1" si="5"/>
        <v>8.654710700058299E-2</v>
      </c>
      <c r="AD29" s="83">
        <f ca="1"/>
        <v>45313</v>
      </c>
      <c r="AE29" s="55">
        <f t="shared" ca="1" si="20"/>
        <v>45313</v>
      </c>
      <c r="AF29" s="55">
        <f t="shared" ca="1" si="21"/>
        <v>35.856719899939868</v>
      </c>
      <c r="AG29" s="55">
        <f t="shared" ca="1" si="22"/>
        <v>0</v>
      </c>
      <c r="AH29" s="55">
        <f t="shared" ca="1" si="23"/>
        <v>0</v>
      </c>
      <c r="AI29" s="55">
        <f t="shared" ca="1" si="17"/>
        <v>0</v>
      </c>
      <c r="AJ29" s="55">
        <f t="shared" ca="1" si="18"/>
        <v>2.2934826614510131</v>
      </c>
      <c r="AK29" s="55">
        <f t="shared" ca="1" si="19"/>
        <v>5.7444312835112141</v>
      </c>
    </row>
    <row r="30" spans="1:37" s="55" customFormat="1">
      <c r="A30" s="83">
        <f ca="1"/>
        <v>45287</v>
      </c>
      <c r="B30" s="55">
        <f t="shared" ca="1" si="24"/>
        <v>1</v>
      </c>
      <c r="C30" s="78"/>
      <c r="D30" s="81"/>
      <c r="F30" s="74">
        <f t="shared" ref="F30:F43" ca="1" si="25">IFERROR(IF(A30=A29,"",A30),"")</f>
        <v>45287</v>
      </c>
      <c r="G30" s="76">
        <f ca="1">IFERROR(VLOOKUP(F30,'Model Interface'!$J$7:$O$496,6,FALSE),"")</f>
        <v>21.462809668756496</v>
      </c>
      <c r="H30" s="55" t="str">
        <f t="shared" ref="H30:H43" ca="1" si="26">IF(F30="","",IF(F30&lt;=StartSchedullingDate,"Applied or Planned","Suggested"))</f>
        <v>Suggested</v>
      </c>
      <c r="R30" s="83">
        <f ca="1"/>
        <v>45242</v>
      </c>
      <c r="S30" s="55">
        <f t="shared" ca="1" si="11"/>
        <v>45242</v>
      </c>
      <c r="T30" s="55">
        <f t="shared" ca="1" si="0"/>
        <v>48.028698779495386</v>
      </c>
      <c r="U30" s="55">
        <f t="shared" ca="1" si="1"/>
        <v>3.9801900785312516</v>
      </c>
      <c r="V30" s="55">
        <f t="shared" ca="1" si="2"/>
        <v>0</v>
      </c>
      <c r="W30" s="55">
        <f t="shared" ca="1" si="12"/>
        <v>0</v>
      </c>
      <c r="X30" s="55">
        <f t="shared" ca="1" si="13"/>
        <v>3.293132135148781</v>
      </c>
      <c r="Y30" s="55">
        <f t="shared" ca="1" si="14"/>
        <v>-3.2665051442263779</v>
      </c>
      <c r="Z30">
        <f t="shared" ca="1" si="3"/>
        <v>108.1319872694864</v>
      </c>
      <c r="AA30">
        <f t="shared" ca="1" si="15"/>
        <v>0</v>
      </c>
      <c r="AB30">
        <f t="shared" ca="1" si="4"/>
        <v>0</v>
      </c>
      <c r="AC30">
        <f t="shared" ca="1" si="5"/>
        <v>9.7996902607000752E-2</v>
      </c>
      <c r="AD30" s="83">
        <f ca="1"/>
        <v>45314</v>
      </c>
      <c r="AE30" s="55">
        <f t="shared" ca="1" si="20"/>
        <v>45314</v>
      </c>
      <c r="AF30" s="55">
        <f t="shared" ca="1" si="21"/>
        <v>36.38861779240338</v>
      </c>
      <c r="AG30" s="55">
        <f t="shared" ca="1" si="22"/>
        <v>0</v>
      </c>
      <c r="AH30" s="55">
        <f t="shared" ca="1" si="23"/>
        <v>0</v>
      </c>
      <c r="AI30" s="55">
        <f t="shared" ca="1" si="17"/>
        <v>0</v>
      </c>
      <c r="AJ30" s="55">
        <f t="shared" ca="1" si="18"/>
        <v>2.5240592012160756</v>
      </c>
      <c r="AK30" s="55">
        <f t="shared" ca="1" si="19"/>
        <v>6.0457526362096656</v>
      </c>
    </row>
    <row r="31" spans="1:37" s="55" customFormat="1">
      <c r="A31" s="83">
        <f ca="1"/>
        <v>45295</v>
      </c>
      <c r="B31" s="55">
        <f t="shared" ca="1" si="24"/>
        <v>1</v>
      </c>
      <c r="C31" s="78"/>
      <c r="D31" s="81"/>
      <c r="F31" s="74">
        <f t="shared" ca="1" si="25"/>
        <v>45295</v>
      </c>
      <c r="G31" s="76">
        <f ca="1">IFERROR(VLOOKUP(F31,'Model Interface'!$J$7:$O$496,6,FALSE),"")</f>
        <v>19.854805003686678</v>
      </c>
      <c r="H31" s="55" t="str">
        <f t="shared" ca="1" si="26"/>
        <v>Suggested</v>
      </c>
      <c r="R31" s="83">
        <f ca="1"/>
        <v>45243</v>
      </c>
      <c r="S31" s="55">
        <f t="shared" ca="1" si="11"/>
        <v>45243</v>
      </c>
      <c r="T31" s="55">
        <f t="shared" ca="1" si="0"/>
        <v>47.872447863387677</v>
      </c>
      <c r="U31" s="55">
        <f t="shared" ca="1" si="1"/>
        <v>4.1952041575546186</v>
      </c>
      <c r="V31" s="55">
        <f t="shared" ca="1" si="2"/>
        <v>0</v>
      </c>
      <c r="W31" s="55">
        <f t="shared" ca="1" si="12"/>
        <v>0</v>
      </c>
      <c r="X31" s="55">
        <f t="shared" ca="1" si="13"/>
        <v>3.549382765855738</v>
      </c>
      <c r="Y31" s="55">
        <f t="shared" ca="1" si="14"/>
        <v>-3.4639926120176776</v>
      </c>
      <c r="Z31">
        <f t="shared" ca="1" si="3"/>
        <v>107.32804116584661</v>
      </c>
      <c r="AA31">
        <f t="shared" ca="1" si="15"/>
        <v>0</v>
      </c>
      <c r="AB31">
        <f t="shared" ca="1" si="4"/>
        <v>0</v>
      </c>
      <c r="AC31">
        <f t="shared" ca="1" si="5"/>
        <v>0.11045121172244535</v>
      </c>
      <c r="AD31" s="83">
        <f ca="1"/>
        <v>45315</v>
      </c>
      <c r="AE31" s="55">
        <f t="shared" ca="1" si="20"/>
        <v>45315</v>
      </c>
      <c r="AF31" s="55">
        <f t="shared" ca="1" si="21"/>
        <v>36.89449240344581</v>
      </c>
      <c r="AG31" s="55">
        <f t="shared" ca="1" si="22"/>
        <v>0</v>
      </c>
      <c r="AH31" s="55">
        <f t="shared" ca="1" si="23"/>
        <v>0</v>
      </c>
      <c r="AI31" s="55">
        <f t="shared" ca="1" si="17"/>
        <v>0</v>
      </c>
      <c r="AJ31" s="55">
        <f t="shared" ca="1" si="18"/>
        <v>2.7606021314606295</v>
      </c>
      <c r="AK31" s="55">
        <f t="shared" ca="1" si="19"/>
        <v>6.3150843170075444</v>
      </c>
    </row>
    <row r="32" spans="1:37" s="55" customFormat="1">
      <c r="A32" s="83" t="e">
        <f ca="1"/>
        <v>#N/A</v>
      </c>
      <c r="B32" s="55">
        <f t="shared" ca="1" si="24"/>
        <v>0</v>
      </c>
      <c r="C32" s="78"/>
      <c r="D32" s="81"/>
      <c r="F32" s="74" t="str">
        <f t="shared" ca="1" si="25"/>
        <v/>
      </c>
      <c r="G32" s="76" t="str">
        <f ca="1">IFERROR(VLOOKUP(F32,'Model Interface'!$J$7:$O$496,6,FALSE),"")</f>
        <v/>
      </c>
      <c r="H32" s="55" t="str">
        <f t="shared" ca="1" si="26"/>
        <v/>
      </c>
      <c r="R32" s="83">
        <f ca="1"/>
        <v>45244</v>
      </c>
      <c r="S32" s="55">
        <f t="shared" ca="1" si="11"/>
        <v>45244</v>
      </c>
      <c r="T32" s="55">
        <f t="shared" ca="1" si="0"/>
        <v>47.714031546439031</v>
      </c>
      <c r="U32" s="55">
        <f t="shared" ca="1" si="1"/>
        <v>4.4203486792114219</v>
      </c>
      <c r="V32" s="55">
        <f t="shared" ca="1" si="2"/>
        <v>0</v>
      </c>
      <c r="W32" s="55">
        <f t="shared" ca="1" si="12"/>
        <v>0</v>
      </c>
      <c r="X32" s="55">
        <f t="shared" ca="1" si="13"/>
        <v>3.8031568546465722</v>
      </c>
      <c r="Y32" s="55">
        <f t="shared" ca="1" si="14"/>
        <v>-3.6510384961003535</v>
      </c>
      <c r="Z32">
        <f t="shared" ca="1" si="3"/>
        <v>106.80875993041244</v>
      </c>
      <c r="AA32">
        <f t="shared" ca="1" si="15"/>
        <v>0</v>
      </c>
      <c r="AB32">
        <f t="shared" ca="1" si="4"/>
        <v>0</v>
      </c>
      <c r="AC32">
        <f t="shared" ca="1" si="5"/>
        <v>0.12418160600814997</v>
      </c>
      <c r="AD32" s="83">
        <f ca="1"/>
        <v>45316</v>
      </c>
      <c r="AE32" s="55">
        <f t="shared" ca="1" si="20"/>
        <v>45316</v>
      </c>
      <c r="AF32" s="55">
        <f t="shared" ca="1" si="21"/>
        <v>37.384070976465097</v>
      </c>
      <c r="AG32" s="55">
        <f t="shared" ca="1" si="22"/>
        <v>1.3643302726702207</v>
      </c>
      <c r="AH32" s="55">
        <f t="shared" ca="1" si="23"/>
        <v>0</v>
      </c>
      <c r="AI32" s="55">
        <f t="shared" ca="1" si="17"/>
        <v>0</v>
      </c>
      <c r="AJ32" s="55">
        <f t="shared" ca="1" si="18"/>
        <v>3.0064231687839165</v>
      </c>
      <c r="AK32" s="55">
        <f t="shared" ca="1" si="19"/>
        <v>6.5588418527035408</v>
      </c>
    </row>
    <row r="33" spans="1:37" s="55" customFormat="1">
      <c r="A33" s="83" t="e">
        <f ca="1"/>
        <v>#N/A</v>
      </c>
      <c r="B33" s="55">
        <f t="shared" ca="1" si="24"/>
        <v>0</v>
      </c>
      <c r="C33" s="78"/>
      <c r="D33" s="81"/>
      <c r="F33" s="74" t="str">
        <f t="shared" ca="1" si="25"/>
        <v/>
      </c>
      <c r="G33" s="76" t="str">
        <f ca="1">IFERROR(VLOOKUP(F33,'Model Interface'!$J$7:$O$496,6,FALSE),"")</f>
        <v/>
      </c>
      <c r="H33" s="55" t="str">
        <f t="shared" ca="1" si="26"/>
        <v/>
      </c>
      <c r="R33" s="83">
        <f ca="1"/>
        <v>45245</v>
      </c>
      <c r="S33" s="55">
        <f t="shared" ca="1" si="11"/>
        <v>45245</v>
      </c>
      <c r="T33" s="55">
        <f t="shared" ca="1" si="0"/>
        <v>47.5405813976354</v>
      </c>
      <c r="U33" s="55">
        <f t="shared" ca="1" si="1"/>
        <v>4.6662315655091655</v>
      </c>
      <c r="V33" s="55">
        <f t="shared" ca="1" si="2"/>
        <v>0</v>
      </c>
      <c r="W33" s="55">
        <f t="shared" ca="1" si="12"/>
        <v>0</v>
      </c>
      <c r="X33" s="55">
        <f t="shared" ca="1" si="13"/>
        <v>4.0575513827327292</v>
      </c>
      <c r="Y33" s="55">
        <f t="shared" ca="1" si="14"/>
        <v>-3.8330002866923989</v>
      </c>
      <c r="Z33">
        <f t="shared" ca="1" si="3"/>
        <v>104.2836056681226</v>
      </c>
      <c r="AA33">
        <f t="shared" ca="1" si="15"/>
        <v>0</v>
      </c>
      <c r="AB33">
        <f t="shared" ca="1" si="4"/>
        <v>0</v>
      </c>
      <c r="AC33">
        <f t="shared" ca="1" si="5"/>
        <v>0.13992147707698785</v>
      </c>
      <c r="AD33" s="83">
        <f ca="1"/>
        <v>45317</v>
      </c>
      <c r="AE33" s="55">
        <f t="shared" ca="1" si="20"/>
        <v>45317</v>
      </c>
      <c r="AF33" s="55">
        <f t="shared" ca="1" si="21"/>
        <v>37.766051084755254</v>
      </c>
      <c r="AG33" s="55">
        <f t="shared" ca="1" si="22"/>
        <v>1.4424248936167747</v>
      </c>
      <c r="AH33" s="55">
        <f t="shared" ca="1" si="23"/>
        <v>0</v>
      </c>
      <c r="AI33" s="55">
        <f t="shared" ca="1" si="17"/>
        <v>0</v>
      </c>
      <c r="AJ33" s="55">
        <f t="shared" ca="1" si="18"/>
        <v>3.247749732869964</v>
      </c>
      <c r="AK33" s="55">
        <f t="shared" ca="1" si="19"/>
        <v>6.7775900178542017</v>
      </c>
    </row>
    <row r="34" spans="1:37" s="55" customFormat="1" ht="15" thickBot="1">
      <c r="A34" s="83" t="e">
        <f ca="1"/>
        <v>#N/A</v>
      </c>
      <c r="B34" s="55">
        <f t="shared" ca="1" si="24"/>
        <v>0</v>
      </c>
      <c r="C34" s="79"/>
      <c r="D34" s="82"/>
      <c r="F34" s="74" t="str">
        <f t="shared" ca="1" si="25"/>
        <v/>
      </c>
      <c r="G34" s="76" t="str">
        <f ca="1">IFERROR(VLOOKUP(F34,'Model Interface'!$J$7:$O$496,6,FALSE),"")</f>
        <v/>
      </c>
      <c r="H34" s="55" t="str">
        <f t="shared" ca="1" si="26"/>
        <v/>
      </c>
      <c r="R34" s="83">
        <f ca="1"/>
        <v>45246</v>
      </c>
      <c r="S34" s="55">
        <f t="shared" ca="1" si="11"/>
        <v>45246</v>
      </c>
      <c r="T34" s="55">
        <f t="shared" ca="1" si="0"/>
        <v>47.362715129117696</v>
      </c>
      <c r="U34" s="55">
        <f t="shared" ca="1" si="1"/>
        <v>4.9343496270363509</v>
      </c>
      <c r="V34" s="55">
        <f t="shared" ca="1" si="2"/>
        <v>0</v>
      </c>
      <c r="W34" s="55">
        <f t="shared" ca="1" si="12"/>
        <v>0</v>
      </c>
      <c r="X34" s="55">
        <f t="shared" ca="1" si="13"/>
        <v>4.32427223389052</v>
      </c>
      <c r="Y34" s="55">
        <f t="shared" ca="1" si="14"/>
        <v>-4.0094693448407117</v>
      </c>
      <c r="Z34">
        <f t="shared" ca="1" si="3"/>
        <v>106.16126373443521</v>
      </c>
      <c r="AA34">
        <f t="shared" ca="1" si="15"/>
        <v>0</v>
      </c>
      <c r="AB34">
        <f t="shared" ca="1" si="4"/>
        <v>0</v>
      </c>
      <c r="AC34">
        <f t="shared" ca="1" si="5"/>
        <v>0.1578860493226944</v>
      </c>
      <c r="AD34" s="83">
        <f ca="1"/>
        <v>45318</v>
      </c>
      <c r="AE34" s="55">
        <f t="shared" ca="1" si="20"/>
        <v>45318</v>
      </c>
      <c r="AF34" s="55">
        <f t="shared" ca="1" si="21"/>
        <v>38.111152410838351</v>
      </c>
      <c r="AG34" s="55">
        <f t="shared" ca="1" si="22"/>
        <v>1.5235132887312086</v>
      </c>
      <c r="AH34" s="55">
        <f t="shared" ca="1" si="23"/>
        <v>0</v>
      </c>
      <c r="AI34" s="55">
        <f t="shared" ca="1" si="17"/>
        <v>0</v>
      </c>
      <c r="AJ34" s="55">
        <f t="shared" ca="1" si="18"/>
        <v>3.483366002298578</v>
      </c>
      <c r="AK34" s="55">
        <f t="shared" ca="1" si="19"/>
        <v>6.9681634696231214</v>
      </c>
    </row>
    <row r="35" spans="1:37" s="55" customFormat="1" ht="15" thickBot="1">
      <c r="A35" s="83" t="e">
        <f ca="1"/>
        <v>#N/A</v>
      </c>
      <c r="B35" s="55">
        <f t="shared" ca="1" si="24"/>
        <v>0</v>
      </c>
      <c r="F35" s="74" t="str">
        <f t="shared" ca="1" si="25"/>
        <v/>
      </c>
      <c r="G35" s="76" t="str">
        <f ca="1">IFERROR(VLOOKUP(F35,'Model Interface'!$J$7:$O$496,6,FALSE),"")</f>
        <v/>
      </c>
      <c r="H35" s="55" t="str">
        <f t="shared" ca="1" si="26"/>
        <v/>
      </c>
      <c r="R35" s="83">
        <f ca="1"/>
        <v>45247</v>
      </c>
      <c r="S35" s="55">
        <f t="shared" ca="1" si="11"/>
        <v>45247</v>
      </c>
      <c r="T35" s="55">
        <f t="shared" ca="1" si="0"/>
        <v>47.179784105485133</v>
      </c>
      <c r="U35" s="55">
        <f t="shared" ca="1" si="1"/>
        <v>5.2066134646641453</v>
      </c>
      <c r="V35" s="55">
        <f t="shared" ca="1" si="2"/>
        <v>0</v>
      </c>
      <c r="W35" s="55">
        <f t="shared" ca="1" si="12"/>
        <v>0</v>
      </c>
      <c r="X35" s="55">
        <f t="shared" ca="1" si="13"/>
        <v>4.5764602422639484</v>
      </c>
      <c r="Y35" s="55">
        <f t="shared" ca="1" si="14"/>
        <v>-4.1723245392189092</v>
      </c>
      <c r="Z35">
        <f t="shared" ca="1" si="3"/>
        <v>103.85784308619068</v>
      </c>
      <c r="AA35">
        <f t="shared" ca="1" si="15"/>
        <v>0</v>
      </c>
      <c r="AB35">
        <f t="shared" ca="1" si="4"/>
        <v>0</v>
      </c>
      <c r="AC35">
        <f t="shared" ca="1" si="5"/>
        <v>0.17688120040969907</v>
      </c>
      <c r="AD35" s="83">
        <f ca="1"/>
        <v>45319</v>
      </c>
      <c r="AE35" s="55">
        <f t="shared" ca="1" si="20"/>
        <v>45319</v>
      </c>
      <c r="AF35" s="55">
        <f t="shared" ca="1" si="21"/>
        <v>38.43091208103116</v>
      </c>
      <c r="AG35" s="55">
        <f t="shared" ca="1" si="22"/>
        <v>1.6098591983463222</v>
      </c>
      <c r="AH35" s="55">
        <f t="shared" ca="1" si="23"/>
        <v>0</v>
      </c>
      <c r="AI35" s="55">
        <f t="shared" ca="1" si="17"/>
        <v>0</v>
      </c>
      <c r="AJ35" s="55">
        <f t="shared" ca="1" si="18"/>
        <v>3.7174183546227133</v>
      </c>
      <c r="AK35" s="55">
        <f t="shared" ca="1" si="19"/>
        <v>7.1402166971069061</v>
      </c>
    </row>
    <row r="36" spans="1:37" s="55" customFormat="1" ht="15" thickBot="1">
      <c r="A36" s="83" t="e">
        <f ca="1"/>
        <v>#N/A</v>
      </c>
      <c r="B36" s="55">
        <f t="shared" ca="1" si="24"/>
        <v>0</v>
      </c>
      <c r="C36" s="132" t="s">
        <v>139</v>
      </c>
      <c r="D36" s="133"/>
      <c r="F36" s="74" t="str">
        <f t="shared" ca="1" si="25"/>
        <v/>
      </c>
      <c r="G36" s="76" t="str">
        <f ca="1">IFERROR(VLOOKUP(F36,'Model Interface'!$J$7:$O$496,6,FALSE),"")</f>
        <v/>
      </c>
      <c r="H36" s="55" t="str">
        <f t="shared" ca="1" si="26"/>
        <v/>
      </c>
      <c r="R36" s="83">
        <f ca="1"/>
        <v>45248</v>
      </c>
      <c r="S36" s="55">
        <f t="shared" ca="1" si="11"/>
        <v>45248</v>
      </c>
      <c r="T36" s="55">
        <f t="shared" ca="1" si="0"/>
        <v>46.992241146289899</v>
      </c>
      <c r="U36" s="55">
        <f t="shared" ca="1" si="1"/>
        <v>5.4823709598014201</v>
      </c>
      <c r="V36" s="55">
        <f t="shared" ca="1" si="2"/>
        <v>0</v>
      </c>
      <c r="W36" s="55">
        <f t="shared" ca="1" si="12"/>
        <v>0</v>
      </c>
      <c r="X36" s="55">
        <f t="shared" ca="1" si="13"/>
        <v>4.8152025997516867</v>
      </c>
      <c r="Y36" s="55">
        <f t="shared" ca="1" si="14"/>
        <v>-4.3228523607646032</v>
      </c>
      <c r="Z36">
        <f t="shared" ca="1" si="3"/>
        <v>101.64021654392992</v>
      </c>
      <c r="AA36">
        <f t="shared" ca="1" si="15"/>
        <v>0</v>
      </c>
      <c r="AB36">
        <f t="shared" ca="1" si="4"/>
        <v>0</v>
      </c>
      <c r="AC36">
        <f t="shared" ca="1" si="5"/>
        <v>0.19677900520832337</v>
      </c>
      <c r="AD36" s="83">
        <f ca="1"/>
        <v>45320</v>
      </c>
      <c r="AE36" s="55">
        <f t="shared" ca="1" si="20"/>
        <v>45320</v>
      </c>
      <c r="AF36" s="55">
        <f t="shared" ca="1" si="21"/>
        <v>38.730202028303403</v>
      </c>
      <c r="AG36" s="55">
        <f t="shared" ca="1" si="22"/>
        <v>1.7022240236645918</v>
      </c>
      <c r="AH36" s="55">
        <f t="shared" ca="1" si="23"/>
        <v>0</v>
      </c>
      <c r="AI36" s="55">
        <f t="shared" ca="1" si="17"/>
        <v>0</v>
      </c>
      <c r="AJ36" s="55">
        <f t="shared" ca="1" si="18"/>
        <v>3.9529328685488125</v>
      </c>
      <c r="AK36" s="55">
        <f t="shared" ca="1" si="19"/>
        <v>7.2963569557713184</v>
      </c>
    </row>
    <row r="37" spans="1:37" s="55" customFormat="1" ht="15" thickBot="1">
      <c r="A37" s="83" t="e">
        <f ca="1"/>
        <v>#N/A</v>
      </c>
      <c r="B37" s="55">
        <f t="shared" ca="1" si="24"/>
        <v>0</v>
      </c>
      <c r="C37" s="108" t="s">
        <v>14</v>
      </c>
      <c r="D37" s="109" t="s">
        <v>17</v>
      </c>
      <c r="F37" s="74" t="str">
        <f t="shared" ca="1" si="25"/>
        <v/>
      </c>
      <c r="G37" s="76" t="str">
        <f ca="1">IFERROR(VLOOKUP(F37,'Model Interface'!$J$7:$O$496,6,FALSE),"")</f>
        <v/>
      </c>
      <c r="H37" s="55" t="str">
        <f t="shared" ca="1" si="26"/>
        <v/>
      </c>
      <c r="R37" s="83">
        <f ca="1"/>
        <v>45249</v>
      </c>
      <c r="S37" s="55">
        <f t="shared" ca="1" si="11"/>
        <v>45249</v>
      </c>
      <c r="T37" s="55">
        <f t="shared" ca="1" si="0"/>
        <v>46.790754836161121</v>
      </c>
      <c r="U37" s="55">
        <f t="shared" ca="1" si="1"/>
        <v>5.7713420325504501</v>
      </c>
      <c r="V37" s="55">
        <f t="shared" ca="1" si="2"/>
        <v>0</v>
      </c>
      <c r="W37" s="55">
        <f t="shared" ca="1" si="12"/>
        <v>0</v>
      </c>
      <c r="X37" s="55">
        <f t="shared" ca="1" si="13"/>
        <v>5.0451706538320682</v>
      </c>
      <c r="Y37" s="55">
        <f t="shared" ca="1" si="14"/>
        <v>-4.4653356522247316</v>
      </c>
      <c r="Z37">
        <f t="shared" ca="1" si="3"/>
        <v>98.399640795257326</v>
      </c>
      <c r="AA37">
        <f t="shared" ca="1" si="15"/>
        <v>0</v>
      </c>
      <c r="AB37">
        <f t="shared" ca="1" si="4"/>
        <v>0</v>
      </c>
      <c r="AC37">
        <f t="shared" ca="1" si="5"/>
        <v>0.21821230244629108</v>
      </c>
      <c r="AD37" s="83">
        <f ca="1"/>
        <v>45321</v>
      </c>
      <c r="AE37" s="55">
        <f t="shared" ca="1" si="20"/>
        <v>45321</v>
      </c>
      <c r="AF37" s="55">
        <f t="shared" ca="1" si="21"/>
        <v>39.015818263288665</v>
      </c>
      <c r="AG37" s="55">
        <f t="shared" ca="1" si="22"/>
        <v>1.8010743139522323</v>
      </c>
      <c r="AH37" s="55">
        <f t="shared" ca="1" si="23"/>
        <v>0</v>
      </c>
      <c r="AI37" s="55">
        <f t="shared" ca="1" si="17"/>
        <v>0</v>
      </c>
      <c r="AJ37" s="55">
        <f t="shared" ca="1" si="18"/>
        <v>4.1957555405913176</v>
      </c>
      <c r="AK37" s="55">
        <f t="shared" ca="1" si="19"/>
        <v>7.4380008090017187</v>
      </c>
    </row>
    <row r="38" spans="1:37" s="55" customFormat="1">
      <c r="A38" s="83" t="e">
        <f ca="1"/>
        <v>#N/A</v>
      </c>
      <c r="B38" s="55">
        <f t="shared" ca="1" si="24"/>
        <v>0</v>
      </c>
      <c r="C38" s="78"/>
      <c r="D38" s="81"/>
      <c r="F38" s="74" t="str">
        <f t="shared" ca="1" si="25"/>
        <v/>
      </c>
      <c r="G38" s="76" t="str">
        <f ca="1">IFERROR(VLOOKUP(F38,'Model Interface'!$J$7:$O$496,6,FALSE),"")</f>
        <v/>
      </c>
      <c r="H38" s="55" t="str">
        <f t="shared" ca="1" si="26"/>
        <v/>
      </c>
      <c r="R38" s="83">
        <f ca="1"/>
        <v>45250</v>
      </c>
      <c r="S38" s="55">
        <f t="shared" ca="1" si="11"/>
        <v>45250</v>
      </c>
      <c r="T38" s="55">
        <f t="shared" ca="1" si="0"/>
        <v>46.56853806074777</v>
      </c>
      <c r="U38" s="55">
        <f t="shared" ca="1" si="1"/>
        <v>6.0889636146533865</v>
      </c>
      <c r="V38" s="55">
        <f t="shared" ca="1" si="2"/>
        <v>0</v>
      </c>
      <c r="W38" s="55">
        <f t="shared" ca="1" si="12"/>
        <v>0</v>
      </c>
      <c r="X38" s="55">
        <f t="shared" ca="1" si="13"/>
        <v>5.2795406733514598</v>
      </c>
      <c r="Y38" s="55">
        <f t="shared" ca="1" si="14"/>
        <v>-4.604300865054535</v>
      </c>
      <c r="Z38">
        <f t="shared" ca="1" si="3"/>
        <v>96.895681387059938</v>
      </c>
      <c r="AA38">
        <f t="shared" ca="1" si="15"/>
        <v>0</v>
      </c>
      <c r="AB38">
        <f t="shared" ca="1" si="4"/>
        <v>0</v>
      </c>
      <c r="AC38">
        <f t="shared" ca="1" si="5"/>
        <v>0.24229639852937807</v>
      </c>
      <c r="AD38" s="83">
        <f ca="1"/>
        <v>45322</v>
      </c>
      <c r="AE38" s="55">
        <f t="shared" ca="1" si="20"/>
        <v>45322</v>
      </c>
      <c r="AF38" s="55">
        <f t="shared" ca="1" si="21"/>
        <v>39.281444214306738</v>
      </c>
      <c r="AG38" s="55">
        <f t="shared" ca="1" si="22"/>
        <v>1.9052809194507156</v>
      </c>
      <c r="AH38" s="55">
        <f t="shared" ca="1" si="23"/>
        <v>0</v>
      </c>
      <c r="AI38" s="55">
        <f t="shared" ca="1" si="17"/>
        <v>0</v>
      </c>
      <c r="AJ38" s="55">
        <f t="shared" ca="1" si="18"/>
        <v>4.4396014883894814</v>
      </c>
      <c r="AK38" s="55">
        <f t="shared" ca="1" si="19"/>
        <v>7.5639874177201092</v>
      </c>
    </row>
    <row r="39" spans="1:37" s="55" customFormat="1">
      <c r="A39" s="83" t="e">
        <f ca="1"/>
        <v>#N/A</v>
      </c>
      <c r="B39" s="55">
        <f t="shared" ca="1" si="24"/>
        <v>0</v>
      </c>
      <c r="C39" s="78"/>
      <c r="D39" s="81"/>
      <c r="F39" s="74" t="str">
        <f t="shared" ca="1" si="25"/>
        <v/>
      </c>
      <c r="G39" s="76" t="str">
        <f ca="1">IFERROR(VLOOKUP(F39,'Model Interface'!$J$7:$O$496,6,FALSE),"")</f>
        <v/>
      </c>
      <c r="H39" s="55" t="str">
        <f t="shared" ca="1" si="26"/>
        <v/>
      </c>
      <c r="R39" s="83">
        <f ca="1"/>
        <v>45251</v>
      </c>
      <c r="S39" s="55">
        <f t="shared" ca="1" si="11"/>
        <v>45251</v>
      </c>
      <c r="T39" s="55">
        <f t="shared" ca="1" si="0"/>
        <v>46.334271072062528</v>
      </c>
      <c r="U39" s="55">
        <f t="shared" ca="1" si="1"/>
        <v>6.4259128413050277</v>
      </c>
      <c r="V39" s="55">
        <f t="shared" ca="1" si="2"/>
        <v>0</v>
      </c>
      <c r="W39" s="55">
        <f t="shared" ca="1" si="12"/>
        <v>0</v>
      </c>
      <c r="X39" s="55">
        <f t="shared" ca="1" si="13"/>
        <v>5.5143066687205193</v>
      </c>
      <c r="Y39" s="55">
        <f t="shared" ca="1" si="14"/>
        <v>-4.7363846224571962</v>
      </c>
      <c r="Z39">
        <f t="shared" ca="1" si="3"/>
        <v>96.514136322851073</v>
      </c>
      <c r="AA39">
        <f t="shared" ca="1" si="15"/>
        <v>0</v>
      </c>
      <c r="AB39">
        <f t="shared" ca="1" si="4"/>
        <v>0</v>
      </c>
      <c r="AC39">
        <f t="shared" ca="1" si="5"/>
        <v>0.26825428555453751</v>
      </c>
      <c r="AD39" s="83">
        <f ca="1"/>
        <v>45323</v>
      </c>
      <c r="AE39" s="55">
        <f t="shared" ca="1" si="20"/>
        <v>45323</v>
      </c>
      <c r="AF39" s="55">
        <f t="shared" ca="1" si="21"/>
        <v>39.522620281525953</v>
      </c>
      <c r="AG39" s="55">
        <f t="shared" ca="1" si="22"/>
        <v>2.016029024043315</v>
      </c>
      <c r="AH39" s="55">
        <f t="shared" ca="1" si="23"/>
        <v>0</v>
      </c>
      <c r="AI39" s="55">
        <f t="shared" ca="1" si="17"/>
        <v>0</v>
      </c>
      <c r="AJ39" s="55">
        <f t="shared" ca="1" si="18"/>
        <v>4.6779892954558848</v>
      </c>
      <c r="AK39" s="55">
        <f t="shared" ca="1" si="19"/>
        <v>7.6775237824655234</v>
      </c>
    </row>
    <row r="40" spans="1:37" s="55" customFormat="1" ht="6.75" customHeight="1">
      <c r="A40" s="83" t="e">
        <f ca="1"/>
        <v>#N/A</v>
      </c>
      <c r="B40" s="55">
        <f t="shared" ca="1" si="24"/>
        <v>0</v>
      </c>
      <c r="C40" s="78"/>
      <c r="D40" s="81"/>
      <c r="F40" s="74" t="str">
        <f t="shared" ca="1" si="25"/>
        <v/>
      </c>
      <c r="G40" s="76" t="str">
        <f ca="1">IFERROR(VLOOKUP(F40,'Model Interface'!$J$7:$O$496,6,FALSE),"")</f>
        <v/>
      </c>
      <c r="H40" s="55" t="str">
        <f t="shared" ca="1" si="26"/>
        <v/>
      </c>
      <c r="R40" s="83">
        <f ca="1"/>
        <v>45252</v>
      </c>
      <c r="S40" s="55">
        <f t="shared" ca="1" si="11"/>
        <v>45252</v>
      </c>
      <c r="T40" s="55">
        <f t="shared" ca="1" si="0"/>
        <v>46.087702056492262</v>
      </c>
      <c r="U40" s="55">
        <f t="shared" ca="1" si="1"/>
        <v>6.7893010026392631</v>
      </c>
      <c r="V40" s="55">
        <f t="shared" ca="1" si="2"/>
        <v>0</v>
      </c>
      <c r="W40" s="55">
        <f t="shared" ca="1" si="12"/>
        <v>0</v>
      </c>
      <c r="X40" s="55">
        <f t="shared" ca="1" si="13"/>
        <v>5.7579128279735796</v>
      </c>
      <c r="Y40" s="55">
        <f t="shared" ca="1" si="14"/>
        <v>-4.8631716359462898</v>
      </c>
      <c r="Z40">
        <f t="shared" ca="1" si="3"/>
        <v>98.167673248573877</v>
      </c>
      <c r="AA40">
        <f t="shared" ca="1" si="15"/>
        <v>0</v>
      </c>
      <c r="AB40">
        <f t="shared" ca="1" si="4"/>
        <v>0</v>
      </c>
      <c r="AC40">
        <f t="shared" ca="1" si="5"/>
        <v>0.29648954817774226</v>
      </c>
      <c r="AD40" s="83">
        <f ca="1"/>
        <v>45324</v>
      </c>
      <c r="AE40" s="55">
        <f t="shared" ca="1" si="20"/>
        <v>45324</v>
      </c>
      <c r="AF40" s="55">
        <f t="shared" ca="1" si="21"/>
        <v>39.749209374896949</v>
      </c>
      <c r="AG40" s="55">
        <f t="shared" ca="1" si="22"/>
        <v>2.1318031205920511</v>
      </c>
      <c r="AH40" s="55">
        <f t="shared" ca="1" si="23"/>
        <v>0</v>
      </c>
      <c r="AI40" s="55">
        <f t="shared" ca="1" si="17"/>
        <v>0</v>
      </c>
      <c r="AJ40" s="55">
        <f t="shared" ca="1" si="18"/>
        <v>4.9199925254763688</v>
      </c>
      <c r="AK40" s="55">
        <f t="shared" ca="1" si="19"/>
        <v>7.7778837423647671</v>
      </c>
    </row>
    <row r="41" spans="1:37" s="55" customFormat="1">
      <c r="A41" s="83" t="e">
        <f ca="1"/>
        <v>#N/A</v>
      </c>
      <c r="B41" s="55">
        <f t="shared" ca="1" si="24"/>
        <v>0</v>
      </c>
      <c r="C41" s="78"/>
      <c r="D41" s="81"/>
      <c r="F41" s="74" t="str">
        <f t="shared" ca="1" si="25"/>
        <v/>
      </c>
      <c r="G41" s="76" t="str">
        <f ca="1">IFERROR(VLOOKUP(F41,'Model Interface'!$J$7:$O$496,6,FALSE),"")</f>
        <v/>
      </c>
      <c r="H41" s="55" t="str">
        <f t="shared" ca="1" si="26"/>
        <v/>
      </c>
      <c r="R41" s="83">
        <f ca="1"/>
        <v>45253</v>
      </c>
      <c r="S41" s="55">
        <f t="shared" ca="1" si="11"/>
        <v>45253</v>
      </c>
      <c r="T41" s="55">
        <f t="shared" ca="1" si="0"/>
        <v>45.820333173262981</v>
      </c>
      <c r="U41" s="55">
        <f t="shared" ca="1" si="1"/>
        <v>7.1813890327527163</v>
      </c>
      <c r="V41" s="55">
        <f t="shared" ca="1" si="2"/>
        <v>0</v>
      </c>
      <c r="W41" s="55">
        <f t="shared" ca="1" si="12"/>
        <v>0</v>
      </c>
      <c r="X41" s="55">
        <f t="shared" ca="1" si="13"/>
        <v>6.004137349358861</v>
      </c>
      <c r="Y41" s="55">
        <f t="shared" ca="1" si="14"/>
        <v>-4.9846770104473936</v>
      </c>
      <c r="Z41">
        <f t="shared" ca="1" si="3"/>
        <v>97.408489198593031</v>
      </c>
      <c r="AA41">
        <f t="shared" ca="1" si="15"/>
        <v>0</v>
      </c>
      <c r="AB41">
        <f t="shared" ca="1" si="4"/>
        <v>0</v>
      </c>
      <c r="AC41">
        <f t="shared" ca="1" si="5"/>
        <v>0.32696723481312573</v>
      </c>
      <c r="AD41" s="83">
        <f ca="1"/>
        <v>45325</v>
      </c>
      <c r="AE41" s="55">
        <f t="shared" ca="1" si="20"/>
        <v>45325</v>
      </c>
      <c r="AF41" s="55">
        <f t="shared" ca="1" si="21"/>
        <v>39.948871055394257</v>
      </c>
      <c r="AG41" s="55">
        <f t="shared" ca="1" si="22"/>
        <v>2.2527325934099784</v>
      </c>
      <c r="AH41" s="55">
        <f t="shared" ca="1" si="23"/>
        <v>0</v>
      </c>
      <c r="AI41" s="55">
        <f t="shared" ca="1" si="17"/>
        <v>0</v>
      </c>
      <c r="AJ41" s="55">
        <f t="shared" ca="1" si="18"/>
        <v>5.1514861610949616</v>
      </c>
      <c r="AK41" s="55">
        <f t="shared" ca="1" si="19"/>
        <v>7.8669812600614106</v>
      </c>
    </row>
    <row r="42" spans="1:37" s="55" customFormat="1">
      <c r="A42" s="83" t="e">
        <f ca="1"/>
        <v>#N/A</v>
      </c>
      <c r="B42" s="55">
        <f t="shared" ca="1" si="24"/>
        <v>0</v>
      </c>
      <c r="C42" s="78"/>
      <c r="D42" s="81"/>
      <c r="F42" s="74" t="str">
        <f t="shared" ca="1" si="25"/>
        <v/>
      </c>
      <c r="G42" s="76" t="str">
        <f ca="1">IFERROR(VLOOKUP(F42,'Model Interface'!$J$7:$O$496,6,FALSE),"")</f>
        <v/>
      </c>
      <c r="H42" s="55" t="str">
        <f t="shared" ca="1" si="26"/>
        <v/>
      </c>
      <c r="R42" s="83">
        <f ca="1"/>
        <v>45254</v>
      </c>
      <c r="S42" s="55">
        <f t="shared" ca="1" si="11"/>
        <v>45254</v>
      </c>
      <c r="T42" s="55">
        <f t="shared" ca="1" si="0"/>
        <v>45.538637057683509</v>
      </c>
      <c r="U42" s="55">
        <f t="shared" ca="1" si="1"/>
        <v>7.5890495483319222</v>
      </c>
      <c r="V42" s="55">
        <f t="shared" ca="1" si="2"/>
        <v>0</v>
      </c>
      <c r="W42" s="55">
        <f t="shared" ca="1" si="12"/>
        <v>0</v>
      </c>
      <c r="X42" s="55">
        <f t="shared" ca="1" si="13"/>
        <v>6.243413190915506</v>
      </c>
      <c r="Y42" s="55">
        <f t="shared" ca="1" si="14"/>
        <v>-5.0979884520043033</v>
      </c>
      <c r="Z42">
        <f t="shared" ca="1" si="3"/>
        <v>95.904796600768279</v>
      </c>
      <c r="AA42">
        <f t="shared" ca="1" si="15"/>
        <v>0</v>
      </c>
      <c r="AB42">
        <f t="shared" ca="1" si="4"/>
        <v>0</v>
      </c>
      <c r="AC42">
        <f t="shared" ca="1" si="5"/>
        <v>0.35838685576611323</v>
      </c>
      <c r="AD42" s="83">
        <f ca="1"/>
        <v>45326</v>
      </c>
      <c r="AE42" s="55">
        <f t="shared" ca="1" si="20"/>
        <v>45326</v>
      </c>
      <c r="AF42" s="55">
        <f t="shared" ca="1" si="21"/>
        <v>40.136590403847705</v>
      </c>
      <c r="AG42" s="55">
        <f t="shared" ca="1" si="22"/>
        <v>2.3762314437693992</v>
      </c>
      <c r="AH42" s="55">
        <f t="shared" ca="1" si="23"/>
        <v>0</v>
      </c>
      <c r="AI42" s="55">
        <f t="shared" ca="1" si="17"/>
        <v>0</v>
      </c>
      <c r="AJ42" s="55">
        <f t="shared" ca="1" si="18"/>
        <v>5.3853225649343042</v>
      </c>
      <c r="AK42" s="55">
        <f t="shared" ca="1" si="19"/>
        <v>7.9443630550349349</v>
      </c>
    </row>
    <row r="43" spans="1:37" s="55" customFormat="1" ht="15" thickBot="1">
      <c r="A43" s="83" t="e">
        <f ca="1"/>
        <v>#N/A</v>
      </c>
      <c r="B43" s="55">
        <f t="shared" ca="1" si="24"/>
        <v>0</v>
      </c>
      <c r="C43" s="79"/>
      <c r="D43" s="82"/>
      <c r="F43" s="75" t="str">
        <f t="shared" ca="1" si="25"/>
        <v/>
      </c>
      <c r="G43" s="77" t="str">
        <f ca="1">IFERROR(VLOOKUP(F43,'Model Interface'!$J$7:$O$496,6,FALSE),"")</f>
        <v/>
      </c>
      <c r="H43" s="55" t="str">
        <f t="shared" ca="1" si="26"/>
        <v/>
      </c>
      <c r="R43" s="83">
        <f ca="1"/>
        <v>45255</v>
      </c>
      <c r="S43" s="55">
        <f t="shared" ca="1" si="11"/>
        <v>45255</v>
      </c>
      <c r="T43" s="55">
        <f t="shared" ca="1" si="0"/>
        <v>45.218408636439868</v>
      </c>
      <c r="U43" s="55">
        <f t="shared" ca="1" si="1"/>
        <v>8.0456944981394898</v>
      </c>
      <c r="V43" s="55">
        <f t="shared" ca="1" si="2"/>
        <v>0</v>
      </c>
      <c r="W43" s="55">
        <f t="shared" ca="1" si="12"/>
        <v>0</v>
      </c>
      <c r="X43" s="55">
        <f t="shared" ca="1" si="13"/>
        <v>6.4910915938509239</v>
      </c>
      <c r="Y43" s="55">
        <f t="shared" ca="1" si="14"/>
        <v>-5.2092503263757957</v>
      </c>
      <c r="Z43">
        <f t="shared" ca="1" si="3"/>
        <v>94.433859903421592</v>
      </c>
      <c r="AA43">
        <f t="shared" ca="1" si="15"/>
        <v>0</v>
      </c>
      <c r="AB43">
        <f t="shared" ca="1" si="4"/>
        <v>0</v>
      </c>
      <c r="AC43">
        <f t="shared" ca="1" si="5"/>
        <v>0.39293752084751288</v>
      </c>
      <c r="AD43" s="83">
        <f ca="1"/>
        <v>45327</v>
      </c>
      <c r="AE43" s="55">
        <f t="shared" ca="1" si="20"/>
        <v>45327</v>
      </c>
      <c r="AF43" s="55">
        <f t="shared" ca="1" si="21"/>
        <v>40.317282852868445</v>
      </c>
      <c r="AG43" s="55">
        <f t="shared" ca="1" si="22"/>
        <v>2.509770908746094</v>
      </c>
      <c r="AH43" s="55">
        <f t="shared" ca="1" si="23"/>
        <v>0</v>
      </c>
      <c r="AI43" s="55">
        <f t="shared" ca="1" si="17"/>
        <v>0</v>
      </c>
      <c r="AJ43" s="55">
        <f t="shared" ca="1" si="18"/>
        <v>5.6268081056564911</v>
      </c>
      <c r="AK43" s="55">
        <f t="shared" ca="1" si="19"/>
        <v>8.0171094283101745</v>
      </c>
    </row>
    <row r="44" spans="1:37" s="54" customFormat="1">
      <c r="A44" s="55"/>
      <c r="B44" s="55">
        <f ca="1">IF(C38="",CurrentEstablishDate,IF(AND(C38&gt;CurrentEstablishDate,(C38-CurrentEstablishDate)&lt;10),C38,CurrentEstablishDate))</f>
        <v>45231</v>
      </c>
      <c r="C44" s="94" t="s">
        <v>150</v>
      </c>
      <c r="D44" s="96">
        <f ca="1">MAX(CurrentEstablishDate,C38:C43,MAX(C29:C34)+1)</f>
        <v>45231</v>
      </c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83">
        <f ca="1"/>
        <v>45256</v>
      </c>
      <c r="S44" s="55">
        <f t="shared" ca="1" si="11"/>
        <v>45256</v>
      </c>
      <c r="T44" s="55">
        <f t="shared" ca="1" si="0"/>
        <v>44.870762951486874</v>
      </c>
      <c r="U44" s="55">
        <f t="shared" ca="1" si="1"/>
        <v>8.5308505948724136</v>
      </c>
      <c r="V44" s="55">
        <f t="shared" ca="1" si="2"/>
        <v>0</v>
      </c>
      <c r="W44" s="55">
        <f t="shared" ca="1" si="12"/>
        <v>0</v>
      </c>
      <c r="X44" s="55">
        <f t="shared" ca="1" si="13"/>
        <v>6.7333717310101351</v>
      </c>
      <c r="Y44" s="55">
        <f t="shared" ca="1" si="14"/>
        <v>-5.3140200517550822</v>
      </c>
      <c r="Z44">
        <f t="shared" ca="1" si="3"/>
        <v>92.046064927393147</v>
      </c>
      <c r="AA44">
        <f t="shared" ca="1" si="15"/>
        <v>0</v>
      </c>
      <c r="AB44">
        <f t="shared" ca="1" si="4"/>
        <v>0</v>
      </c>
      <c r="AC44">
        <f t="shared" ca="1" si="5"/>
        <v>0.42857236712310354</v>
      </c>
      <c r="AD44" s="83">
        <f ca="1"/>
        <v>45328</v>
      </c>
      <c r="AE44" s="55">
        <f t="shared" ca="1" si="20"/>
        <v>45328</v>
      </c>
      <c r="AF44" s="55">
        <f t="shared" ca="1" si="21"/>
        <v>40.471318451754655</v>
      </c>
      <c r="AG44" s="55">
        <f t="shared" ca="1" si="22"/>
        <v>2.6498049920130926</v>
      </c>
      <c r="AH44" s="55">
        <f t="shared" ca="1" si="23"/>
        <v>0</v>
      </c>
      <c r="AI44" s="55">
        <f t="shared" ca="1" si="17"/>
        <v>0</v>
      </c>
      <c r="AJ44" s="55">
        <f t="shared" ca="1" si="18"/>
        <v>5.8550855723596618</v>
      </c>
      <c r="AK44" s="55">
        <f t="shared" ca="1" si="19"/>
        <v>8.0829016437602093</v>
      </c>
    </row>
    <row r="45" spans="1:37" s="55" customFormat="1">
      <c r="R45" s="83">
        <f ca="1"/>
        <v>45257</v>
      </c>
      <c r="S45" s="55">
        <f t="shared" ca="1" si="11"/>
        <v>45257</v>
      </c>
      <c r="T45" s="55">
        <f t="shared" ca="1" si="0"/>
        <v>44.514325271566634</v>
      </c>
      <c r="U45" s="55">
        <f t="shared" ca="1" si="1"/>
        <v>9.026403959301815</v>
      </c>
      <c r="V45" s="55">
        <f t="shared" ca="1" si="2"/>
        <v>0</v>
      </c>
      <c r="W45" s="55">
        <f t="shared" ca="1" si="12"/>
        <v>0</v>
      </c>
      <c r="X45" s="55">
        <f t="shared" ca="1" si="13"/>
        <v>6.9683491332202649</v>
      </c>
      <c r="Y45" s="55">
        <f t="shared" ca="1" si="14"/>
        <v>-5.4098817694560548</v>
      </c>
      <c r="Z45">
        <f t="shared" ca="1" si="3"/>
        <v>91.913993935342461</v>
      </c>
      <c r="AA45">
        <f t="shared" ca="1" si="15"/>
        <v>0</v>
      </c>
      <c r="AB45">
        <f t="shared" ca="1" si="4"/>
        <v>0</v>
      </c>
      <c r="AC45">
        <f t="shared" ca="1" si="5"/>
        <v>0.46354172970832391</v>
      </c>
      <c r="AD45" s="83">
        <f ca="1"/>
        <v>45329</v>
      </c>
      <c r="AE45" s="55">
        <f t="shared" ca="1" si="20"/>
        <v>45329</v>
      </c>
      <c r="AF45" s="55">
        <f t="shared" ca="1" si="21"/>
        <v>40.606301945799309</v>
      </c>
      <c r="AG45" s="55">
        <f t="shared" ca="1" si="22"/>
        <v>2.798413264849172</v>
      </c>
      <c r="AH45" s="55">
        <f t="shared" ca="1" si="23"/>
        <v>0</v>
      </c>
      <c r="AI45" s="55">
        <f t="shared" ca="1" si="17"/>
        <v>0</v>
      </c>
      <c r="AJ45" s="55">
        <f t="shared" ca="1" si="18"/>
        <v>6.0779948855720818</v>
      </c>
      <c r="AK45" s="55">
        <f t="shared" ca="1" si="19"/>
        <v>8.1435840974285192</v>
      </c>
    </row>
    <row r="46" spans="1:37" s="55" customFormat="1" ht="15" thickBot="1">
      <c r="C46" s="129" t="s">
        <v>154</v>
      </c>
      <c r="D46" s="129"/>
      <c r="E46" s="129"/>
      <c r="F46" s="129"/>
      <c r="G46" s="129"/>
      <c r="H46" s="129"/>
      <c r="R46" s="83">
        <f ca="1"/>
        <v>45258</v>
      </c>
      <c r="S46" s="55">
        <f t="shared" ca="1" si="11"/>
        <v>45258</v>
      </c>
      <c r="T46" s="55">
        <f t="shared" ca="1" si="0"/>
        <v>44.145416687661786</v>
      </c>
      <c r="U46" s="55">
        <f t="shared" ca="1" si="1"/>
        <v>9.5451781288209521</v>
      </c>
      <c r="V46" s="55">
        <f t="shared" ca="1" si="2"/>
        <v>0</v>
      </c>
      <c r="W46" s="55">
        <f t="shared" ca="1" si="12"/>
        <v>0</v>
      </c>
      <c r="X46" s="55">
        <f t="shared" ca="1" si="13"/>
        <v>7.2076404121027888</v>
      </c>
      <c r="Y46" s="55">
        <f t="shared" ca="1" si="14"/>
        <v>-5.4993074627242873</v>
      </c>
      <c r="Z46">
        <f t="shared" ca="1" si="3"/>
        <v>94.17757801970032</v>
      </c>
      <c r="AA46">
        <f t="shared" ca="1" si="15"/>
        <v>0</v>
      </c>
      <c r="AB46">
        <f t="shared" ca="1" si="4"/>
        <v>0</v>
      </c>
      <c r="AC46">
        <f t="shared" ca="1" si="5"/>
        <v>0.49836942547914392</v>
      </c>
      <c r="AD46" s="83">
        <f ca="1"/>
        <v>45330</v>
      </c>
      <c r="AE46" s="55">
        <f t="shared" ca="1" si="20"/>
        <v>45330</v>
      </c>
      <c r="AF46" s="55">
        <f t="shared" ca="1" si="21"/>
        <v>40.72749607713088</v>
      </c>
      <c r="AG46" s="55">
        <f t="shared" ca="1" si="22"/>
        <v>2.9550583873315723</v>
      </c>
      <c r="AH46" s="55">
        <f t="shared" ca="1" si="23"/>
        <v>0</v>
      </c>
      <c r="AI46" s="55">
        <f t="shared" ca="1" si="17"/>
        <v>0</v>
      </c>
      <c r="AJ46" s="55">
        <f t="shared" ca="1" si="18"/>
        <v>6.3001666680488242</v>
      </c>
      <c r="AK46" s="55">
        <f t="shared" ca="1" si="19"/>
        <v>8.1992515687657459</v>
      </c>
    </row>
    <row r="47" spans="1:37" s="55" customFormat="1">
      <c r="C47" s="61" t="s">
        <v>26</v>
      </c>
      <c r="D47" s="88" t="str">
        <f>IF(E47="","Fodder",E47)</f>
        <v>Fodder</v>
      </c>
      <c r="E47" s="87"/>
      <c r="F47" s="61" t="s">
        <v>134</v>
      </c>
      <c r="G47" s="88">
        <f>IF(H47="",VLOOKUP(PriorCropNameFull,CropCoefficients,23,FALSE),H47)</f>
        <v>0</v>
      </c>
      <c r="H47" s="89"/>
      <c r="R47" s="83">
        <f ca="1"/>
        <v>45259</v>
      </c>
      <c r="S47" s="55">
        <f t="shared" ca="1" si="11"/>
        <v>45259</v>
      </c>
      <c r="T47" s="55">
        <f t="shared" ca="1" si="0"/>
        <v>43.745340247679756</v>
      </c>
      <c r="U47" s="55">
        <f t="shared" ca="1" si="1"/>
        <v>10.098057638610269</v>
      </c>
      <c r="V47" s="55">
        <f t="shared" ca="1" si="2"/>
        <v>0</v>
      </c>
      <c r="W47" s="55">
        <f t="shared" ca="1" si="12"/>
        <v>0</v>
      </c>
      <c r="X47" s="55">
        <f t="shared" ca="1" si="13"/>
        <v>7.4448734824357405</v>
      </c>
      <c r="Y47" s="55">
        <f t="shared" ca="1" si="14"/>
        <v>-5.5837374632499541</v>
      </c>
      <c r="Z47">
        <f t="shared" ca="1" si="3"/>
        <v>92.564241602814562</v>
      </c>
      <c r="AA47">
        <f t="shared" ca="1" si="15"/>
        <v>0</v>
      </c>
      <c r="AB47">
        <f t="shared" ca="1" si="4"/>
        <v>0</v>
      </c>
      <c r="AC47">
        <f t="shared" ca="1" si="5"/>
        <v>0.53330873244187915</v>
      </c>
      <c r="AD47" s="83">
        <f ca="1"/>
        <v>45331</v>
      </c>
      <c r="AE47" s="55">
        <f t="shared" ca="1" si="20"/>
        <v>45331</v>
      </c>
      <c r="AF47" s="55">
        <f t="shared" ca="1" si="21"/>
        <v>40.83143086102082</v>
      </c>
      <c r="AG47" s="55">
        <f t="shared" ca="1" si="22"/>
        <v>3.1214804388819593</v>
      </c>
      <c r="AH47" s="55">
        <f t="shared" ca="1" si="23"/>
        <v>0</v>
      </c>
      <c r="AI47" s="55">
        <f t="shared" ca="1" si="17"/>
        <v>0</v>
      </c>
      <c r="AJ47" s="55">
        <f t="shared" ca="1" si="18"/>
        <v>6.5191828258172047</v>
      </c>
      <c r="AK47" s="55">
        <f t="shared" ca="1" si="19"/>
        <v>8.2505922464376908</v>
      </c>
    </row>
    <row r="48" spans="1:37" s="55" customFormat="1">
      <c r="C48" s="61" t="s">
        <v>95</v>
      </c>
      <c r="D48" s="84" t="str">
        <f>IF(E48="","Barley",E48)</f>
        <v>Barley</v>
      </c>
      <c r="E48" s="66"/>
      <c r="F48" s="61" t="s">
        <v>136</v>
      </c>
      <c r="G48" s="84">
        <f>IF(H48="",VLOOKUP(PriorCropNameFull,CropCoefficients,22,FALSE),H48)</f>
        <v>0</v>
      </c>
      <c r="H48" s="72"/>
      <c r="R48" s="83">
        <f ca="1"/>
        <v>45260</v>
      </c>
      <c r="S48" s="55">
        <f t="shared" ca="1" si="11"/>
        <v>45260</v>
      </c>
      <c r="T48" s="55">
        <f t="shared" ca="1" si="0"/>
        <v>43.305307185898009</v>
      </c>
      <c r="U48" s="55">
        <f t="shared" ca="1" si="1"/>
        <v>10.697003693795294</v>
      </c>
      <c r="V48" s="55">
        <f t="shared" ca="1" si="2"/>
        <v>0</v>
      </c>
      <c r="W48" s="55">
        <f t="shared" ca="1" si="12"/>
        <v>0</v>
      </c>
      <c r="X48" s="55">
        <f t="shared" ca="1" si="13"/>
        <v>7.684276718289385</v>
      </c>
      <c r="Y48" s="55">
        <f t="shared" ca="1" si="14"/>
        <v>-5.6642277057003207</v>
      </c>
      <c r="Z48">
        <f t="shared" ca="1" si="3"/>
        <v>91.322876659214032</v>
      </c>
      <c r="AA48">
        <f t="shared" ca="1" si="15"/>
        <v>0</v>
      </c>
      <c r="AB48">
        <f t="shared" ca="1" si="4"/>
        <v>0</v>
      </c>
      <c r="AC48">
        <f t="shared" ca="1" si="5"/>
        <v>0.56851771692445874</v>
      </c>
      <c r="AD48" s="83">
        <f ca="1"/>
        <v>45332</v>
      </c>
      <c r="AE48" s="55">
        <f t="shared" ca="1" si="20"/>
        <v>45332</v>
      </c>
      <c r="AF48" s="55">
        <f t="shared" ca="1" si="21"/>
        <v>40.923001587210841</v>
      </c>
      <c r="AG48" s="55">
        <f t="shared" ca="1" si="22"/>
        <v>3.3005760720356334</v>
      </c>
      <c r="AH48" s="55">
        <f t="shared" ca="1" si="23"/>
        <v>0</v>
      </c>
      <c r="AI48" s="55">
        <f t="shared" ca="1" si="17"/>
        <v>0</v>
      </c>
      <c r="AJ48" s="55">
        <f t="shared" ca="1" si="18"/>
        <v>6.7418336521796061</v>
      </c>
      <c r="AK48" s="55">
        <f t="shared" ca="1" si="19"/>
        <v>8.2986077794189814</v>
      </c>
    </row>
    <row r="49" spans="2:37" s="55" customFormat="1">
      <c r="C49" s="61" t="s">
        <v>96</v>
      </c>
      <c r="D49" s="84" t="str">
        <f>IF(E49="","General",E49)</f>
        <v>General</v>
      </c>
      <c r="E49" s="66"/>
      <c r="F49" s="61" t="s">
        <v>135</v>
      </c>
      <c r="G49" s="84">
        <f>IF(H49="",VLOOKUP(PriorCropNameFull,CropCoefficients,26,FALSE),H49)</f>
        <v>0</v>
      </c>
      <c r="H49" s="72"/>
      <c r="R49" s="83">
        <f ca="1"/>
        <v>45261</v>
      </c>
      <c r="S49" s="55">
        <f t="shared" ca="1" si="11"/>
        <v>45261</v>
      </c>
      <c r="T49" s="55">
        <f t="shared" ca="1" si="0"/>
        <v>42.816832571191959</v>
      </c>
      <c r="U49" s="55">
        <f t="shared" ca="1" si="1"/>
        <v>11.344286635549585</v>
      </c>
      <c r="V49" s="55">
        <f t="shared" ca="1" si="2"/>
        <v>0</v>
      </c>
      <c r="W49" s="55">
        <f t="shared" ca="1" si="12"/>
        <v>0</v>
      </c>
      <c r="X49" s="55">
        <f t="shared" ca="1" si="13"/>
        <v>7.9194623236366954</v>
      </c>
      <c r="Y49" s="55">
        <f t="shared" ca="1" si="14"/>
        <v>-5.7406049839993933</v>
      </c>
      <c r="Z49">
        <f t="shared" ca="1" si="3"/>
        <v>87.875221271309826</v>
      </c>
      <c r="AA49">
        <f t="shared" ca="1" si="15"/>
        <v>0</v>
      </c>
      <c r="AB49">
        <f t="shared" ca="1" si="4"/>
        <v>0</v>
      </c>
      <c r="AC49">
        <f t="shared" ca="1" si="5"/>
        <v>0.60346295227691105</v>
      </c>
      <c r="AD49" s="83">
        <f ca="1"/>
        <v>45333</v>
      </c>
      <c r="AE49" s="55">
        <f t="shared" ca="1" si="20"/>
        <v>45333</v>
      </c>
      <c r="AF49" s="55">
        <f t="shared" ca="1" si="21"/>
        <v>41.005193825224879</v>
      </c>
      <c r="AG49" s="55">
        <f t="shared" ca="1" si="22"/>
        <v>3.4916386203345775</v>
      </c>
      <c r="AH49" s="55">
        <f t="shared" ca="1" si="23"/>
        <v>0</v>
      </c>
      <c r="AI49" s="55">
        <f t="shared" ca="1" si="17"/>
        <v>0</v>
      </c>
      <c r="AJ49" s="55">
        <f t="shared" ca="1" si="18"/>
        <v>6.9693298563360786</v>
      </c>
      <c r="AK49" s="55">
        <f t="shared" ca="1" si="19"/>
        <v>8.3443663615754939</v>
      </c>
    </row>
    <row r="50" spans="2:37" s="55" customFormat="1">
      <c r="B50" s="90">
        <f>IF(PriorUnits="kg/head",PriorYield*PriorPopulation/1000,IF(PriorUnits="kg/ha",PriorYield/1000,PriorYield))</f>
        <v>8</v>
      </c>
      <c r="C50" s="64" t="s">
        <v>151</v>
      </c>
      <c r="D50" s="65" t="str">
        <f>PriorCropName&amp;" "&amp;PriorCropType&amp;" "&amp;PriorCropVariety</f>
        <v>Barley Fodder General</v>
      </c>
      <c r="F50" s="56"/>
      <c r="R50" s="83">
        <f ca="1"/>
        <v>45262</v>
      </c>
      <c r="S50" s="55">
        <f t="shared" ca="1" si="11"/>
        <v>45262</v>
      </c>
      <c r="T50" s="55">
        <f t="shared" ca="1" si="0"/>
        <v>42.286486722021735</v>
      </c>
      <c r="U50" s="55">
        <f t="shared" ca="1" si="1"/>
        <v>12.054195783016334</v>
      </c>
      <c r="V50" s="55">
        <f t="shared" ca="1" si="2"/>
        <v>0</v>
      </c>
      <c r="W50" s="55">
        <f t="shared" ca="1" si="12"/>
        <v>0</v>
      </c>
      <c r="X50" s="55">
        <f t="shared" ca="1" si="13"/>
        <v>8.1720793240188776</v>
      </c>
      <c r="Y50" s="55">
        <f t="shared" ca="1" si="14"/>
        <v>-5.8136586860850548</v>
      </c>
      <c r="Z50">
        <f t="shared" ca="1" si="3"/>
        <v>91.418889344283755</v>
      </c>
      <c r="AA50">
        <f t="shared" ca="1" si="15"/>
        <v>0</v>
      </c>
      <c r="AB50">
        <f t="shared" ca="1" si="4"/>
        <v>0</v>
      </c>
      <c r="AC50">
        <f t="shared" ca="1" si="5"/>
        <v>0.63817789412554093</v>
      </c>
      <c r="AD50" s="83">
        <f ca="1"/>
        <v>45334</v>
      </c>
      <c r="AE50" s="55">
        <f t="shared" ca="1" si="20"/>
        <v>45334</v>
      </c>
      <c r="AF50" s="55">
        <f t="shared" ca="1" si="21"/>
        <v>41.076176285677654</v>
      </c>
      <c r="AG50" s="55">
        <f t="shared" ca="1" si="22"/>
        <v>3.6928137185574128</v>
      </c>
      <c r="AH50" s="55">
        <f t="shared" ca="1" si="23"/>
        <v>0</v>
      </c>
      <c r="AI50" s="55">
        <f t="shared" ca="1" si="17"/>
        <v>0</v>
      </c>
      <c r="AJ50" s="55">
        <f t="shared" ca="1" si="18"/>
        <v>7.1985012486237725</v>
      </c>
      <c r="AK50" s="55">
        <f t="shared" ca="1" si="19"/>
        <v>8.3873525279634045</v>
      </c>
    </row>
    <row r="51" spans="2:37" s="55" customFormat="1">
      <c r="C51" s="61" t="s">
        <v>4</v>
      </c>
      <c r="D51" s="68">
        <f ca="1">IF(E51="",CurrentEstablishDate-60,E51)</f>
        <v>45171</v>
      </c>
      <c r="E51" s="67"/>
      <c r="F51" s="61" t="s">
        <v>146</v>
      </c>
      <c r="G51" s="84" t="str">
        <f>IF(H51="",VLOOKUP(PriorCropNameFull,CropCoefficients,13,FALSE),H51)</f>
        <v>Seed</v>
      </c>
      <c r="H51" s="72"/>
      <c r="R51" s="83">
        <f ca="1"/>
        <v>45263</v>
      </c>
      <c r="S51" s="55">
        <f t="shared" ca="1" si="11"/>
        <v>45263</v>
      </c>
      <c r="T51" s="55">
        <f t="shared" ca="1" si="0"/>
        <v>41.69569302979059</v>
      </c>
      <c r="U51" s="55">
        <f t="shared" ca="1" si="1"/>
        <v>12.824925228332612</v>
      </c>
      <c r="V51" s="55">
        <f t="shared" ca="1" si="2"/>
        <v>0</v>
      </c>
      <c r="W51" s="55">
        <f t="shared" ca="1" si="12"/>
        <v>0</v>
      </c>
      <c r="X51" s="55">
        <f t="shared" ca="1" si="13"/>
        <v>8.4210676907806565</v>
      </c>
      <c r="Y51" s="55">
        <f t="shared" ca="1" si="14"/>
        <v>-5.8827112997617022</v>
      </c>
      <c r="Z51">
        <f t="shared" ca="1" si="3"/>
        <v>88.024841299254291</v>
      </c>
      <c r="AA51">
        <f t="shared" ca="1" si="15"/>
        <v>0</v>
      </c>
      <c r="AB51">
        <f t="shared" ca="1" si="4"/>
        <v>0</v>
      </c>
      <c r="AC51">
        <f t="shared" ca="1" si="5"/>
        <v>0.67182538064007458</v>
      </c>
      <c r="AD51" s="83">
        <f ca="1"/>
        <v>45335</v>
      </c>
      <c r="AE51" s="55">
        <f t="shared" ca="1" si="20"/>
        <v>45335</v>
      </c>
      <c r="AF51" s="55">
        <f t="shared" ca="1" si="21"/>
        <v>41.122434726944419</v>
      </c>
      <c r="AG51" s="55">
        <f t="shared" ca="1" si="22"/>
        <v>3.9031319048085971</v>
      </c>
      <c r="AH51" s="55">
        <f t="shared" ca="1" si="23"/>
        <v>0</v>
      </c>
      <c r="AI51" s="55">
        <f t="shared" ca="1" si="17"/>
        <v>0</v>
      </c>
      <c r="AJ51" s="55">
        <f t="shared" ca="1" si="18"/>
        <v>7.4170662270325085</v>
      </c>
      <c r="AK51" s="55">
        <f t="shared" ca="1" si="19"/>
        <v>8.4253641770726198</v>
      </c>
    </row>
    <row r="52" spans="2:37" s="55" customFormat="1">
      <c r="C52" s="61" t="s">
        <v>5</v>
      </c>
      <c r="D52" s="68">
        <f>IF(E52="",CurrentEstablishDate-15,E52)</f>
        <v>45230</v>
      </c>
      <c r="E52" s="67">
        <v>45230</v>
      </c>
      <c r="F52" s="61" t="s">
        <v>147</v>
      </c>
      <c r="G52" s="84" t="str">
        <f>IF(H52="",VLOOKUP(PriorCropNameFull,CropCoefficients,15,FALSE),H52)</f>
        <v>EarlyReproductive</v>
      </c>
      <c r="H52" s="72"/>
      <c r="R52" s="83">
        <f ca="1"/>
        <v>45264</v>
      </c>
      <c r="S52" s="55">
        <f t="shared" ca="1" si="11"/>
        <v>45264</v>
      </c>
      <c r="T52" s="55">
        <f t="shared" ca="1" si="0"/>
        <v>41.075577928694635</v>
      </c>
      <c r="U52" s="55">
        <f t="shared" ca="1" si="1"/>
        <v>13.644801672493402</v>
      </c>
      <c r="V52" s="55">
        <f t="shared" ca="1" si="2"/>
        <v>0</v>
      </c>
      <c r="W52" s="55">
        <f t="shared" ca="1" si="12"/>
        <v>0</v>
      </c>
      <c r="X52" s="55">
        <f t="shared" ca="1" si="13"/>
        <v>8.6848398054081208</v>
      </c>
      <c r="Y52" s="55">
        <f t="shared" ca="1" si="14"/>
        <v>-5.9467220713243325</v>
      </c>
      <c r="Z52">
        <f t="shared" ca="1" si="3"/>
        <v>92.928315454507384</v>
      </c>
      <c r="AA52">
        <f t="shared" ca="1" si="15"/>
        <v>0</v>
      </c>
      <c r="AB52">
        <f t="shared" ca="1" si="4"/>
        <v>0</v>
      </c>
      <c r="AC52">
        <f t="shared" ca="1" si="5"/>
        <v>0.70337429279962482</v>
      </c>
      <c r="AD52" s="83">
        <f ca="1"/>
        <v>45336</v>
      </c>
      <c r="AE52" s="55">
        <f t="shared" ca="1" si="20"/>
        <v>45336</v>
      </c>
      <c r="AF52" s="55">
        <f t="shared" ca="1" si="21"/>
        <v>41.153233469488001</v>
      </c>
      <c r="AG52" s="55">
        <f t="shared" ca="1" si="22"/>
        <v>4.1254003462909878</v>
      </c>
      <c r="AH52" s="55">
        <f t="shared" ca="1" si="23"/>
        <v>0</v>
      </c>
      <c r="AI52" s="55">
        <f t="shared" ca="1" si="17"/>
        <v>0</v>
      </c>
      <c r="AJ52" s="55">
        <f t="shared" ca="1" si="18"/>
        <v>7.6345595976050484</v>
      </c>
      <c r="AK52" s="55">
        <f t="shared" ca="1" si="19"/>
        <v>8.4609379905260553</v>
      </c>
    </row>
    <row r="53" spans="2:37" s="55" customFormat="1">
      <c r="C53" s="61" t="s">
        <v>137</v>
      </c>
      <c r="D53" s="73">
        <f>IF(PriorUnits="kg/head",IF(E53="",VLOOKUP(PriorCropNameFull,CropCoefficients,20,FALSE),E53),1)</f>
        <v>1</v>
      </c>
      <c r="E53" s="72"/>
      <c r="F53" s="61"/>
      <c r="G53" s="61"/>
      <c r="H53" s="61"/>
      <c r="R53" s="83">
        <f ca="1"/>
        <v>45265</v>
      </c>
      <c r="S53" s="55">
        <f t="shared" ca="1" si="11"/>
        <v>45265</v>
      </c>
      <c r="T53" s="55">
        <f t="shared" ca="1" si="0"/>
        <v>40.429700353852496</v>
      </c>
      <c r="U53" s="55">
        <f t="shared" ca="1" si="1"/>
        <v>14.499308766510744</v>
      </c>
      <c r="V53" s="55">
        <f t="shared" ca="1" si="2"/>
        <v>0</v>
      </c>
      <c r="W53" s="55">
        <f t="shared" ca="1" si="12"/>
        <v>0</v>
      </c>
      <c r="X53" s="55">
        <f t="shared" ca="1" si="13"/>
        <v>8.9517634727857338</v>
      </c>
      <c r="Y53" s="55">
        <f t="shared" ca="1" si="14"/>
        <v>-6.0050162195267394</v>
      </c>
      <c r="Z53">
        <f t="shared" ca="1" si="3"/>
        <v>95.311750987888431</v>
      </c>
      <c r="AA53">
        <f t="shared" ca="1" si="15"/>
        <v>0</v>
      </c>
      <c r="AB53">
        <f t="shared" ca="1" si="4"/>
        <v>0</v>
      </c>
      <c r="AC53">
        <f t="shared" ca="1" si="5"/>
        <v>0.7320789310941499</v>
      </c>
      <c r="AD53" s="83">
        <f ca="1"/>
        <v>45337</v>
      </c>
      <c r="AE53" s="55">
        <f t="shared" ca="1" si="20"/>
        <v>45337</v>
      </c>
      <c r="AF53" s="55">
        <f t="shared" ca="1" si="21"/>
        <v>41.171535801426344</v>
      </c>
      <c r="AG53" s="55">
        <f t="shared" ca="1" si="22"/>
        <v>4.3572051083263243</v>
      </c>
      <c r="AH53" s="55">
        <f t="shared" ca="1" si="23"/>
        <v>0</v>
      </c>
      <c r="AI53" s="55">
        <f t="shared" ca="1" si="17"/>
        <v>0</v>
      </c>
      <c r="AJ53" s="55">
        <f t="shared" ca="1" si="18"/>
        <v>7.850871023748951</v>
      </c>
      <c r="AK53" s="55">
        <f t="shared" ca="1" si="19"/>
        <v>8.4947336583558339</v>
      </c>
    </row>
    <row r="54" spans="2:37" s="54" customFormat="1">
      <c r="B54" s="55"/>
      <c r="C54" s="61" t="s">
        <v>101</v>
      </c>
      <c r="D54" s="70">
        <f>IF(E54="",VLOOKUP(PriorCropNameFull,CropCoefficients,17,FALSE),E54)</f>
        <v>8</v>
      </c>
      <c r="E54" s="69"/>
      <c r="F54" s="61" t="s">
        <v>149</v>
      </c>
      <c r="G54" s="85" t="str">
        <f>IF(H54="","None removed",H54)</f>
        <v>None removed</v>
      </c>
      <c r="H54" s="72"/>
      <c r="I54" s="55"/>
      <c r="J54" s="55"/>
      <c r="K54" s="55"/>
      <c r="L54" s="55"/>
      <c r="M54" s="55"/>
      <c r="N54" s="55"/>
      <c r="O54" s="55"/>
      <c r="P54" s="55"/>
      <c r="Q54" s="55"/>
      <c r="R54" s="83">
        <f ca="1"/>
        <v>45266</v>
      </c>
      <c r="S54" s="55">
        <f t="shared" ca="1" si="11"/>
        <v>45266</v>
      </c>
      <c r="T54" s="55">
        <f t="shared" ca="1" si="0"/>
        <v>39.737375431044157</v>
      </c>
      <c r="U54" s="55">
        <f t="shared" ca="1" si="1"/>
        <v>15.405147271890828</v>
      </c>
      <c r="V54" s="55">
        <f t="shared" ca="1" si="2"/>
        <v>0</v>
      </c>
      <c r="W54" s="55">
        <f t="shared" ca="1" si="12"/>
        <v>0</v>
      </c>
      <c r="X54" s="55">
        <f t="shared" ca="1" si="13"/>
        <v>9.2190407166205866</v>
      </c>
      <c r="Y54" s="55">
        <f t="shared" ca="1" si="14"/>
        <v>-6.0587798807898521</v>
      </c>
      <c r="Z54">
        <f t="shared" ca="1" si="3"/>
        <v>95.216867902734904</v>
      </c>
      <c r="AA54">
        <f t="shared" ca="1" si="15"/>
        <v>0</v>
      </c>
      <c r="AB54">
        <f t="shared" ca="1" si="4"/>
        <v>0</v>
      </c>
      <c r="AC54">
        <f t="shared" ca="1" si="5"/>
        <v>0.7584174420885631</v>
      </c>
      <c r="AD54" s="83">
        <f ca="1"/>
        <v>45338</v>
      </c>
      <c r="AE54" s="55">
        <f t="shared" ca="1" si="20"/>
        <v>45338</v>
      </c>
      <c r="AF54" s="55">
        <f t="shared" ca="1" si="21"/>
        <v>41.173243286821354</v>
      </c>
      <c r="AG54" s="55">
        <f t="shared" ca="1" si="22"/>
        <v>4.6004206045492335</v>
      </c>
      <c r="AH54" s="55">
        <f t="shared" ca="1" si="23"/>
        <v>0</v>
      </c>
      <c r="AI54" s="55">
        <f t="shared" ca="1" si="17"/>
        <v>0</v>
      </c>
      <c r="AJ54" s="55">
        <f t="shared" ca="1" si="18"/>
        <v>8.0641745576336579</v>
      </c>
      <c r="AK54" s="55">
        <f t="shared" ca="1" si="19"/>
        <v>8.5263531060890454</v>
      </c>
    </row>
    <row r="55" spans="2:37" s="55" customFormat="1">
      <c r="C55" s="61" t="s">
        <v>15</v>
      </c>
      <c r="D55" s="84" t="str">
        <f>IF(E55="",VLOOKUP(PriorCropNameFull,CropCoefficients,18,FALSE),E55)</f>
        <v>t/ha</v>
      </c>
      <c r="E55" s="71"/>
      <c r="F55" s="58" t="s">
        <v>159</v>
      </c>
      <c r="G55" s="85" t="str">
        <f>IF(H55="","Full (Plough)",H55)</f>
        <v>Full (Plough)</v>
      </c>
      <c r="H55" s="72"/>
      <c r="R55" s="83">
        <f ca="1"/>
        <v>45267</v>
      </c>
      <c r="S55" s="55">
        <f t="shared" ca="1" si="11"/>
        <v>45267</v>
      </c>
      <c r="T55" s="55">
        <f t="shared" ca="1" si="0"/>
        <v>39.033441245930206</v>
      </c>
      <c r="U55" s="55">
        <f t="shared" ca="1" si="1"/>
        <v>16.318671751059831</v>
      </c>
      <c r="V55" s="55">
        <f t="shared" ca="1" si="2"/>
        <v>0</v>
      </c>
      <c r="W55" s="55">
        <f t="shared" ca="1" si="12"/>
        <v>0</v>
      </c>
      <c r="X55" s="55">
        <f t="shared" ca="1" si="13"/>
        <v>9.4763067122496309</v>
      </c>
      <c r="Y55" s="55">
        <f t="shared" ca="1" si="14"/>
        <v>-6.1064555823638349</v>
      </c>
      <c r="Z55">
        <f t="shared" ca="1" si="3"/>
        <v>95.49082636524534</v>
      </c>
      <c r="AA55">
        <f t="shared" ca="1" si="15"/>
        <v>0</v>
      </c>
      <c r="AB55">
        <f t="shared" ca="1" si="4"/>
        <v>0</v>
      </c>
      <c r="AC55">
        <f t="shared" ca="1" si="5"/>
        <v>0.78129016904928206</v>
      </c>
      <c r="AD55" s="83">
        <f ca="1"/>
        <v>45339</v>
      </c>
      <c r="AE55" s="55">
        <f t="shared" ca="1" si="20"/>
        <v>45339</v>
      </c>
      <c r="AF55" s="55">
        <f t="shared" ca="1" si="21"/>
        <v>41.172312124537612</v>
      </c>
      <c r="AG55" s="55">
        <f t="shared" ca="1" si="22"/>
        <v>4.8571358181934894</v>
      </c>
      <c r="AH55" s="55">
        <f t="shared" ca="1" si="23"/>
        <v>0</v>
      </c>
      <c r="AI55" s="55">
        <f t="shared" ca="1" si="17"/>
        <v>0</v>
      </c>
      <c r="AJ55" s="55">
        <f t="shared" ca="1" si="18"/>
        <v>8.288208914567484</v>
      </c>
      <c r="AK55" s="55">
        <f t="shared" ca="1" si="19"/>
        <v>8.55810280051573</v>
      </c>
    </row>
    <row r="56" spans="2:37" s="55" customFormat="1">
      <c r="C56" s="64" t="str">
        <f>"Yield "&amp;ROUND(PriorYield_tperHa,0)&amp;" (t/ha)"</f>
        <v>Yield 8 (t/ha)</v>
      </c>
      <c r="D56" s="90" t="str">
        <f ca="1">"Previous crop residues are providing "&amp;ROUND('Model Interface'!M5,0)&amp;" kg N/ha to the current crop"</f>
        <v>Previous crop residues are providing -6 kg N/ha to the current crop</v>
      </c>
      <c r="R56" s="83">
        <f ca="1"/>
        <v>45268</v>
      </c>
      <c r="S56" s="55">
        <f t="shared" ca="1" si="11"/>
        <v>45268</v>
      </c>
      <c r="T56" s="55">
        <f t="shared" ca="1" si="0"/>
        <v>38.28064040940852</v>
      </c>
      <c r="U56" s="55">
        <f t="shared" ca="1" si="1"/>
        <v>17.276698198577051</v>
      </c>
      <c r="V56" s="55">
        <f t="shared" ca="1" si="2"/>
        <v>0</v>
      </c>
      <c r="W56" s="55">
        <f t="shared" ca="1" si="12"/>
        <v>0</v>
      </c>
      <c r="X56" s="55">
        <f t="shared" ca="1" si="13"/>
        <v>9.7251646731735377</v>
      </c>
      <c r="Y56" s="55">
        <f t="shared" ca="1" si="14"/>
        <v>-6.1500879322922053</v>
      </c>
      <c r="Z56">
        <f t="shared" ca="1" si="3"/>
        <v>92.808450599173554</v>
      </c>
      <c r="AA56">
        <f t="shared" ca="1" si="15"/>
        <v>0</v>
      </c>
      <c r="AB56">
        <f t="shared" ca="1" si="4"/>
        <v>0</v>
      </c>
      <c r="AC56">
        <f t="shared" ca="1" si="5"/>
        <v>0.80187732844798809</v>
      </c>
      <c r="AD56" s="83">
        <f ca="1"/>
        <v>45340</v>
      </c>
      <c r="AE56" s="55">
        <f t="shared" ca="1" si="20"/>
        <v>45340</v>
      </c>
      <c r="AF56" s="55">
        <f t="shared" ca="1" si="21"/>
        <v>41.152417628234943</v>
      </c>
      <c r="AG56" s="55">
        <f t="shared" ca="1" si="22"/>
        <v>5.1298042226390983</v>
      </c>
      <c r="AH56" s="55">
        <f t="shared" ca="1" si="23"/>
        <v>0</v>
      </c>
      <c r="AI56" s="55">
        <f t="shared" ca="1" si="17"/>
        <v>0</v>
      </c>
      <c r="AJ56" s="55">
        <f t="shared" ca="1" si="18"/>
        <v>8.5103676959779904</v>
      </c>
      <c r="AK56" s="55">
        <f t="shared" ca="1" si="19"/>
        <v>8.5887179272481653</v>
      </c>
    </row>
    <row r="57" spans="2:37" s="55" customFormat="1" ht="15" thickBot="1">
      <c r="C57" s="129" t="s">
        <v>155</v>
      </c>
      <c r="D57" s="129"/>
      <c r="E57" s="129"/>
      <c r="F57" s="129"/>
      <c r="G57" s="129"/>
      <c r="H57" s="129"/>
      <c r="R57" s="83">
        <f ca="1"/>
        <v>45269</v>
      </c>
      <c r="S57" s="55">
        <f t="shared" ca="1" si="11"/>
        <v>45269</v>
      </c>
      <c r="T57" s="55">
        <f t="shared" ca="1" si="0"/>
        <v>37.433293332922801</v>
      </c>
      <c r="U57" s="55">
        <f t="shared" ca="1" si="1"/>
        <v>18.328046981774005</v>
      </c>
      <c r="V57" s="55">
        <f t="shared" ca="1" si="2"/>
        <v>0</v>
      </c>
      <c r="W57" s="55">
        <f t="shared" ca="1" si="12"/>
        <v>0</v>
      </c>
      <c r="X57" s="55">
        <f t="shared" ca="1" si="13"/>
        <v>9.9703592254955336</v>
      </c>
      <c r="Y57" s="55">
        <f t="shared" ca="1" si="14"/>
        <v>-6.1912807779029677</v>
      </c>
      <c r="Z57">
        <f t="shared" ca="1" si="3"/>
        <v>88.127611547609206</v>
      </c>
      <c r="AA57">
        <f t="shared" ca="1" si="15"/>
        <v>0</v>
      </c>
      <c r="AB57">
        <f t="shared" ca="1" si="4"/>
        <v>0</v>
      </c>
      <c r="AC57">
        <f t="shared" ca="1" si="5"/>
        <v>0.82109114702923114</v>
      </c>
      <c r="AD57" s="83">
        <f ca="1"/>
        <v>45341</v>
      </c>
      <c r="AE57" s="55">
        <f t="shared" ca="1" si="20"/>
        <v>45341</v>
      </c>
      <c r="AF57" s="55">
        <f t="shared" ca="1" si="21"/>
        <v>41.112781442682873</v>
      </c>
      <c r="AG57" s="55">
        <f t="shared" ca="1" si="22"/>
        <v>5.4173385628462398</v>
      </c>
      <c r="AH57" s="55">
        <f t="shared" ca="1" si="23"/>
        <v>0</v>
      </c>
      <c r="AI57" s="55">
        <f t="shared" ca="1" si="17"/>
        <v>0</v>
      </c>
      <c r="AJ57" s="55">
        <f t="shared" ca="1" si="18"/>
        <v>8.7294569309000831</v>
      </c>
      <c r="AK57" s="55">
        <f t="shared" ca="1" si="19"/>
        <v>8.6175268469811357</v>
      </c>
    </row>
    <row r="58" spans="2:37" s="55" customFormat="1">
      <c r="C58" s="61" t="s">
        <v>26</v>
      </c>
      <c r="D58" s="88" t="str">
        <f>IF(E58="","Fodder",E58)</f>
        <v>Fodder</v>
      </c>
      <c r="E58" s="87"/>
      <c r="F58" s="61" t="s">
        <v>134</v>
      </c>
      <c r="G58" s="88">
        <f>IF(H58="",VLOOKUP(FollowingCropFullName,CropCoefficients,23,FALSE),H58)</f>
        <v>0</v>
      </c>
      <c r="H58" s="89"/>
      <c r="R58" s="83">
        <f ca="1"/>
        <v>45270</v>
      </c>
      <c r="S58" s="55">
        <f t="shared" ca="1" si="11"/>
        <v>45270</v>
      </c>
      <c r="T58" s="55">
        <f t="shared" ca="1" si="0"/>
        <v>36.535677095064287</v>
      </c>
      <c r="U58" s="55">
        <f t="shared" ca="1" si="1"/>
        <v>19.427485599820301</v>
      </c>
      <c r="V58" s="55">
        <f t="shared" ca="1" si="2"/>
        <v>0</v>
      </c>
      <c r="W58" s="55">
        <f t="shared" ca="1" si="12"/>
        <v>0</v>
      </c>
      <c r="X58" s="55">
        <f t="shared" ca="1" si="13"/>
        <v>10.209442059915093</v>
      </c>
      <c r="Y58" s="55">
        <f t="shared" ca="1" si="14"/>
        <v>-6.2285412321347504</v>
      </c>
      <c r="Z58">
        <f t="shared" ca="1" si="3"/>
        <v>86.480746522641851</v>
      </c>
      <c r="AA58">
        <f t="shared" ca="1" si="15"/>
        <v>0</v>
      </c>
      <c r="AB58">
        <f t="shared" ca="1" si="4"/>
        <v>0</v>
      </c>
      <c r="AC58">
        <f t="shared" ca="1" si="5"/>
        <v>0.83803537030694863</v>
      </c>
      <c r="AD58" s="83">
        <f ca="1"/>
        <v>45342</v>
      </c>
      <c r="AE58" s="55">
        <f t="shared" ca="1" si="20"/>
        <v>45342</v>
      </c>
      <c r="AF58" s="55">
        <f t="shared" ca="1" si="21"/>
        <v>41.064761192933879</v>
      </c>
      <c r="AG58" s="55">
        <f t="shared" ca="1" si="22"/>
        <v>5.7219411851071227</v>
      </c>
      <c r="AH58" s="55">
        <f t="shared" ca="1" si="23"/>
        <v>0</v>
      </c>
      <c r="AI58" s="55">
        <f t="shared" ca="1" si="17"/>
        <v>0</v>
      </c>
      <c r="AJ58" s="55">
        <f t="shared" ca="1" si="18"/>
        <v>8.9573891245162329</v>
      </c>
      <c r="AK58" s="55">
        <f t="shared" ca="1" si="19"/>
        <v>8.6461770258768702</v>
      </c>
    </row>
    <row r="59" spans="2:37" s="55" customFormat="1">
      <c r="C59" s="61" t="s">
        <v>95</v>
      </c>
      <c r="D59" s="84" t="str">
        <f>IF(E59="","Oat",E59)</f>
        <v>Oat</v>
      </c>
      <c r="E59" s="66"/>
      <c r="F59" s="61" t="s">
        <v>136</v>
      </c>
      <c r="G59" s="84">
        <f>IF(H59="",VLOOKUP(FollowingCropFullName,CropCoefficients,22,FALSE),H59)</f>
        <v>0</v>
      </c>
      <c r="H59" s="72"/>
      <c r="R59" s="83">
        <f ca="1"/>
        <v>45271</v>
      </c>
      <c r="S59" s="55">
        <f t="shared" ca="1" si="11"/>
        <v>45271</v>
      </c>
      <c r="T59" s="55">
        <f t="shared" ca="1" si="0"/>
        <v>35.522602151994832</v>
      </c>
      <c r="U59" s="55">
        <f t="shared" ca="1" si="1"/>
        <v>20.641065499371777</v>
      </c>
      <c r="V59" s="55">
        <f t="shared" ca="1" si="2"/>
        <v>0</v>
      </c>
      <c r="W59" s="55">
        <f t="shared" ca="1" si="12"/>
        <v>0</v>
      </c>
      <c r="X59" s="55">
        <f t="shared" ca="1" si="13"/>
        <v>10.444958747651647</v>
      </c>
      <c r="Y59" s="55">
        <f t="shared" ca="1" si="14"/>
        <v>-6.2635529633892819</v>
      </c>
      <c r="Z59">
        <f t="shared" ca="1" si="3"/>
        <v>81.298240607038792</v>
      </c>
      <c r="AA59">
        <f t="shared" ca="1" si="15"/>
        <v>0</v>
      </c>
      <c r="AB59">
        <f t="shared" ca="1" si="4"/>
        <v>0</v>
      </c>
      <c r="AC59">
        <f t="shared" ca="1" si="5"/>
        <v>0.85367439042307525</v>
      </c>
      <c r="AD59" s="83">
        <f ca="1"/>
        <v>45343</v>
      </c>
      <c r="AE59" s="55">
        <f t="shared" ca="1" si="20"/>
        <v>45343</v>
      </c>
      <c r="AF59" s="55">
        <f t="shared" ca="1" si="21"/>
        <v>41.001983390086814</v>
      </c>
      <c r="AG59" s="55">
        <f t="shared" ca="1" si="22"/>
        <v>6.0419357096203585</v>
      </c>
      <c r="AH59" s="55">
        <f t="shared" ca="1" si="23"/>
        <v>0</v>
      </c>
      <c r="AI59" s="55">
        <f t="shared" ca="1" si="17"/>
        <v>0</v>
      </c>
      <c r="AJ59" s="55">
        <f t="shared" ca="1" si="18"/>
        <v>9.1870317772299241</v>
      </c>
      <c r="AK59" s="55">
        <f t="shared" ca="1" si="19"/>
        <v>8.6737510948293455</v>
      </c>
    </row>
    <row r="60" spans="2:37" s="55" customFormat="1">
      <c r="C60" s="61" t="s">
        <v>96</v>
      </c>
      <c r="D60" s="84" t="str">
        <f>IF(E60="","General",E60)</f>
        <v>General</v>
      </c>
      <c r="E60" s="66"/>
      <c r="F60" s="61" t="s">
        <v>135</v>
      </c>
      <c r="G60" s="84">
        <f>IF(H60="",VLOOKUP(FollowingCropFullName,CropCoefficients,26,FALSE),H60)</f>
        <v>0</v>
      </c>
      <c r="H60" s="72"/>
      <c r="R60" s="83">
        <f ca="1"/>
        <v>45272</v>
      </c>
      <c r="S60" s="55">
        <f t="shared" ca="1" si="11"/>
        <v>45272</v>
      </c>
      <c r="T60" s="55">
        <f t="shared" ca="1" si="0"/>
        <v>34.395264021129108</v>
      </c>
      <c r="U60" s="55">
        <f t="shared" ca="1" si="1"/>
        <v>21.971256749471145</v>
      </c>
      <c r="V60" s="55">
        <f t="shared" ca="1" si="2"/>
        <v>0</v>
      </c>
      <c r="W60" s="55">
        <f t="shared" ca="1" si="12"/>
        <v>0</v>
      </c>
      <c r="X60" s="55">
        <f t="shared" ca="1" si="13"/>
        <v>10.680251202033507</v>
      </c>
      <c r="Y60" s="55">
        <f t="shared" ca="1" si="14"/>
        <v>-6.2959922985374916</v>
      </c>
      <c r="Z60">
        <f t="shared" ca="1" si="3"/>
        <v>78.017907567418206</v>
      </c>
      <c r="AA60">
        <f t="shared" ca="1" si="15"/>
        <v>0</v>
      </c>
      <c r="AB60">
        <f t="shared" ca="1" si="4"/>
        <v>0</v>
      </c>
      <c r="AC60">
        <f t="shared" ca="1" si="5"/>
        <v>0.86783101960612674</v>
      </c>
      <c r="AD60" s="83">
        <f ca="1"/>
        <v>45344</v>
      </c>
      <c r="AE60" s="55">
        <f t="shared" ca="1" si="20"/>
        <v>45344</v>
      </c>
      <c r="AF60" s="55">
        <f t="shared" ca="1" si="21"/>
        <v>40.917162485459457</v>
      </c>
      <c r="AG60" s="55">
        <f t="shared" ca="1" si="22"/>
        <v>6.3754768294540334</v>
      </c>
      <c r="AH60" s="55">
        <f t="shared" ca="1" si="23"/>
        <v>0</v>
      </c>
      <c r="AI60" s="55">
        <f t="shared" ca="1" si="17"/>
        <v>0</v>
      </c>
      <c r="AJ60" s="55">
        <f t="shared" ca="1" si="18"/>
        <v>9.4093862627728342</v>
      </c>
      <c r="AK60" s="55">
        <f t="shared" ca="1" si="19"/>
        <v>8.7001168244927527</v>
      </c>
    </row>
    <row r="61" spans="2:37" s="55" customFormat="1">
      <c r="B61" s="90">
        <f>IF(FollowingUnits="kg/head",FollowingYIeld*FollowingPopulation/1000,IF(FollowingUnits="kg/ha",FollowingYIeld/1000,FollowingYIeld))</f>
        <v>10</v>
      </c>
      <c r="C61" s="64" t="s">
        <v>151</v>
      </c>
      <c r="D61" s="65" t="str">
        <f>FollowingCropName&amp;" "&amp;FollowingCropType&amp;" "&amp;FollowingCropVariety</f>
        <v>Oat Fodder General</v>
      </c>
      <c r="F61" s="56"/>
      <c r="R61" s="83">
        <f ca="1"/>
        <v>45273</v>
      </c>
      <c r="S61" s="55">
        <f t="shared" ca="1" si="11"/>
        <v>45273</v>
      </c>
      <c r="T61" s="55">
        <f t="shared" ca="1" si="0"/>
        <v>33.209854043220645</v>
      </c>
      <c r="U61" s="55">
        <f t="shared" ca="1" si="1"/>
        <v>23.349034672429394</v>
      </c>
      <c r="V61" s="55">
        <f t="shared" ca="1" si="2"/>
        <v>0</v>
      </c>
      <c r="W61" s="55">
        <f t="shared" ca="1" si="12"/>
        <v>0</v>
      </c>
      <c r="X61" s="55">
        <f t="shared" ca="1" si="13"/>
        <v>10.901075319376417</v>
      </c>
      <c r="Y61" s="55">
        <f t="shared" ca="1" si="14"/>
        <v>-6.3244484708306121</v>
      </c>
      <c r="Z61">
        <f t="shared" ca="1" si="3"/>
        <v>73.89806046989834</v>
      </c>
      <c r="AA61">
        <f t="shared" ca="1" si="15"/>
        <v>0</v>
      </c>
      <c r="AB61">
        <f t="shared" ca="1" si="4"/>
        <v>0</v>
      </c>
      <c r="AC61">
        <f t="shared" ca="1" si="5"/>
        <v>0.87986782915871165</v>
      </c>
      <c r="AD61" s="83">
        <f ca="1"/>
        <v>45345</v>
      </c>
      <c r="AE61" s="55">
        <f t="shared" ca="1" si="20"/>
        <v>45345</v>
      </c>
      <c r="AF61" s="55">
        <f t="shared" ca="1" si="21"/>
        <v>40.816890550355893</v>
      </c>
      <c r="AG61" s="55">
        <f t="shared" ca="1" si="22"/>
        <v>6.7265804846626507</v>
      </c>
      <c r="AH61" s="55">
        <f t="shared" ca="1" si="23"/>
        <v>0</v>
      </c>
      <c r="AI61" s="55">
        <f t="shared" ca="1" si="17"/>
        <v>0</v>
      </c>
      <c r="AJ61" s="55">
        <f t="shared" ca="1" si="18"/>
        <v>9.6345847286383268</v>
      </c>
      <c r="AK61" s="55">
        <f t="shared" ca="1" si="19"/>
        <v>8.7257500787323181</v>
      </c>
    </row>
    <row r="62" spans="2:37" s="55" customFormat="1">
      <c r="C62" s="61" t="s">
        <v>4</v>
      </c>
      <c r="D62" s="68">
        <f>IF(E62="",CurrentHarvestDate+15,E62)</f>
        <v>45316</v>
      </c>
      <c r="E62" s="67"/>
      <c r="F62" s="61" t="s">
        <v>146</v>
      </c>
      <c r="G62" s="84" t="str">
        <f>IF(H62="",VLOOKUP(FollowingCropFullName,CropCoefficients,13,FALSE),H62)</f>
        <v>Seed</v>
      </c>
      <c r="H62" s="72"/>
      <c r="R62" s="83">
        <f ca="1"/>
        <v>45274</v>
      </c>
      <c r="S62" s="55">
        <f t="shared" ca="1" si="11"/>
        <v>45274</v>
      </c>
      <c r="T62" s="55">
        <f t="shared" ca="1" si="0"/>
        <v>31.963412153906955</v>
      </c>
      <c r="U62" s="55">
        <f t="shared" ca="1" si="1"/>
        <v>24.7910191447504</v>
      </c>
      <c r="V62" s="55">
        <f t="shared" ca="1" si="2"/>
        <v>0</v>
      </c>
      <c r="W62" s="55">
        <f t="shared" ca="1" si="12"/>
        <v>0</v>
      </c>
      <c r="X62" s="55">
        <f t="shared" ca="1" si="13"/>
        <v>11.121696880510028</v>
      </c>
      <c r="Y62" s="55">
        <f t="shared" ca="1" si="14"/>
        <v>-6.3495274489569073</v>
      </c>
      <c r="Z62">
        <f t="shared" ca="1" si="3"/>
        <v>74.370785800576243</v>
      </c>
      <c r="AA62">
        <f t="shared" ca="1" si="15"/>
        <v>0</v>
      </c>
      <c r="AB62">
        <f t="shared" ca="1" si="4"/>
        <v>0</v>
      </c>
      <c r="AC62">
        <f t="shared" ca="1" si="5"/>
        <v>0.89019978365825958</v>
      </c>
      <c r="AD62" s="83">
        <f ca="1"/>
        <v>45346</v>
      </c>
      <c r="AE62" s="55">
        <f t="shared" ca="1" si="20"/>
        <v>45346</v>
      </c>
      <c r="AF62" s="55">
        <f t="shared" ca="1" si="21"/>
        <v>40.693883703624834</v>
      </c>
      <c r="AG62" s="55">
        <f t="shared" ca="1" si="22"/>
        <v>7.0878029817040487</v>
      </c>
      <c r="AH62" s="55">
        <f t="shared" ca="1" si="23"/>
        <v>0</v>
      </c>
      <c r="AI62" s="55">
        <f t="shared" ca="1" si="17"/>
        <v>0</v>
      </c>
      <c r="AJ62" s="55">
        <f t="shared" ca="1" si="18"/>
        <v>9.8485307582349471</v>
      </c>
      <c r="AK62" s="55">
        <f t="shared" ca="1" si="19"/>
        <v>8.7500196994460318</v>
      </c>
    </row>
    <row r="63" spans="2:37" s="55" customFormat="1">
      <c r="C63" s="61" t="s">
        <v>5</v>
      </c>
      <c r="D63" s="68">
        <f>IF(E63="",FollowingEstablishDate+120,E63)</f>
        <v>45436</v>
      </c>
      <c r="E63" s="67"/>
      <c r="F63" s="61" t="s">
        <v>147</v>
      </c>
      <c r="G63" s="84" t="str">
        <f>IF(H63="",VLOOKUP(FollowingCropFullName,CropCoefficients,15,FALSE),H63)</f>
        <v>EarlyReproductive</v>
      </c>
      <c r="H63" s="72"/>
      <c r="R63" s="83">
        <f ca="1"/>
        <v>45275</v>
      </c>
      <c r="S63" s="55">
        <f t="shared" ca="1" si="11"/>
        <v>45275</v>
      </c>
      <c r="T63" s="55">
        <f t="shared" ca="1" si="0"/>
        <v>30.656391352174335</v>
      </c>
      <c r="U63" s="55">
        <f t="shared" ca="1" si="1"/>
        <v>26.287870859037984</v>
      </c>
      <c r="V63" s="55">
        <f t="shared" ca="1" si="2"/>
        <v>0</v>
      </c>
      <c r="W63" s="55">
        <f t="shared" ca="1" si="12"/>
        <v>0</v>
      </c>
      <c r="X63" s="55">
        <f t="shared" ca="1" si="13"/>
        <v>11.333351182734301</v>
      </c>
      <c r="Y63" s="55">
        <f t="shared" ca="1" si="14"/>
        <v>-6.3713508386262143</v>
      </c>
      <c r="Z63">
        <f t="shared" ca="1" si="3"/>
        <v>71.753600867248537</v>
      </c>
      <c r="AA63">
        <f t="shared" ca="1" si="15"/>
        <v>0</v>
      </c>
      <c r="AB63">
        <f t="shared" ca="1" si="4"/>
        <v>0</v>
      </c>
      <c r="AC63">
        <f t="shared" ca="1" si="5"/>
        <v>0.89898923741195802</v>
      </c>
      <c r="AD63" s="83">
        <f ca="1"/>
        <v>45347</v>
      </c>
      <c r="AE63" s="55">
        <f t="shared" ca="1" si="20"/>
        <v>45347</v>
      </c>
      <c r="AF63" s="55">
        <f t="shared" ca="1" si="21"/>
        <v>40.546631687971285</v>
      </c>
      <c r="AG63" s="55">
        <f t="shared" ca="1" si="22"/>
        <v>7.4574961209119053</v>
      </c>
      <c r="AH63" s="55">
        <f t="shared" ca="1" si="23"/>
        <v>0</v>
      </c>
      <c r="AI63" s="55">
        <f t="shared" ca="1" si="17"/>
        <v>0</v>
      </c>
      <c r="AJ63" s="55">
        <f t="shared" ca="1" si="18"/>
        <v>10.048835911393454</v>
      </c>
      <c r="AK63" s="55">
        <f t="shared" ca="1" si="19"/>
        <v>8.7721556698418244</v>
      </c>
    </row>
    <row r="64" spans="2:37" s="54" customFormat="1">
      <c r="B64" s="55"/>
      <c r="C64" s="61" t="s">
        <v>137</v>
      </c>
      <c r="D64" s="73">
        <f>IF(FollowingUnits="kg/head",IF(E64="",VLOOKUP(FollowingCropFullName,CropCoefficients,20,FALSE),E64),1)</f>
        <v>1</v>
      </c>
      <c r="E64" s="72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83">
        <f ca="1"/>
        <v>45276</v>
      </c>
      <c r="S64" s="55">
        <f t="shared" ca="1" si="11"/>
        <v>45276</v>
      </c>
      <c r="T64" s="55">
        <f t="shared" ca="1" si="0"/>
        <v>50.556126672002954</v>
      </c>
      <c r="U64" s="55">
        <f t="shared" ca="1" si="1"/>
        <v>27.873622116397744</v>
      </c>
      <c r="V64" s="55">
        <f t="shared" ca="1" si="2"/>
        <v>21.284724406140047</v>
      </c>
      <c r="W64" s="55">
        <f t="shared" ca="1" si="12"/>
        <v>0</v>
      </c>
      <c r="X64" s="55">
        <f t="shared" ca="1" si="13"/>
        <v>11.553265526566076</v>
      </c>
      <c r="Y64" s="55">
        <f t="shared" ca="1" si="14"/>
        <v>-6.3905030114096579</v>
      </c>
      <c r="Z64">
        <f t="shared" ca="1" si="3"/>
        <v>74.499408290609097</v>
      </c>
      <c r="AA64">
        <f t="shared" ca="1" si="15"/>
        <v>0</v>
      </c>
      <c r="AB64">
        <f t="shared" ca="1" si="4"/>
        <v>0</v>
      </c>
      <c r="AC64">
        <f t="shared" ca="1" si="5"/>
        <v>0.90660810824344962</v>
      </c>
      <c r="AD64" s="83">
        <f ca="1"/>
        <v>45348</v>
      </c>
      <c r="AE64" s="55">
        <f t="shared" ca="1" si="20"/>
        <v>45348</v>
      </c>
      <c r="AF64" s="55">
        <f t="shared" ca="1" si="21"/>
        <v>40.376274533192401</v>
      </c>
      <c r="AG64" s="55">
        <f t="shared" ca="1" si="22"/>
        <v>7.8480485315406536</v>
      </c>
      <c r="AH64" s="55">
        <f t="shared" ca="1" si="23"/>
        <v>0</v>
      </c>
      <c r="AI64" s="55">
        <f t="shared" ca="1" si="17"/>
        <v>0</v>
      </c>
      <c r="AJ64" s="55">
        <f t="shared" ca="1" si="18"/>
        <v>10.247691602571756</v>
      </c>
      <c r="AK64" s="55">
        <f t="shared" ca="1" si="19"/>
        <v>8.7934952345133865</v>
      </c>
    </row>
    <row r="65" spans="2:37" s="55" customFormat="1">
      <c r="C65" s="61" t="s">
        <v>101</v>
      </c>
      <c r="D65" s="70">
        <f>IF(E65="",VLOOKUP(FollowingCropFullName,CropCoefficients,17,FALSE),E65)</f>
        <v>10</v>
      </c>
      <c r="E65" s="69"/>
      <c r="F65" s="61" t="s">
        <v>149</v>
      </c>
      <c r="G65" s="85" t="str">
        <f>IF(H65="","None removed",H65)</f>
        <v>None removed</v>
      </c>
      <c r="H65" s="72"/>
      <c r="R65" s="83">
        <f ca="1"/>
        <v>45277</v>
      </c>
      <c r="S65" s="55">
        <f t="shared" ca="1" si="11"/>
        <v>45277</v>
      </c>
      <c r="T65" s="55">
        <f t="shared" ca="1" si="0"/>
        <v>49.093627591060745</v>
      </c>
      <c r="U65" s="55">
        <f t="shared" ca="1" si="1"/>
        <v>29.543799189924659</v>
      </c>
      <c r="V65" s="55">
        <f t="shared" ca="1" si="2"/>
        <v>0</v>
      </c>
      <c r="W65" s="55">
        <f t="shared" ca="1" si="12"/>
        <v>0</v>
      </c>
      <c r="X65" s="55">
        <f t="shared" ca="1" si="13"/>
        <v>11.777467460875256</v>
      </c>
      <c r="Y65" s="55">
        <f t="shared" ca="1" si="14"/>
        <v>-6.40702695313413</v>
      </c>
      <c r="Z65">
        <f t="shared" ca="1" si="3"/>
        <v>75.957671895616542</v>
      </c>
      <c r="AA65">
        <f t="shared" ca="1" si="15"/>
        <v>0</v>
      </c>
      <c r="AB65">
        <f t="shared" ca="1" si="4"/>
        <v>0</v>
      </c>
      <c r="AC65">
        <f t="shared" ca="1" si="5"/>
        <v>0.91315561716545079</v>
      </c>
      <c r="AD65" s="83">
        <f ca="1"/>
        <v>45349</v>
      </c>
      <c r="AE65" s="55">
        <f t="shared" ca="1" si="20"/>
        <v>45349</v>
      </c>
      <c r="AF65" s="55">
        <f t="shared" ca="1" si="21"/>
        <v>40.180095835869778</v>
      </c>
      <c r="AG65" s="55">
        <f t="shared" ca="1" si="22"/>
        <v>8.2606541970735403</v>
      </c>
      <c r="AH65" s="55">
        <f t="shared" ca="1" si="23"/>
        <v>0</v>
      </c>
      <c r="AI65" s="55">
        <f t="shared" ca="1" si="17"/>
        <v>0</v>
      </c>
      <c r="AJ65" s="55">
        <f t="shared" ca="1" si="18"/>
        <v>10.443763462379048</v>
      </c>
      <c r="AK65" s="55">
        <f t="shared" ca="1" si="19"/>
        <v>8.8138503429163606</v>
      </c>
    </row>
    <row r="66" spans="2:37" s="55" customFormat="1">
      <c r="C66" s="61" t="s">
        <v>15</v>
      </c>
      <c r="D66" s="84" t="str">
        <f>IF(E66="",VLOOKUP(FollowingCropFullName,CropCoefficients,18,FALSE),E66)</f>
        <v>t/ha</v>
      </c>
      <c r="E66" s="71"/>
      <c r="F66" s="57" t="s">
        <v>159</v>
      </c>
      <c r="G66" s="85" t="str">
        <f>IF(H66="","Full (Plough)",H66)</f>
        <v>Full (Plough)</v>
      </c>
      <c r="H66" s="72"/>
      <c r="R66" s="83">
        <f ca="1"/>
        <v>45278</v>
      </c>
      <c r="S66" s="55">
        <f t="shared" ca="1" si="11"/>
        <v>45278</v>
      </c>
      <c r="T66" s="55">
        <f t="shared" ca="1" si="0"/>
        <v>47.594748771871927</v>
      </c>
      <c r="U66" s="55">
        <f t="shared" ca="1" si="1"/>
        <v>31.250948490792155</v>
      </c>
      <c r="V66" s="55">
        <f t="shared" ca="1" si="2"/>
        <v>0</v>
      </c>
      <c r="W66" s="55">
        <f t="shared" ca="1" si="12"/>
        <v>0</v>
      </c>
      <c r="X66" s="55">
        <f t="shared" ca="1" si="13"/>
        <v>11.999469094779519</v>
      </c>
      <c r="Y66" s="55">
        <f t="shared" ca="1" si="14"/>
        <v>-6.4207581053597096</v>
      </c>
      <c r="Z66">
        <f t="shared" ca="1" si="3"/>
        <v>77.167287286406946</v>
      </c>
      <c r="AA66">
        <f t="shared" ca="1" si="15"/>
        <v>0</v>
      </c>
      <c r="AB66">
        <f t="shared" ca="1" si="4"/>
        <v>0</v>
      </c>
      <c r="AC66">
        <f t="shared" ca="1" si="5"/>
        <v>0.91862152820375409</v>
      </c>
      <c r="AD66" s="83">
        <f ca="1"/>
        <v>45350</v>
      </c>
      <c r="AE66" s="55">
        <f t="shared" ca="1" si="20"/>
        <v>45350</v>
      </c>
      <c r="AF66" s="55">
        <f t="shared" ca="1" si="21"/>
        <v>39.969654586621147</v>
      </c>
      <c r="AG66" s="55">
        <f t="shared" ca="1" si="22"/>
        <v>8.6874634749402428</v>
      </c>
      <c r="AH66" s="55">
        <f t="shared" ca="1" si="23"/>
        <v>0</v>
      </c>
      <c r="AI66" s="55">
        <f t="shared" ca="1" si="17"/>
        <v>0</v>
      </c>
      <c r="AJ66" s="55">
        <f t="shared" ca="1" si="18"/>
        <v>10.63981433453702</v>
      </c>
      <c r="AK66" s="55">
        <f t="shared" ca="1" si="19"/>
        <v>8.8341674993764645</v>
      </c>
    </row>
    <row r="67" spans="2:37">
      <c r="B67" s="55"/>
      <c r="C67" s="64" t="str">
        <f>"Yield "&amp;ROUND(FollowingYield_tperHa,0)&amp;" (t/ha)"</f>
        <v>Yield 10 (t/ha)</v>
      </c>
      <c r="D67" s="101" t="str">
        <f ca="1">"Following crop will take up "&amp;ROUND('Model Interface'!L5,0)&amp;" kg N/ha"</f>
        <v>Following crop will take up 137 kg N/ha</v>
      </c>
      <c r="R67" s="83">
        <f ca="1"/>
        <v>45279</v>
      </c>
      <c r="S67" s="55">
        <f t="shared" ca="1" si="11"/>
        <v>45279</v>
      </c>
      <c r="T67" s="55">
        <f t="shared" ca="1" si="0"/>
        <v>45.995854185374959</v>
      </c>
      <c r="U67" s="55">
        <f t="shared" ca="1" si="1"/>
        <v>33.064653283537787</v>
      </c>
      <c r="V67" s="55">
        <f t="shared" ca="1" si="2"/>
        <v>0</v>
      </c>
      <c r="W67" s="55">
        <f t="shared" ca="1" si="12"/>
        <v>0</v>
      </c>
      <c r="X67" s="55">
        <f t="shared" ca="1" si="13"/>
        <v>12.225853302978752</v>
      </c>
      <c r="Y67" s="55">
        <f t="shared" ca="1" si="14"/>
        <v>-6.4323321073102777</v>
      </c>
      <c r="Z67">
        <f t="shared" ca="1" si="3"/>
        <v>77.665587461570425</v>
      </c>
      <c r="AA67">
        <f t="shared" ca="1" si="15"/>
        <v>0</v>
      </c>
      <c r="AB67">
        <f t="shared" ca="1" si="4"/>
        <v>0</v>
      </c>
      <c r="AC67">
        <f t="shared" ca="1" si="5"/>
        <v>0.92336584335702088</v>
      </c>
      <c r="AD67" s="83">
        <f ca="1"/>
        <v>45351</v>
      </c>
      <c r="AE67" s="55">
        <f t="shared" ca="1" si="20"/>
        <v>45351</v>
      </c>
      <c r="AF67" s="55">
        <f t="shared" ca="1" si="21"/>
        <v>39.744163186618771</v>
      </c>
      <c r="AG67" s="55">
        <f t="shared" ca="1" si="22"/>
        <v>9.136741500102934</v>
      </c>
      <c r="AH67" s="55">
        <f t="shared" ca="1" si="23"/>
        <v>0</v>
      </c>
      <c r="AI67" s="55">
        <f t="shared" ca="1" si="17"/>
        <v>0</v>
      </c>
      <c r="AJ67" s="55">
        <f t="shared" ca="1" si="18"/>
        <v>10.84256990258169</v>
      </c>
      <c r="AK67" s="55">
        <f t="shared" ca="1" si="19"/>
        <v>8.8551985564921054</v>
      </c>
    </row>
    <row r="68" spans="2:37" ht="15" thickBot="1">
      <c r="C68" s="131" t="s">
        <v>186</v>
      </c>
      <c r="D68" s="131"/>
      <c r="E68" s="131"/>
      <c r="F68" s="131"/>
      <c r="G68" s="131"/>
      <c r="H68" s="131"/>
      <c r="R68" s="83">
        <f ca="1"/>
        <v>45280</v>
      </c>
      <c r="S68" s="55">
        <f t="shared" ca="1" si="11"/>
        <v>45280</v>
      </c>
      <c r="T68" s="55">
        <f t="shared" ca="1" si="0"/>
        <v>44.263680167346863</v>
      </c>
      <c r="U68" s="55">
        <f t="shared" ca="1" si="1"/>
        <v>35.006119617692157</v>
      </c>
      <c r="V68" s="55">
        <f t="shared" ca="1" si="2"/>
        <v>0</v>
      </c>
      <c r="W68" s="55">
        <f t="shared" ca="1" si="12"/>
        <v>0</v>
      </c>
      <c r="X68" s="55">
        <f t="shared" ca="1" si="13"/>
        <v>12.444674924408357</v>
      </c>
      <c r="Y68" s="55">
        <f t="shared" ca="1" si="14"/>
        <v>-6.4418614126136102</v>
      </c>
      <c r="Z68">
        <f t="shared" ca="1" si="3"/>
        <v>72.663236150908759</v>
      </c>
      <c r="AA68">
        <f t="shared" ca="1" si="15"/>
        <v>0</v>
      </c>
      <c r="AB68">
        <f t="shared" ca="1" si="4"/>
        <v>0</v>
      </c>
      <c r="AC68">
        <f t="shared" ca="1" si="5"/>
        <v>0.92749709521295587</v>
      </c>
      <c r="AD68" s="83">
        <f ca="1"/>
        <v>45352</v>
      </c>
      <c r="AE68" s="55">
        <f t="shared" ca="1" si="20"/>
        <v>45352</v>
      </c>
      <c r="AF68" s="55">
        <f t="shared" ca="1" si="21"/>
        <v>39.490474981802024</v>
      </c>
      <c r="AG68" s="55">
        <f t="shared" ca="1" si="22"/>
        <v>9.6183272986860491</v>
      </c>
      <c r="AH68" s="55">
        <f t="shared" ca="1" si="23"/>
        <v>0</v>
      </c>
      <c r="AI68" s="55">
        <f t="shared" ca="1" si="17"/>
        <v>0</v>
      </c>
      <c r="AJ68" s="55">
        <f t="shared" ca="1" si="18"/>
        <v>11.049482222568077</v>
      </c>
      <c r="AK68" s="55">
        <f t="shared" ca="1" si="19"/>
        <v>8.8761838302720903</v>
      </c>
    </row>
    <row r="69" spans="2:37">
      <c r="C69" s="61"/>
      <c r="D69" s="88"/>
      <c r="E69" s="99"/>
      <c r="R69" s="83">
        <f ca="1"/>
        <v>45281</v>
      </c>
      <c r="S69" s="55">
        <f t="shared" ca="1" si="11"/>
        <v>45281</v>
      </c>
      <c r="T69" s="55">
        <f t="shared" ca="1" si="0"/>
        <v>42.445286942879591</v>
      </c>
      <c r="U69" s="55">
        <f t="shared" ca="1" si="1"/>
        <v>37.035326965755758</v>
      </c>
      <c r="V69" s="55">
        <f t="shared" ca="1" si="2"/>
        <v>0</v>
      </c>
      <c r="W69" s="55">
        <f t="shared" ca="1" si="12"/>
        <v>0</v>
      </c>
      <c r="X69" s="55">
        <f t="shared" ca="1" si="13"/>
        <v>12.662862382550474</v>
      </c>
      <c r="Y69" s="55">
        <f t="shared" ca="1" si="14"/>
        <v>-6.449234747159398</v>
      </c>
      <c r="Z69">
        <f t="shared" ca="1" si="3"/>
        <v>72.402188431175304</v>
      </c>
      <c r="AA69">
        <f t="shared" ca="1" si="15"/>
        <v>0</v>
      </c>
      <c r="AB69">
        <f t="shared" ca="1" si="4"/>
        <v>0</v>
      </c>
      <c r="AC69">
        <f t="shared" ca="1" si="5"/>
        <v>0.93100072950255408</v>
      </c>
      <c r="AD69" s="83">
        <f ca="1"/>
        <v>45353</v>
      </c>
      <c r="AE69" s="55">
        <f t="shared" ca="1" si="20"/>
        <v>45353</v>
      </c>
      <c r="AF69" s="55">
        <f t="shared" ca="1" si="21"/>
        <v>39.215217897758265</v>
      </c>
      <c r="AG69" s="55">
        <f t="shared" ca="1" si="22"/>
        <v>10.125560090577279</v>
      </c>
      <c r="AH69" s="55">
        <f t="shared" ca="1" si="23"/>
        <v>0</v>
      </c>
      <c r="AI69" s="55">
        <f t="shared" ca="1" si="17"/>
        <v>0</v>
      </c>
      <c r="AJ69" s="55">
        <f t="shared" ca="1" si="18"/>
        <v>11.260245726791915</v>
      </c>
      <c r="AK69" s="55">
        <f t="shared" ca="1" si="19"/>
        <v>8.897396033895717</v>
      </c>
    </row>
    <row r="70" spans="2:37">
      <c r="C70" s="61"/>
      <c r="D70" s="84"/>
      <c r="E70" s="69"/>
      <c r="R70" s="83">
        <f ca="1"/>
        <v>45282</v>
      </c>
      <c r="S70" s="55">
        <f t="shared" ca="1" si="11"/>
        <v>45282</v>
      </c>
      <c r="T70" s="55">
        <f t="shared" ca="1" si="0"/>
        <v>40.504681273463774</v>
      </c>
      <c r="U70" s="55">
        <f t="shared" ca="1" si="1"/>
        <v>39.181282904370569</v>
      </c>
      <c r="V70" s="55">
        <f t="shared" ca="1" si="2"/>
        <v>0</v>
      </c>
      <c r="W70" s="55">
        <f t="shared" ca="1" si="12"/>
        <v>0</v>
      </c>
      <c r="X70" s="55">
        <f t="shared" ca="1" si="13"/>
        <v>12.873610229968355</v>
      </c>
      <c r="Y70" s="55">
        <f t="shared" ca="1" si="14"/>
        <v>-6.4546323253782774</v>
      </c>
      <c r="Z70">
        <f t="shared" ca="1" si="3"/>
        <v>68.173586433271069</v>
      </c>
      <c r="AA70">
        <f t="shared" ca="1" si="15"/>
        <v>0</v>
      </c>
      <c r="AB70">
        <f t="shared" ca="1" si="4"/>
        <v>0</v>
      </c>
      <c r="AC70">
        <f t="shared" ca="1" si="5"/>
        <v>0.93400369219107271</v>
      </c>
      <c r="AD70" s="83">
        <f ca="1"/>
        <v>45354</v>
      </c>
      <c r="AE70" s="55">
        <f t="shared" ca="1" si="20"/>
        <v>45354</v>
      </c>
      <c r="AF70" s="55">
        <f t="shared" ca="1" si="21"/>
        <v>38.933584007382514</v>
      </c>
      <c r="AG70" s="55">
        <f t="shared" ca="1" si="22"/>
        <v>10.636784272421101</v>
      </c>
      <c r="AH70" s="55">
        <f t="shared" ca="1" si="23"/>
        <v>0</v>
      </c>
      <c r="AI70" s="55">
        <f t="shared" ca="1" si="17"/>
        <v>0</v>
      </c>
      <c r="AJ70" s="55">
        <f t="shared" ca="1" si="18"/>
        <v>11.469761524219454</v>
      </c>
      <c r="AK70" s="55">
        <f t="shared" ca="1" si="19"/>
        <v>8.9174705279362421</v>
      </c>
    </row>
    <row r="71" spans="2:37">
      <c r="C71" s="61"/>
      <c r="D71" s="84"/>
      <c r="E71" s="69"/>
      <c r="R71" s="83">
        <f ca="1"/>
        <v>45283</v>
      </c>
      <c r="S71" s="55">
        <f t="shared" ca="1" si="11"/>
        <v>45283</v>
      </c>
      <c r="T71" s="55">
        <f t="shared" ca="1" si="0"/>
        <v>38.531232589368777</v>
      </c>
      <c r="U71" s="55">
        <f t="shared" ca="1" si="1"/>
        <v>41.349206152963902</v>
      </c>
      <c r="V71" s="55">
        <f t="shared" ca="1" si="2"/>
        <v>0</v>
      </c>
      <c r="W71" s="55">
        <f t="shared" ca="1" si="12"/>
        <v>0</v>
      </c>
      <c r="X71" s="55">
        <f t="shared" ca="1" si="13"/>
        <v>13.071475170650752</v>
      </c>
      <c r="Y71" s="55">
        <f t="shared" ca="1" si="14"/>
        <v>-6.4580227015623368</v>
      </c>
      <c r="Z71">
        <f t="shared" ca="1" si="3"/>
        <v>65.120906024695174</v>
      </c>
      <c r="AA71">
        <f t="shared" ca="1" si="15"/>
        <v>0</v>
      </c>
      <c r="AB71">
        <f t="shared" ca="1" si="4"/>
        <v>0</v>
      </c>
      <c r="AC71">
        <f t="shared" ca="1" si="5"/>
        <v>0.93646782025053432</v>
      </c>
      <c r="AD71" s="83">
        <f ca="1"/>
        <v>45355</v>
      </c>
      <c r="AE71" s="55">
        <f t="shared" ca="1" si="20"/>
        <v>45355</v>
      </c>
      <c r="AF71" s="55">
        <f t="shared" ca="1" si="21"/>
        <v>38.626581205308042</v>
      </c>
      <c r="AG71" s="55">
        <f t="shared" ca="1" si="22"/>
        <v>11.169810638606867</v>
      </c>
      <c r="AH71" s="55">
        <f t="shared" ca="1" si="23"/>
        <v>0</v>
      </c>
      <c r="AI71" s="55">
        <f t="shared" ca="1" si="17"/>
        <v>0</v>
      </c>
      <c r="AJ71" s="55">
        <f t="shared" ca="1" si="18"/>
        <v>11.676090839533018</v>
      </c>
      <c r="AK71" s="55">
        <f t="shared" ca="1" si="19"/>
        <v>8.9371647767339653</v>
      </c>
    </row>
    <row r="72" spans="2:37">
      <c r="C72" s="61"/>
      <c r="D72" s="84">
        <v>120</v>
      </c>
      <c r="E72" s="69">
        <v>120</v>
      </c>
      <c r="R72" s="83">
        <f ca="1"/>
        <v>45284</v>
      </c>
      <c r="S72" s="55">
        <f t="shared" ca="1" si="11"/>
        <v>45284</v>
      </c>
      <c r="T72" s="55">
        <f t="shared" ca="1" si="0"/>
        <v>36.446501332078917</v>
      </c>
      <c r="U72" s="55">
        <f t="shared" ca="1" si="1"/>
        <v>43.629873222232327</v>
      </c>
      <c r="V72" s="55">
        <f t="shared" ca="1" si="2"/>
        <v>0</v>
      </c>
      <c r="W72" s="55">
        <f t="shared" ca="1" si="12"/>
        <v>0</v>
      </c>
      <c r="X72" s="55">
        <f t="shared" ca="1" si="13"/>
        <v>13.269081307501708</v>
      </c>
      <c r="Y72" s="55">
        <f t="shared" ca="1" si="14"/>
        <v>-6.4596930264347279</v>
      </c>
      <c r="Z72">
        <f t="shared" ca="1" si="3"/>
        <v>64.023047015056278</v>
      </c>
      <c r="AA72">
        <f t="shared" ca="1" si="15"/>
        <v>0</v>
      </c>
      <c r="AB72">
        <f t="shared" ca="1" si="4"/>
        <v>0</v>
      </c>
      <c r="AC72">
        <f t="shared" ca="1" si="5"/>
        <v>0.93857923918651687</v>
      </c>
      <c r="AD72" s="83">
        <f ca="1"/>
        <v>45356</v>
      </c>
      <c r="AE72" s="55">
        <f t="shared" ca="1" si="20"/>
        <v>45356</v>
      </c>
      <c r="AF72" s="55">
        <f t="shared" ca="1" si="21"/>
        <v>38.284412112001888</v>
      </c>
      <c r="AG72" s="55">
        <f t="shared" ca="1" si="22"/>
        <v>11.740874417479112</v>
      </c>
      <c r="AH72" s="55">
        <f t="shared" ca="1" si="23"/>
        <v>0</v>
      </c>
      <c r="AI72" s="55">
        <f t="shared" ca="1" si="17"/>
        <v>0</v>
      </c>
      <c r="AJ72" s="55">
        <f t="shared" ca="1" si="18"/>
        <v>11.884990860322969</v>
      </c>
      <c r="AK72" s="55">
        <f t="shared" ca="1" si="19"/>
        <v>8.9571594415101004</v>
      </c>
    </row>
    <row r="73" spans="2:37">
      <c r="R73" s="83">
        <f ca="1"/>
        <v>45285</v>
      </c>
      <c r="S73" s="55">
        <f t="shared" ca="1" si="11"/>
        <v>45285</v>
      </c>
      <c r="T73" s="55">
        <f t="shared" ca="1" si="0"/>
        <v>34.233462950201833</v>
      </c>
      <c r="U73" s="55">
        <f t="shared" ca="1" si="1"/>
        <v>46.047721259763762</v>
      </c>
      <c r="V73" s="55">
        <f t="shared" ca="1" si="2"/>
        <v>0</v>
      </c>
      <c r="W73" s="55">
        <f t="shared" ca="1" si="12"/>
        <v>0</v>
      </c>
      <c r="X73" s="55">
        <f t="shared" ca="1" si="13"/>
        <v>13.473896177947097</v>
      </c>
      <c r="Y73" s="55">
        <f t="shared" ca="1" si="14"/>
        <v>-6.4596982412257677</v>
      </c>
      <c r="Z73">
        <f t="shared" ca="1" si="3"/>
        <v>65.527155497460626</v>
      </c>
      <c r="AA73">
        <f t="shared" ca="1" si="15"/>
        <v>0</v>
      </c>
      <c r="AB73">
        <f t="shared" ca="1" si="4"/>
        <v>0</v>
      </c>
      <c r="AC73">
        <f t="shared" ca="1" si="5"/>
        <v>0.94039805901895424</v>
      </c>
      <c r="AD73" s="83">
        <f ca="1"/>
        <v>45357</v>
      </c>
      <c r="AE73" s="55">
        <f t="shared" ca="1" si="20"/>
        <v>45357</v>
      </c>
      <c r="AF73" s="55">
        <f t="shared" ca="1" si="21"/>
        <v>37.923984001934826</v>
      </c>
      <c r="AG73" s="55">
        <f t="shared" ca="1" si="22"/>
        <v>12.320157578326265</v>
      </c>
      <c r="AH73" s="55">
        <f t="shared" ca="1" si="23"/>
        <v>0</v>
      </c>
      <c r="AI73" s="55">
        <f t="shared" ca="1" si="17"/>
        <v>0</v>
      </c>
      <c r="AJ73" s="55">
        <f t="shared" ca="1" si="18"/>
        <v>12.084871095127598</v>
      </c>
      <c r="AK73" s="55">
        <f t="shared" ca="1" si="19"/>
        <v>8.9761342574855636</v>
      </c>
    </row>
    <row r="74" spans="2:37">
      <c r="R74" s="83">
        <f ca="1"/>
        <v>45286</v>
      </c>
      <c r="S74" s="55">
        <f t="shared" ca="1" si="11"/>
        <v>45286</v>
      </c>
      <c r="T74" s="55">
        <f t="shared" ca="1" si="0"/>
        <v>31.976123241164302</v>
      </c>
      <c r="U74" s="55">
        <f t="shared" ca="1" si="1"/>
        <v>48.496940925142226</v>
      </c>
      <c r="V74" s="55">
        <f t="shared" ca="1" si="2"/>
        <v>0</v>
      </c>
      <c r="W74" s="55">
        <f t="shared" ca="1" si="12"/>
        <v>0</v>
      </c>
      <c r="X74" s="55">
        <f t="shared" ca="1" si="13"/>
        <v>13.66422884613953</v>
      </c>
      <c r="Y74" s="55">
        <f t="shared" ca="1" si="14"/>
        <v>-6.4581509530772676</v>
      </c>
      <c r="Z74">
        <f t="shared" ca="1" si="3"/>
        <v>60.89782171536875</v>
      </c>
      <c r="AA74">
        <f t="shared" ca="1" si="15"/>
        <v>0</v>
      </c>
      <c r="AB74">
        <f t="shared" ca="1" si="4"/>
        <v>0</v>
      </c>
      <c r="AC74">
        <f t="shared" ca="1" si="5"/>
        <v>0.94189703270273173</v>
      </c>
      <c r="AD74" s="83">
        <f ca="1"/>
        <v>45358</v>
      </c>
      <c r="AE74" s="55">
        <f t="shared" ca="1" si="20"/>
        <v>45358</v>
      </c>
      <c r="AF74" s="55">
        <f t="shared" ca="1" si="21"/>
        <v>37.520540658752175</v>
      </c>
      <c r="AG74" s="55">
        <f t="shared" ca="1" si="22"/>
        <v>12.938174402041511</v>
      </c>
      <c r="AH74" s="55">
        <f t="shared" ca="1" si="23"/>
        <v>0</v>
      </c>
      <c r="AI74" s="55">
        <f t="shared" ca="1" si="17"/>
        <v>0</v>
      </c>
      <c r="AJ74" s="55">
        <f t="shared" ca="1" si="18"/>
        <v>12.281164694383051</v>
      </c>
      <c r="AK74" s="55">
        <f t="shared" ca="1" si="19"/>
        <v>8.9944141387626981</v>
      </c>
    </row>
    <row r="75" spans="2:37">
      <c r="R75" s="83">
        <f ca="1"/>
        <v>45287</v>
      </c>
      <c r="S75" s="55">
        <f t="shared" ca="1" si="11"/>
        <v>45287</v>
      </c>
      <c r="T75" s="55">
        <f t="shared" ca="1" si="0"/>
        <v>51.078119852890268</v>
      </c>
      <c r="U75" s="55">
        <f t="shared" ca="1" si="1"/>
        <v>51.046253546259067</v>
      </c>
      <c r="V75" s="55">
        <f t="shared" ca="1" si="2"/>
        <v>21.462809668756496</v>
      </c>
      <c r="W75" s="55">
        <f t="shared" ca="1" si="12"/>
        <v>0</v>
      </c>
      <c r="X75" s="55">
        <f t="shared" ca="1" si="13"/>
        <v>13.849841563265311</v>
      </c>
      <c r="Y75" s="55">
        <f t="shared" ca="1" si="14"/>
        <v>-6.45526410611674</v>
      </c>
      <c r="Z75">
        <f t="shared" ca="1" si="3"/>
        <v>58.110360245356752</v>
      </c>
      <c r="AA75">
        <f t="shared" ca="1" si="15"/>
        <v>0</v>
      </c>
      <c r="AB75">
        <f t="shared" ca="1" si="4"/>
        <v>0</v>
      </c>
      <c r="AC75">
        <f t="shared" ca="1" si="5"/>
        <v>0.94317037459408382</v>
      </c>
      <c r="AD75" s="83">
        <f ca="1"/>
        <v>45359</v>
      </c>
      <c r="AE75" s="55">
        <f t="shared" ca="1" si="20"/>
        <v>45359</v>
      </c>
      <c r="AF75" s="55">
        <f t="shared" ca="1" si="21"/>
        <v>37.083998847739153</v>
      </c>
      <c r="AG75" s="55">
        <f t="shared" ca="1" si="22"/>
        <v>13.59361327303926</v>
      </c>
      <c r="AH75" s="55">
        <f t="shared" ca="1" si="23"/>
        <v>0</v>
      </c>
      <c r="AI75" s="55">
        <f t="shared" ca="1" si="17"/>
        <v>0</v>
      </c>
      <c r="AJ75" s="55">
        <f t="shared" ca="1" si="18"/>
        <v>12.481607022671104</v>
      </c>
      <c r="AK75" s="55">
        <f t="shared" ca="1" si="19"/>
        <v>9.0128688704593696</v>
      </c>
    </row>
    <row r="76" spans="2:37">
      <c r="R76" s="83">
        <f ca="1"/>
        <v>45288</v>
      </c>
      <c r="S76" s="55">
        <f t="shared" ca="1" si="11"/>
        <v>45288</v>
      </c>
      <c r="T76" s="55">
        <f t="shared" ca="1" si="0"/>
        <v>48.461351382133863</v>
      </c>
      <c r="U76" s="55">
        <f t="shared" ca="1" si="1"/>
        <v>53.854838564255914</v>
      </c>
      <c r="V76" s="55">
        <f t="shared" ca="1" si="2"/>
        <v>0</v>
      </c>
      <c r="W76" s="55">
        <f t="shared" ca="1" si="12"/>
        <v>0</v>
      </c>
      <c r="X76" s="55">
        <f t="shared" ca="1" si="13"/>
        <v>14.037618498378849</v>
      </c>
      <c r="Y76" s="55">
        <f t="shared" ca="1" si="14"/>
        <v>-6.4512244939898347</v>
      </c>
      <c r="Z76">
        <f t="shared" ca="1" si="3"/>
        <v>53.562186518502394</v>
      </c>
      <c r="AA76">
        <f t="shared" ca="1" si="15"/>
        <v>0</v>
      </c>
      <c r="AB76">
        <f t="shared" ca="1" si="4"/>
        <v>0</v>
      </c>
      <c r="AC76">
        <f t="shared" ca="1" si="5"/>
        <v>0.94430880168632725</v>
      </c>
      <c r="AD76" s="83">
        <f ca="1"/>
        <v>45360</v>
      </c>
      <c r="AE76" s="55">
        <f t="shared" ca="1" si="20"/>
        <v>45360</v>
      </c>
      <c r="AF76" s="55">
        <f t="shared" ca="1" si="21"/>
        <v>36.615475222933881</v>
      </c>
      <c r="AG76" s="55">
        <f t="shared" ca="1" si="22"/>
        <v>14.268935550168706</v>
      </c>
      <c r="AH76" s="55">
        <f t="shared" ca="1" si="23"/>
        <v>0</v>
      </c>
      <c r="AI76" s="55">
        <f t="shared" ca="1" si="17"/>
        <v>0</v>
      </c>
      <c r="AJ76" s="55">
        <f t="shared" ca="1" si="18"/>
        <v>12.671470186483418</v>
      </c>
      <c r="AK76" s="55">
        <f t="shared" ca="1" si="19"/>
        <v>9.0298043589712336</v>
      </c>
    </row>
    <row r="77" spans="2:37">
      <c r="R77" s="83">
        <f ca="1"/>
        <v>45289</v>
      </c>
      <c r="S77" s="55">
        <f t="shared" ca="1" si="11"/>
        <v>45289</v>
      </c>
      <c r="T77" s="55">
        <f t="shared" ca="1" si="0"/>
        <v>45.682767496064962</v>
      </c>
      <c r="U77" s="55">
        <f t="shared" ca="1" si="1"/>
        <v>56.831037804450993</v>
      </c>
      <c r="V77" s="55">
        <f t="shared" ca="1" si="2"/>
        <v>0</v>
      </c>
      <c r="W77" s="55">
        <f t="shared" ca="1" si="12"/>
        <v>0</v>
      </c>
      <c r="X77" s="55">
        <f t="shared" ca="1" si="13"/>
        <v>14.229935261946929</v>
      </c>
      <c r="Y77" s="55">
        <f t="shared" ca="1" si="14"/>
        <v>-6.4459259034317373</v>
      </c>
      <c r="Z77">
        <f t="shared" ca="1" si="3"/>
        <v>53.489518258982017</v>
      </c>
      <c r="AA77">
        <f t="shared" ca="1" si="15"/>
        <v>0</v>
      </c>
      <c r="AB77">
        <f t="shared" ca="1" si="4"/>
        <v>0</v>
      </c>
      <c r="AC77">
        <f t="shared" ca="1" si="5"/>
        <v>0.94528025076804012</v>
      </c>
      <c r="AD77" s="83">
        <f ca="1"/>
        <v>45361</v>
      </c>
      <c r="AE77" s="55">
        <f t="shared" ca="1" si="20"/>
        <v>45361</v>
      </c>
      <c r="AF77" s="55">
        <f t="shared" ca="1" si="21"/>
        <v>36.136903803322944</v>
      </c>
      <c r="AG77" s="55">
        <f t="shared" ca="1" si="22"/>
        <v>14.968227012974358</v>
      </c>
      <c r="AH77" s="55">
        <f t="shared" ca="1" si="23"/>
        <v>0</v>
      </c>
      <c r="AI77" s="55">
        <f t="shared" ca="1" si="17"/>
        <v>0</v>
      </c>
      <c r="AJ77" s="55">
        <f t="shared" ca="1" si="18"/>
        <v>12.873909572903157</v>
      </c>
      <c r="AK77" s="55">
        <f t="shared" ca="1" si="19"/>
        <v>9.0480850157462136</v>
      </c>
    </row>
    <row r="78" spans="2:37">
      <c r="R78" s="83">
        <f ca="1"/>
        <v>45290</v>
      </c>
      <c r="S78" s="55">
        <f t="shared" ca="1" si="11"/>
        <v>45290</v>
      </c>
      <c r="T78" s="55">
        <f t="shared" ca="1" si="0"/>
        <v>42.866852392882393</v>
      </c>
      <c r="U78" s="55">
        <f t="shared" ca="1" si="1"/>
        <v>59.847832550377646</v>
      </c>
      <c r="V78" s="55">
        <f t="shared" ca="1" si="2"/>
        <v>0</v>
      </c>
      <c r="W78" s="55">
        <f t="shared" ca="1" si="12"/>
        <v>0</v>
      </c>
      <c r="X78" s="55">
        <f t="shared" ca="1" si="13"/>
        <v>14.424196497772801</v>
      </c>
      <c r="Y78" s="55">
        <f t="shared" ca="1" si="14"/>
        <v>-6.4393074965135249</v>
      </c>
      <c r="Z78">
        <f t="shared" ca="1" si="3"/>
        <v>56.010854033961209</v>
      </c>
      <c r="AA78">
        <f t="shared" ca="1" si="15"/>
        <v>0</v>
      </c>
      <c r="AB78">
        <f t="shared" ca="1" si="4"/>
        <v>0</v>
      </c>
      <c r="AC78">
        <f t="shared" ca="1" si="5"/>
        <v>0.9460739485984716</v>
      </c>
      <c r="AD78" s="83">
        <f ca="1"/>
        <v>45362</v>
      </c>
      <c r="AE78" s="55">
        <f t="shared" ca="1" si="20"/>
        <v>45362</v>
      </c>
      <c r="AF78" s="55">
        <f t="shared" ca="1" si="21"/>
        <v>35.62169550808111</v>
      </c>
      <c r="AG78" s="55">
        <f t="shared" ca="1" si="22"/>
        <v>15.706273261948791</v>
      </c>
      <c r="AH78" s="55">
        <f t="shared" ca="1" si="23"/>
        <v>0</v>
      </c>
      <c r="AI78" s="55">
        <f t="shared" ca="1" si="17"/>
        <v>0</v>
      </c>
      <c r="AJ78" s="55">
        <f t="shared" ca="1" si="18"/>
        <v>13.078457053957123</v>
      </c>
      <c r="AK78" s="55">
        <f t="shared" ca="1" si="19"/>
        <v>9.0663754884248533</v>
      </c>
    </row>
    <row r="79" spans="2:37">
      <c r="R79" s="83">
        <f ca="1"/>
        <v>45291</v>
      </c>
      <c r="S79" s="55">
        <f t="shared" ca="1" si="11"/>
        <v>45291</v>
      </c>
      <c r="T79" s="55">
        <f t="shared" ca="1" si="0"/>
        <v>40.066829453700656</v>
      </c>
      <c r="U79" s="55">
        <f t="shared" ca="1" si="1"/>
        <v>62.867584639294606</v>
      </c>
      <c r="V79" s="55">
        <f t="shared" ca="1" si="2"/>
        <v>0</v>
      </c>
      <c r="W79" s="55">
        <f t="shared" ca="1" si="12"/>
        <v>0</v>
      </c>
      <c r="X79" s="55">
        <f t="shared" ca="1" si="13"/>
        <v>14.635834943328446</v>
      </c>
      <c r="Y79" s="55">
        <f t="shared" ca="1" si="14"/>
        <v>-6.4312167923339434</v>
      </c>
      <c r="Z79">
        <f t="shared" ca="1" si="3"/>
        <v>66.218404810128376</v>
      </c>
      <c r="AA79">
        <f t="shared" ca="1" si="15"/>
        <v>0</v>
      </c>
      <c r="AB79">
        <f t="shared" ca="1" si="4"/>
        <v>0</v>
      </c>
      <c r="AC79">
        <f t="shared" ca="1" si="5"/>
        <v>0.94671858826037469</v>
      </c>
      <c r="AD79" s="83">
        <f ca="1"/>
        <v>45363</v>
      </c>
      <c r="AE79" s="55">
        <f t="shared" ca="1" si="20"/>
        <v>45363</v>
      </c>
      <c r="AF79" s="55">
        <f t="shared" ca="1" si="21"/>
        <v>35.077416757344025</v>
      </c>
      <c r="AG79" s="55">
        <f t="shared" ca="1" si="22"/>
        <v>16.461248871366017</v>
      </c>
      <c r="AH79" s="55">
        <f t="shared" ca="1" si="23"/>
        <v>0</v>
      </c>
      <c r="AI79" s="55">
        <f t="shared" ca="1" si="17"/>
        <v>0</v>
      </c>
      <c r="AJ79" s="55">
        <f t="shared" ca="1" si="18"/>
        <v>13.271956664344087</v>
      </c>
      <c r="AK79" s="55">
        <f t="shared" ca="1" si="19"/>
        <v>9.0835727367180255</v>
      </c>
    </row>
    <row r="80" spans="2:37">
      <c r="R80" s="83">
        <f ca="1"/>
        <v>45292</v>
      </c>
      <c r="S80" s="55">
        <f t="shared" ca="1" si="11"/>
        <v>45292</v>
      </c>
      <c r="T80" s="55">
        <f t="shared" ca="1" si="0"/>
        <v>37.226014993555104</v>
      </c>
      <c r="U80" s="55">
        <f t="shared" ca="1" si="1"/>
        <v>65.923119087176644</v>
      </c>
      <c r="V80" s="55">
        <f t="shared" ca="1" si="2"/>
        <v>0</v>
      </c>
      <c r="W80" s="55">
        <f t="shared" ca="1" si="12"/>
        <v>0</v>
      </c>
      <c r="X80" s="55">
        <f t="shared" ca="1" si="13"/>
        <v>14.841466478898365</v>
      </c>
      <c r="Y80" s="55">
        <f t="shared" ca="1" si="14"/>
        <v>-6.4221283401673785</v>
      </c>
      <c r="Z80">
        <f t="shared" ca="1" si="3"/>
        <v>64.782600246436232</v>
      </c>
      <c r="AA80">
        <f t="shared" ca="1" si="15"/>
        <v>0</v>
      </c>
      <c r="AB80">
        <f t="shared" ca="1" si="4"/>
        <v>0</v>
      </c>
      <c r="AC80">
        <f t="shared" ca="1" si="5"/>
        <v>0.94725114676359412</v>
      </c>
      <c r="AD80" s="83">
        <f ca="1"/>
        <v>45364</v>
      </c>
      <c r="AE80" s="55">
        <f t="shared" ca="1" si="20"/>
        <v>45364</v>
      </c>
      <c r="AF80" s="55">
        <f t="shared" ca="1" si="21"/>
        <v>34.494744346279802</v>
      </c>
      <c r="AG80" s="55">
        <f t="shared" ca="1" si="22"/>
        <v>17.248981739731509</v>
      </c>
      <c r="AH80" s="55">
        <f t="shared" ca="1" si="23"/>
        <v>0</v>
      </c>
      <c r="AI80" s="55">
        <f t="shared" ca="1" si="17"/>
        <v>0</v>
      </c>
      <c r="AJ80" s="55">
        <f t="shared" ca="1" si="18"/>
        <v>13.460677827807743</v>
      </c>
      <c r="AK80" s="55">
        <f t="shared" ca="1" si="19"/>
        <v>9.0999120305556378</v>
      </c>
    </row>
    <row r="81" spans="18:37">
      <c r="R81" s="83">
        <f ca="1"/>
        <v>45293</v>
      </c>
      <c r="S81" s="55">
        <f t="shared" ca="1" si="11"/>
        <v>45293</v>
      </c>
      <c r="T81" s="55">
        <f t="shared" ca="1" si="0"/>
        <v>34.220293933849476</v>
      </c>
      <c r="U81" s="55">
        <f t="shared" ca="1" si="1"/>
        <v>69.141378436341554</v>
      </c>
      <c r="V81" s="55">
        <f t="shared" ca="1" si="2"/>
        <v>0</v>
      </c>
      <c r="W81" s="55">
        <f t="shared" ca="1" si="12"/>
        <v>0</v>
      </c>
      <c r="X81" s="55">
        <f t="shared" ca="1" si="13"/>
        <v>15.043634613819098</v>
      </c>
      <c r="Y81" s="55">
        <f t="shared" ca="1" si="14"/>
        <v>-6.4117581856288313</v>
      </c>
      <c r="Z81">
        <f t="shared" ca="1" si="3"/>
        <v>60.698444766049832</v>
      </c>
      <c r="AA81">
        <f t="shared" ca="1" si="15"/>
        <v>0</v>
      </c>
      <c r="AB81">
        <f t="shared" ca="1" si="4"/>
        <v>0</v>
      </c>
      <c r="AC81">
        <f t="shared" ca="1" si="5"/>
        <v>0.94770939742621485</v>
      </c>
      <c r="AD81" s="83">
        <f ca="1"/>
        <v>45365</v>
      </c>
      <c r="AE81" s="55">
        <f t="shared" ca="1" si="20"/>
        <v>45365</v>
      </c>
      <c r="AF81" s="55">
        <f t="shared" ca="1" si="21"/>
        <v>33.88411175058215</v>
      </c>
      <c r="AG81" s="55">
        <f t="shared" ca="1" si="22"/>
        <v>18.062985020426726</v>
      </c>
      <c r="AH81" s="55">
        <f t="shared" ca="1" si="23"/>
        <v>0</v>
      </c>
      <c r="AI81" s="55">
        <f t="shared" ca="1" si="17"/>
        <v>0</v>
      </c>
      <c r="AJ81" s="55">
        <f t="shared" ca="1" si="18"/>
        <v>13.647948647786926</v>
      </c>
      <c r="AK81" s="55">
        <f t="shared" ca="1" si="19"/>
        <v>9.1160118955740241</v>
      </c>
    </row>
    <row r="82" spans="18:37">
      <c r="R82" s="83">
        <f ca="1"/>
        <v>45294</v>
      </c>
      <c r="S82" s="55">
        <f t="shared" ca="1" si="11"/>
        <v>45294</v>
      </c>
      <c r="T82" s="55">
        <f t="shared" ref="T82:T145" ca="1" si="27">VLOOKUP(S82,ModelOutputs,2,FALSE)</f>
        <v>31.18130121323594</v>
      </c>
      <c r="U82" s="55">
        <f t="shared" ref="U82:U145" ca="1" si="28">VLOOKUP(S82,ModelOutputs,7,FALSE)</f>
        <v>72.381900418703069</v>
      </c>
      <c r="V82" s="55">
        <f t="shared" ref="V82:V145" ca="1" si="29">VLOOKUP(S82,ModelOutputs,6,FALSE)</f>
        <v>0</v>
      </c>
      <c r="W82" s="55">
        <f t="shared" ca="1" si="12"/>
        <v>0</v>
      </c>
      <c r="X82" s="55">
        <f t="shared" ca="1" si="13"/>
        <v>15.234596584042405</v>
      </c>
      <c r="Y82" s="55">
        <f t="shared" ca="1" si="14"/>
        <v>-6.4011908941041593</v>
      </c>
      <c r="Z82">
        <f t="shared" ref="Z82:Z145" ca="1" si="30">VLOOKUP(S82,ModelOutputs,10,FALSE)*AWC</f>
        <v>56.721891084300594</v>
      </c>
      <c r="AA82">
        <f t="shared" ca="1" si="15"/>
        <v>0</v>
      </c>
      <c r="AB82">
        <f t="shared" ref="AB82:AB145" ca="1" si="31">VLOOKUP(S82,ModelOutputs,12,FALSE)</f>
        <v>0</v>
      </c>
      <c r="AC82">
        <f t="shared" ref="AC82:AC145" ca="1" si="32">VLOOKUP(S82,ModelOutputs,13,FALSE)</f>
        <v>0.9480865839794822</v>
      </c>
      <c r="AD82" s="83">
        <f ca="1"/>
        <v>45366</v>
      </c>
      <c r="AE82" s="55">
        <f t="shared" ca="1" si="20"/>
        <v>45366</v>
      </c>
      <c r="AF82" s="55">
        <f t="shared" ca="1" si="21"/>
        <v>33.234360913992617</v>
      </c>
      <c r="AG82" s="55">
        <f t="shared" ca="1" si="22"/>
        <v>18.918161602454887</v>
      </c>
      <c r="AH82" s="55">
        <f t="shared" ca="1" si="23"/>
        <v>0</v>
      </c>
      <c r="AI82" s="55">
        <f t="shared" ca="1" si="17"/>
        <v>0</v>
      </c>
      <c r="AJ82" s="55">
        <f t="shared" ca="1" si="18"/>
        <v>13.837287237210402</v>
      </c>
      <c r="AK82" s="55">
        <f t="shared" ca="1" si="19"/>
        <v>9.1320990515891776</v>
      </c>
    </row>
    <row r="83" spans="18:37">
      <c r="R83" s="83">
        <f ca="1"/>
        <v>45295</v>
      </c>
      <c r="S83" s="55">
        <f t="shared" ref="S83:S146" ca="1" si="33">IF(R83&gt;1,R83,"")</f>
        <v>45295</v>
      </c>
      <c r="T83" s="55">
        <f t="shared" ca="1" si="27"/>
        <v>47.871712911950908</v>
      </c>
      <c r="U83" s="55">
        <f t="shared" ca="1" si="28"/>
        <v>75.744395676961361</v>
      </c>
      <c r="V83" s="55">
        <f t="shared" ca="1" si="29"/>
        <v>19.854805003686678</v>
      </c>
      <c r="W83" s="55">
        <f t="shared" ref="W83:W146" ca="1" si="34">-VLOOKUP(S83,ModelOutputs,9,FALSE)+W82</f>
        <v>0</v>
      </c>
      <c r="X83" s="55">
        <f t="shared" ref="X83:X146" ca="1" si="35">VLOOKUP(S83,ModelOutputs,5,FALSE)+X82</f>
        <v>15.421873901986375</v>
      </c>
      <c r="Y83" s="55">
        <f t="shared" ref="Y83:Y146" ca="1" si="36">VLOOKUP(S83,ModelOutputs,4,FALSE)+Y82</f>
        <v>-6.390366258761552</v>
      </c>
      <c r="Z83">
        <f t="shared" ca="1" si="30"/>
        <v>53.244407446565781</v>
      </c>
      <c r="AA83">
        <f t="shared" ref="AA83:AA146" ca="1" si="37">VLOOKUP(S83,ModelOutputs,11,FALSE)+AA82</f>
        <v>0</v>
      </c>
      <c r="AB83">
        <f t="shared" ca="1" si="31"/>
        <v>0</v>
      </c>
      <c r="AC83">
        <f t="shared" ca="1" si="32"/>
        <v>0.94840713808635579</v>
      </c>
      <c r="AD83" s="83">
        <f ca="1"/>
        <v>45367</v>
      </c>
      <c r="AE83" s="55">
        <f t="shared" ca="1" si="20"/>
        <v>45367</v>
      </c>
      <c r="AF83" s="55">
        <f t="shared" ca="1" si="21"/>
        <v>32.546761148725324</v>
      </c>
      <c r="AG83" s="55">
        <f t="shared" ca="1" si="22"/>
        <v>19.808211455596432</v>
      </c>
      <c r="AH83" s="55">
        <f t="shared" ca="1" si="23"/>
        <v>0</v>
      </c>
      <c r="AI83" s="55">
        <f t="shared" ref="AI83:AI146" ca="1" si="38">-VLOOKUP(AE83,ModelOutputs,9,FALSE)+AI82</f>
        <v>0</v>
      </c>
      <c r="AJ83" s="55">
        <f t="shared" ref="AJ83:AJ146" ca="1" si="39">VLOOKUP(AE83,ModelOutputs,5,FALSE)+AJ82</f>
        <v>14.024149381422591</v>
      </c>
      <c r="AK83" s="55">
        <f t="shared" ref="AK83:AK146" ca="1" si="40">VLOOKUP(AE83,ModelOutputs,4,FALSE)+AK82</f>
        <v>9.1476869952512434</v>
      </c>
    </row>
    <row r="84" spans="18:37">
      <c r="R84" s="83">
        <f ca="1"/>
        <v>45296</v>
      </c>
      <c r="S84" s="55">
        <f t="shared" ca="1" si="33"/>
        <v>45296</v>
      </c>
      <c r="T84" s="55">
        <f t="shared" ca="1" si="27"/>
        <v>44.750055182720821</v>
      </c>
      <c r="U84" s="55">
        <f t="shared" ca="1" si="28"/>
        <v>79.053370475427585</v>
      </c>
      <c r="V84" s="55">
        <f t="shared" ca="1" si="29"/>
        <v>0</v>
      </c>
      <c r="W84" s="55">
        <f t="shared" ca="1" si="34"/>
        <v>0</v>
      </c>
      <c r="X84" s="55">
        <f t="shared" ca="1" si="35"/>
        <v>15.598573696681385</v>
      </c>
      <c r="Y84" s="55">
        <f t="shared" ca="1" si="36"/>
        <v>-6.3797489842204254</v>
      </c>
      <c r="Z84">
        <f t="shared" ca="1" si="30"/>
        <v>50.705075406417933</v>
      </c>
      <c r="AA84">
        <f t="shared" ca="1" si="37"/>
        <v>0</v>
      </c>
      <c r="AB84">
        <f t="shared" ca="1" si="31"/>
        <v>0</v>
      </c>
      <c r="AC84">
        <f t="shared" ca="1" si="32"/>
        <v>0.94866641300673826</v>
      </c>
      <c r="AD84" s="83">
        <f ca="1"/>
        <v>45368</v>
      </c>
      <c r="AE84" s="55">
        <f t="shared" ca="1" si="20"/>
        <v>45368</v>
      </c>
      <c r="AF84" s="55">
        <f t="shared" ca="1" si="21"/>
        <v>31.819754085719154</v>
      </c>
      <c r="AG84" s="55">
        <f t="shared" ca="1" si="22"/>
        <v>20.730870396576474</v>
      </c>
      <c r="AH84" s="55">
        <f t="shared" ca="1" si="23"/>
        <v>0</v>
      </c>
      <c r="AI84" s="55">
        <f t="shared" ca="1" si="38"/>
        <v>0</v>
      </c>
      <c r="AJ84" s="55">
        <f t="shared" ca="1" si="39"/>
        <v>14.205126930704736</v>
      </c>
      <c r="AK84" s="55">
        <f t="shared" ca="1" si="40"/>
        <v>9.1623613239429709</v>
      </c>
    </row>
    <row r="85" spans="18:37">
      <c r="R85" s="83">
        <f ca="1"/>
        <v>45297</v>
      </c>
      <c r="S85" s="55">
        <f t="shared" ca="1" si="33"/>
        <v>45297</v>
      </c>
      <c r="T85" s="55">
        <f t="shared" ca="1" si="27"/>
        <v>41.561007893998273</v>
      </c>
      <c r="U85" s="55">
        <f t="shared" ca="1" si="28"/>
        <v>82.427357098087199</v>
      </c>
      <c r="V85" s="55">
        <f t="shared" ca="1" si="29"/>
        <v>0</v>
      </c>
      <c r="W85" s="55">
        <f t="shared" ca="1" si="34"/>
        <v>0</v>
      </c>
      <c r="X85" s="55">
        <f t="shared" ca="1" si="35"/>
        <v>15.772736259911248</v>
      </c>
      <c r="Y85" s="55">
        <f t="shared" ca="1" si="36"/>
        <v>-6.3689722135132225</v>
      </c>
      <c r="Z85">
        <f t="shared" ca="1" si="30"/>
        <v>48.764196212025084</v>
      </c>
      <c r="AA85">
        <f t="shared" ca="1" si="37"/>
        <v>0</v>
      </c>
      <c r="AB85">
        <f t="shared" ca="1" si="31"/>
        <v>0</v>
      </c>
      <c r="AC85">
        <f t="shared" ca="1" si="32"/>
        <v>0.94888478780532359</v>
      </c>
      <c r="AD85" s="83">
        <f ca="1"/>
        <v>45369</v>
      </c>
      <c r="AE85" s="55">
        <f t="shared" ref="AE85:AE148" ca="1" si="41">IF(AD85&gt;1,AD85,"")</f>
        <v>45369</v>
      </c>
      <c r="AF85" s="55">
        <f t="shared" ref="AF85:AF148" ca="1" si="42">VLOOKUP(AE85,ModelOutputs,2,FALSE)</f>
        <v>31.067527772951141</v>
      </c>
      <c r="AG85" s="55">
        <f t="shared" ref="AG85:AG148" ca="1" si="43">VLOOKUP(AE85,ModelOutputs,7,FALSE)</f>
        <v>21.666119778444077</v>
      </c>
      <c r="AH85" s="55">
        <f t="shared" ref="AH85:AH148" ca="1" si="44">VLOOKUP(AE85,ModelOutputs,6,FALSE)</f>
        <v>0</v>
      </c>
      <c r="AI85" s="55">
        <f t="shared" ca="1" si="38"/>
        <v>0</v>
      </c>
      <c r="AJ85" s="55">
        <f t="shared" ca="1" si="39"/>
        <v>14.374809975840408</v>
      </c>
      <c r="AK85" s="55">
        <f t="shared" ca="1" si="40"/>
        <v>9.175701347906891</v>
      </c>
    </row>
    <row r="86" spans="18:37">
      <c r="R86" s="83">
        <f ca="1"/>
        <v>45298</v>
      </c>
      <c r="S86" s="55">
        <f t="shared" ca="1" si="33"/>
        <v>45298</v>
      </c>
      <c r="T86" s="55">
        <f t="shared" ca="1" si="27"/>
        <v>38.219102404377608</v>
      </c>
      <c r="U86" s="55">
        <f t="shared" ca="1" si="28"/>
        <v>85.956010952215493</v>
      </c>
      <c r="V86" s="55">
        <f t="shared" ca="1" si="29"/>
        <v>0</v>
      </c>
      <c r="W86" s="55">
        <f t="shared" ca="1" si="34"/>
        <v>0</v>
      </c>
      <c r="X86" s="55">
        <f t="shared" ca="1" si="35"/>
        <v>15.948448578436494</v>
      </c>
      <c r="Y86" s="55">
        <f t="shared" ca="1" si="36"/>
        <v>-6.3579361675308457</v>
      </c>
      <c r="Z86">
        <f t="shared" ca="1" si="30"/>
        <v>46.442971624837135</v>
      </c>
      <c r="AA86">
        <f t="shared" ca="1" si="37"/>
        <v>0</v>
      </c>
      <c r="AB86">
        <f t="shared" ca="1" si="31"/>
        <v>0</v>
      </c>
      <c r="AC86">
        <f t="shared" ca="1" si="32"/>
        <v>0.94907318253985551</v>
      </c>
      <c r="AD86" s="83">
        <f ca="1"/>
        <v>45370</v>
      </c>
      <c r="AE86" s="55">
        <f t="shared" ca="1" si="41"/>
        <v>45370</v>
      </c>
      <c r="AF86" s="55">
        <f t="shared" ca="1" si="42"/>
        <v>30.278927090615205</v>
      </c>
      <c r="AG86" s="55">
        <f t="shared" ca="1" si="43"/>
        <v>22.640897871981586</v>
      </c>
      <c r="AH86" s="55">
        <f t="shared" ca="1" si="44"/>
        <v>0</v>
      </c>
      <c r="AI86" s="55">
        <f t="shared" ca="1" si="38"/>
        <v>0</v>
      </c>
      <c r="AJ86" s="55">
        <f t="shared" ca="1" si="39"/>
        <v>14.547407444149693</v>
      </c>
      <c r="AK86" s="55">
        <f t="shared" ca="1" si="40"/>
        <v>9.1892812907991797</v>
      </c>
    </row>
    <row r="87" spans="18:37">
      <c r="R87" s="83">
        <f ca="1"/>
        <v>45299</v>
      </c>
      <c r="S87" s="55">
        <f t="shared" ca="1" si="33"/>
        <v>45299</v>
      </c>
      <c r="T87" s="55">
        <f t="shared" ca="1" si="27"/>
        <v>34.79421945578067</v>
      </c>
      <c r="U87" s="55">
        <f t="shared" ca="1" si="28"/>
        <v>89.571262872961157</v>
      </c>
      <c r="V87" s="55">
        <f t="shared" ca="1" si="29"/>
        <v>0</v>
      </c>
      <c r="W87" s="55">
        <f t="shared" ca="1" si="34"/>
        <v>0</v>
      </c>
      <c r="X87" s="55">
        <f t="shared" ca="1" si="35"/>
        <v>16.127159978693435</v>
      </c>
      <c r="Y87" s="55">
        <f t="shared" ca="1" si="36"/>
        <v>-6.3462785956390624</v>
      </c>
      <c r="Z87">
        <f t="shared" ca="1" si="30"/>
        <v>46.563438533723833</v>
      </c>
      <c r="AA87">
        <f t="shared" ca="1" si="37"/>
        <v>0</v>
      </c>
      <c r="AB87">
        <f t="shared" ca="1" si="31"/>
        <v>0</v>
      </c>
      <c r="AC87">
        <f t="shared" ca="1" si="32"/>
        <v>0.94923204538507788</v>
      </c>
      <c r="AD87" s="83">
        <f ca="1"/>
        <v>45371</v>
      </c>
      <c r="AE87" s="55">
        <f t="shared" ca="1" si="41"/>
        <v>45371</v>
      </c>
      <c r="AF87" s="55">
        <f t="shared" ca="1" si="42"/>
        <v>29.431514235542995</v>
      </c>
      <c r="AG87" s="55">
        <f t="shared" ca="1" si="43"/>
        <v>23.670255161607553</v>
      </c>
      <c r="AH87" s="55">
        <f t="shared" ca="1" si="44"/>
        <v>0</v>
      </c>
      <c r="AI87" s="55">
        <f t="shared" ca="1" si="38"/>
        <v>0</v>
      </c>
      <c r="AJ87" s="55">
        <f t="shared" ca="1" si="39"/>
        <v>14.716669566453188</v>
      </c>
      <c r="AK87" s="55">
        <f t="shared" ca="1" si="40"/>
        <v>9.2019636030494443</v>
      </c>
    </row>
    <row r="88" spans="18:37">
      <c r="R88" s="83">
        <f ca="1"/>
        <v>45300</v>
      </c>
      <c r="S88" s="55">
        <f t="shared" ca="1" si="33"/>
        <v>45300</v>
      </c>
      <c r="T88" s="55">
        <f t="shared" ca="1" si="27"/>
        <v>31.293749977768954</v>
      </c>
      <c r="U88" s="55">
        <f t="shared" ca="1" si="28"/>
        <v>93.267080495044027</v>
      </c>
      <c r="V88" s="55">
        <f t="shared" ca="1" si="29"/>
        <v>0</v>
      </c>
      <c r="W88" s="55">
        <f t="shared" ca="1" si="34"/>
        <v>0</v>
      </c>
      <c r="X88" s="55">
        <f t="shared" ca="1" si="35"/>
        <v>16.310079454613554</v>
      </c>
      <c r="Y88" s="55">
        <f t="shared" ca="1" si="36"/>
        <v>-6.3338499274880249</v>
      </c>
      <c r="Z88">
        <f t="shared" ca="1" si="30"/>
        <v>47.231214840081435</v>
      </c>
      <c r="AA88">
        <f t="shared" ca="1" si="37"/>
        <v>0</v>
      </c>
      <c r="AB88">
        <f t="shared" ca="1" si="31"/>
        <v>0</v>
      </c>
      <c r="AC88">
        <f t="shared" ca="1" si="32"/>
        <v>0.94936565944166018</v>
      </c>
      <c r="AD88" s="83">
        <f ca="1"/>
        <v>45372</v>
      </c>
      <c r="AE88" s="55">
        <f t="shared" ca="1" si="41"/>
        <v>45372</v>
      </c>
      <c r="AF88" s="55">
        <f t="shared" ca="1" si="42"/>
        <v>28.549825881145793</v>
      </c>
      <c r="AG88" s="55">
        <f t="shared" ca="1" si="43"/>
        <v>24.732761927730412</v>
      </c>
      <c r="AH88" s="55">
        <f t="shared" ca="1" si="44"/>
        <v>0</v>
      </c>
      <c r="AI88" s="55">
        <f t="shared" ca="1" si="38"/>
        <v>0</v>
      </c>
      <c r="AJ88" s="55">
        <f t="shared" ca="1" si="39"/>
        <v>14.8849561825173</v>
      </c>
      <c r="AK88" s="55">
        <f t="shared" ca="1" si="40"/>
        <v>9.2144953987109908</v>
      </c>
    </row>
    <row r="89" spans="18:37">
      <c r="R89" s="83">
        <f ca="1"/>
        <v>45301</v>
      </c>
      <c r="S89" s="55">
        <f t="shared" ca="1" si="33"/>
        <v>45301</v>
      </c>
      <c r="T89" s="55">
        <f t="shared" ca="1" si="27"/>
        <v>27.818805954977659</v>
      </c>
      <c r="U89" s="55">
        <f t="shared" ca="1" si="28"/>
        <v>96.930000000000092</v>
      </c>
      <c r="V89" s="55">
        <f t="shared" ca="1" si="29"/>
        <v>0</v>
      </c>
      <c r="W89" s="55">
        <f t="shared" ca="1" si="34"/>
        <v>0</v>
      </c>
      <c r="X89" s="55">
        <f t="shared" ca="1" si="35"/>
        <v>16.48607425116915</v>
      </c>
      <c r="Y89" s="55">
        <f t="shared" ca="1" si="36"/>
        <v>-6.3218692418788516</v>
      </c>
      <c r="Z89">
        <f t="shared" ca="1" si="30"/>
        <v>44.653754506806237</v>
      </c>
      <c r="AA89">
        <f t="shared" ca="1" si="37"/>
        <v>0</v>
      </c>
      <c r="AB89">
        <f t="shared" ca="1" si="31"/>
        <v>0</v>
      </c>
      <c r="AC89">
        <f t="shared" ca="1" si="32"/>
        <v>0.94947486029492256</v>
      </c>
      <c r="AD89" s="83">
        <f ca="1"/>
        <v>45373</v>
      </c>
      <c r="AE89" s="55">
        <f t="shared" ca="1" si="41"/>
        <v>45373</v>
      </c>
      <c r="AF89" s="55">
        <f t="shared" ca="1" si="42"/>
        <v>27.645914630663146</v>
      </c>
      <c r="AG89" s="55">
        <f t="shared" ca="1" si="43"/>
        <v>25.813723399000324</v>
      </c>
      <c r="AH89" s="55">
        <f t="shared" ca="1" si="44"/>
        <v>0</v>
      </c>
      <c r="AI89" s="55">
        <f t="shared" ca="1" si="38"/>
        <v>0</v>
      </c>
      <c r="AJ89" s="55">
        <f t="shared" ca="1" si="39"/>
        <v>15.04975611275561</v>
      </c>
      <c r="AK89" s="55">
        <f t="shared" ca="1" si="40"/>
        <v>9.2267456892599462</v>
      </c>
    </row>
    <row r="90" spans="18:37">
      <c r="R90" s="83" t="e">
        <f ca="1"/>
        <v>#N/A</v>
      </c>
      <c r="S90" s="55" t="e">
        <f t="shared" ca="1" si="33"/>
        <v>#N/A</v>
      </c>
      <c r="T90" s="55" t="e">
        <f t="shared" ca="1" si="27"/>
        <v>#N/A</v>
      </c>
      <c r="U90" s="55" t="e">
        <f t="shared" ca="1" si="28"/>
        <v>#N/A</v>
      </c>
      <c r="V90" s="55" t="e">
        <f t="shared" ca="1" si="29"/>
        <v>#N/A</v>
      </c>
      <c r="W90" s="55" t="e">
        <f t="shared" ca="1" si="34"/>
        <v>#N/A</v>
      </c>
      <c r="X90" s="55" t="e">
        <f t="shared" ca="1" si="35"/>
        <v>#N/A</v>
      </c>
      <c r="Y90" s="55" t="e">
        <f t="shared" ca="1" si="36"/>
        <v>#N/A</v>
      </c>
      <c r="Z90" t="e">
        <f t="shared" ca="1" si="30"/>
        <v>#N/A</v>
      </c>
      <c r="AA90" t="e">
        <f t="shared" ca="1" si="37"/>
        <v>#N/A</v>
      </c>
      <c r="AB90" t="e">
        <f t="shared" ca="1" si="31"/>
        <v>#N/A</v>
      </c>
      <c r="AC90" t="e">
        <f t="shared" ca="1" si="32"/>
        <v>#N/A</v>
      </c>
      <c r="AD90" s="83">
        <f ca="1"/>
        <v>45374</v>
      </c>
      <c r="AE90" s="55">
        <f t="shared" ca="1" si="41"/>
        <v>45374</v>
      </c>
      <c r="AF90" s="55">
        <f t="shared" ca="1" si="42"/>
        <v>26.703310767360442</v>
      </c>
      <c r="AG90" s="55">
        <f t="shared" ca="1" si="43"/>
        <v>26.92900901315997</v>
      </c>
      <c r="AH90" s="55">
        <f t="shared" ca="1" si="44"/>
        <v>0</v>
      </c>
      <c r="AI90" s="55">
        <f t="shared" ca="1" si="38"/>
        <v>0</v>
      </c>
      <c r="AJ90" s="55">
        <f t="shared" ca="1" si="39"/>
        <v>15.210773017154894</v>
      </c>
      <c r="AK90" s="55">
        <f t="shared" ca="1" si="40"/>
        <v>9.2384105357176018</v>
      </c>
    </row>
    <row r="91" spans="18:37">
      <c r="R91" s="83" t="e">
        <f ca="1"/>
        <v>#N/A</v>
      </c>
      <c r="S91" s="55" t="e">
        <f t="shared" ca="1" si="33"/>
        <v>#N/A</v>
      </c>
      <c r="T91" s="55" t="e">
        <f t="shared" ca="1" si="27"/>
        <v>#N/A</v>
      </c>
      <c r="U91" s="55" t="e">
        <f t="shared" ca="1" si="28"/>
        <v>#N/A</v>
      </c>
      <c r="V91" s="55" t="e">
        <f t="shared" ca="1" si="29"/>
        <v>#N/A</v>
      </c>
      <c r="W91" s="55" t="e">
        <f t="shared" ca="1" si="34"/>
        <v>#N/A</v>
      </c>
      <c r="X91" s="55" t="e">
        <f t="shared" ca="1" si="35"/>
        <v>#N/A</v>
      </c>
      <c r="Y91" s="55" t="e">
        <f t="shared" ca="1" si="36"/>
        <v>#N/A</v>
      </c>
      <c r="Z91" t="e">
        <f t="shared" ca="1" si="30"/>
        <v>#N/A</v>
      </c>
      <c r="AA91" t="e">
        <f t="shared" ca="1" si="37"/>
        <v>#N/A</v>
      </c>
      <c r="AB91" t="e">
        <f t="shared" ca="1" si="31"/>
        <v>#N/A</v>
      </c>
      <c r="AC91" t="e">
        <f t="shared" ca="1" si="32"/>
        <v>#N/A</v>
      </c>
      <c r="AD91" s="83">
        <f ca="1"/>
        <v>45375</v>
      </c>
      <c r="AE91" s="55">
        <f t="shared" ca="1" si="41"/>
        <v>45375</v>
      </c>
      <c r="AF91" s="55">
        <f t="shared" ca="1" si="42"/>
        <v>25.716403674718389</v>
      </c>
      <c r="AG91" s="55">
        <f t="shared" ca="1" si="43"/>
        <v>28.085765802219047</v>
      </c>
      <c r="AH91" s="55">
        <f t="shared" ca="1" si="44"/>
        <v>0</v>
      </c>
      <c r="AI91" s="55">
        <f t="shared" ca="1" si="38"/>
        <v>0</v>
      </c>
      <c r="AJ91" s="55">
        <f t="shared" ca="1" si="39"/>
        <v>15.369434986270951</v>
      </c>
      <c r="AK91" s="55">
        <f t="shared" ca="1" si="40"/>
        <v>9.2495982630185694</v>
      </c>
    </row>
    <row r="92" spans="18:37">
      <c r="R92" s="83" t="e">
        <f ca="1"/>
        <v>#N/A</v>
      </c>
      <c r="S92" s="55" t="e">
        <f t="shared" ca="1" si="33"/>
        <v>#N/A</v>
      </c>
      <c r="T92" s="55" t="e">
        <f t="shared" ca="1" si="27"/>
        <v>#N/A</v>
      </c>
      <c r="U92" s="55" t="e">
        <f t="shared" ca="1" si="28"/>
        <v>#N/A</v>
      </c>
      <c r="V92" s="55" t="e">
        <f t="shared" ca="1" si="29"/>
        <v>#N/A</v>
      </c>
      <c r="W92" s="55" t="e">
        <f t="shared" ca="1" si="34"/>
        <v>#N/A</v>
      </c>
      <c r="X92" s="55" t="e">
        <f t="shared" ca="1" si="35"/>
        <v>#N/A</v>
      </c>
      <c r="Y92" s="55" t="e">
        <f t="shared" ca="1" si="36"/>
        <v>#N/A</v>
      </c>
      <c r="Z92" t="e">
        <f t="shared" ca="1" si="30"/>
        <v>#N/A</v>
      </c>
      <c r="AA92" t="e">
        <f t="shared" ca="1" si="37"/>
        <v>#N/A</v>
      </c>
      <c r="AB92" t="e">
        <f t="shared" ca="1" si="31"/>
        <v>#N/A</v>
      </c>
      <c r="AC92" t="e">
        <f t="shared" ca="1" si="32"/>
        <v>#N/A</v>
      </c>
      <c r="AD92" s="83">
        <f ca="1"/>
        <v>45376</v>
      </c>
      <c r="AE92" s="55">
        <f t="shared" ca="1" si="41"/>
        <v>45376</v>
      </c>
      <c r="AF92" s="55">
        <f t="shared" ca="1" si="42"/>
        <v>24.687504644866575</v>
      </c>
      <c r="AG92" s="55">
        <f t="shared" ca="1" si="43"/>
        <v>29.288463719787714</v>
      </c>
      <c r="AH92" s="55">
        <f t="shared" ca="1" si="44"/>
        <v>0</v>
      </c>
      <c r="AI92" s="55">
        <f t="shared" ca="1" si="38"/>
        <v>0</v>
      </c>
      <c r="AJ92" s="55">
        <f t="shared" ca="1" si="39"/>
        <v>15.531694042179332</v>
      </c>
      <c r="AK92" s="55">
        <f t="shared" ca="1" si="40"/>
        <v>9.2611380948270412</v>
      </c>
    </row>
    <row r="93" spans="18:37">
      <c r="R93" s="83" t="e">
        <f ca="1"/>
        <v>#N/A</v>
      </c>
      <c r="S93" s="55" t="e">
        <f t="shared" ca="1" si="33"/>
        <v>#N/A</v>
      </c>
      <c r="T93" s="55" t="e">
        <f t="shared" ca="1" si="27"/>
        <v>#N/A</v>
      </c>
      <c r="U93" s="55" t="e">
        <f t="shared" ca="1" si="28"/>
        <v>#N/A</v>
      </c>
      <c r="V93" s="55" t="e">
        <f t="shared" ca="1" si="29"/>
        <v>#N/A</v>
      </c>
      <c r="W93" s="55" t="e">
        <f t="shared" ca="1" si="34"/>
        <v>#N/A</v>
      </c>
      <c r="X93" s="55" t="e">
        <f t="shared" ca="1" si="35"/>
        <v>#N/A</v>
      </c>
      <c r="Y93" s="55" t="e">
        <f t="shared" ca="1" si="36"/>
        <v>#N/A</v>
      </c>
      <c r="Z93" t="e">
        <f t="shared" ca="1" si="30"/>
        <v>#N/A</v>
      </c>
      <c r="AA93" t="e">
        <f t="shared" ca="1" si="37"/>
        <v>#N/A</v>
      </c>
      <c r="AB93" t="e">
        <f t="shared" ca="1" si="31"/>
        <v>#N/A</v>
      </c>
      <c r="AC93" t="e">
        <f t="shared" ca="1" si="32"/>
        <v>#N/A</v>
      </c>
      <c r="AD93" s="83">
        <f ca="1"/>
        <v>45377</v>
      </c>
      <c r="AE93" s="55">
        <f t="shared" ca="1" si="41"/>
        <v>45377</v>
      </c>
      <c r="AF93" s="55">
        <f t="shared" ca="1" si="42"/>
        <v>23.601642207255772</v>
      </c>
      <c r="AG93" s="55">
        <f t="shared" ca="1" si="43"/>
        <v>30.544252967586694</v>
      </c>
      <c r="AH93" s="55">
        <f t="shared" ca="1" si="44"/>
        <v>0</v>
      </c>
      <c r="AI93" s="55">
        <f t="shared" ca="1" si="38"/>
        <v>0</v>
      </c>
      <c r="AJ93" s="55">
        <f t="shared" ca="1" si="39"/>
        <v>15.69080883104505</v>
      </c>
      <c r="AK93" s="55">
        <f t="shared" ca="1" si="40"/>
        <v>9.271950116149501</v>
      </c>
    </row>
    <row r="94" spans="18:37">
      <c r="R94" s="83" t="e">
        <f ca="1"/>
        <v>#N/A</v>
      </c>
      <c r="S94" s="55" t="e">
        <f t="shared" ca="1" si="33"/>
        <v>#N/A</v>
      </c>
      <c r="T94" s="55" t="e">
        <f t="shared" ca="1" si="27"/>
        <v>#N/A</v>
      </c>
      <c r="U94" s="55" t="e">
        <f t="shared" ca="1" si="28"/>
        <v>#N/A</v>
      </c>
      <c r="V94" s="55" t="e">
        <f t="shared" ca="1" si="29"/>
        <v>#N/A</v>
      </c>
      <c r="W94" s="55" t="e">
        <f t="shared" ca="1" si="34"/>
        <v>#N/A</v>
      </c>
      <c r="X94" s="55" t="e">
        <f t="shared" ca="1" si="35"/>
        <v>#N/A</v>
      </c>
      <c r="Y94" s="55" t="e">
        <f t="shared" ca="1" si="36"/>
        <v>#N/A</v>
      </c>
      <c r="Z94" t="e">
        <f t="shared" ca="1" si="30"/>
        <v>#N/A</v>
      </c>
      <c r="AA94" t="e">
        <f t="shared" ca="1" si="37"/>
        <v>#N/A</v>
      </c>
      <c r="AB94" t="e">
        <f t="shared" ca="1" si="31"/>
        <v>#N/A</v>
      </c>
      <c r="AC94" t="e">
        <f t="shared" ca="1" si="32"/>
        <v>#N/A</v>
      </c>
      <c r="AD94" s="83">
        <f ca="1"/>
        <v>45378</v>
      </c>
      <c r="AE94" s="55">
        <f t="shared" ca="1" si="41"/>
        <v>45378</v>
      </c>
      <c r="AF94" s="55">
        <f t="shared" ca="1" si="42"/>
        <v>22.476718656082351</v>
      </c>
      <c r="AG94" s="55">
        <f t="shared" ca="1" si="43"/>
        <v>31.838032147784364</v>
      </c>
      <c r="AH94" s="55">
        <f t="shared" ca="1" si="44"/>
        <v>0</v>
      </c>
      <c r="AI94" s="55">
        <f t="shared" ca="1" si="38"/>
        <v>0</v>
      </c>
      <c r="AJ94" s="55">
        <f t="shared" ca="1" si="39"/>
        <v>15.849010186891036</v>
      </c>
      <c r="AK94" s="55">
        <f t="shared" ca="1" si="40"/>
        <v>9.2826043893277657</v>
      </c>
    </row>
    <row r="95" spans="18:37">
      <c r="R95" s="83" t="e">
        <f ca="1"/>
        <v>#N/A</v>
      </c>
      <c r="S95" s="55" t="e">
        <f t="shared" ca="1" si="33"/>
        <v>#N/A</v>
      </c>
      <c r="T95" s="55" t="e">
        <f t="shared" ca="1" si="27"/>
        <v>#N/A</v>
      </c>
      <c r="U95" s="55" t="e">
        <f t="shared" ca="1" si="28"/>
        <v>#N/A</v>
      </c>
      <c r="V95" s="55" t="e">
        <f t="shared" ca="1" si="29"/>
        <v>#N/A</v>
      </c>
      <c r="W95" s="55" t="e">
        <f t="shared" ca="1" si="34"/>
        <v>#N/A</v>
      </c>
      <c r="X95" s="55" t="e">
        <f t="shared" ca="1" si="35"/>
        <v>#N/A</v>
      </c>
      <c r="Y95" s="55" t="e">
        <f t="shared" ca="1" si="36"/>
        <v>#N/A</v>
      </c>
      <c r="Z95" t="e">
        <f t="shared" ca="1" si="30"/>
        <v>#N/A</v>
      </c>
      <c r="AA95" t="e">
        <f t="shared" ca="1" si="37"/>
        <v>#N/A</v>
      </c>
      <c r="AB95" t="e">
        <f t="shared" ca="1" si="31"/>
        <v>#N/A</v>
      </c>
      <c r="AC95" t="e">
        <f t="shared" ca="1" si="32"/>
        <v>#N/A</v>
      </c>
      <c r="AD95" s="83">
        <f ca="1"/>
        <v>45379</v>
      </c>
      <c r="AE95" s="55">
        <f t="shared" ca="1" si="41"/>
        <v>45379</v>
      </c>
      <c r="AF95" s="55">
        <f t="shared" ca="1" si="42"/>
        <v>21.296133092473568</v>
      </c>
      <c r="AG95" s="55">
        <f t="shared" ca="1" si="43"/>
        <v>33.191277742550085</v>
      </c>
      <c r="AH95" s="55">
        <f t="shared" ca="1" si="44"/>
        <v>0</v>
      </c>
      <c r="AI95" s="55">
        <f t="shared" ca="1" si="38"/>
        <v>0</v>
      </c>
      <c r="AJ95" s="55">
        <f t="shared" ca="1" si="39"/>
        <v>16.01080048730709</v>
      </c>
      <c r="AK95" s="55">
        <f t="shared" ca="1" si="40"/>
        <v>9.2934741200686481</v>
      </c>
    </row>
    <row r="96" spans="18:37">
      <c r="R96" s="83" t="e">
        <f ca="1"/>
        <v>#N/A</v>
      </c>
      <c r="S96" s="55" t="e">
        <f t="shared" ca="1" si="33"/>
        <v>#N/A</v>
      </c>
      <c r="T96" s="55" t="e">
        <f t="shared" ca="1" si="27"/>
        <v>#N/A</v>
      </c>
      <c r="U96" s="55" t="e">
        <f t="shared" ca="1" si="28"/>
        <v>#N/A</v>
      </c>
      <c r="V96" s="55" t="e">
        <f t="shared" ca="1" si="29"/>
        <v>#N/A</v>
      </c>
      <c r="W96" s="55" t="e">
        <f t="shared" ca="1" si="34"/>
        <v>#N/A</v>
      </c>
      <c r="X96" s="55" t="e">
        <f t="shared" ca="1" si="35"/>
        <v>#N/A</v>
      </c>
      <c r="Y96" s="55" t="e">
        <f t="shared" ca="1" si="36"/>
        <v>#N/A</v>
      </c>
      <c r="Z96" t="e">
        <f t="shared" ca="1" si="30"/>
        <v>#N/A</v>
      </c>
      <c r="AA96" t="e">
        <f t="shared" ca="1" si="37"/>
        <v>#N/A</v>
      </c>
      <c r="AB96" t="e">
        <f t="shared" ca="1" si="31"/>
        <v>#N/A</v>
      </c>
      <c r="AC96" t="e">
        <f t="shared" ca="1" si="32"/>
        <v>#N/A</v>
      </c>
      <c r="AD96" s="83">
        <f ca="1"/>
        <v>45380</v>
      </c>
      <c r="AE96" s="55">
        <f t="shared" ca="1" si="41"/>
        <v>45380</v>
      </c>
      <c r="AF96" s="55">
        <f t="shared" ca="1" si="42"/>
        <v>20.079577598067029</v>
      </c>
      <c r="AG96" s="55">
        <f t="shared" ca="1" si="43"/>
        <v>34.573298578569513</v>
      </c>
      <c r="AH96" s="55">
        <f t="shared" ca="1" si="44"/>
        <v>0</v>
      </c>
      <c r="AI96" s="55">
        <f t="shared" ca="1" si="38"/>
        <v>0</v>
      </c>
      <c r="AJ96" s="55">
        <f t="shared" ca="1" si="39"/>
        <v>16.166220263780215</v>
      </c>
      <c r="AK96" s="55">
        <f t="shared" ca="1" si="40"/>
        <v>9.3035196852084141</v>
      </c>
    </row>
    <row r="97" spans="18:37">
      <c r="R97" s="83" t="e">
        <f ca="1"/>
        <v>#N/A</v>
      </c>
      <c r="S97" s="55" t="e">
        <f t="shared" ca="1" si="33"/>
        <v>#N/A</v>
      </c>
      <c r="T97" s="55" t="e">
        <f t="shared" ca="1" si="27"/>
        <v>#N/A</v>
      </c>
      <c r="U97" s="55" t="e">
        <f t="shared" ca="1" si="28"/>
        <v>#N/A</v>
      </c>
      <c r="V97" s="55" t="e">
        <f t="shared" ca="1" si="29"/>
        <v>#N/A</v>
      </c>
      <c r="W97" s="55" t="e">
        <f t="shared" ca="1" si="34"/>
        <v>#N/A</v>
      </c>
      <c r="X97" s="55" t="e">
        <f t="shared" ca="1" si="35"/>
        <v>#N/A</v>
      </c>
      <c r="Y97" s="55" t="e">
        <f t="shared" ca="1" si="36"/>
        <v>#N/A</v>
      </c>
      <c r="Z97" t="e">
        <f t="shared" ca="1" si="30"/>
        <v>#N/A</v>
      </c>
      <c r="AA97" t="e">
        <f t="shared" ca="1" si="37"/>
        <v>#N/A</v>
      </c>
      <c r="AB97" t="e">
        <f t="shared" ca="1" si="31"/>
        <v>#N/A</v>
      </c>
      <c r="AC97" t="e">
        <f t="shared" ca="1" si="32"/>
        <v>#N/A</v>
      </c>
      <c r="AD97" s="83">
        <f ca="1"/>
        <v>45381</v>
      </c>
      <c r="AE97" s="55">
        <f t="shared" ca="1" si="41"/>
        <v>45381</v>
      </c>
      <c r="AF97" s="55">
        <f t="shared" ca="1" si="42"/>
        <v>18.836222042892935</v>
      </c>
      <c r="AG97" s="55">
        <f t="shared" ca="1" si="43"/>
        <v>35.981295923104838</v>
      </c>
      <c r="AH97" s="55">
        <f t="shared" ca="1" si="44"/>
        <v>0</v>
      </c>
      <c r="AI97" s="55">
        <f t="shared" ca="1" si="38"/>
        <v>0</v>
      </c>
      <c r="AJ97" s="55">
        <f t="shared" ca="1" si="39"/>
        <v>16.320791611179661</v>
      </c>
      <c r="AK97" s="55">
        <f t="shared" ca="1" si="40"/>
        <v>9.3135901271701975</v>
      </c>
    </row>
    <row r="98" spans="18:37">
      <c r="R98" s="83" t="e">
        <f ca="1"/>
        <v>#N/A</v>
      </c>
      <c r="S98" s="55" t="e">
        <f t="shared" ca="1" si="33"/>
        <v>#N/A</v>
      </c>
      <c r="T98" s="55" t="e">
        <f t="shared" ca="1" si="27"/>
        <v>#N/A</v>
      </c>
      <c r="U98" s="55" t="e">
        <f t="shared" ca="1" si="28"/>
        <v>#N/A</v>
      </c>
      <c r="V98" s="55" t="e">
        <f t="shared" ca="1" si="29"/>
        <v>#N/A</v>
      </c>
      <c r="W98" s="55" t="e">
        <f t="shared" ca="1" si="34"/>
        <v>#N/A</v>
      </c>
      <c r="X98" s="55" t="e">
        <f t="shared" ca="1" si="35"/>
        <v>#N/A</v>
      </c>
      <c r="Y98" s="55" t="e">
        <f t="shared" ca="1" si="36"/>
        <v>#N/A</v>
      </c>
      <c r="Z98" t="e">
        <f t="shared" ca="1" si="30"/>
        <v>#N/A</v>
      </c>
      <c r="AA98" t="e">
        <f t="shared" ca="1" si="37"/>
        <v>#N/A</v>
      </c>
      <c r="AB98" t="e">
        <f t="shared" ca="1" si="31"/>
        <v>#N/A</v>
      </c>
      <c r="AC98" t="e">
        <f t="shared" ca="1" si="32"/>
        <v>#N/A</v>
      </c>
      <c r="AD98" s="83">
        <f ca="1"/>
        <v>45382</v>
      </c>
      <c r="AE98" s="55">
        <f t="shared" ca="1" si="41"/>
        <v>45382</v>
      </c>
      <c r="AF98" s="55">
        <f t="shared" ca="1" si="42"/>
        <v>17.568531026987998</v>
      </c>
      <c r="AG98" s="55">
        <f t="shared" ca="1" si="43"/>
        <v>37.40782165872016</v>
      </c>
      <c r="AH98" s="55">
        <f t="shared" ca="1" si="44"/>
        <v>0</v>
      </c>
      <c r="AI98" s="55">
        <f t="shared" ca="1" si="38"/>
        <v>0</v>
      </c>
      <c r="AJ98" s="55">
        <f t="shared" ca="1" si="39"/>
        <v>16.470107532113332</v>
      </c>
      <c r="AK98" s="55">
        <f t="shared" ca="1" si="40"/>
        <v>9.3231089259469115</v>
      </c>
    </row>
    <row r="99" spans="18:37">
      <c r="R99" s="83" t="e">
        <f ca="1"/>
        <v>#N/A</v>
      </c>
      <c r="S99" s="55" t="e">
        <f t="shared" ca="1" si="33"/>
        <v>#N/A</v>
      </c>
      <c r="T99" s="55" t="e">
        <f t="shared" ca="1" si="27"/>
        <v>#N/A</v>
      </c>
      <c r="U99" s="55" t="e">
        <f t="shared" ca="1" si="28"/>
        <v>#N/A</v>
      </c>
      <c r="V99" s="55" t="e">
        <f t="shared" ca="1" si="29"/>
        <v>#N/A</v>
      </c>
      <c r="W99" s="55" t="e">
        <f t="shared" ca="1" si="34"/>
        <v>#N/A</v>
      </c>
      <c r="X99" s="55" t="e">
        <f t="shared" ca="1" si="35"/>
        <v>#N/A</v>
      </c>
      <c r="Y99" s="55" t="e">
        <f t="shared" ca="1" si="36"/>
        <v>#N/A</v>
      </c>
      <c r="Z99" t="e">
        <f t="shared" ca="1" si="30"/>
        <v>#N/A</v>
      </c>
      <c r="AA99" t="e">
        <f t="shared" ca="1" si="37"/>
        <v>#N/A</v>
      </c>
      <c r="AB99" t="e">
        <f t="shared" ca="1" si="31"/>
        <v>#N/A</v>
      </c>
      <c r="AC99" t="e">
        <f t="shared" ca="1" si="32"/>
        <v>#N/A</v>
      </c>
      <c r="AD99" s="83">
        <f ca="1"/>
        <v>45383</v>
      </c>
      <c r="AE99" s="55">
        <f t="shared" ca="1" si="41"/>
        <v>45383</v>
      </c>
      <c r="AF99" s="55">
        <f t="shared" ca="1" si="42"/>
        <v>16.268295780844639</v>
      </c>
      <c r="AG99" s="55">
        <f t="shared" ca="1" si="43"/>
        <v>38.868824338567869</v>
      </c>
      <c r="AH99" s="55">
        <f t="shared" ca="1" si="44"/>
        <v>0</v>
      </c>
      <c r="AI99" s="55">
        <f t="shared" ca="1" si="38"/>
        <v>0</v>
      </c>
      <c r="AJ99" s="55">
        <f t="shared" ca="1" si="39"/>
        <v>16.621100655997814</v>
      </c>
      <c r="AK99" s="55">
        <f t="shared" ca="1" si="40"/>
        <v>9.332883235766781</v>
      </c>
    </row>
    <row r="100" spans="18:37">
      <c r="R100" s="83" t="e">
        <f ca="1"/>
        <v>#N/A</v>
      </c>
      <c r="S100" s="55" t="e">
        <f t="shared" ca="1" si="33"/>
        <v>#N/A</v>
      </c>
      <c r="T100" s="55" t="e">
        <f t="shared" ca="1" si="27"/>
        <v>#N/A</v>
      </c>
      <c r="U100" s="55" t="e">
        <f t="shared" ca="1" si="28"/>
        <v>#N/A</v>
      </c>
      <c r="V100" s="55" t="e">
        <f t="shared" ca="1" si="29"/>
        <v>#N/A</v>
      </c>
      <c r="W100" s="55" t="e">
        <f t="shared" ca="1" si="34"/>
        <v>#N/A</v>
      </c>
      <c r="X100" s="55" t="e">
        <f t="shared" ca="1" si="35"/>
        <v>#N/A</v>
      </c>
      <c r="Y100" s="55" t="e">
        <f t="shared" ca="1" si="36"/>
        <v>#N/A</v>
      </c>
      <c r="Z100" t="e">
        <f t="shared" ca="1" si="30"/>
        <v>#N/A</v>
      </c>
      <c r="AA100" t="e">
        <f t="shared" ca="1" si="37"/>
        <v>#N/A</v>
      </c>
      <c r="AB100" t="e">
        <f t="shared" ca="1" si="31"/>
        <v>#N/A</v>
      </c>
      <c r="AC100" t="e">
        <f t="shared" ca="1" si="32"/>
        <v>#N/A</v>
      </c>
      <c r="AD100" s="83">
        <f ca="1"/>
        <v>45384</v>
      </c>
      <c r="AE100" s="55">
        <f t="shared" ca="1" si="41"/>
        <v>45384</v>
      </c>
      <c r="AF100" s="55">
        <f t="shared" ca="1" si="42"/>
        <v>14.915024241588579</v>
      </c>
      <c r="AG100" s="55">
        <f t="shared" ca="1" si="43"/>
        <v>40.385896647869679</v>
      </c>
      <c r="AH100" s="55">
        <f t="shared" ca="1" si="44"/>
        <v>0</v>
      </c>
      <c r="AI100" s="55">
        <f t="shared" ca="1" si="38"/>
        <v>0</v>
      </c>
      <c r="AJ100" s="55">
        <f t="shared" ca="1" si="39"/>
        <v>16.774963346176211</v>
      </c>
      <c r="AK100" s="55">
        <f t="shared" ca="1" si="40"/>
        <v>9.3428213156341364</v>
      </c>
    </row>
    <row r="101" spans="18:37">
      <c r="R101" s="83" t="e">
        <f ca="1"/>
        <v>#N/A</v>
      </c>
      <c r="S101" s="55" t="e">
        <f t="shared" ca="1" si="33"/>
        <v>#N/A</v>
      </c>
      <c r="T101" s="55" t="e">
        <f t="shared" ca="1" si="27"/>
        <v>#N/A</v>
      </c>
      <c r="U101" s="55" t="e">
        <f t="shared" ca="1" si="28"/>
        <v>#N/A</v>
      </c>
      <c r="V101" s="55" t="e">
        <f t="shared" ca="1" si="29"/>
        <v>#N/A</v>
      </c>
      <c r="W101" s="55" t="e">
        <f t="shared" ca="1" si="34"/>
        <v>#N/A</v>
      </c>
      <c r="X101" s="55" t="e">
        <f t="shared" ca="1" si="35"/>
        <v>#N/A</v>
      </c>
      <c r="Y101" s="55" t="e">
        <f t="shared" ca="1" si="36"/>
        <v>#N/A</v>
      </c>
      <c r="Z101" t="e">
        <f t="shared" ca="1" si="30"/>
        <v>#N/A</v>
      </c>
      <c r="AA101" t="e">
        <f t="shared" ca="1" si="37"/>
        <v>#N/A</v>
      </c>
      <c r="AB101" t="e">
        <f t="shared" ca="1" si="31"/>
        <v>#N/A</v>
      </c>
      <c r="AC101" t="e">
        <f t="shared" ca="1" si="32"/>
        <v>#N/A</v>
      </c>
      <c r="AD101" s="83">
        <f ca="1"/>
        <v>45385</v>
      </c>
      <c r="AE101" s="55">
        <f t="shared" ca="1" si="41"/>
        <v>45385</v>
      </c>
      <c r="AF101" s="55">
        <f t="shared" ca="1" si="42"/>
        <v>13.548216657504504</v>
      </c>
      <c r="AG101" s="55">
        <f t="shared" ca="1" si="43"/>
        <v>41.908158358379957</v>
      </c>
      <c r="AH101" s="55">
        <f t="shared" ca="1" si="44"/>
        <v>0</v>
      </c>
      <c r="AI101" s="55">
        <f t="shared" ca="1" si="38"/>
        <v>0</v>
      </c>
      <c r="AJ101" s="55">
        <f t="shared" ca="1" si="39"/>
        <v>16.921236871921817</v>
      </c>
      <c r="AK101" s="55">
        <f t="shared" ca="1" si="40"/>
        <v>9.3520019163147339</v>
      </c>
    </row>
    <row r="102" spans="18:37">
      <c r="R102" s="83" t="e">
        <f ca="1"/>
        <v>#N/A</v>
      </c>
      <c r="S102" s="55" t="e">
        <f t="shared" ca="1" si="33"/>
        <v>#N/A</v>
      </c>
      <c r="T102" s="55" t="e">
        <f t="shared" ca="1" si="27"/>
        <v>#N/A</v>
      </c>
      <c r="U102" s="55" t="e">
        <f t="shared" ca="1" si="28"/>
        <v>#N/A</v>
      </c>
      <c r="V102" s="55" t="e">
        <f t="shared" ca="1" si="29"/>
        <v>#N/A</v>
      </c>
      <c r="W102" s="55" t="e">
        <f t="shared" ca="1" si="34"/>
        <v>#N/A</v>
      </c>
      <c r="X102" s="55" t="e">
        <f t="shared" ca="1" si="35"/>
        <v>#N/A</v>
      </c>
      <c r="Y102" s="55" t="e">
        <f t="shared" ca="1" si="36"/>
        <v>#N/A</v>
      </c>
      <c r="Z102" t="e">
        <f t="shared" ca="1" si="30"/>
        <v>#N/A</v>
      </c>
      <c r="AA102" t="e">
        <f t="shared" ca="1" si="37"/>
        <v>#N/A</v>
      </c>
      <c r="AB102" t="e">
        <f t="shared" ca="1" si="31"/>
        <v>#N/A</v>
      </c>
      <c r="AC102" t="e">
        <f t="shared" ca="1" si="32"/>
        <v>#N/A</v>
      </c>
      <c r="AD102" s="83">
        <f ca="1"/>
        <v>45386</v>
      </c>
      <c r="AE102" s="55">
        <f t="shared" ca="1" si="41"/>
        <v>45386</v>
      </c>
      <c r="AF102" s="55">
        <f t="shared" ca="1" si="42"/>
        <v>12.139058265572899</v>
      </c>
      <c r="AG102" s="55">
        <f t="shared" ca="1" si="43"/>
        <v>43.470468849243169</v>
      </c>
      <c r="AH102" s="55">
        <f t="shared" ca="1" si="44"/>
        <v>0</v>
      </c>
      <c r="AI102" s="55">
        <f t="shared" ca="1" si="38"/>
        <v>0</v>
      </c>
      <c r="AJ102" s="55">
        <f t="shared" ca="1" si="39"/>
        <v>17.065559412000979</v>
      </c>
      <c r="AK102" s="55">
        <f t="shared" ca="1" si="40"/>
        <v>9.3608314751671813</v>
      </c>
    </row>
    <row r="103" spans="18:37">
      <c r="R103" s="83" t="e">
        <f ca="1"/>
        <v>#N/A</v>
      </c>
      <c r="S103" s="55" t="e">
        <f t="shared" ca="1" si="33"/>
        <v>#N/A</v>
      </c>
      <c r="T103" s="55" t="e">
        <f t="shared" ca="1" si="27"/>
        <v>#N/A</v>
      </c>
      <c r="U103" s="55" t="e">
        <f t="shared" ca="1" si="28"/>
        <v>#N/A</v>
      </c>
      <c r="V103" s="55" t="e">
        <f t="shared" ca="1" si="29"/>
        <v>#N/A</v>
      </c>
      <c r="W103" s="55" t="e">
        <f t="shared" ca="1" si="34"/>
        <v>#N/A</v>
      </c>
      <c r="X103" s="55" t="e">
        <f t="shared" ca="1" si="35"/>
        <v>#N/A</v>
      </c>
      <c r="Y103" s="55" t="e">
        <f t="shared" ca="1" si="36"/>
        <v>#N/A</v>
      </c>
      <c r="Z103" t="e">
        <f t="shared" ca="1" si="30"/>
        <v>#N/A</v>
      </c>
      <c r="AA103" t="e">
        <f t="shared" ca="1" si="37"/>
        <v>#N/A</v>
      </c>
      <c r="AB103" t="e">
        <f t="shared" ca="1" si="31"/>
        <v>#N/A</v>
      </c>
      <c r="AC103" t="e">
        <f t="shared" ca="1" si="32"/>
        <v>#N/A</v>
      </c>
      <c r="AD103" s="83">
        <f ca="1"/>
        <v>45387</v>
      </c>
      <c r="AE103" s="55">
        <f t="shared" ca="1" si="41"/>
        <v>45387</v>
      </c>
      <c r="AF103" s="55">
        <f t="shared" ca="1" si="42"/>
        <v>10.690590101099795</v>
      </c>
      <c r="AG103" s="55">
        <f t="shared" ca="1" si="43"/>
        <v>45.07462940666241</v>
      </c>
      <c r="AH103" s="55">
        <f t="shared" ca="1" si="44"/>
        <v>0</v>
      </c>
      <c r="AI103" s="55">
        <f t="shared" ca="1" si="38"/>
        <v>0</v>
      </c>
      <c r="AJ103" s="55">
        <f t="shared" ca="1" si="39"/>
        <v>17.212181208079844</v>
      </c>
      <c r="AK103" s="55">
        <f t="shared" ca="1" si="40"/>
        <v>9.3699020720344564</v>
      </c>
    </row>
    <row r="104" spans="18:37">
      <c r="R104" s="83" t="e">
        <f ca="1"/>
        <v>#N/A</v>
      </c>
      <c r="S104" s="55" t="e">
        <f t="shared" ca="1" si="33"/>
        <v>#N/A</v>
      </c>
      <c r="T104" s="55" t="e">
        <f t="shared" ca="1" si="27"/>
        <v>#N/A</v>
      </c>
      <c r="U104" s="55" t="e">
        <f t="shared" ca="1" si="28"/>
        <v>#N/A</v>
      </c>
      <c r="V104" s="55" t="e">
        <f t="shared" ca="1" si="29"/>
        <v>#N/A</v>
      </c>
      <c r="W104" s="55" t="e">
        <f t="shared" ca="1" si="34"/>
        <v>#N/A</v>
      </c>
      <c r="X104" s="55" t="e">
        <f t="shared" ca="1" si="35"/>
        <v>#N/A</v>
      </c>
      <c r="Y104" s="55" t="e">
        <f t="shared" ca="1" si="36"/>
        <v>#N/A</v>
      </c>
      <c r="Z104" t="e">
        <f t="shared" ca="1" si="30"/>
        <v>#N/A</v>
      </c>
      <c r="AA104" t="e">
        <f t="shared" ca="1" si="37"/>
        <v>#N/A</v>
      </c>
      <c r="AB104" t="e">
        <f t="shared" ca="1" si="31"/>
        <v>#N/A</v>
      </c>
      <c r="AC104" t="e">
        <f t="shared" ca="1" si="32"/>
        <v>#N/A</v>
      </c>
      <c r="AD104" s="83">
        <f ca="1"/>
        <v>45388</v>
      </c>
      <c r="AE104" s="55">
        <f t="shared" ca="1" si="41"/>
        <v>45388</v>
      </c>
      <c r="AF104" s="55">
        <f t="shared" ca="1" si="42"/>
        <v>9.2047192426781397</v>
      </c>
      <c r="AG104" s="55">
        <f t="shared" ca="1" si="43"/>
        <v>46.715387369795437</v>
      </c>
      <c r="AH104" s="55">
        <f t="shared" ca="1" si="44"/>
        <v>0</v>
      </c>
      <c r="AI104" s="55">
        <f t="shared" ca="1" si="38"/>
        <v>0</v>
      </c>
      <c r="AJ104" s="55">
        <f t="shared" ca="1" si="39"/>
        <v>17.358132444778931</v>
      </c>
      <c r="AK104" s="55">
        <f t="shared" ca="1" si="40"/>
        <v>9.3788379400467417</v>
      </c>
    </row>
    <row r="105" spans="18:37">
      <c r="R105" s="83" t="e">
        <f ca="1"/>
        <v>#N/A</v>
      </c>
      <c r="S105" s="55" t="e">
        <f t="shared" ca="1" si="33"/>
        <v>#N/A</v>
      </c>
      <c r="T105" s="55" t="e">
        <f t="shared" ca="1" si="27"/>
        <v>#N/A</v>
      </c>
      <c r="U105" s="55" t="e">
        <f t="shared" ca="1" si="28"/>
        <v>#N/A</v>
      </c>
      <c r="V105" s="55" t="e">
        <f t="shared" ca="1" si="29"/>
        <v>#N/A</v>
      </c>
      <c r="W105" s="55" t="e">
        <f t="shared" ca="1" si="34"/>
        <v>#N/A</v>
      </c>
      <c r="X105" s="55" t="e">
        <f t="shared" ca="1" si="35"/>
        <v>#N/A</v>
      </c>
      <c r="Y105" s="55" t="e">
        <f t="shared" ca="1" si="36"/>
        <v>#N/A</v>
      </c>
      <c r="Z105" t="e">
        <f t="shared" ca="1" si="30"/>
        <v>#N/A</v>
      </c>
      <c r="AA105" t="e">
        <f t="shared" ca="1" si="37"/>
        <v>#N/A</v>
      </c>
      <c r="AB105" t="e">
        <f t="shared" ca="1" si="31"/>
        <v>#N/A</v>
      </c>
      <c r="AC105" t="e">
        <f t="shared" ca="1" si="32"/>
        <v>#N/A</v>
      </c>
      <c r="AD105" s="83">
        <f ca="1"/>
        <v>45389</v>
      </c>
      <c r="AE105" s="55">
        <f t="shared" ca="1" si="41"/>
        <v>45389</v>
      </c>
      <c r="AF105" s="55">
        <f t="shared" ca="1" si="42"/>
        <v>7.7046981615674746</v>
      </c>
      <c r="AG105" s="55">
        <f t="shared" ca="1" si="43"/>
        <v>48.369104774461903</v>
      </c>
      <c r="AH105" s="55">
        <f t="shared" ca="1" si="44"/>
        <v>0</v>
      </c>
      <c r="AI105" s="55">
        <f t="shared" ca="1" si="38"/>
        <v>0</v>
      </c>
      <c r="AJ105" s="55">
        <f t="shared" ca="1" si="39"/>
        <v>17.502883305448712</v>
      </c>
      <c r="AK105" s="55">
        <f t="shared" ca="1" si="40"/>
        <v>9.3877834029327616</v>
      </c>
    </row>
    <row r="106" spans="18:37">
      <c r="R106" s="83" t="e">
        <f ca="1"/>
        <v>#N/A</v>
      </c>
      <c r="S106" s="55" t="e">
        <f t="shared" ca="1" si="33"/>
        <v>#N/A</v>
      </c>
      <c r="T106" s="55" t="e">
        <f t="shared" ca="1" si="27"/>
        <v>#N/A</v>
      </c>
      <c r="U106" s="55" t="e">
        <f t="shared" ca="1" si="28"/>
        <v>#N/A</v>
      </c>
      <c r="V106" s="55" t="e">
        <f t="shared" ca="1" si="29"/>
        <v>#N/A</v>
      </c>
      <c r="W106" s="55" t="e">
        <f t="shared" ca="1" si="34"/>
        <v>#N/A</v>
      </c>
      <c r="X106" s="55" t="e">
        <f t="shared" ca="1" si="35"/>
        <v>#N/A</v>
      </c>
      <c r="Y106" s="55" t="e">
        <f t="shared" ca="1" si="36"/>
        <v>#N/A</v>
      </c>
      <c r="Z106" t="e">
        <f t="shared" ca="1" si="30"/>
        <v>#N/A</v>
      </c>
      <c r="AA106" t="e">
        <f t="shared" ca="1" si="37"/>
        <v>#N/A</v>
      </c>
      <c r="AB106" t="e">
        <f t="shared" ca="1" si="31"/>
        <v>#N/A</v>
      </c>
      <c r="AC106" t="e">
        <f t="shared" ca="1" si="32"/>
        <v>#N/A</v>
      </c>
      <c r="AD106" s="83">
        <f ca="1"/>
        <v>45390</v>
      </c>
      <c r="AE106" s="55">
        <f t="shared" ca="1" si="41"/>
        <v>45390</v>
      </c>
      <c r="AF106" s="55">
        <f t="shared" ca="1" si="42"/>
        <v>6.2005137909378583</v>
      </c>
      <c r="AG106" s="55">
        <f t="shared" ca="1" si="43"/>
        <v>50.030282036213464</v>
      </c>
      <c r="AH106" s="55">
        <f t="shared" ca="1" si="44"/>
        <v>0</v>
      </c>
      <c r="AI106" s="55">
        <f t="shared" ca="1" si="38"/>
        <v>0</v>
      </c>
      <c r="AJ106" s="55">
        <f t="shared" ca="1" si="39"/>
        <v>17.650390880289962</v>
      </c>
      <c r="AK106" s="55">
        <f t="shared" ca="1" si="40"/>
        <v>9.3972687192134572</v>
      </c>
    </row>
    <row r="107" spans="18:37">
      <c r="R107" s="83" t="e">
        <f ca="1"/>
        <v>#N/A</v>
      </c>
      <c r="S107" s="55" t="e">
        <f t="shared" ca="1" si="33"/>
        <v>#N/A</v>
      </c>
      <c r="T107" s="55" t="e">
        <f t="shared" ca="1" si="27"/>
        <v>#N/A</v>
      </c>
      <c r="U107" s="55" t="e">
        <f t="shared" ca="1" si="28"/>
        <v>#N/A</v>
      </c>
      <c r="V107" s="55" t="e">
        <f t="shared" ca="1" si="29"/>
        <v>#N/A</v>
      </c>
      <c r="W107" s="55" t="e">
        <f t="shared" ca="1" si="34"/>
        <v>#N/A</v>
      </c>
      <c r="X107" s="55" t="e">
        <f t="shared" ca="1" si="35"/>
        <v>#N/A</v>
      </c>
      <c r="Y107" s="55" t="e">
        <f t="shared" ca="1" si="36"/>
        <v>#N/A</v>
      </c>
      <c r="Z107" t="e">
        <f t="shared" ca="1" si="30"/>
        <v>#N/A</v>
      </c>
      <c r="AA107" t="e">
        <f t="shared" ca="1" si="37"/>
        <v>#N/A</v>
      </c>
      <c r="AB107" t="e">
        <f t="shared" ca="1" si="31"/>
        <v>#N/A</v>
      </c>
      <c r="AC107" t="e">
        <f t="shared" ca="1" si="32"/>
        <v>#N/A</v>
      </c>
      <c r="AD107" s="83">
        <f ca="1"/>
        <v>45391</v>
      </c>
      <c r="AE107" s="55">
        <f t="shared" ca="1" si="41"/>
        <v>45391</v>
      </c>
      <c r="AF107" s="55">
        <f t="shared" ca="1" si="42"/>
        <v>4.6692934772550734</v>
      </c>
      <c r="AG107" s="55">
        <f t="shared" ca="1" si="43"/>
        <v>51.718252003719755</v>
      </c>
      <c r="AH107" s="55">
        <f t="shared" ca="1" si="44"/>
        <v>0</v>
      </c>
      <c r="AI107" s="55">
        <f t="shared" ca="1" si="38"/>
        <v>0</v>
      </c>
      <c r="AJ107" s="55">
        <f t="shared" ca="1" si="39"/>
        <v>17.797697851459152</v>
      </c>
      <c r="AK107" s="55">
        <f t="shared" ca="1" si="40"/>
        <v>9.4067114018677707</v>
      </c>
    </row>
    <row r="108" spans="18:37">
      <c r="R108" s="83" t="e">
        <f ca="1"/>
        <v>#N/A</v>
      </c>
      <c r="S108" s="55" t="e">
        <f t="shared" ca="1" si="33"/>
        <v>#N/A</v>
      </c>
      <c r="T108" s="55" t="e">
        <f t="shared" ca="1" si="27"/>
        <v>#N/A</v>
      </c>
      <c r="U108" s="55" t="e">
        <f t="shared" ca="1" si="28"/>
        <v>#N/A</v>
      </c>
      <c r="V108" s="55" t="e">
        <f t="shared" ca="1" si="29"/>
        <v>#N/A</v>
      </c>
      <c r="W108" s="55" t="e">
        <f t="shared" ca="1" si="34"/>
        <v>#N/A</v>
      </c>
      <c r="X108" s="55" t="e">
        <f t="shared" ca="1" si="35"/>
        <v>#N/A</v>
      </c>
      <c r="Y108" s="55" t="e">
        <f t="shared" ca="1" si="36"/>
        <v>#N/A</v>
      </c>
      <c r="Z108" t="e">
        <f t="shared" ca="1" si="30"/>
        <v>#N/A</v>
      </c>
      <c r="AA108" t="e">
        <f t="shared" ca="1" si="37"/>
        <v>#N/A</v>
      </c>
      <c r="AB108" t="e">
        <f t="shared" ca="1" si="31"/>
        <v>#N/A</v>
      </c>
      <c r="AC108" t="e">
        <f t="shared" ca="1" si="32"/>
        <v>#N/A</v>
      </c>
      <c r="AD108" s="83">
        <f ca="1"/>
        <v>45392</v>
      </c>
      <c r="AE108" s="55">
        <f t="shared" ca="1" si="41"/>
        <v>45392</v>
      </c>
      <c r="AF108" s="55">
        <f t="shared" ca="1" si="42"/>
        <v>3.1298077788746586</v>
      </c>
      <c r="AG108" s="55">
        <f t="shared" ca="1" si="43"/>
        <v>53.411753652251527</v>
      </c>
      <c r="AH108" s="55">
        <f t="shared" ca="1" si="44"/>
        <v>0</v>
      </c>
      <c r="AI108" s="55">
        <f t="shared" ca="1" si="38"/>
        <v>0</v>
      </c>
      <c r="AJ108" s="55">
        <f t="shared" ca="1" si="39"/>
        <v>17.942456367580331</v>
      </c>
      <c r="AK108" s="55">
        <f t="shared" ca="1" si="40"/>
        <v>9.4159688358979494</v>
      </c>
    </row>
    <row r="109" spans="18:37">
      <c r="R109" s="83" t="e">
        <f ca="1"/>
        <v>#N/A</v>
      </c>
      <c r="S109" s="55" t="e">
        <f t="shared" ca="1" si="33"/>
        <v>#N/A</v>
      </c>
      <c r="T109" s="55" t="e">
        <f t="shared" ca="1" si="27"/>
        <v>#N/A</v>
      </c>
      <c r="U109" s="55" t="e">
        <f t="shared" ca="1" si="28"/>
        <v>#N/A</v>
      </c>
      <c r="V109" s="55" t="e">
        <f t="shared" ca="1" si="29"/>
        <v>#N/A</v>
      </c>
      <c r="W109" s="55" t="e">
        <f t="shared" ca="1" si="34"/>
        <v>#N/A</v>
      </c>
      <c r="X109" s="55" t="e">
        <f t="shared" ca="1" si="35"/>
        <v>#N/A</v>
      </c>
      <c r="Y109" s="55" t="e">
        <f t="shared" ca="1" si="36"/>
        <v>#N/A</v>
      </c>
      <c r="Z109" t="e">
        <f t="shared" ca="1" si="30"/>
        <v>#N/A</v>
      </c>
      <c r="AA109" t="e">
        <f t="shared" ca="1" si="37"/>
        <v>#N/A</v>
      </c>
      <c r="AB109" t="e">
        <f t="shared" ca="1" si="31"/>
        <v>#N/A</v>
      </c>
      <c r="AC109" t="e">
        <f t="shared" ca="1" si="32"/>
        <v>#N/A</v>
      </c>
      <c r="AD109" s="83">
        <f ca="1"/>
        <v>45393</v>
      </c>
      <c r="AE109" s="55">
        <f t="shared" ca="1" si="41"/>
        <v>45393</v>
      </c>
      <c r="AF109" s="55">
        <f t="shared" ca="1" si="42"/>
        <v>1.5562830670580121</v>
      </c>
      <c r="AG109" s="55">
        <f t="shared" ca="1" si="43"/>
        <v>55.144731700580152</v>
      </c>
      <c r="AH109" s="55">
        <f t="shared" ca="1" si="44"/>
        <v>0</v>
      </c>
      <c r="AI109" s="55">
        <f t="shared" ca="1" si="38"/>
        <v>0</v>
      </c>
      <c r="AJ109" s="55">
        <f t="shared" ca="1" si="39"/>
        <v>18.092192363120027</v>
      </c>
      <c r="AK109" s="55">
        <f t="shared" ca="1" si="40"/>
        <v>9.4256861768702329</v>
      </c>
    </row>
    <row r="110" spans="18:37">
      <c r="R110" s="83" t="e">
        <f ca="1"/>
        <v>#N/A</v>
      </c>
      <c r="S110" s="55" t="e">
        <f t="shared" ca="1" si="33"/>
        <v>#N/A</v>
      </c>
      <c r="T110" s="55" t="e">
        <f t="shared" ca="1" si="27"/>
        <v>#N/A</v>
      </c>
      <c r="U110" s="55" t="e">
        <f t="shared" ca="1" si="28"/>
        <v>#N/A</v>
      </c>
      <c r="V110" s="55" t="e">
        <f t="shared" ca="1" si="29"/>
        <v>#N/A</v>
      </c>
      <c r="W110" s="55" t="e">
        <f t="shared" ca="1" si="34"/>
        <v>#N/A</v>
      </c>
      <c r="X110" s="55" t="e">
        <f t="shared" ca="1" si="35"/>
        <v>#N/A</v>
      </c>
      <c r="Y110" s="55" t="e">
        <f t="shared" ca="1" si="36"/>
        <v>#N/A</v>
      </c>
      <c r="Z110" t="e">
        <f t="shared" ca="1" si="30"/>
        <v>#N/A</v>
      </c>
      <c r="AA110" t="e">
        <f t="shared" ca="1" si="37"/>
        <v>#N/A</v>
      </c>
      <c r="AB110" t="e">
        <f t="shared" ca="1" si="31"/>
        <v>#N/A</v>
      </c>
      <c r="AC110" t="e">
        <f t="shared" ca="1" si="32"/>
        <v>#N/A</v>
      </c>
      <c r="AD110" s="83">
        <f ca="1"/>
        <v>45394</v>
      </c>
      <c r="AE110" s="55">
        <f t="shared" ca="1" si="41"/>
        <v>45394</v>
      </c>
      <c r="AF110" s="55">
        <f t="shared" ca="1" si="42"/>
        <v>-7.7610259366422518E-2</v>
      </c>
      <c r="AG110" s="55">
        <f t="shared" ca="1" si="43"/>
        <v>56.941112960097378</v>
      </c>
      <c r="AH110" s="55">
        <f t="shared" ca="1" si="44"/>
        <v>0</v>
      </c>
      <c r="AI110" s="55">
        <f t="shared" ca="1" si="38"/>
        <v>0</v>
      </c>
      <c r="AJ110" s="55">
        <f t="shared" ca="1" si="39"/>
        <v>18.244917069440604</v>
      </c>
      <c r="AK110" s="55">
        <f t="shared" ca="1" si="40"/>
        <v>9.4354494036424477</v>
      </c>
    </row>
    <row r="111" spans="18:37">
      <c r="R111" s="83" t="e">
        <f ca="1"/>
        <v>#N/A</v>
      </c>
      <c r="S111" s="55" t="e">
        <f t="shared" ca="1" si="33"/>
        <v>#N/A</v>
      </c>
      <c r="T111" s="55" t="e">
        <f t="shared" ca="1" si="27"/>
        <v>#N/A</v>
      </c>
      <c r="U111" s="55" t="e">
        <f t="shared" ca="1" si="28"/>
        <v>#N/A</v>
      </c>
      <c r="V111" s="55" t="e">
        <f t="shared" ca="1" si="29"/>
        <v>#N/A</v>
      </c>
      <c r="W111" s="55" t="e">
        <f t="shared" ca="1" si="34"/>
        <v>#N/A</v>
      </c>
      <c r="X111" s="55" t="e">
        <f t="shared" ca="1" si="35"/>
        <v>#N/A</v>
      </c>
      <c r="Y111" s="55" t="e">
        <f t="shared" ca="1" si="36"/>
        <v>#N/A</v>
      </c>
      <c r="Z111" t="e">
        <f t="shared" ca="1" si="30"/>
        <v>#N/A</v>
      </c>
      <c r="AA111" t="e">
        <f t="shared" ca="1" si="37"/>
        <v>#N/A</v>
      </c>
      <c r="AB111" t="e">
        <f t="shared" ca="1" si="31"/>
        <v>#N/A</v>
      </c>
      <c r="AC111" t="e">
        <f t="shared" ca="1" si="32"/>
        <v>#N/A</v>
      </c>
      <c r="AD111" s="83">
        <f ca="1"/>
        <v>45395</v>
      </c>
      <c r="AE111" s="55">
        <f t="shared" ca="1" si="41"/>
        <v>45395</v>
      </c>
      <c r="AF111" s="55">
        <f t="shared" ca="1" si="42"/>
        <v>-1.709258767267462</v>
      </c>
      <c r="AG111" s="55">
        <f t="shared" ca="1" si="43"/>
        <v>58.734474670845451</v>
      </c>
      <c r="AH111" s="55">
        <f t="shared" ca="1" si="44"/>
        <v>0</v>
      </c>
      <c r="AI111" s="55">
        <f t="shared" ca="1" si="38"/>
        <v>0</v>
      </c>
      <c r="AJ111" s="55">
        <f t="shared" ca="1" si="39"/>
        <v>18.396838837985097</v>
      </c>
      <c r="AK111" s="55">
        <f t="shared" ca="1" si="40"/>
        <v>9.4452408379449864</v>
      </c>
    </row>
    <row r="112" spans="18:37">
      <c r="R112" s="83" t="e">
        <f ca="1"/>
        <v>#N/A</v>
      </c>
      <c r="S112" s="55" t="e">
        <f t="shared" ca="1" si="33"/>
        <v>#N/A</v>
      </c>
      <c r="T112" s="55" t="e">
        <f t="shared" ca="1" si="27"/>
        <v>#N/A</v>
      </c>
      <c r="U112" s="55" t="e">
        <f t="shared" ca="1" si="28"/>
        <v>#N/A</v>
      </c>
      <c r="V112" s="55" t="e">
        <f t="shared" ca="1" si="29"/>
        <v>#N/A</v>
      </c>
      <c r="W112" s="55" t="e">
        <f t="shared" ca="1" si="34"/>
        <v>#N/A</v>
      </c>
      <c r="X112" s="55" t="e">
        <f t="shared" ca="1" si="35"/>
        <v>#N/A</v>
      </c>
      <c r="Y112" s="55" t="e">
        <f t="shared" ca="1" si="36"/>
        <v>#N/A</v>
      </c>
      <c r="Z112" t="e">
        <f t="shared" ca="1" si="30"/>
        <v>#N/A</v>
      </c>
      <c r="AA112" t="e">
        <f t="shared" ca="1" si="37"/>
        <v>#N/A</v>
      </c>
      <c r="AB112" t="e">
        <f t="shared" ca="1" si="31"/>
        <v>#N/A</v>
      </c>
      <c r="AC112" t="e">
        <f t="shared" ca="1" si="32"/>
        <v>#N/A</v>
      </c>
      <c r="AD112" s="83">
        <f ca="1"/>
        <v>45396</v>
      </c>
      <c r="AE112" s="55">
        <f t="shared" ca="1" si="41"/>
        <v>45396</v>
      </c>
      <c r="AF112" s="55">
        <f t="shared" ca="1" si="42"/>
        <v>-3.3514457839790994</v>
      </c>
      <c r="AG112" s="55">
        <f t="shared" ca="1" si="43"/>
        <v>60.537566601251598</v>
      </c>
      <c r="AH112" s="55">
        <f t="shared" ca="1" si="44"/>
        <v>0</v>
      </c>
      <c r="AI112" s="55">
        <f t="shared" ca="1" si="38"/>
        <v>0</v>
      </c>
      <c r="AJ112" s="55">
        <f t="shared" ca="1" si="39"/>
        <v>18.548017669708159</v>
      </c>
      <c r="AK112" s="55">
        <f t="shared" ca="1" si="40"/>
        <v>9.4549669199164335</v>
      </c>
    </row>
    <row r="113" spans="18:37">
      <c r="R113" s="83" t="e">
        <f ca="1"/>
        <v>#N/A</v>
      </c>
      <c r="S113" s="55" t="e">
        <f t="shared" ca="1" si="33"/>
        <v>#N/A</v>
      </c>
      <c r="T113" s="55" t="e">
        <f t="shared" ca="1" si="27"/>
        <v>#N/A</v>
      </c>
      <c r="U113" s="55" t="e">
        <f t="shared" ca="1" si="28"/>
        <v>#N/A</v>
      </c>
      <c r="V113" s="55" t="e">
        <f t="shared" ca="1" si="29"/>
        <v>#N/A</v>
      </c>
      <c r="W113" s="55" t="e">
        <f t="shared" ca="1" si="34"/>
        <v>#N/A</v>
      </c>
      <c r="X113" s="55" t="e">
        <f t="shared" ca="1" si="35"/>
        <v>#N/A</v>
      </c>
      <c r="Y113" s="55" t="e">
        <f t="shared" ca="1" si="36"/>
        <v>#N/A</v>
      </c>
      <c r="Z113" t="e">
        <f t="shared" ca="1" si="30"/>
        <v>#N/A</v>
      </c>
      <c r="AA113" t="e">
        <f t="shared" ca="1" si="37"/>
        <v>#N/A</v>
      </c>
      <c r="AB113" t="e">
        <f t="shared" ca="1" si="31"/>
        <v>#N/A</v>
      </c>
      <c r="AC113" t="e">
        <f t="shared" ca="1" si="32"/>
        <v>#N/A</v>
      </c>
      <c r="AD113" s="83">
        <f ca="1"/>
        <v>45397</v>
      </c>
      <c r="AE113" s="55">
        <f t="shared" ca="1" si="41"/>
        <v>45397</v>
      </c>
      <c r="AF113" s="55">
        <f t="shared" ca="1" si="42"/>
        <v>-5.0726612401278564</v>
      </c>
      <c r="AG113" s="55">
        <f t="shared" ca="1" si="43"/>
        <v>62.431212454668</v>
      </c>
      <c r="AH113" s="55">
        <f t="shared" ca="1" si="44"/>
        <v>0</v>
      </c>
      <c r="AI113" s="55">
        <f t="shared" ca="1" si="38"/>
        <v>0</v>
      </c>
      <c r="AJ113" s="55">
        <f t="shared" ca="1" si="39"/>
        <v>18.710021460781611</v>
      </c>
      <c r="AK113" s="55">
        <f t="shared" ca="1" si="40"/>
        <v>9.4653935261106259</v>
      </c>
    </row>
    <row r="114" spans="18:37">
      <c r="R114" s="83" t="e">
        <f ca="1"/>
        <v>#N/A</v>
      </c>
      <c r="S114" s="55" t="e">
        <f t="shared" ca="1" si="33"/>
        <v>#N/A</v>
      </c>
      <c r="T114" s="55" t="e">
        <f t="shared" ca="1" si="27"/>
        <v>#N/A</v>
      </c>
      <c r="U114" s="55" t="e">
        <f t="shared" ca="1" si="28"/>
        <v>#N/A</v>
      </c>
      <c r="V114" s="55" t="e">
        <f t="shared" ca="1" si="29"/>
        <v>#N/A</v>
      </c>
      <c r="W114" s="55" t="e">
        <f t="shared" ca="1" si="34"/>
        <v>#N/A</v>
      </c>
      <c r="X114" s="55" t="e">
        <f t="shared" ca="1" si="35"/>
        <v>#N/A</v>
      </c>
      <c r="Y114" s="55" t="e">
        <f t="shared" ca="1" si="36"/>
        <v>#N/A</v>
      </c>
      <c r="Z114" t="e">
        <f t="shared" ca="1" si="30"/>
        <v>#N/A</v>
      </c>
      <c r="AA114" t="e">
        <f t="shared" ca="1" si="37"/>
        <v>#N/A</v>
      </c>
      <c r="AB114" t="e">
        <f t="shared" ca="1" si="31"/>
        <v>#N/A</v>
      </c>
      <c r="AC114" t="e">
        <f t="shared" ca="1" si="32"/>
        <v>#N/A</v>
      </c>
      <c r="AD114" s="83">
        <f ca="1"/>
        <v>45398</v>
      </c>
      <c r="AE114" s="55">
        <f t="shared" ca="1" si="41"/>
        <v>45398</v>
      </c>
      <c r="AF114" s="55">
        <f t="shared" ca="1" si="42"/>
        <v>-6.7948224264191301</v>
      </c>
      <c r="AG114" s="55">
        <f t="shared" ca="1" si="43"/>
        <v>64.324338054713422</v>
      </c>
      <c r="AH114" s="55">
        <f t="shared" ca="1" si="44"/>
        <v>0</v>
      </c>
      <c r="AI114" s="55">
        <f t="shared" ca="1" si="38"/>
        <v>0</v>
      </c>
      <c r="AJ114" s="55">
        <f t="shared" ca="1" si="39"/>
        <v>18.870669873967085</v>
      </c>
      <c r="AK114" s="55">
        <f t="shared" ca="1" si="40"/>
        <v>9.475709526679303</v>
      </c>
    </row>
    <row r="115" spans="18:37">
      <c r="R115" s="83" t="e">
        <f ca="1"/>
        <v>#N/A</v>
      </c>
      <c r="S115" s="55" t="e">
        <f t="shared" ca="1" si="33"/>
        <v>#N/A</v>
      </c>
      <c r="T115" s="55" t="e">
        <f t="shared" ca="1" si="27"/>
        <v>#N/A</v>
      </c>
      <c r="U115" s="55" t="e">
        <f t="shared" ca="1" si="28"/>
        <v>#N/A</v>
      </c>
      <c r="V115" s="55" t="e">
        <f t="shared" ca="1" si="29"/>
        <v>#N/A</v>
      </c>
      <c r="W115" s="55" t="e">
        <f t="shared" ca="1" si="34"/>
        <v>#N/A</v>
      </c>
      <c r="X115" s="55" t="e">
        <f t="shared" ca="1" si="35"/>
        <v>#N/A</v>
      </c>
      <c r="Y115" s="55" t="e">
        <f t="shared" ca="1" si="36"/>
        <v>#N/A</v>
      </c>
      <c r="Z115" t="e">
        <f t="shared" ca="1" si="30"/>
        <v>#N/A</v>
      </c>
      <c r="AA115" t="e">
        <f t="shared" ca="1" si="37"/>
        <v>#N/A</v>
      </c>
      <c r="AB115" t="e">
        <f t="shared" ca="1" si="31"/>
        <v>#N/A</v>
      </c>
      <c r="AC115" t="e">
        <f t="shared" ca="1" si="32"/>
        <v>#N/A</v>
      </c>
      <c r="AD115" s="83">
        <f ca="1"/>
        <v>45399</v>
      </c>
      <c r="AE115" s="55">
        <f t="shared" ca="1" si="41"/>
        <v>45399</v>
      </c>
      <c r="AF115" s="55">
        <f t="shared" ca="1" si="42"/>
        <v>-8.5440669753747365</v>
      </c>
      <c r="AG115" s="55">
        <f t="shared" ca="1" si="43"/>
        <v>66.246971670304291</v>
      </c>
      <c r="AH115" s="55">
        <f t="shared" ca="1" si="44"/>
        <v>0</v>
      </c>
      <c r="AI115" s="55">
        <f t="shared" ca="1" si="38"/>
        <v>0</v>
      </c>
      <c r="AJ115" s="55">
        <f t="shared" ca="1" si="39"/>
        <v>19.033647561309817</v>
      </c>
      <c r="AK115" s="55">
        <f t="shared" ca="1" si="40"/>
        <v>9.4861209059718306</v>
      </c>
    </row>
    <row r="116" spans="18:37">
      <c r="R116" s="83" t="e">
        <f ca="1"/>
        <v>#N/A</v>
      </c>
      <c r="S116" s="55" t="e">
        <f t="shared" ca="1" si="33"/>
        <v>#N/A</v>
      </c>
      <c r="T116" s="55" t="e">
        <f t="shared" ca="1" si="27"/>
        <v>#N/A</v>
      </c>
      <c r="U116" s="55" t="e">
        <f t="shared" ca="1" si="28"/>
        <v>#N/A</v>
      </c>
      <c r="V116" s="55" t="e">
        <f t="shared" ca="1" si="29"/>
        <v>#N/A</v>
      </c>
      <c r="W116" s="55" t="e">
        <f t="shared" ca="1" si="34"/>
        <v>#N/A</v>
      </c>
      <c r="X116" s="55" t="e">
        <f t="shared" ca="1" si="35"/>
        <v>#N/A</v>
      </c>
      <c r="Y116" s="55" t="e">
        <f t="shared" ca="1" si="36"/>
        <v>#N/A</v>
      </c>
      <c r="Z116" t="e">
        <f t="shared" ca="1" si="30"/>
        <v>#N/A</v>
      </c>
      <c r="AA116" t="e">
        <f t="shared" ca="1" si="37"/>
        <v>#N/A</v>
      </c>
      <c r="AB116" t="e">
        <f t="shared" ca="1" si="31"/>
        <v>#N/A</v>
      </c>
      <c r="AC116" t="e">
        <f t="shared" ca="1" si="32"/>
        <v>#N/A</v>
      </c>
      <c r="AD116" s="83">
        <f ca="1"/>
        <v>45400</v>
      </c>
      <c r="AE116" s="55">
        <f t="shared" ca="1" si="41"/>
        <v>45400</v>
      </c>
      <c r="AF116" s="55">
        <f t="shared" ca="1" si="42"/>
        <v>-10.293896514150049</v>
      </c>
      <c r="AG116" s="55">
        <f t="shared" ca="1" si="43"/>
        <v>68.167314275373428</v>
      </c>
      <c r="AH116" s="55">
        <f t="shared" ca="1" si="44"/>
        <v>0</v>
      </c>
      <c r="AI116" s="55">
        <f t="shared" ca="1" si="38"/>
        <v>0</v>
      </c>
      <c r="AJ116" s="55">
        <f t="shared" ca="1" si="39"/>
        <v>19.194002292146077</v>
      </c>
      <c r="AK116" s="55">
        <f t="shared" ca="1" si="40"/>
        <v>9.4962792414293951</v>
      </c>
    </row>
    <row r="117" spans="18:37">
      <c r="R117" s="83" t="e">
        <f ca="1"/>
        <v>#N/A</v>
      </c>
      <c r="S117" s="55" t="e">
        <f t="shared" ca="1" si="33"/>
        <v>#N/A</v>
      </c>
      <c r="T117" s="55" t="e">
        <f t="shared" ca="1" si="27"/>
        <v>#N/A</v>
      </c>
      <c r="U117" s="55" t="e">
        <f t="shared" ca="1" si="28"/>
        <v>#N/A</v>
      </c>
      <c r="V117" s="55" t="e">
        <f t="shared" ca="1" si="29"/>
        <v>#N/A</v>
      </c>
      <c r="W117" s="55" t="e">
        <f t="shared" ca="1" si="34"/>
        <v>#N/A</v>
      </c>
      <c r="X117" s="55" t="e">
        <f t="shared" ca="1" si="35"/>
        <v>#N/A</v>
      </c>
      <c r="Y117" s="55" t="e">
        <f t="shared" ca="1" si="36"/>
        <v>#N/A</v>
      </c>
      <c r="Z117" t="e">
        <f t="shared" ca="1" si="30"/>
        <v>#N/A</v>
      </c>
      <c r="AA117" t="e">
        <f t="shared" ca="1" si="37"/>
        <v>#N/A</v>
      </c>
      <c r="AB117" t="e">
        <f t="shared" ca="1" si="31"/>
        <v>#N/A</v>
      </c>
      <c r="AC117" t="e">
        <f t="shared" ca="1" si="32"/>
        <v>#N/A</v>
      </c>
      <c r="AD117" s="83">
        <f ca="1"/>
        <v>45401</v>
      </c>
      <c r="AE117" s="55">
        <f t="shared" ca="1" si="41"/>
        <v>45401</v>
      </c>
      <c r="AF117" s="55">
        <f t="shared" ca="1" si="42"/>
        <v>-12.096049929494161</v>
      </c>
      <c r="AG117" s="55">
        <f t="shared" ca="1" si="43"/>
        <v>70.14084934141701</v>
      </c>
      <c r="AH117" s="55">
        <f t="shared" ca="1" si="44"/>
        <v>0</v>
      </c>
      <c r="AI117" s="55">
        <f t="shared" ca="1" si="38"/>
        <v>0</v>
      </c>
      <c r="AJ117" s="55">
        <f t="shared" ca="1" si="39"/>
        <v>19.355381558496731</v>
      </c>
      <c r="AK117" s="55">
        <f t="shared" ca="1" si="40"/>
        <v>9.506281625778211</v>
      </c>
    </row>
    <row r="118" spans="18:37">
      <c r="R118" s="83" t="e">
        <f ca="1"/>
        <v>#N/A</v>
      </c>
      <c r="S118" s="55" t="e">
        <f t="shared" ca="1" si="33"/>
        <v>#N/A</v>
      </c>
      <c r="T118" s="55" t="e">
        <f t="shared" ca="1" si="27"/>
        <v>#N/A</v>
      </c>
      <c r="U118" s="55" t="e">
        <f t="shared" ca="1" si="28"/>
        <v>#N/A</v>
      </c>
      <c r="V118" s="55" t="e">
        <f t="shared" ca="1" si="29"/>
        <v>#N/A</v>
      </c>
      <c r="W118" s="55" t="e">
        <f t="shared" ca="1" si="34"/>
        <v>#N/A</v>
      </c>
      <c r="X118" s="55" t="e">
        <f t="shared" ca="1" si="35"/>
        <v>#N/A</v>
      </c>
      <c r="Y118" s="55" t="e">
        <f t="shared" ca="1" si="36"/>
        <v>#N/A</v>
      </c>
      <c r="Z118" t="e">
        <f t="shared" ca="1" si="30"/>
        <v>#N/A</v>
      </c>
      <c r="AA118" t="e">
        <f t="shared" ca="1" si="37"/>
        <v>#N/A</v>
      </c>
      <c r="AB118" t="e">
        <f t="shared" ca="1" si="31"/>
        <v>#N/A</v>
      </c>
      <c r="AC118" t="e">
        <f t="shared" ca="1" si="32"/>
        <v>#N/A</v>
      </c>
      <c r="AD118" s="83">
        <f ca="1"/>
        <v>45402</v>
      </c>
      <c r="AE118" s="55">
        <f t="shared" ca="1" si="41"/>
        <v>45402</v>
      </c>
      <c r="AF118" s="55">
        <f t="shared" ca="1" si="42"/>
        <v>-13.899255676736402</v>
      </c>
      <c r="AG118" s="55">
        <f t="shared" ca="1" si="43"/>
        <v>72.118913683071696</v>
      </c>
      <c r="AH118" s="55">
        <f t="shared" ca="1" si="44"/>
        <v>0</v>
      </c>
      <c r="AI118" s="55">
        <f t="shared" ca="1" si="38"/>
        <v>0</v>
      </c>
      <c r="AJ118" s="55">
        <f t="shared" ca="1" si="39"/>
        <v>19.520258934351663</v>
      </c>
      <c r="AK118" s="55">
        <f t="shared" ca="1" si="40"/>
        <v>9.5162628443357242</v>
      </c>
    </row>
    <row r="119" spans="18:37">
      <c r="R119" s="83" t="e">
        <f ca="1"/>
        <v>#N/A</v>
      </c>
      <c r="S119" s="55" t="e">
        <f t="shared" ca="1" si="33"/>
        <v>#N/A</v>
      </c>
      <c r="T119" s="55" t="e">
        <f t="shared" ca="1" si="27"/>
        <v>#N/A</v>
      </c>
      <c r="U119" s="55" t="e">
        <f t="shared" ca="1" si="28"/>
        <v>#N/A</v>
      </c>
      <c r="V119" s="55" t="e">
        <f t="shared" ca="1" si="29"/>
        <v>#N/A</v>
      </c>
      <c r="W119" s="55" t="e">
        <f t="shared" ca="1" si="34"/>
        <v>#N/A</v>
      </c>
      <c r="X119" s="55" t="e">
        <f t="shared" ca="1" si="35"/>
        <v>#N/A</v>
      </c>
      <c r="Y119" s="55" t="e">
        <f t="shared" ca="1" si="36"/>
        <v>#N/A</v>
      </c>
      <c r="Z119" t="e">
        <f t="shared" ca="1" si="30"/>
        <v>#N/A</v>
      </c>
      <c r="AA119" t="e">
        <f t="shared" ca="1" si="37"/>
        <v>#N/A</v>
      </c>
      <c r="AB119" t="e">
        <f t="shared" ca="1" si="31"/>
        <v>#N/A</v>
      </c>
      <c r="AC119" t="e">
        <f t="shared" ca="1" si="32"/>
        <v>#N/A</v>
      </c>
      <c r="AD119" s="83">
        <f ca="1"/>
        <v>45403</v>
      </c>
      <c r="AE119" s="55">
        <f t="shared" ca="1" si="41"/>
        <v>45403</v>
      </c>
      <c r="AF119" s="55">
        <f t="shared" ca="1" si="42"/>
        <v>-15.634584137786074</v>
      </c>
      <c r="AG119" s="55">
        <f t="shared" ca="1" si="43"/>
        <v>74.022911507518117</v>
      </c>
      <c r="AH119" s="55">
        <f t="shared" ca="1" si="44"/>
        <v>0</v>
      </c>
      <c r="AI119" s="55">
        <f t="shared" ca="1" si="38"/>
        <v>0</v>
      </c>
      <c r="AJ119" s="55">
        <f t="shared" ca="1" si="39"/>
        <v>19.679559037700919</v>
      </c>
      <c r="AK119" s="55">
        <f t="shared" ca="1" si="40"/>
        <v>9.5256321043832131</v>
      </c>
    </row>
    <row r="120" spans="18:37">
      <c r="R120" s="83" t="e">
        <f ca="1"/>
        <v>#N/A</v>
      </c>
      <c r="S120" s="55" t="e">
        <f t="shared" ca="1" si="33"/>
        <v>#N/A</v>
      </c>
      <c r="T120" s="55" t="e">
        <f t="shared" ca="1" si="27"/>
        <v>#N/A</v>
      </c>
      <c r="U120" s="55" t="e">
        <f t="shared" ca="1" si="28"/>
        <v>#N/A</v>
      </c>
      <c r="V120" s="55" t="e">
        <f t="shared" ca="1" si="29"/>
        <v>#N/A</v>
      </c>
      <c r="W120" s="55" t="e">
        <f t="shared" ca="1" si="34"/>
        <v>#N/A</v>
      </c>
      <c r="X120" s="55" t="e">
        <f t="shared" ca="1" si="35"/>
        <v>#N/A</v>
      </c>
      <c r="Y120" s="55" t="e">
        <f t="shared" ca="1" si="36"/>
        <v>#N/A</v>
      </c>
      <c r="Z120" t="e">
        <f t="shared" ca="1" si="30"/>
        <v>#N/A</v>
      </c>
      <c r="AA120" t="e">
        <f t="shared" ca="1" si="37"/>
        <v>#N/A</v>
      </c>
      <c r="AB120" t="e">
        <f t="shared" ca="1" si="31"/>
        <v>#N/A</v>
      </c>
      <c r="AC120" t="e">
        <f t="shared" ca="1" si="32"/>
        <v>#N/A</v>
      </c>
      <c r="AD120" s="83">
        <f ca="1"/>
        <v>45404</v>
      </c>
      <c r="AE120" s="55">
        <f t="shared" ca="1" si="41"/>
        <v>45404</v>
      </c>
      <c r="AF120" s="55">
        <f t="shared" ca="1" si="42"/>
        <v>-17.406372134845043</v>
      </c>
      <c r="AG120" s="55">
        <f t="shared" ca="1" si="43"/>
        <v>75.965503148062069</v>
      </c>
      <c r="AH120" s="55">
        <f t="shared" ca="1" si="44"/>
        <v>0</v>
      </c>
      <c r="AI120" s="55">
        <f t="shared" ca="1" si="38"/>
        <v>0</v>
      </c>
      <c r="AJ120" s="55">
        <f t="shared" ca="1" si="39"/>
        <v>19.84101301856618</v>
      </c>
      <c r="AK120" s="55">
        <f t="shared" ca="1" si="40"/>
        <v>9.534981767002936</v>
      </c>
    </row>
    <row r="121" spans="18:37">
      <c r="R121" s="83" t="e">
        <f ca="1"/>
        <v>#N/A</v>
      </c>
      <c r="S121" s="55" t="e">
        <f t="shared" ca="1" si="33"/>
        <v>#N/A</v>
      </c>
      <c r="T121" s="55" t="e">
        <f t="shared" ca="1" si="27"/>
        <v>#N/A</v>
      </c>
      <c r="U121" s="55" t="e">
        <f t="shared" ca="1" si="28"/>
        <v>#N/A</v>
      </c>
      <c r="V121" s="55" t="e">
        <f t="shared" ca="1" si="29"/>
        <v>#N/A</v>
      </c>
      <c r="W121" s="55" t="e">
        <f t="shared" ca="1" si="34"/>
        <v>#N/A</v>
      </c>
      <c r="X121" s="55" t="e">
        <f t="shared" ca="1" si="35"/>
        <v>#N/A</v>
      </c>
      <c r="Y121" s="55" t="e">
        <f t="shared" ca="1" si="36"/>
        <v>#N/A</v>
      </c>
      <c r="Z121" t="e">
        <f t="shared" ca="1" si="30"/>
        <v>#N/A</v>
      </c>
      <c r="AA121" t="e">
        <f t="shared" ca="1" si="37"/>
        <v>#N/A</v>
      </c>
      <c r="AB121" t="e">
        <f t="shared" ca="1" si="31"/>
        <v>#N/A</v>
      </c>
      <c r="AC121" t="e">
        <f t="shared" ca="1" si="32"/>
        <v>#N/A</v>
      </c>
      <c r="AD121" s="83">
        <f ca="1"/>
        <v>45405</v>
      </c>
      <c r="AE121" s="55">
        <f t="shared" ca="1" si="41"/>
        <v>45405</v>
      </c>
      <c r="AF121" s="55">
        <f t="shared" ca="1" si="42"/>
        <v>-19.166167343826316</v>
      </c>
      <c r="AG121" s="55">
        <f t="shared" ca="1" si="43"/>
        <v>77.900173940171513</v>
      </c>
      <c r="AH121" s="55">
        <f t="shared" ca="1" si="44"/>
        <v>0</v>
      </c>
      <c r="AI121" s="55">
        <f t="shared" ca="1" si="38"/>
        <v>0</v>
      </c>
      <c r="AJ121" s="55">
        <f t="shared" ca="1" si="39"/>
        <v>20.00677632254941</v>
      </c>
      <c r="AK121" s="55">
        <f t="shared" ca="1" si="40"/>
        <v>9.544094046147876</v>
      </c>
    </row>
    <row r="122" spans="18:37">
      <c r="R122" s="83" t="e">
        <f ca="1"/>
        <v>#N/A</v>
      </c>
      <c r="S122" s="55" t="e">
        <f t="shared" ca="1" si="33"/>
        <v>#N/A</v>
      </c>
      <c r="T122" s="55" t="e">
        <f t="shared" ca="1" si="27"/>
        <v>#N/A</v>
      </c>
      <c r="U122" s="55" t="e">
        <f t="shared" ca="1" si="28"/>
        <v>#N/A</v>
      </c>
      <c r="V122" s="55" t="e">
        <f t="shared" ca="1" si="29"/>
        <v>#N/A</v>
      </c>
      <c r="W122" s="55" t="e">
        <f t="shared" ca="1" si="34"/>
        <v>#N/A</v>
      </c>
      <c r="X122" s="55" t="e">
        <f t="shared" ca="1" si="35"/>
        <v>#N/A</v>
      </c>
      <c r="Y122" s="55" t="e">
        <f t="shared" ca="1" si="36"/>
        <v>#N/A</v>
      </c>
      <c r="Z122" t="e">
        <f t="shared" ca="1" si="30"/>
        <v>#N/A</v>
      </c>
      <c r="AA122" t="e">
        <f t="shared" ca="1" si="37"/>
        <v>#N/A</v>
      </c>
      <c r="AB122" t="e">
        <f t="shared" ca="1" si="31"/>
        <v>#N/A</v>
      </c>
      <c r="AC122" t="e">
        <f t="shared" ca="1" si="32"/>
        <v>#N/A</v>
      </c>
      <c r="AD122" s="83">
        <f ca="1"/>
        <v>45406</v>
      </c>
      <c r="AE122" s="55">
        <f t="shared" ca="1" si="41"/>
        <v>45406</v>
      </c>
      <c r="AF122" s="55">
        <f t="shared" ca="1" si="42"/>
        <v>-20.959440439827901</v>
      </c>
      <c r="AG122" s="55">
        <f t="shared" ca="1" si="43"/>
        <v>79.888293612159075</v>
      </c>
      <c r="AH122" s="55">
        <f t="shared" ca="1" si="44"/>
        <v>0</v>
      </c>
      <c r="AI122" s="55">
        <f t="shared" ca="1" si="38"/>
        <v>0</v>
      </c>
      <c r="AJ122" s="55">
        <f t="shared" ca="1" si="39"/>
        <v>20.192448912768434</v>
      </c>
      <c r="AK122" s="55">
        <f t="shared" ca="1" si="40"/>
        <v>9.5532680319148291</v>
      </c>
    </row>
    <row r="123" spans="18:37">
      <c r="R123" s="83" t="e">
        <f ca="1"/>
        <v>#N/A</v>
      </c>
      <c r="S123" s="55" t="e">
        <f t="shared" ca="1" si="33"/>
        <v>#N/A</v>
      </c>
      <c r="T123" s="55" t="e">
        <f t="shared" ca="1" si="27"/>
        <v>#N/A</v>
      </c>
      <c r="U123" s="55" t="e">
        <f t="shared" ca="1" si="28"/>
        <v>#N/A</v>
      </c>
      <c r="V123" s="55" t="e">
        <f t="shared" ca="1" si="29"/>
        <v>#N/A</v>
      </c>
      <c r="W123" s="55" t="e">
        <f t="shared" ca="1" si="34"/>
        <v>#N/A</v>
      </c>
      <c r="X123" s="55" t="e">
        <f t="shared" ca="1" si="35"/>
        <v>#N/A</v>
      </c>
      <c r="Y123" s="55" t="e">
        <f t="shared" ca="1" si="36"/>
        <v>#N/A</v>
      </c>
      <c r="Z123" t="e">
        <f t="shared" ca="1" si="30"/>
        <v>#N/A</v>
      </c>
      <c r="AA123" t="e">
        <f t="shared" ca="1" si="37"/>
        <v>#N/A</v>
      </c>
      <c r="AB123" t="e">
        <f t="shared" ca="1" si="31"/>
        <v>#N/A</v>
      </c>
      <c r="AC123" t="e">
        <f t="shared" ca="1" si="32"/>
        <v>#N/A</v>
      </c>
      <c r="AD123" s="83">
        <f ca="1"/>
        <v>45407</v>
      </c>
      <c r="AE123" s="55">
        <f t="shared" ca="1" si="41"/>
        <v>45407</v>
      </c>
      <c r="AF123" s="55">
        <f t="shared" ca="1" si="42"/>
        <v>-22.790891815677192</v>
      </c>
      <c r="AG123" s="55">
        <f t="shared" ca="1" si="43"/>
        <v>81.922306464334952</v>
      </c>
      <c r="AH123" s="55">
        <f t="shared" ca="1" si="44"/>
        <v>0</v>
      </c>
      <c r="AI123" s="55">
        <f t="shared" ca="1" si="38"/>
        <v>0</v>
      </c>
      <c r="AJ123" s="55">
        <f t="shared" ca="1" si="39"/>
        <v>20.385808977758874</v>
      </c>
      <c r="AK123" s="55">
        <f t="shared" ca="1" si="40"/>
        <v>9.5624694432509756</v>
      </c>
    </row>
    <row r="124" spans="18:37">
      <c r="R124" s="83" t="e">
        <f ca="1"/>
        <v>#N/A</v>
      </c>
      <c r="S124" s="55" t="e">
        <f t="shared" ca="1" si="33"/>
        <v>#N/A</v>
      </c>
      <c r="T124" s="55" t="e">
        <f t="shared" ca="1" si="27"/>
        <v>#N/A</v>
      </c>
      <c r="U124" s="55" t="e">
        <f t="shared" ca="1" si="28"/>
        <v>#N/A</v>
      </c>
      <c r="V124" s="55" t="e">
        <f t="shared" ca="1" si="29"/>
        <v>#N/A</v>
      </c>
      <c r="W124" s="55" t="e">
        <f t="shared" ca="1" si="34"/>
        <v>#N/A</v>
      </c>
      <c r="X124" s="55" t="e">
        <f t="shared" ca="1" si="35"/>
        <v>#N/A</v>
      </c>
      <c r="Y124" s="55" t="e">
        <f t="shared" ca="1" si="36"/>
        <v>#N/A</v>
      </c>
      <c r="Z124" t="e">
        <f t="shared" ca="1" si="30"/>
        <v>#N/A</v>
      </c>
      <c r="AA124" t="e">
        <f t="shared" ca="1" si="37"/>
        <v>#N/A</v>
      </c>
      <c r="AB124" t="e">
        <f t="shared" ca="1" si="31"/>
        <v>#N/A</v>
      </c>
      <c r="AC124" t="e">
        <f t="shared" ca="1" si="32"/>
        <v>#N/A</v>
      </c>
      <c r="AD124" s="83">
        <f ca="1"/>
        <v>45408</v>
      </c>
      <c r="AE124" s="55">
        <f t="shared" ca="1" si="41"/>
        <v>45408</v>
      </c>
      <c r="AF124" s="55">
        <f t="shared" ca="1" si="42"/>
        <v>-24.680866494638796</v>
      </c>
      <c r="AG124" s="55">
        <f t="shared" ca="1" si="43"/>
        <v>84.02437953234849</v>
      </c>
      <c r="AH124" s="55">
        <f t="shared" ca="1" si="44"/>
        <v>0</v>
      </c>
      <c r="AI124" s="55">
        <f t="shared" ca="1" si="38"/>
        <v>0</v>
      </c>
      <c r="AJ124" s="55">
        <f t="shared" ca="1" si="39"/>
        <v>20.588572424080198</v>
      </c>
      <c r="AK124" s="55">
        <f t="shared" ca="1" si="40"/>
        <v>9.5718043859815864</v>
      </c>
    </row>
    <row r="125" spans="18:37">
      <c r="R125" s="83" t="e">
        <f ca="1"/>
        <v>#N/A</v>
      </c>
      <c r="S125" s="55" t="e">
        <f t="shared" ca="1" si="33"/>
        <v>#N/A</v>
      </c>
      <c r="T125" s="55" t="e">
        <f t="shared" ca="1" si="27"/>
        <v>#N/A</v>
      </c>
      <c r="U125" s="55" t="e">
        <f t="shared" ca="1" si="28"/>
        <v>#N/A</v>
      </c>
      <c r="V125" s="55" t="e">
        <f t="shared" ca="1" si="29"/>
        <v>#N/A</v>
      </c>
      <c r="W125" s="55" t="e">
        <f t="shared" ca="1" si="34"/>
        <v>#N/A</v>
      </c>
      <c r="X125" s="55" t="e">
        <f t="shared" ca="1" si="35"/>
        <v>#N/A</v>
      </c>
      <c r="Y125" s="55" t="e">
        <f t="shared" ca="1" si="36"/>
        <v>#N/A</v>
      </c>
      <c r="Z125" t="e">
        <f t="shared" ca="1" si="30"/>
        <v>#N/A</v>
      </c>
      <c r="AA125" t="e">
        <f t="shared" ca="1" si="37"/>
        <v>#N/A</v>
      </c>
      <c r="AB125" t="e">
        <f t="shared" ca="1" si="31"/>
        <v>#N/A</v>
      </c>
      <c r="AC125" t="e">
        <f t="shared" ca="1" si="32"/>
        <v>#N/A</v>
      </c>
      <c r="AD125" s="83">
        <f ca="1"/>
        <v>45409</v>
      </c>
      <c r="AE125" s="55">
        <f t="shared" ca="1" si="41"/>
        <v>45409</v>
      </c>
      <c r="AF125" s="55">
        <f t="shared" ca="1" si="42"/>
        <v>-26.604692096350377</v>
      </c>
      <c r="AG125" s="55">
        <f t="shared" ca="1" si="43"/>
        <v>86.171547813079528</v>
      </c>
      <c r="AH125" s="55">
        <f t="shared" ca="1" si="44"/>
        <v>0</v>
      </c>
      <c r="AI125" s="55">
        <f t="shared" ca="1" si="38"/>
        <v>0</v>
      </c>
      <c r="AJ125" s="55">
        <f t="shared" ca="1" si="39"/>
        <v>20.802552638382561</v>
      </c>
      <c r="AK125" s="55">
        <f t="shared" ca="1" si="40"/>
        <v>9.5811668506986791</v>
      </c>
    </row>
    <row r="126" spans="18:37">
      <c r="R126" s="83" t="e">
        <f ca="1"/>
        <v>#N/A</v>
      </c>
      <c r="S126" s="55" t="e">
        <f t="shared" ca="1" si="33"/>
        <v>#N/A</v>
      </c>
      <c r="T126" s="55" t="e">
        <f t="shared" ca="1" si="27"/>
        <v>#N/A</v>
      </c>
      <c r="U126" s="55" t="e">
        <f t="shared" ca="1" si="28"/>
        <v>#N/A</v>
      </c>
      <c r="V126" s="55" t="e">
        <f t="shared" ca="1" si="29"/>
        <v>#N/A</v>
      </c>
      <c r="W126" s="55" t="e">
        <f t="shared" ca="1" si="34"/>
        <v>#N/A</v>
      </c>
      <c r="X126" s="55" t="e">
        <f t="shared" ca="1" si="35"/>
        <v>#N/A</v>
      </c>
      <c r="Y126" s="55" t="e">
        <f t="shared" ca="1" si="36"/>
        <v>#N/A</v>
      </c>
      <c r="Z126" t="e">
        <f t="shared" ca="1" si="30"/>
        <v>#N/A</v>
      </c>
      <c r="AA126" t="e">
        <f t="shared" ca="1" si="37"/>
        <v>#N/A</v>
      </c>
      <c r="AB126" t="e">
        <f t="shared" ca="1" si="31"/>
        <v>#N/A</v>
      </c>
      <c r="AC126" t="e">
        <f t="shared" ca="1" si="32"/>
        <v>#N/A</v>
      </c>
      <c r="AD126" s="83">
        <f ca="1"/>
        <v>45410</v>
      </c>
      <c r="AE126" s="55">
        <f t="shared" ca="1" si="41"/>
        <v>45410</v>
      </c>
      <c r="AF126" s="55">
        <f t="shared" ca="1" si="42"/>
        <v>-28.42441452655747</v>
      </c>
      <c r="AG126" s="55">
        <f t="shared" ca="1" si="43"/>
        <v>88.203281586488629</v>
      </c>
      <c r="AH126" s="55">
        <f t="shared" ca="1" si="44"/>
        <v>0</v>
      </c>
      <c r="AI126" s="55">
        <f t="shared" ca="1" si="38"/>
        <v>0</v>
      </c>
      <c r="AJ126" s="55">
        <f t="shared" ca="1" si="39"/>
        <v>21.005891318487755</v>
      </c>
      <c r="AK126" s="55">
        <f t="shared" ca="1" si="40"/>
        <v>9.5898395137954928</v>
      </c>
    </row>
    <row r="127" spans="18:37">
      <c r="R127" s="83" t="e">
        <f ca="1"/>
        <v>#N/A</v>
      </c>
      <c r="S127" s="55" t="e">
        <f t="shared" ca="1" si="33"/>
        <v>#N/A</v>
      </c>
      <c r="T127" s="55" t="e">
        <f t="shared" ca="1" si="27"/>
        <v>#N/A</v>
      </c>
      <c r="U127" s="55" t="e">
        <f t="shared" ca="1" si="28"/>
        <v>#N/A</v>
      </c>
      <c r="V127" s="55" t="e">
        <f t="shared" ca="1" si="29"/>
        <v>#N/A</v>
      </c>
      <c r="W127" s="55" t="e">
        <f t="shared" ca="1" si="34"/>
        <v>#N/A</v>
      </c>
      <c r="X127" s="55" t="e">
        <f t="shared" ca="1" si="35"/>
        <v>#N/A</v>
      </c>
      <c r="Y127" s="55" t="e">
        <f t="shared" ca="1" si="36"/>
        <v>#N/A</v>
      </c>
      <c r="Z127" t="e">
        <f t="shared" ca="1" si="30"/>
        <v>#N/A</v>
      </c>
      <c r="AA127" t="e">
        <f t="shared" ca="1" si="37"/>
        <v>#N/A</v>
      </c>
      <c r="AB127" t="e">
        <f t="shared" ca="1" si="31"/>
        <v>#N/A</v>
      </c>
      <c r="AC127" t="e">
        <f t="shared" ca="1" si="32"/>
        <v>#N/A</v>
      </c>
      <c r="AD127" s="83">
        <f ca="1"/>
        <v>45411</v>
      </c>
      <c r="AE127" s="55">
        <f t="shared" ca="1" si="41"/>
        <v>45411</v>
      </c>
      <c r="AF127" s="55">
        <f t="shared" ca="1" si="42"/>
        <v>-30.192219634662525</v>
      </c>
      <c r="AG127" s="55">
        <f t="shared" ca="1" si="43"/>
        <v>90.186949926576219</v>
      </c>
      <c r="AH127" s="55">
        <f t="shared" ca="1" si="44"/>
        <v>0</v>
      </c>
      <c r="AI127" s="55">
        <f t="shared" ca="1" si="38"/>
        <v>0</v>
      </c>
      <c r="AJ127" s="55">
        <f t="shared" ca="1" si="39"/>
        <v>21.213427314583011</v>
      </c>
      <c r="AK127" s="55">
        <f t="shared" ca="1" si="40"/>
        <v>9.5981667496827718</v>
      </c>
    </row>
    <row r="128" spans="18:37">
      <c r="R128" s="83" t="e">
        <f ca="1"/>
        <v>#N/A</v>
      </c>
      <c r="S128" s="55" t="e">
        <f t="shared" ca="1" si="33"/>
        <v>#N/A</v>
      </c>
      <c r="T128" s="55" t="e">
        <f t="shared" ca="1" si="27"/>
        <v>#N/A</v>
      </c>
      <c r="U128" s="55" t="e">
        <f t="shared" ca="1" si="28"/>
        <v>#N/A</v>
      </c>
      <c r="V128" s="55" t="e">
        <f t="shared" ca="1" si="29"/>
        <v>#N/A</v>
      </c>
      <c r="W128" s="55" t="e">
        <f t="shared" ca="1" si="34"/>
        <v>#N/A</v>
      </c>
      <c r="X128" s="55" t="e">
        <f t="shared" ca="1" si="35"/>
        <v>#N/A</v>
      </c>
      <c r="Y128" s="55" t="e">
        <f t="shared" ca="1" si="36"/>
        <v>#N/A</v>
      </c>
      <c r="Z128" t="e">
        <f t="shared" ca="1" si="30"/>
        <v>#N/A</v>
      </c>
      <c r="AA128" t="e">
        <f t="shared" ca="1" si="37"/>
        <v>#N/A</v>
      </c>
      <c r="AB128" t="e">
        <f t="shared" ca="1" si="31"/>
        <v>#N/A</v>
      </c>
      <c r="AC128" t="e">
        <f t="shared" ca="1" si="32"/>
        <v>#N/A</v>
      </c>
      <c r="AD128" s="83">
        <f ca="1"/>
        <v>45412</v>
      </c>
      <c r="AE128" s="55">
        <f t="shared" ca="1" si="41"/>
        <v>45412</v>
      </c>
      <c r="AF128" s="55">
        <f t="shared" ca="1" si="42"/>
        <v>-31.968684459589841</v>
      </c>
      <c r="AG128" s="55">
        <f t="shared" ca="1" si="43"/>
        <v>92.185670123784362</v>
      </c>
      <c r="AH128" s="55">
        <f t="shared" ca="1" si="44"/>
        <v>0</v>
      </c>
      <c r="AI128" s="55">
        <f t="shared" ca="1" si="38"/>
        <v>0</v>
      </c>
      <c r="AJ128" s="55">
        <f t="shared" ca="1" si="39"/>
        <v>21.427421628719745</v>
      </c>
      <c r="AK128" s="55">
        <f t="shared" ca="1" si="40"/>
        <v>9.606427807826865</v>
      </c>
    </row>
    <row r="129" spans="18:37">
      <c r="R129" s="83" t="e">
        <f ca="1"/>
        <v>#N/A</v>
      </c>
      <c r="S129" s="55" t="e">
        <f t="shared" ca="1" si="33"/>
        <v>#N/A</v>
      </c>
      <c r="T129" s="55" t="e">
        <f t="shared" ca="1" si="27"/>
        <v>#N/A</v>
      </c>
      <c r="U129" s="55" t="e">
        <f t="shared" ca="1" si="28"/>
        <v>#N/A</v>
      </c>
      <c r="V129" s="55" t="e">
        <f t="shared" ca="1" si="29"/>
        <v>#N/A</v>
      </c>
      <c r="W129" s="55" t="e">
        <f t="shared" ca="1" si="34"/>
        <v>#N/A</v>
      </c>
      <c r="X129" s="55" t="e">
        <f t="shared" ca="1" si="35"/>
        <v>#N/A</v>
      </c>
      <c r="Y129" s="55" t="e">
        <f t="shared" ca="1" si="36"/>
        <v>#N/A</v>
      </c>
      <c r="Z129" t="e">
        <f t="shared" ca="1" si="30"/>
        <v>#N/A</v>
      </c>
      <c r="AA129" t="e">
        <f t="shared" ca="1" si="37"/>
        <v>#N/A</v>
      </c>
      <c r="AB129" t="e">
        <f t="shared" ca="1" si="31"/>
        <v>#N/A</v>
      </c>
      <c r="AC129" t="e">
        <f t="shared" ca="1" si="32"/>
        <v>#N/A</v>
      </c>
      <c r="AD129" s="83">
        <f ca="1"/>
        <v>45413</v>
      </c>
      <c r="AE129" s="55">
        <f t="shared" ca="1" si="41"/>
        <v>45413</v>
      </c>
      <c r="AF129" s="55">
        <f t="shared" ca="1" si="42"/>
        <v>-33.716601963788975</v>
      </c>
      <c r="AG129" s="55">
        <f t="shared" ca="1" si="43"/>
        <v>94.174142477177782</v>
      </c>
      <c r="AH129" s="55">
        <f t="shared" ca="1" si="44"/>
        <v>0</v>
      </c>
      <c r="AI129" s="55">
        <f t="shared" ca="1" si="38"/>
        <v>0</v>
      </c>
      <c r="AJ129" s="55">
        <f t="shared" ca="1" si="39"/>
        <v>21.659877446437157</v>
      </c>
      <c r="AK129" s="55">
        <f t="shared" ca="1" si="40"/>
        <v>9.6145268393037355</v>
      </c>
    </row>
    <row r="130" spans="18:37">
      <c r="R130" s="83" t="e">
        <f ca="1"/>
        <v>#N/A</v>
      </c>
      <c r="S130" s="55" t="e">
        <f t="shared" ca="1" si="33"/>
        <v>#N/A</v>
      </c>
      <c r="T130" s="55" t="e">
        <f t="shared" ca="1" si="27"/>
        <v>#N/A</v>
      </c>
      <c r="U130" s="55" t="e">
        <f t="shared" ca="1" si="28"/>
        <v>#N/A</v>
      </c>
      <c r="V130" s="55" t="e">
        <f t="shared" ca="1" si="29"/>
        <v>#N/A</v>
      </c>
      <c r="W130" s="55" t="e">
        <f t="shared" ca="1" si="34"/>
        <v>#N/A</v>
      </c>
      <c r="X130" s="55" t="e">
        <f t="shared" ca="1" si="35"/>
        <v>#N/A</v>
      </c>
      <c r="Y130" s="55" t="e">
        <f t="shared" ca="1" si="36"/>
        <v>#N/A</v>
      </c>
      <c r="Z130" t="e">
        <f t="shared" ca="1" si="30"/>
        <v>#N/A</v>
      </c>
      <c r="AA130" t="e">
        <f t="shared" ca="1" si="37"/>
        <v>#N/A</v>
      </c>
      <c r="AB130" t="e">
        <f t="shared" ca="1" si="31"/>
        <v>#N/A</v>
      </c>
      <c r="AC130" t="e">
        <f t="shared" ca="1" si="32"/>
        <v>#N/A</v>
      </c>
      <c r="AD130" s="83">
        <f ca="1"/>
        <v>45414</v>
      </c>
      <c r="AE130" s="55">
        <f t="shared" ca="1" si="41"/>
        <v>45414</v>
      </c>
      <c r="AF130" s="55">
        <f t="shared" ca="1" si="42"/>
        <v>-35.45019392288269</v>
      </c>
      <c r="AG130" s="55">
        <f t="shared" ca="1" si="43"/>
        <v>96.149228232928934</v>
      </c>
      <c r="AH130" s="55">
        <f t="shared" ca="1" si="44"/>
        <v>0</v>
      </c>
      <c r="AI130" s="55">
        <f t="shared" ca="1" si="38"/>
        <v>0</v>
      </c>
      <c r="AJ130" s="55">
        <f t="shared" ca="1" si="39"/>
        <v>21.893436273496224</v>
      </c>
      <c r="AK130" s="55">
        <f t="shared" ca="1" si="40"/>
        <v>9.6224618089021003</v>
      </c>
    </row>
    <row r="131" spans="18:37">
      <c r="R131" s="83" t="e">
        <f ca="1"/>
        <v>#N/A</v>
      </c>
      <c r="S131" s="55" t="e">
        <f t="shared" ca="1" si="33"/>
        <v>#N/A</v>
      </c>
      <c r="T131" s="55" t="e">
        <f t="shared" ca="1" si="27"/>
        <v>#N/A</v>
      </c>
      <c r="U131" s="55" t="e">
        <f t="shared" ca="1" si="28"/>
        <v>#N/A</v>
      </c>
      <c r="V131" s="55" t="e">
        <f t="shared" ca="1" si="29"/>
        <v>#N/A</v>
      </c>
      <c r="W131" s="55" t="e">
        <f t="shared" ca="1" si="34"/>
        <v>#N/A</v>
      </c>
      <c r="X131" s="55" t="e">
        <f t="shared" ca="1" si="35"/>
        <v>#N/A</v>
      </c>
      <c r="Y131" s="55" t="e">
        <f t="shared" ca="1" si="36"/>
        <v>#N/A</v>
      </c>
      <c r="Z131" t="e">
        <f t="shared" ca="1" si="30"/>
        <v>#N/A</v>
      </c>
      <c r="AA131" t="e">
        <f t="shared" ca="1" si="37"/>
        <v>#N/A</v>
      </c>
      <c r="AB131" t="e">
        <f t="shared" ca="1" si="31"/>
        <v>#N/A</v>
      </c>
      <c r="AC131" t="e">
        <f t="shared" ca="1" si="32"/>
        <v>#N/A</v>
      </c>
      <c r="AD131" s="83">
        <f ca="1"/>
        <v>45415</v>
      </c>
      <c r="AE131" s="55">
        <f t="shared" ca="1" si="41"/>
        <v>45415</v>
      </c>
      <c r="AF131" s="55">
        <f t="shared" ca="1" si="42"/>
        <v>-37.149092799657353</v>
      </c>
      <c r="AG131" s="55">
        <f t="shared" ca="1" si="43"/>
        <v>98.085586271653597</v>
      </c>
      <c r="AH131" s="55">
        <f t="shared" ca="1" si="44"/>
        <v>0</v>
      </c>
      <c r="AI131" s="55">
        <f t="shared" ca="1" si="38"/>
        <v>0</v>
      </c>
      <c r="AJ131" s="55">
        <f t="shared" ca="1" si="39"/>
        <v>22.123211371975675</v>
      </c>
      <c r="AK131" s="55">
        <f t="shared" ca="1" si="40"/>
        <v>9.6301458723726476</v>
      </c>
    </row>
    <row r="132" spans="18:37">
      <c r="R132" s="83" t="e">
        <f ca="1"/>
        <v>#N/A</v>
      </c>
      <c r="S132" s="55" t="e">
        <f t="shared" ca="1" si="33"/>
        <v>#N/A</v>
      </c>
      <c r="T132" s="55" t="e">
        <f t="shared" ca="1" si="27"/>
        <v>#N/A</v>
      </c>
      <c r="U132" s="55" t="e">
        <f t="shared" ca="1" si="28"/>
        <v>#N/A</v>
      </c>
      <c r="V132" s="55" t="e">
        <f t="shared" ca="1" si="29"/>
        <v>#N/A</v>
      </c>
      <c r="W132" s="55" t="e">
        <f t="shared" ca="1" si="34"/>
        <v>#N/A</v>
      </c>
      <c r="X132" s="55" t="e">
        <f t="shared" ca="1" si="35"/>
        <v>#N/A</v>
      </c>
      <c r="Y132" s="55" t="e">
        <f t="shared" ca="1" si="36"/>
        <v>#N/A</v>
      </c>
      <c r="Z132" t="e">
        <f t="shared" ca="1" si="30"/>
        <v>#N/A</v>
      </c>
      <c r="AA132" t="e">
        <f t="shared" ca="1" si="37"/>
        <v>#N/A</v>
      </c>
      <c r="AB132" t="e">
        <f t="shared" ca="1" si="31"/>
        <v>#N/A</v>
      </c>
      <c r="AC132" t="e">
        <f t="shared" ca="1" si="32"/>
        <v>#N/A</v>
      </c>
      <c r="AD132" s="83">
        <f ca="1"/>
        <v>45416</v>
      </c>
      <c r="AE132" s="55">
        <f t="shared" ca="1" si="41"/>
        <v>45416</v>
      </c>
      <c r="AF132" s="55">
        <f t="shared" ca="1" si="42"/>
        <v>-38.851655403674364</v>
      </c>
      <c r="AG132" s="55">
        <f t="shared" ca="1" si="43"/>
        <v>100.03312792478918</v>
      </c>
      <c r="AH132" s="55">
        <f t="shared" ca="1" si="44"/>
        <v>0</v>
      </c>
      <c r="AI132" s="55">
        <f t="shared" ca="1" si="38"/>
        <v>0</v>
      </c>
      <c r="AJ132" s="55">
        <f t="shared" ca="1" si="39"/>
        <v>22.360555779349859</v>
      </c>
      <c r="AK132" s="55">
        <f t="shared" ca="1" si="40"/>
        <v>9.6377805141170469</v>
      </c>
    </row>
    <row r="133" spans="18:37">
      <c r="R133" s="83" t="e">
        <f ca="1"/>
        <v>#N/A</v>
      </c>
      <c r="S133" s="55" t="e">
        <f t="shared" ca="1" si="33"/>
        <v>#N/A</v>
      </c>
      <c r="T133" s="55" t="e">
        <f t="shared" ca="1" si="27"/>
        <v>#N/A</v>
      </c>
      <c r="U133" s="55" t="e">
        <f t="shared" ca="1" si="28"/>
        <v>#N/A</v>
      </c>
      <c r="V133" s="55" t="e">
        <f t="shared" ca="1" si="29"/>
        <v>#N/A</v>
      </c>
      <c r="W133" s="55" t="e">
        <f t="shared" ca="1" si="34"/>
        <v>#N/A</v>
      </c>
      <c r="X133" s="55" t="e">
        <f t="shared" ca="1" si="35"/>
        <v>#N/A</v>
      </c>
      <c r="Y133" s="55" t="e">
        <f t="shared" ca="1" si="36"/>
        <v>#N/A</v>
      </c>
      <c r="Z133" t="e">
        <f t="shared" ca="1" si="30"/>
        <v>#N/A</v>
      </c>
      <c r="AA133" t="e">
        <f t="shared" ca="1" si="37"/>
        <v>#N/A</v>
      </c>
      <c r="AB133" t="e">
        <f t="shared" ca="1" si="31"/>
        <v>#N/A</v>
      </c>
      <c r="AC133" t="e">
        <f t="shared" ca="1" si="32"/>
        <v>#N/A</v>
      </c>
      <c r="AD133" s="83">
        <f ca="1"/>
        <v>45417</v>
      </c>
      <c r="AE133" s="55">
        <f t="shared" ca="1" si="41"/>
        <v>45417</v>
      </c>
      <c r="AF133" s="55">
        <f t="shared" ca="1" si="42"/>
        <v>-40.562392208606099</v>
      </c>
      <c r="AG133" s="55">
        <f t="shared" ca="1" si="43"/>
        <v>101.99993784553841</v>
      </c>
      <c r="AH133" s="55">
        <f t="shared" ca="1" si="44"/>
        <v>0</v>
      </c>
      <c r="AI133" s="55">
        <f t="shared" ca="1" si="38"/>
        <v>0</v>
      </c>
      <c r="AJ133" s="55">
        <f t="shared" ca="1" si="39"/>
        <v>22.60900769722917</v>
      </c>
      <c r="AK133" s="55">
        <f t="shared" ca="1" si="40"/>
        <v>9.6454017120552358</v>
      </c>
    </row>
    <row r="134" spans="18:37">
      <c r="R134" s="83" t="e">
        <f ca="1"/>
        <v>#N/A</v>
      </c>
      <c r="S134" s="55" t="e">
        <f t="shared" ca="1" si="33"/>
        <v>#N/A</v>
      </c>
      <c r="T134" s="55" t="e">
        <f t="shared" ca="1" si="27"/>
        <v>#N/A</v>
      </c>
      <c r="U134" s="55" t="e">
        <f t="shared" ca="1" si="28"/>
        <v>#N/A</v>
      </c>
      <c r="V134" s="55" t="e">
        <f t="shared" ca="1" si="29"/>
        <v>#N/A</v>
      </c>
      <c r="W134" s="55" t="e">
        <f t="shared" ca="1" si="34"/>
        <v>#N/A</v>
      </c>
      <c r="X134" s="55" t="e">
        <f t="shared" ca="1" si="35"/>
        <v>#N/A</v>
      </c>
      <c r="Y134" s="55" t="e">
        <f t="shared" ca="1" si="36"/>
        <v>#N/A</v>
      </c>
      <c r="Z134" t="e">
        <f t="shared" ca="1" si="30"/>
        <v>#N/A</v>
      </c>
      <c r="AA134" t="e">
        <f t="shared" ca="1" si="37"/>
        <v>#N/A</v>
      </c>
      <c r="AB134" t="e">
        <f t="shared" ca="1" si="31"/>
        <v>#N/A</v>
      </c>
      <c r="AC134" t="e">
        <f t="shared" ca="1" si="32"/>
        <v>#N/A</v>
      </c>
      <c r="AD134" s="83">
        <f ca="1"/>
        <v>45418</v>
      </c>
      <c r="AE134" s="55">
        <f t="shared" ca="1" si="41"/>
        <v>45418</v>
      </c>
      <c r="AF134" s="55">
        <f t="shared" ca="1" si="42"/>
        <v>-42.231382254707093</v>
      </c>
      <c r="AG134" s="55">
        <f t="shared" ca="1" si="43"/>
        <v>103.91783561826726</v>
      </c>
      <c r="AH134" s="55">
        <f t="shared" ca="1" si="44"/>
        <v>0</v>
      </c>
      <c r="AI134" s="55">
        <f t="shared" ca="1" si="38"/>
        <v>0</v>
      </c>
      <c r="AJ134" s="55">
        <f t="shared" ca="1" si="39"/>
        <v>22.850556452578161</v>
      </c>
      <c r="AK134" s="55">
        <f t="shared" ca="1" si="40"/>
        <v>9.6527606833341064</v>
      </c>
    </row>
    <row r="135" spans="18:37">
      <c r="R135" s="83" t="e">
        <f ca="1"/>
        <v>#N/A</v>
      </c>
      <c r="S135" s="55" t="e">
        <f t="shared" ca="1" si="33"/>
        <v>#N/A</v>
      </c>
      <c r="T135" s="55" t="e">
        <f t="shared" ca="1" si="27"/>
        <v>#N/A</v>
      </c>
      <c r="U135" s="55" t="e">
        <f t="shared" ca="1" si="28"/>
        <v>#N/A</v>
      </c>
      <c r="V135" s="55" t="e">
        <f t="shared" ca="1" si="29"/>
        <v>#N/A</v>
      </c>
      <c r="W135" s="55" t="e">
        <f t="shared" ca="1" si="34"/>
        <v>#N/A</v>
      </c>
      <c r="X135" s="55" t="e">
        <f t="shared" ca="1" si="35"/>
        <v>#N/A</v>
      </c>
      <c r="Y135" s="55" t="e">
        <f t="shared" ca="1" si="36"/>
        <v>#N/A</v>
      </c>
      <c r="Z135" t="e">
        <f t="shared" ca="1" si="30"/>
        <v>#N/A</v>
      </c>
      <c r="AA135" t="e">
        <f t="shared" ca="1" si="37"/>
        <v>#N/A</v>
      </c>
      <c r="AB135" t="e">
        <f t="shared" ca="1" si="31"/>
        <v>#N/A</v>
      </c>
      <c r="AC135" t="e">
        <f t="shared" ca="1" si="32"/>
        <v>#N/A</v>
      </c>
      <c r="AD135" s="83">
        <f ca="1"/>
        <v>45419</v>
      </c>
      <c r="AE135" s="55">
        <f t="shared" ca="1" si="41"/>
        <v>45419</v>
      </c>
      <c r="AF135" s="55">
        <f t="shared" ca="1" si="42"/>
        <v>-43.857001870778795</v>
      </c>
      <c r="AG135" s="55">
        <f t="shared" ca="1" si="43"/>
        <v>105.79394401843092</v>
      </c>
      <c r="AH135" s="55">
        <f t="shared" ca="1" si="44"/>
        <v>0</v>
      </c>
      <c r="AI135" s="55">
        <f t="shared" ca="1" si="38"/>
        <v>0</v>
      </c>
      <c r="AJ135" s="55">
        <f t="shared" ca="1" si="39"/>
        <v>23.093908369014589</v>
      </c>
      <c r="AK135" s="55">
        <f t="shared" ca="1" si="40"/>
        <v>9.6598975509896405</v>
      </c>
    </row>
    <row r="136" spans="18:37">
      <c r="R136" s="83" t="e">
        <f ca="1"/>
        <v>#N/A</v>
      </c>
      <c r="S136" s="55" t="e">
        <f t="shared" ca="1" si="33"/>
        <v>#N/A</v>
      </c>
      <c r="T136" s="55" t="e">
        <f t="shared" ca="1" si="27"/>
        <v>#N/A</v>
      </c>
      <c r="U136" s="55" t="e">
        <f t="shared" ca="1" si="28"/>
        <v>#N/A</v>
      </c>
      <c r="V136" s="55" t="e">
        <f t="shared" ca="1" si="29"/>
        <v>#N/A</v>
      </c>
      <c r="W136" s="55" t="e">
        <f t="shared" ca="1" si="34"/>
        <v>#N/A</v>
      </c>
      <c r="X136" s="55" t="e">
        <f t="shared" ca="1" si="35"/>
        <v>#N/A</v>
      </c>
      <c r="Y136" s="55" t="e">
        <f t="shared" ca="1" si="36"/>
        <v>#N/A</v>
      </c>
      <c r="Z136" t="e">
        <f t="shared" ca="1" si="30"/>
        <v>#N/A</v>
      </c>
      <c r="AA136" t="e">
        <f t="shared" ca="1" si="37"/>
        <v>#N/A</v>
      </c>
      <c r="AB136" t="e">
        <f t="shared" ca="1" si="31"/>
        <v>#N/A</v>
      </c>
      <c r="AC136" t="e">
        <f t="shared" ca="1" si="32"/>
        <v>#N/A</v>
      </c>
      <c r="AD136" s="83">
        <f ca="1"/>
        <v>45420</v>
      </c>
      <c r="AE136" s="55">
        <f t="shared" ca="1" si="41"/>
        <v>45420</v>
      </c>
      <c r="AF136" s="55">
        <f t="shared" ca="1" si="42"/>
        <v>-45.424183028158026</v>
      </c>
      <c r="AG136" s="55">
        <f t="shared" ca="1" si="43"/>
        <v>107.60524658688212</v>
      </c>
      <c r="AH136" s="55">
        <f t="shared" ca="1" si="44"/>
        <v>0</v>
      </c>
      <c r="AI136" s="55">
        <f t="shared" ca="1" si="38"/>
        <v>0</v>
      </c>
      <c r="AJ136" s="55">
        <f t="shared" ca="1" si="39"/>
        <v>23.331182945811708</v>
      </c>
      <c r="AK136" s="55">
        <f t="shared" ca="1" si="40"/>
        <v>9.6667443852644901</v>
      </c>
    </row>
    <row r="137" spans="18:37">
      <c r="R137" s="83" t="e">
        <f ca="1"/>
        <v>#N/A</v>
      </c>
      <c r="S137" s="55" t="e">
        <f t="shared" ca="1" si="33"/>
        <v>#N/A</v>
      </c>
      <c r="T137" s="55" t="e">
        <f t="shared" ca="1" si="27"/>
        <v>#N/A</v>
      </c>
      <c r="U137" s="55" t="e">
        <f t="shared" ca="1" si="28"/>
        <v>#N/A</v>
      </c>
      <c r="V137" s="55" t="e">
        <f t="shared" ca="1" si="29"/>
        <v>#N/A</v>
      </c>
      <c r="W137" s="55" t="e">
        <f t="shared" ca="1" si="34"/>
        <v>#N/A</v>
      </c>
      <c r="X137" s="55" t="e">
        <f t="shared" ca="1" si="35"/>
        <v>#N/A</v>
      </c>
      <c r="Y137" s="55" t="e">
        <f t="shared" ca="1" si="36"/>
        <v>#N/A</v>
      </c>
      <c r="Z137" t="e">
        <f t="shared" ca="1" si="30"/>
        <v>#N/A</v>
      </c>
      <c r="AA137" t="e">
        <f t="shared" ca="1" si="37"/>
        <v>#N/A</v>
      </c>
      <c r="AB137" t="e">
        <f t="shared" ca="1" si="31"/>
        <v>#N/A</v>
      </c>
      <c r="AC137" t="e">
        <f t="shared" ca="1" si="32"/>
        <v>#N/A</v>
      </c>
      <c r="AD137" s="83">
        <f ca="1"/>
        <v>45421</v>
      </c>
      <c r="AE137" s="55">
        <f t="shared" ca="1" si="41"/>
        <v>45421</v>
      </c>
      <c r="AF137" s="55">
        <f t="shared" ca="1" si="42"/>
        <v>-46.991543720273825</v>
      </c>
      <c r="AG137" s="55">
        <f t="shared" ca="1" si="43"/>
        <v>109.42636800259606</v>
      </c>
      <c r="AH137" s="55">
        <f t="shared" ca="1" si="44"/>
        <v>0</v>
      </c>
      <c r="AI137" s="55">
        <f t="shared" ca="1" si="38"/>
        <v>0</v>
      </c>
      <c r="AJ137" s="55">
        <f t="shared" ca="1" si="39"/>
        <v>23.578119264382046</v>
      </c>
      <c r="AK137" s="55">
        <f t="shared" ca="1" si="40"/>
        <v>9.6735687902922933</v>
      </c>
    </row>
    <row r="138" spans="18:37">
      <c r="R138" s="83" t="e">
        <f ca="1"/>
        <v>#N/A</v>
      </c>
      <c r="S138" s="55" t="e">
        <f t="shared" ca="1" si="33"/>
        <v>#N/A</v>
      </c>
      <c r="T138" s="55" t="e">
        <f t="shared" ca="1" si="27"/>
        <v>#N/A</v>
      </c>
      <c r="U138" s="55" t="e">
        <f t="shared" ca="1" si="28"/>
        <v>#N/A</v>
      </c>
      <c r="V138" s="55" t="e">
        <f t="shared" ca="1" si="29"/>
        <v>#N/A</v>
      </c>
      <c r="W138" s="55" t="e">
        <f t="shared" ca="1" si="34"/>
        <v>#N/A</v>
      </c>
      <c r="X138" s="55" t="e">
        <f t="shared" ca="1" si="35"/>
        <v>#N/A</v>
      </c>
      <c r="Y138" s="55" t="e">
        <f t="shared" ca="1" si="36"/>
        <v>#N/A</v>
      </c>
      <c r="Z138" t="e">
        <f t="shared" ca="1" si="30"/>
        <v>#N/A</v>
      </c>
      <c r="AA138" t="e">
        <f t="shared" ca="1" si="37"/>
        <v>#N/A</v>
      </c>
      <c r="AB138" t="e">
        <f t="shared" ca="1" si="31"/>
        <v>#N/A</v>
      </c>
      <c r="AC138" t="e">
        <f t="shared" ca="1" si="32"/>
        <v>#N/A</v>
      </c>
      <c r="AD138" s="83">
        <f ca="1"/>
        <v>45422</v>
      </c>
      <c r="AE138" s="55">
        <f t="shared" ca="1" si="41"/>
        <v>45422</v>
      </c>
      <c r="AF138" s="55">
        <f t="shared" ca="1" si="42"/>
        <v>-48.579702758576715</v>
      </c>
      <c r="AG138" s="55">
        <f t="shared" ca="1" si="43"/>
        <v>111.27752246490697</v>
      </c>
      <c r="AH138" s="55">
        <f t="shared" ca="1" si="44"/>
        <v>0</v>
      </c>
      <c r="AI138" s="55">
        <f t="shared" ca="1" si="38"/>
        <v>0</v>
      </c>
      <c r="AJ138" s="55">
        <f t="shared" ca="1" si="39"/>
        <v>23.834238311575447</v>
      </c>
      <c r="AK138" s="55">
        <f t="shared" ca="1" si="40"/>
        <v>9.6804451671069067</v>
      </c>
    </row>
    <row r="139" spans="18:37">
      <c r="R139" s="83" t="e">
        <f ca="1"/>
        <v>#N/A</v>
      </c>
      <c r="S139" s="55" t="e">
        <f t="shared" ca="1" si="33"/>
        <v>#N/A</v>
      </c>
      <c r="T139" s="55" t="e">
        <f t="shared" ca="1" si="27"/>
        <v>#N/A</v>
      </c>
      <c r="U139" s="55" t="e">
        <f t="shared" ca="1" si="28"/>
        <v>#N/A</v>
      </c>
      <c r="V139" s="55" t="e">
        <f t="shared" ca="1" si="29"/>
        <v>#N/A</v>
      </c>
      <c r="W139" s="55" t="e">
        <f t="shared" ca="1" si="34"/>
        <v>#N/A</v>
      </c>
      <c r="X139" s="55" t="e">
        <f t="shared" ca="1" si="35"/>
        <v>#N/A</v>
      </c>
      <c r="Y139" s="55" t="e">
        <f t="shared" ca="1" si="36"/>
        <v>#N/A</v>
      </c>
      <c r="Z139" t="e">
        <f t="shared" ca="1" si="30"/>
        <v>#N/A</v>
      </c>
      <c r="AA139" t="e">
        <f t="shared" ca="1" si="37"/>
        <v>#N/A</v>
      </c>
      <c r="AB139" t="e">
        <f t="shared" ca="1" si="31"/>
        <v>#N/A</v>
      </c>
      <c r="AC139" t="e">
        <f t="shared" ca="1" si="32"/>
        <v>#N/A</v>
      </c>
      <c r="AD139" s="83">
        <f ca="1"/>
        <v>45423</v>
      </c>
      <c r="AE139" s="55">
        <f t="shared" ca="1" si="41"/>
        <v>45423</v>
      </c>
      <c r="AF139" s="55">
        <f t="shared" ca="1" si="42"/>
        <v>-50.192696307331957</v>
      </c>
      <c r="AG139" s="55">
        <f t="shared" ca="1" si="43"/>
        <v>113.16075618571858</v>
      </c>
      <c r="AH139" s="55">
        <f t="shared" ca="1" si="44"/>
        <v>0</v>
      </c>
      <c r="AI139" s="55">
        <f t="shared" ca="1" si="38"/>
        <v>0</v>
      </c>
      <c r="AJ139" s="55">
        <f t="shared" ca="1" si="39"/>
        <v>24.097537467899823</v>
      </c>
      <c r="AK139" s="55">
        <f t="shared" ca="1" si="40"/>
        <v>9.6873861828389085</v>
      </c>
    </row>
    <row r="140" spans="18:37">
      <c r="R140" s="83" t="e">
        <f ca="1"/>
        <v>#N/A</v>
      </c>
      <c r="S140" s="55" t="e">
        <f t="shared" ca="1" si="33"/>
        <v>#N/A</v>
      </c>
      <c r="T140" s="55" t="e">
        <f t="shared" ca="1" si="27"/>
        <v>#N/A</v>
      </c>
      <c r="U140" s="55" t="e">
        <f t="shared" ca="1" si="28"/>
        <v>#N/A</v>
      </c>
      <c r="V140" s="55" t="e">
        <f t="shared" ca="1" si="29"/>
        <v>#N/A</v>
      </c>
      <c r="W140" s="55" t="e">
        <f t="shared" ca="1" si="34"/>
        <v>#N/A</v>
      </c>
      <c r="X140" s="55" t="e">
        <f t="shared" ca="1" si="35"/>
        <v>#N/A</v>
      </c>
      <c r="Y140" s="55" t="e">
        <f t="shared" ca="1" si="36"/>
        <v>#N/A</v>
      </c>
      <c r="Z140" t="e">
        <f t="shared" ca="1" si="30"/>
        <v>#N/A</v>
      </c>
      <c r="AA140" t="e">
        <f t="shared" ca="1" si="37"/>
        <v>#N/A</v>
      </c>
      <c r="AB140" t="e">
        <f t="shared" ca="1" si="31"/>
        <v>#N/A</v>
      </c>
      <c r="AC140" t="e">
        <f t="shared" ca="1" si="32"/>
        <v>#N/A</v>
      </c>
      <c r="AD140" s="83">
        <f ca="1"/>
        <v>45424</v>
      </c>
      <c r="AE140" s="55">
        <f t="shared" ca="1" si="41"/>
        <v>45424</v>
      </c>
      <c r="AF140" s="55">
        <f t="shared" ca="1" si="42"/>
        <v>-51.783840800453646</v>
      </c>
      <c r="AG140" s="55">
        <f t="shared" ca="1" si="43"/>
        <v>115.02020706306752</v>
      </c>
      <c r="AH140" s="55">
        <f t="shared" ca="1" si="44"/>
        <v>0</v>
      </c>
      <c r="AI140" s="55">
        <f t="shared" ca="1" si="38"/>
        <v>0</v>
      </c>
      <c r="AJ140" s="55">
        <f t="shared" ca="1" si="39"/>
        <v>24.359030192217496</v>
      </c>
      <c r="AK140" s="55">
        <f t="shared" ca="1" si="40"/>
        <v>9.6941998427484801</v>
      </c>
    </row>
    <row r="141" spans="18:37">
      <c r="R141" s="83" t="e">
        <f ca="1"/>
        <v>#N/A</v>
      </c>
      <c r="S141" s="55" t="e">
        <f t="shared" ca="1" si="33"/>
        <v>#N/A</v>
      </c>
      <c r="T141" s="55" t="e">
        <f t="shared" ca="1" si="27"/>
        <v>#N/A</v>
      </c>
      <c r="U141" s="55" t="e">
        <f t="shared" ca="1" si="28"/>
        <v>#N/A</v>
      </c>
      <c r="V141" s="55" t="e">
        <f t="shared" ca="1" si="29"/>
        <v>#N/A</v>
      </c>
      <c r="W141" s="55" t="e">
        <f t="shared" ca="1" si="34"/>
        <v>#N/A</v>
      </c>
      <c r="X141" s="55" t="e">
        <f t="shared" ca="1" si="35"/>
        <v>#N/A</v>
      </c>
      <c r="Y141" s="55" t="e">
        <f t="shared" ca="1" si="36"/>
        <v>#N/A</v>
      </c>
      <c r="Z141" t="e">
        <f t="shared" ca="1" si="30"/>
        <v>#N/A</v>
      </c>
      <c r="AA141" t="e">
        <f t="shared" ca="1" si="37"/>
        <v>#N/A</v>
      </c>
      <c r="AB141" t="e">
        <f t="shared" ca="1" si="31"/>
        <v>#N/A</v>
      </c>
      <c r="AC141" t="e">
        <f t="shared" ca="1" si="32"/>
        <v>#N/A</v>
      </c>
      <c r="AD141" s="83">
        <f ca="1"/>
        <v>45425</v>
      </c>
      <c r="AE141" s="55">
        <f t="shared" ca="1" si="41"/>
        <v>45425</v>
      </c>
      <c r="AF141" s="55">
        <f t="shared" ca="1" si="42"/>
        <v>-53.324470313372736</v>
      </c>
      <c r="AG141" s="55">
        <f t="shared" ca="1" si="43"/>
        <v>116.82153277768407</v>
      </c>
      <c r="AH141" s="55">
        <f t="shared" ca="1" si="44"/>
        <v>0</v>
      </c>
      <c r="AI141" s="55">
        <f t="shared" ca="1" si="38"/>
        <v>0</v>
      </c>
      <c r="AJ141" s="55">
        <f t="shared" ca="1" si="39"/>
        <v>24.613151730565033</v>
      </c>
      <c r="AK141" s="55">
        <f t="shared" ca="1" si="40"/>
        <v>9.7007745060984103</v>
      </c>
    </row>
    <row r="142" spans="18:37">
      <c r="R142" s="83" t="e">
        <f ca="1"/>
        <v>#N/A</v>
      </c>
      <c r="S142" s="55" t="e">
        <f t="shared" ca="1" si="33"/>
        <v>#N/A</v>
      </c>
      <c r="T142" s="55" t="e">
        <f t="shared" ca="1" si="27"/>
        <v>#N/A</v>
      </c>
      <c r="U142" s="55" t="e">
        <f t="shared" ca="1" si="28"/>
        <v>#N/A</v>
      </c>
      <c r="V142" s="55" t="e">
        <f t="shared" ca="1" si="29"/>
        <v>#N/A</v>
      </c>
      <c r="W142" s="55" t="e">
        <f t="shared" ca="1" si="34"/>
        <v>#N/A</v>
      </c>
      <c r="X142" s="55" t="e">
        <f t="shared" ca="1" si="35"/>
        <v>#N/A</v>
      </c>
      <c r="Y142" s="55" t="e">
        <f t="shared" ca="1" si="36"/>
        <v>#N/A</v>
      </c>
      <c r="Z142" t="e">
        <f t="shared" ca="1" si="30"/>
        <v>#N/A</v>
      </c>
      <c r="AA142" t="e">
        <f t="shared" ca="1" si="37"/>
        <v>#N/A</v>
      </c>
      <c r="AB142" t="e">
        <f t="shared" ca="1" si="31"/>
        <v>#N/A</v>
      </c>
      <c r="AC142" t="e">
        <f t="shared" ca="1" si="32"/>
        <v>#N/A</v>
      </c>
      <c r="AD142" s="83">
        <f ca="1"/>
        <v>45426</v>
      </c>
      <c r="AE142" s="55">
        <f t="shared" ca="1" si="41"/>
        <v>45426</v>
      </c>
      <c r="AF142" s="55">
        <f t="shared" ca="1" si="42"/>
        <v>-54.841669891710431</v>
      </c>
      <c r="AG142" s="55">
        <f t="shared" ca="1" si="43"/>
        <v>118.59754225661007</v>
      </c>
      <c r="AH142" s="55">
        <f t="shared" ca="1" si="44"/>
        <v>0</v>
      </c>
      <c r="AI142" s="55">
        <f t="shared" ca="1" si="38"/>
        <v>0</v>
      </c>
      <c r="AJ142" s="55">
        <f t="shared" ca="1" si="39"/>
        <v>24.865505763807523</v>
      </c>
      <c r="AK142" s="55">
        <f t="shared" ca="1" si="40"/>
        <v>9.7072303734442258</v>
      </c>
    </row>
    <row r="143" spans="18:37">
      <c r="R143" s="83" t="e">
        <f ca="1"/>
        <v>#N/A</v>
      </c>
      <c r="S143" s="55" t="e">
        <f t="shared" ca="1" si="33"/>
        <v>#N/A</v>
      </c>
      <c r="T143" s="55" t="e">
        <f t="shared" ca="1" si="27"/>
        <v>#N/A</v>
      </c>
      <c r="U143" s="55" t="e">
        <f t="shared" ca="1" si="28"/>
        <v>#N/A</v>
      </c>
      <c r="V143" s="55" t="e">
        <f t="shared" ca="1" si="29"/>
        <v>#N/A</v>
      </c>
      <c r="W143" s="55" t="e">
        <f t="shared" ca="1" si="34"/>
        <v>#N/A</v>
      </c>
      <c r="X143" s="55" t="e">
        <f t="shared" ca="1" si="35"/>
        <v>#N/A</v>
      </c>
      <c r="Y143" s="55" t="e">
        <f t="shared" ca="1" si="36"/>
        <v>#N/A</v>
      </c>
      <c r="Z143" t="e">
        <f t="shared" ca="1" si="30"/>
        <v>#N/A</v>
      </c>
      <c r="AA143" t="e">
        <f t="shared" ca="1" si="37"/>
        <v>#N/A</v>
      </c>
      <c r="AB143" t="e">
        <f t="shared" ca="1" si="31"/>
        <v>#N/A</v>
      </c>
      <c r="AC143" t="e">
        <f t="shared" ca="1" si="32"/>
        <v>#N/A</v>
      </c>
      <c r="AD143" s="83">
        <f ca="1"/>
        <v>45427</v>
      </c>
      <c r="AE143" s="55">
        <f t="shared" ca="1" si="41"/>
        <v>45427</v>
      </c>
      <c r="AF143" s="55">
        <f t="shared" ca="1" si="42"/>
        <v>-56.344303356270501</v>
      </c>
      <c r="AG143" s="55">
        <f t="shared" ca="1" si="43"/>
        <v>120.35912912418124</v>
      </c>
      <c r="AH143" s="55">
        <f t="shared" ca="1" si="44"/>
        <v>0</v>
      </c>
      <c r="AI143" s="55">
        <f t="shared" ca="1" si="38"/>
        <v>0</v>
      </c>
      <c r="AJ143" s="55">
        <f t="shared" ca="1" si="39"/>
        <v>25.11808032062968</v>
      </c>
      <c r="AK143" s="55">
        <f t="shared" ca="1" si="40"/>
        <v>9.7136092196331667</v>
      </c>
    </row>
    <row r="144" spans="18:37">
      <c r="R144" s="83" t="e">
        <f ca="1"/>
        <v>#N/A</v>
      </c>
      <c r="S144" s="55" t="e">
        <f t="shared" ca="1" si="33"/>
        <v>#N/A</v>
      </c>
      <c r="T144" s="55" t="e">
        <f t="shared" ca="1" si="27"/>
        <v>#N/A</v>
      </c>
      <c r="U144" s="55" t="e">
        <f t="shared" ca="1" si="28"/>
        <v>#N/A</v>
      </c>
      <c r="V144" s="55" t="e">
        <f t="shared" ca="1" si="29"/>
        <v>#N/A</v>
      </c>
      <c r="W144" s="55" t="e">
        <f t="shared" ca="1" si="34"/>
        <v>#N/A</v>
      </c>
      <c r="X144" s="55" t="e">
        <f t="shared" ca="1" si="35"/>
        <v>#N/A</v>
      </c>
      <c r="Y144" s="55" t="e">
        <f t="shared" ca="1" si="36"/>
        <v>#N/A</v>
      </c>
      <c r="Z144" t="e">
        <f t="shared" ca="1" si="30"/>
        <v>#N/A</v>
      </c>
      <c r="AA144" t="e">
        <f t="shared" ca="1" si="37"/>
        <v>#N/A</v>
      </c>
      <c r="AB144" t="e">
        <f t="shared" ca="1" si="31"/>
        <v>#N/A</v>
      </c>
      <c r="AC144" t="e">
        <f t="shared" ca="1" si="32"/>
        <v>#N/A</v>
      </c>
      <c r="AD144" s="83">
        <f ca="1"/>
        <v>45428</v>
      </c>
      <c r="AE144" s="55">
        <f t="shared" ca="1" si="41"/>
        <v>45428</v>
      </c>
      <c r="AF144" s="55">
        <f t="shared" ca="1" si="42"/>
        <v>-57.787318794159077</v>
      </c>
      <c r="AG144" s="55">
        <f t="shared" ca="1" si="43"/>
        <v>122.05211738689098</v>
      </c>
      <c r="AH144" s="55">
        <f t="shared" ca="1" si="44"/>
        <v>0</v>
      </c>
      <c r="AI144" s="55">
        <f t="shared" ca="1" si="38"/>
        <v>0</v>
      </c>
      <c r="AJ144" s="55">
        <f t="shared" ca="1" si="39"/>
        <v>25.361926181923536</v>
      </c>
      <c r="AK144" s="55">
        <f t="shared" ca="1" si="40"/>
        <v>9.7197361831604816</v>
      </c>
    </row>
    <row r="145" spans="18:37">
      <c r="R145" s="83" t="e">
        <f ca="1"/>
        <v>#N/A</v>
      </c>
      <c r="S145" s="55" t="e">
        <f t="shared" ca="1" si="33"/>
        <v>#N/A</v>
      </c>
      <c r="T145" s="55" t="e">
        <f t="shared" ca="1" si="27"/>
        <v>#N/A</v>
      </c>
      <c r="U145" s="55" t="e">
        <f t="shared" ca="1" si="28"/>
        <v>#N/A</v>
      </c>
      <c r="V145" s="55" t="e">
        <f t="shared" ca="1" si="29"/>
        <v>#N/A</v>
      </c>
      <c r="W145" s="55" t="e">
        <f t="shared" ca="1" si="34"/>
        <v>#N/A</v>
      </c>
      <c r="X145" s="55" t="e">
        <f t="shared" ca="1" si="35"/>
        <v>#N/A</v>
      </c>
      <c r="Y145" s="55" t="e">
        <f t="shared" ca="1" si="36"/>
        <v>#N/A</v>
      </c>
      <c r="Z145" t="e">
        <f t="shared" ca="1" si="30"/>
        <v>#N/A</v>
      </c>
      <c r="AA145" t="e">
        <f t="shared" ca="1" si="37"/>
        <v>#N/A</v>
      </c>
      <c r="AB145" t="e">
        <f t="shared" ca="1" si="31"/>
        <v>#N/A</v>
      </c>
      <c r="AC145" t="e">
        <f t="shared" ca="1" si="32"/>
        <v>#N/A</v>
      </c>
      <c r="AD145" s="83">
        <f ca="1"/>
        <v>45429</v>
      </c>
      <c r="AE145" s="55">
        <f t="shared" ca="1" si="41"/>
        <v>45429</v>
      </c>
      <c r="AF145" s="55">
        <f t="shared" ca="1" si="42"/>
        <v>-59.198729529991418</v>
      </c>
      <c r="AG145" s="55">
        <f t="shared" ca="1" si="43"/>
        <v>123.71035681517967</v>
      </c>
      <c r="AH145" s="55">
        <f t="shared" ca="1" si="44"/>
        <v>0</v>
      </c>
      <c r="AI145" s="55">
        <f t="shared" ca="1" si="38"/>
        <v>0</v>
      </c>
      <c r="AJ145" s="55">
        <f t="shared" ca="1" si="39"/>
        <v>25.602761625881907</v>
      </c>
      <c r="AK145" s="55">
        <f t="shared" ca="1" si="40"/>
        <v>9.7257294316584524</v>
      </c>
    </row>
    <row r="146" spans="18:37">
      <c r="R146" s="83" t="e">
        <f ca="1"/>
        <v>#N/A</v>
      </c>
      <c r="S146" s="55" t="e">
        <f t="shared" ca="1" si="33"/>
        <v>#N/A</v>
      </c>
      <c r="T146" s="55" t="e">
        <f t="shared" ref="T146:T209" ca="1" si="45">VLOOKUP(S146,ModelOutputs,2,FALSE)</f>
        <v>#N/A</v>
      </c>
      <c r="U146" s="55" t="e">
        <f t="shared" ref="U146:U209" ca="1" si="46">VLOOKUP(S146,ModelOutputs,7,FALSE)</f>
        <v>#N/A</v>
      </c>
      <c r="V146" s="55" t="e">
        <f t="shared" ref="V146:V209" ca="1" si="47">VLOOKUP(S146,ModelOutputs,6,FALSE)</f>
        <v>#N/A</v>
      </c>
      <c r="W146" s="55" t="e">
        <f t="shared" ca="1" si="34"/>
        <v>#N/A</v>
      </c>
      <c r="X146" s="55" t="e">
        <f t="shared" ca="1" si="35"/>
        <v>#N/A</v>
      </c>
      <c r="Y146" s="55" t="e">
        <f t="shared" ca="1" si="36"/>
        <v>#N/A</v>
      </c>
      <c r="Z146" t="e">
        <f t="shared" ref="Z146:Z209" ca="1" si="48">VLOOKUP(S146,ModelOutputs,10,FALSE)*AWC</f>
        <v>#N/A</v>
      </c>
      <c r="AA146" t="e">
        <f t="shared" ca="1" si="37"/>
        <v>#N/A</v>
      </c>
      <c r="AB146" t="e">
        <f t="shared" ref="AB146:AB209" ca="1" si="49">VLOOKUP(S146,ModelOutputs,12,FALSE)</f>
        <v>#N/A</v>
      </c>
      <c r="AC146" t="e">
        <f t="shared" ref="AC146:AC209" ca="1" si="50">VLOOKUP(S146,ModelOutputs,13,FALSE)</f>
        <v>#N/A</v>
      </c>
      <c r="AD146" s="83">
        <f ca="1"/>
        <v>45430</v>
      </c>
      <c r="AE146" s="55">
        <f t="shared" ca="1" si="41"/>
        <v>45430</v>
      </c>
      <c r="AF146" s="55">
        <f t="shared" ca="1" si="42"/>
        <v>-60.643055486582867</v>
      </c>
      <c r="AG146" s="55">
        <f t="shared" ca="1" si="43"/>
        <v>125.41205473941636</v>
      </c>
      <c r="AH146" s="55">
        <f t="shared" ca="1" si="44"/>
        <v>0</v>
      </c>
      <c r="AI146" s="55">
        <f t="shared" ca="1" si="38"/>
        <v>0</v>
      </c>
      <c r="AJ146" s="55">
        <f t="shared" ca="1" si="39"/>
        <v>25.854014817174335</v>
      </c>
      <c r="AK146" s="55">
        <f t="shared" ca="1" si="40"/>
        <v>9.7318482080112751</v>
      </c>
    </row>
    <row r="147" spans="18:37">
      <c r="R147" s="83" t="e">
        <f ca="1"/>
        <v>#N/A</v>
      </c>
      <c r="S147" s="55" t="e">
        <f t="shared" ref="S147:S210" ca="1" si="51">IF(R147&gt;1,R147,"")</f>
        <v>#N/A</v>
      </c>
      <c r="T147" s="55" t="e">
        <f t="shared" ca="1" si="45"/>
        <v>#N/A</v>
      </c>
      <c r="U147" s="55" t="e">
        <f t="shared" ca="1" si="46"/>
        <v>#N/A</v>
      </c>
      <c r="V147" s="55" t="e">
        <f t="shared" ca="1" si="47"/>
        <v>#N/A</v>
      </c>
      <c r="W147" s="55" t="e">
        <f t="shared" ref="W147:W210" ca="1" si="52">-VLOOKUP(S147,ModelOutputs,9,FALSE)+W146</f>
        <v>#N/A</v>
      </c>
      <c r="X147" s="55" t="e">
        <f t="shared" ref="X147:X210" ca="1" si="53">VLOOKUP(S147,ModelOutputs,5,FALSE)+X146</f>
        <v>#N/A</v>
      </c>
      <c r="Y147" s="55" t="e">
        <f t="shared" ref="Y147:Y210" ca="1" si="54">VLOOKUP(S147,ModelOutputs,4,FALSE)+Y146</f>
        <v>#N/A</v>
      </c>
      <c r="Z147" t="e">
        <f t="shared" ca="1" si="48"/>
        <v>#N/A</v>
      </c>
      <c r="AA147" t="e">
        <f t="shared" ref="AA147:AA210" ca="1" si="55">VLOOKUP(S147,ModelOutputs,11,FALSE)+AA146</f>
        <v>#N/A</v>
      </c>
      <c r="AB147" t="e">
        <f t="shared" ca="1" si="49"/>
        <v>#N/A</v>
      </c>
      <c r="AC147" t="e">
        <f t="shared" ca="1" si="50"/>
        <v>#N/A</v>
      </c>
      <c r="AD147" s="83">
        <f ca="1"/>
        <v>45431</v>
      </c>
      <c r="AE147" s="55">
        <f t="shared" ca="1" si="41"/>
        <v>45431</v>
      </c>
      <c r="AF147" s="55">
        <f t="shared" ca="1" si="42"/>
        <v>-62.062714507864897</v>
      </c>
      <c r="AG147" s="55">
        <f t="shared" ca="1" si="43"/>
        <v>127.08788934751173</v>
      </c>
      <c r="AH147" s="55">
        <f t="shared" ca="1" si="44"/>
        <v>0</v>
      </c>
      <c r="AI147" s="55">
        <f t="shared" ref="AI147:AI210" ca="1" si="56">-VLOOKUP(AE147,ModelOutputs,9,FALSE)+AI146</f>
        <v>0</v>
      </c>
      <c r="AJ147" s="55">
        <f t="shared" ref="AJ147:AJ210" ca="1" si="57">VLOOKUP(AE147,ModelOutputs,5,FALSE)+AJ146</f>
        <v>26.104170125390826</v>
      </c>
      <c r="AK147" s="55">
        <f t="shared" ref="AK147:AK210" ca="1" si="58">VLOOKUP(AE147,ModelOutputs,4,FALSE)+AK146</f>
        <v>9.7378684866081269</v>
      </c>
    </row>
    <row r="148" spans="18:37">
      <c r="R148" s="83" t="e">
        <f ca="1"/>
        <v>#N/A</v>
      </c>
      <c r="S148" s="55" t="e">
        <f t="shared" ca="1" si="51"/>
        <v>#N/A</v>
      </c>
      <c r="T148" s="55" t="e">
        <f t="shared" ca="1" si="45"/>
        <v>#N/A</v>
      </c>
      <c r="U148" s="55" t="e">
        <f t="shared" ca="1" si="46"/>
        <v>#N/A</v>
      </c>
      <c r="V148" s="55" t="e">
        <f t="shared" ca="1" si="47"/>
        <v>#N/A</v>
      </c>
      <c r="W148" s="55" t="e">
        <f t="shared" ca="1" si="52"/>
        <v>#N/A</v>
      </c>
      <c r="X148" s="55" t="e">
        <f t="shared" ca="1" si="53"/>
        <v>#N/A</v>
      </c>
      <c r="Y148" s="55" t="e">
        <f t="shared" ca="1" si="54"/>
        <v>#N/A</v>
      </c>
      <c r="Z148" t="e">
        <f t="shared" ca="1" si="48"/>
        <v>#N/A</v>
      </c>
      <c r="AA148" t="e">
        <f t="shared" ca="1" si="55"/>
        <v>#N/A</v>
      </c>
      <c r="AB148" t="e">
        <f t="shared" ca="1" si="49"/>
        <v>#N/A</v>
      </c>
      <c r="AC148" t="e">
        <f t="shared" ca="1" si="50"/>
        <v>#N/A</v>
      </c>
      <c r="AD148" s="83">
        <f ca="1"/>
        <v>45432</v>
      </c>
      <c r="AE148" s="55">
        <f t="shared" ca="1" si="41"/>
        <v>45432</v>
      </c>
      <c r="AF148" s="55">
        <f t="shared" ca="1" si="42"/>
        <v>-63.491416696793827</v>
      </c>
      <c r="AG148" s="55">
        <f t="shared" ca="1" si="43"/>
        <v>128.77921954870092</v>
      </c>
      <c r="AH148" s="55">
        <f t="shared" ca="1" si="44"/>
        <v>0</v>
      </c>
      <c r="AI148" s="55">
        <f t="shared" ca="1" si="56"/>
        <v>0</v>
      </c>
      <c r="AJ148" s="55">
        <f t="shared" ca="1" si="57"/>
        <v>26.360734367757868</v>
      </c>
      <c r="AK148" s="55">
        <f t="shared" ca="1" si="58"/>
        <v>9.743932256501342</v>
      </c>
    </row>
    <row r="149" spans="18:37">
      <c r="R149" s="83" t="e">
        <f ca="1"/>
        <v>#N/A</v>
      </c>
      <c r="S149" s="55" t="e">
        <f t="shared" ca="1" si="51"/>
        <v>#N/A</v>
      </c>
      <c r="T149" s="55" t="e">
        <f t="shared" ca="1" si="45"/>
        <v>#N/A</v>
      </c>
      <c r="U149" s="55" t="e">
        <f t="shared" ca="1" si="46"/>
        <v>#N/A</v>
      </c>
      <c r="V149" s="55" t="e">
        <f t="shared" ca="1" si="47"/>
        <v>#N/A</v>
      </c>
      <c r="W149" s="55" t="e">
        <f t="shared" ca="1" si="52"/>
        <v>#N/A</v>
      </c>
      <c r="X149" s="55" t="e">
        <f t="shared" ca="1" si="53"/>
        <v>#N/A</v>
      </c>
      <c r="Y149" s="55" t="e">
        <f t="shared" ca="1" si="54"/>
        <v>#N/A</v>
      </c>
      <c r="Z149" t="e">
        <f t="shared" ca="1" si="48"/>
        <v>#N/A</v>
      </c>
      <c r="AA149" t="e">
        <f t="shared" ca="1" si="55"/>
        <v>#N/A</v>
      </c>
      <c r="AB149" t="e">
        <f t="shared" ca="1" si="49"/>
        <v>#N/A</v>
      </c>
      <c r="AC149" t="e">
        <f t="shared" ca="1" si="50"/>
        <v>#N/A</v>
      </c>
      <c r="AD149" s="83">
        <f ca="1"/>
        <v>45433</v>
      </c>
      <c r="AE149" s="55">
        <f t="shared" ref="AE149:AE212" ca="1" si="59">IF(AD149&gt;1,AD149,"")</f>
        <v>45433</v>
      </c>
      <c r="AF149" s="55">
        <f t="shared" ref="AF149:AF212" ca="1" si="60">VLOOKUP(AE149,ModelOutputs,2,FALSE)</f>
        <v>-64.845300391136476</v>
      </c>
      <c r="AG149" s="55">
        <f t="shared" ref="AG149:AG212" ca="1" si="61">VLOOKUP(AE149,ModelOutputs,7,FALSE)</f>
        <v>130.38380038665105</v>
      </c>
      <c r="AH149" s="55">
        <f t="shared" ref="AH149:AH212" ca="1" si="62">VLOOKUP(AE149,ModelOutputs,6,FALSE)</f>
        <v>0</v>
      </c>
      <c r="AI149" s="55">
        <f t="shared" ca="1" si="56"/>
        <v>0</v>
      </c>
      <c r="AJ149" s="55">
        <f t="shared" ca="1" si="57"/>
        <v>26.605660979257301</v>
      </c>
      <c r="AK149" s="55">
        <f t="shared" ca="1" si="58"/>
        <v>9.7497027886093797</v>
      </c>
    </row>
    <row r="150" spans="18:37">
      <c r="R150" s="83" t="e">
        <f ca="1"/>
        <v>#N/A</v>
      </c>
      <c r="S150" s="55" t="e">
        <f t="shared" ca="1" si="51"/>
        <v>#N/A</v>
      </c>
      <c r="T150" s="55" t="e">
        <f t="shared" ca="1" si="45"/>
        <v>#N/A</v>
      </c>
      <c r="U150" s="55" t="e">
        <f t="shared" ca="1" si="46"/>
        <v>#N/A</v>
      </c>
      <c r="V150" s="55" t="e">
        <f t="shared" ca="1" si="47"/>
        <v>#N/A</v>
      </c>
      <c r="W150" s="55" t="e">
        <f t="shared" ca="1" si="52"/>
        <v>#N/A</v>
      </c>
      <c r="X150" s="55" t="e">
        <f t="shared" ca="1" si="53"/>
        <v>#N/A</v>
      </c>
      <c r="Y150" s="55" t="e">
        <f t="shared" ca="1" si="54"/>
        <v>#N/A</v>
      </c>
      <c r="Z150" t="e">
        <f t="shared" ca="1" si="48"/>
        <v>#N/A</v>
      </c>
      <c r="AA150" t="e">
        <f t="shared" ca="1" si="55"/>
        <v>#N/A</v>
      </c>
      <c r="AB150" t="e">
        <f t="shared" ca="1" si="49"/>
        <v>#N/A</v>
      </c>
      <c r="AC150" t="e">
        <f t="shared" ca="1" si="50"/>
        <v>#N/A</v>
      </c>
      <c r="AD150" s="83">
        <f ca="1"/>
        <v>45434</v>
      </c>
      <c r="AE150" s="55">
        <f t="shared" ca="1" si="59"/>
        <v>45434</v>
      </c>
      <c r="AF150" s="55">
        <f t="shared" ca="1" si="60"/>
        <v>-66.154458901767512</v>
      </c>
      <c r="AG150" s="55">
        <f t="shared" ca="1" si="61"/>
        <v>131.93832950133387</v>
      </c>
      <c r="AH150" s="55">
        <f t="shared" ca="1" si="62"/>
        <v>0</v>
      </c>
      <c r="AI150" s="55">
        <f t="shared" ca="1" si="56"/>
        <v>0</v>
      </c>
      <c r="AJ150" s="55">
        <f t="shared" ca="1" si="57"/>
        <v>26.845426870662529</v>
      </c>
      <c r="AK150" s="55">
        <f t="shared" ca="1" si="58"/>
        <v>9.7553075012559418</v>
      </c>
    </row>
    <row r="151" spans="18:37">
      <c r="R151" s="83" t="e">
        <f ca="1"/>
        <v>#N/A</v>
      </c>
      <c r="S151" s="55" t="e">
        <f t="shared" ca="1" si="51"/>
        <v>#N/A</v>
      </c>
      <c r="T151" s="55" t="e">
        <f t="shared" ca="1" si="45"/>
        <v>#N/A</v>
      </c>
      <c r="U151" s="55" t="e">
        <f t="shared" ca="1" si="46"/>
        <v>#N/A</v>
      </c>
      <c r="V151" s="55" t="e">
        <f t="shared" ca="1" si="47"/>
        <v>#N/A</v>
      </c>
      <c r="W151" s="55" t="e">
        <f t="shared" ca="1" si="52"/>
        <v>#N/A</v>
      </c>
      <c r="X151" s="55" t="e">
        <f t="shared" ca="1" si="53"/>
        <v>#N/A</v>
      </c>
      <c r="Y151" s="55" t="e">
        <f t="shared" ca="1" si="54"/>
        <v>#N/A</v>
      </c>
      <c r="Z151" t="e">
        <f t="shared" ca="1" si="48"/>
        <v>#N/A</v>
      </c>
      <c r="AA151" t="e">
        <f t="shared" ca="1" si="55"/>
        <v>#N/A</v>
      </c>
      <c r="AB151" t="e">
        <f t="shared" ca="1" si="49"/>
        <v>#N/A</v>
      </c>
      <c r="AC151" t="e">
        <f t="shared" ca="1" si="50"/>
        <v>#N/A</v>
      </c>
      <c r="AD151" s="83">
        <f ca="1"/>
        <v>45435</v>
      </c>
      <c r="AE151" s="55">
        <f t="shared" ca="1" si="59"/>
        <v>45435</v>
      </c>
      <c r="AF151" s="55">
        <f t="shared" ca="1" si="60"/>
        <v>-67.435844959392128</v>
      </c>
      <c r="AG151" s="55">
        <f t="shared" ca="1" si="61"/>
        <v>133.46349778601035</v>
      </c>
      <c r="AH151" s="55">
        <f t="shared" ca="1" si="62"/>
        <v>0</v>
      </c>
      <c r="AI151" s="55">
        <f t="shared" ca="1" si="56"/>
        <v>0</v>
      </c>
      <c r="AJ151" s="55">
        <f t="shared" ca="1" si="57"/>
        <v>27.083700332445773</v>
      </c>
      <c r="AK151" s="55">
        <f t="shared" ca="1" si="58"/>
        <v>9.7608162665245679</v>
      </c>
    </row>
    <row r="152" spans="18:37">
      <c r="R152" s="83" t="e">
        <f ca="1"/>
        <v>#N/A</v>
      </c>
      <c r="S152" s="55" t="e">
        <f t="shared" ca="1" si="51"/>
        <v>#N/A</v>
      </c>
      <c r="T152" s="55" t="e">
        <f t="shared" ca="1" si="45"/>
        <v>#N/A</v>
      </c>
      <c r="U152" s="55" t="e">
        <f t="shared" ca="1" si="46"/>
        <v>#N/A</v>
      </c>
      <c r="V152" s="55" t="e">
        <f t="shared" ca="1" si="47"/>
        <v>#N/A</v>
      </c>
      <c r="W152" s="55" t="e">
        <f t="shared" ca="1" si="52"/>
        <v>#N/A</v>
      </c>
      <c r="X152" s="55" t="e">
        <f t="shared" ca="1" si="53"/>
        <v>#N/A</v>
      </c>
      <c r="Y152" s="55" t="e">
        <f t="shared" ca="1" si="54"/>
        <v>#N/A</v>
      </c>
      <c r="Z152" t="e">
        <f t="shared" ca="1" si="48"/>
        <v>#N/A</v>
      </c>
      <c r="AA152" t="e">
        <f t="shared" ca="1" si="55"/>
        <v>#N/A</v>
      </c>
      <c r="AB152" t="e">
        <f t="shared" ca="1" si="49"/>
        <v>#N/A</v>
      </c>
      <c r="AC152" t="e">
        <f t="shared" ca="1" si="50"/>
        <v>#N/A</v>
      </c>
      <c r="AD152" s="83">
        <f ca="1"/>
        <v>45436</v>
      </c>
      <c r="AE152" s="55">
        <f t="shared" ca="1" si="59"/>
        <v>45436</v>
      </c>
      <c r="AF152" s="55">
        <f t="shared" ca="1" si="60"/>
        <v>-68.722522604159934</v>
      </c>
      <c r="AG152" s="55">
        <f t="shared" ca="1" si="61"/>
        <v>135</v>
      </c>
      <c r="AH152" s="55">
        <f t="shared" ca="1" si="62"/>
        <v>0</v>
      </c>
      <c r="AI152" s="55">
        <f t="shared" ca="1" si="56"/>
        <v>0</v>
      </c>
      <c r="AJ152" s="55">
        <f t="shared" ca="1" si="57"/>
        <v>27.327978139870115</v>
      </c>
      <c r="AK152" s="55">
        <f t="shared" ca="1" si="58"/>
        <v>9.7663630283220755</v>
      </c>
    </row>
    <row r="153" spans="18:37">
      <c r="R153" s="83" t="e">
        <f ca="1"/>
        <v>#N/A</v>
      </c>
      <c r="S153" s="55" t="e">
        <f t="shared" ca="1" si="51"/>
        <v>#N/A</v>
      </c>
      <c r="T153" s="55" t="e">
        <f t="shared" ca="1" si="45"/>
        <v>#N/A</v>
      </c>
      <c r="U153" s="55" t="e">
        <f t="shared" ca="1" si="46"/>
        <v>#N/A</v>
      </c>
      <c r="V153" s="55" t="e">
        <f t="shared" ca="1" si="47"/>
        <v>#N/A</v>
      </c>
      <c r="W153" s="55" t="e">
        <f t="shared" ca="1" si="52"/>
        <v>#N/A</v>
      </c>
      <c r="X153" s="55" t="e">
        <f t="shared" ca="1" si="53"/>
        <v>#N/A</v>
      </c>
      <c r="Y153" s="55" t="e">
        <f t="shared" ca="1" si="54"/>
        <v>#N/A</v>
      </c>
      <c r="Z153" t="e">
        <f t="shared" ca="1" si="48"/>
        <v>#N/A</v>
      </c>
      <c r="AA153" t="e">
        <f t="shared" ca="1" si="55"/>
        <v>#N/A</v>
      </c>
      <c r="AB153" t="e">
        <f t="shared" ca="1" si="49"/>
        <v>#N/A</v>
      </c>
      <c r="AC153" t="e">
        <f t="shared" ca="1" si="50"/>
        <v>#N/A</v>
      </c>
      <c r="AD153" s="83" t="e">
        <f ca="1"/>
        <v>#N/A</v>
      </c>
      <c r="AE153" s="55" t="e">
        <f t="shared" ca="1" si="59"/>
        <v>#N/A</v>
      </c>
      <c r="AF153" s="55" t="e">
        <f t="shared" ca="1" si="60"/>
        <v>#N/A</v>
      </c>
      <c r="AG153" s="55" t="e">
        <f t="shared" ca="1" si="61"/>
        <v>#N/A</v>
      </c>
      <c r="AH153" s="55" t="e">
        <f t="shared" ca="1" si="62"/>
        <v>#N/A</v>
      </c>
      <c r="AI153" s="55" t="e">
        <f t="shared" ca="1" si="56"/>
        <v>#N/A</v>
      </c>
      <c r="AJ153" s="55" t="e">
        <f t="shared" ca="1" si="57"/>
        <v>#N/A</v>
      </c>
      <c r="AK153" s="55" t="e">
        <f t="shared" ca="1" si="58"/>
        <v>#N/A</v>
      </c>
    </row>
    <row r="154" spans="18:37">
      <c r="R154" s="83" t="e">
        <f ca="1"/>
        <v>#N/A</v>
      </c>
      <c r="S154" s="55" t="e">
        <f t="shared" ca="1" si="51"/>
        <v>#N/A</v>
      </c>
      <c r="T154" s="55" t="e">
        <f t="shared" ca="1" si="45"/>
        <v>#N/A</v>
      </c>
      <c r="U154" s="55" t="e">
        <f t="shared" ca="1" si="46"/>
        <v>#N/A</v>
      </c>
      <c r="V154" s="55" t="e">
        <f t="shared" ca="1" si="47"/>
        <v>#N/A</v>
      </c>
      <c r="W154" s="55" t="e">
        <f t="shared" ca="1" si="52"/>
        <v>#N/A</v>
      </c>
      <c r="X154" s="55" t="e">
        <f t="shared" ca="1" si="53"/>
        <v>#N/A</v>
      </c>
      <c r="Y154" s="55" t="e">
        <f t="shared" ca="1" si="54"/>
        <v>#N/A</v>
      </c>
      <c r="Z154" t="e">
        <f t="shared" ca="1" si="48"/>
        <v>#N/A</v>
      </c>
      <c r="AA154" t="e">
        <f t="shared" ca="1" si="55"/>
        <v>#N/A</v>
      </c>
      <c r="AB154" t="e">
        <f t="shared" ca="1" si="49"/>
        <v>#N/A</v>
      </c>
      <c r="AC154" t="e">
        <f t="shared" ca="1" si="50"/>
        <v>#N/A</v>
      </c>
      <c r="AD154" s="83" t="e">
        <f ca="1"/>
        <v>#N/A</v>
      </c>
      <c r="AE154" s="55" t="e">
        <f t="shared" ca="1" si="59"/>
        <v>#N/A</v>
      </c>
      <c r="AF154" s="55" t="e">
        <f t="shared" ca="1" si="60"/>
        <v>#N/A</v>
      </c>
      <c r="AG154" s="55" t="e">
        <f t="shared" ca="1" si="61"/>
        <v>#N/A</v>
      </c>
      <c r="AH154" s="55" t="e">
        <f t="shared" ca="1" si="62"/>
        <v>#N/A</v>
      </c>
      <c r="AI154" s="55" t="e">
        <f t="shared" ca="1" si="56"/>
        <v>#N/A</v>
      </c>
      <c r="AJ154" s="55" t="e">
        <f t="shared" ca="1" si="57"/>
        <v>#N/A</v>
      </c>
      <c r="AK154" s="55" t="e">
        <f t="shared" ca="1" si="58"/>
        <v>#N/A</v>
      </c>
    </row>
    <row r="155" spans="18:37">
      <c r="R155" s="83" t="e">
        <f ca="1"/>
        <v>#N/A</v>
      </c>
      <c r="S155" s="55" t="e">
        <f t="shared" ca="1" si="51"/>
        <v>#N/A</v>
      </c>
      <c r="T155" s="55" t="e">
        <f t="shared" ca="1" si="45"/>
        <v>#N/A</v>
      </c>
      <c r="U155" s="55" t="e">
        <f t="shared" ca="1" si="46"/>
        <v>#N/A</v>
      </c>
      <c r="V155" s="55" t="e">
        <f t="shared" ca="1" si="47"/>
        <v>#N/A</v>
      </c>
      <c r="W155" s="55" t="e">
        <f t="shared" ca="1" si="52"/>
        <v>#N/A</v>
      </c>
      <c r="X155" s="55" t="e">
        <f t="shared" ca="1" si="53"/>
        <v>#N/A</v>
      </c>
      <c r="Y155" s="55" t="e">
        <f t="shared" ca="1" si="54"/>
        <v>#N/A</v>
      </c>
      <c r="Z155" t="e">
        <f t="shared" ca="1" si="48"/>
        <v>#N/A</v>
      </c>
      <c r="AA155" t="e">
        <f t="shared" ca="1" si="55"/>
        <v>#N/A</v>
      </c>
      <c r="AB155" t="e">
        <f t="shared" ca="1" si="49"/>
        <v>#N/A</v>
      </c>
      <c r="AC155" t="e">
        <f t="shared" ca="1" si="50"/>
        <v>#N/A</v>
      </c>
      <c r="AD155" s="83" t="e">
        <f ca="1"/>
        <v>#N/A</v>
      </c>
      <c r="AE155" s="55" t="e">
        <f t="shared" ca="1" si="59"/>
        <v>#N/A</v>
      </c>
      <c r="AF155" s="55" t="e">
        <f t="shared" ca="1" si="60"/>
        <v>#N/A</v>
      </c>
      <c r="AG155" s="55" t="e">
        <f t="shared" ca="1" si="61"/>
        <v>#N/A</v>
      </c>
      <c r="AH155" s="55" t="e">
        <f t="shared" ca="1" si="62"/>
        <v>#N/A</v>
      </c>
      <c r="AI155" s="55" t="e">
        <f t="shared" ca="1" si="56"/>
        <v>#N/A</v>
      </c>
      <c r="AJ155" s="55" t="e">
        <f t="shared" ca="1" si="57"/>
        <v>#N/A</v>
      </c>
      <c r="AK155" s="55" t="e">
        <f t="shared" ca="1" si="58"/>
        <v>#N/A</v>
      </c>
    </row>
    <row r="156" spans="18:37">
      <c r="R156" s="83" t="e">
        <f ca="1"/>
        <v>#N/A</v>
      </c>
      <c r="S156" s="55" t="e">
        <f t="shared" ca="1" si="51"/>
        <v>#N/A</v>
      </c>
      <c r="T156" s="55" t="e">
        <f t="shared" ca="1" si="45"/>
        <v>#N/A</v>
      </c>
      <c r="U156" s="55" t="e">
        <f t="shared" ca="1" si="46"/>
        <v>#N/A</v>
      </c>
      <c r="V156" s="55" t="e">
        <f t="shared" ca="1" si="47"/>
        <v>#N/A</v>
      </c>
      <c r="W156" s="55" t="e">
        <f t="shared" ca="1" si="52"/>
        <v>#N/A</v>
      </c>
      <c r="X156" s="55" t="e">
        <f t="shared" ca="1" si="53"/>
        <v>#N/A</v>
      </c>
      <c r="Y156" s="55" t="e">
        <f t="shared" ca="1" si="54"/>
        <v>#N/A</v>
      </c>
      <c r="Z156" t="e">
        <f t="shared" ca="1" si="48"/>
        <v>#N/A</v>
      </c>
      <c r="AA156" t="e">
        <f t="shared" ca="1" si="55"/>
        <v>#N/A</v>
      </c>
      <c r="AB156" t="e">
        <f t="shared" ca="1" si="49"/>
        <v>#N/A</v>
      </c>
      <c r="AC156" t="e">
        <f t="shared" ca="1" si="50"/>
        <v>#N/A</v>
      </c>
      <c r="AD156" s="83" t="e">
        <f ca="1"/>
        <v>#N/A</v>
      </c>
      <c r="AE156" s="55" t="e">
        <f t="shared" ca="1" si="59"/>
        <v>#N/A</v>
      </c>
      <c r="AF156" s="55" t="e">
        <f t="shared" ca="1" si="60"/>
        <v>#N/A</v>
      </c>
      <c r="AG156" s="55" t="e">
        <f t="shared" ca="1" si="61"/>
        <v>#N/A</v>
      </c>
      <c r="AH156" s="55" t="e">
        <f t="shared" ca="1" si="62"/>
        <v>#N/A</v>
      </c>
      <c r="AI156" s="55" t="e">
        <f t="shared" ca="1" si="56"/>
        <v>#N/A</v>
      </c>
      <c r="AJ156" s="55" t="e">
        <f t="shared" ca="1" si="57"/>
        <v>#N/A</v>
      </c>
      <c r="AK156" s="55" t="e">
        <f t="shared" ca="1" si="58"/>
        <v>#N/A</v>
      </c>
    </row>
    <row r="157" spans="18:37">
      <c r="R157" s="83" t="e">
        <f ca="1"/>
        <v>#N/A</v>
      </c>
      <c r="S157" s="55" t="e">
        <f t="shared" ca="1" si="51"/>
        <v>#N/A</v>
      </c>
      <c r="T157" s="55" t="e">
        <f t="shared" ca="1" si="45"/>
        <v>#N/A</v>
      </c>
      <c r="U157" s="55" t="e">
        <f t="shared" ca="1" si="46"/>
        <v>#N/A</v>
      </c>
      <c r="V157" s="55" t="e">
        <f t="shared" ca="1" si="47"/>
        <v>#N/A</v>
      </c>
      <c r="W157" s="55" t="e">
        <f t="shared" ca="1" si="52"/>
        <v>#N/A</v>
      </c>
      <c r="X157" s="55" t="e">
        <f t="shared" ca="1" si="53"/>
        <v>#N/A</v>
      </c>
      <c r="Y157" s="55" t="e">
        <f t="shared" ca="1" si="54"/>
        <v>#N/A</v>
      </c>
      <c r="Z157" t="e">
        <f t="shared" ca="1" si="48"/>
        <v>#N/A</v>
      </c>
      <c r="AA157" t="e">
        <f t="shared" ca="1" si="55"/>
        <v>#N/A</v>
      </c>
      <c r="AB157" t="e">
        <f t="shared" ca="1" si="49"/>
        <v>#N/A</v>
      </c>
      <c r="AC157" t="e">
        <f t="shared" ca="1" si="50"/>
        <v>#N/A</v>
      </c>
      <c r="AD157" s="83" t="e">
        <f ca="1"/>
        <v>#N/A</v>
      </c>
      <c r="AE157" s="55" t="e">
        <f t="shared" ca="1" si="59"/>
        <v>#N/A</v>
      </c>
      <c r="AF157" s="55" t="e">
        <f t="shared" ca="1" si="60"/>
        <v>#N/A</v>
      </c>
      <c r="AG157" s="55" t="e">
        <f t="shared" ca="1" si="61"/>
        <v>#N/A</v>
      </c>
      <c r="AH157" s="55" t="e">
        <f t="shared" ca="1" si="62"/>
        <v>#N/A</v>
      </c>
      <c r="AI157" s="55" t="e">
        <f t="shared" ca="1" si="56"/>
        <v>#N/A</v>
      </c>
      <c r="AJ157" s="55" t="e">
        <f t="shared" ca="1" si="57"/>
        <v>#N/A</v>
      </c>
      <c r="AK157" s="55" t="e">
        <f t="shared" ca="1" si="58"/>
        <v>#N/A</v>
      </c>
    </row>
    <row r="158" spans="18:37">
      <c r="R158" s="83" t="e">
        <f ca="1"/>
        <v>#N/A</v>
      </c>
      <c r="S158" s="55" t="e">
        <f t="shared" ca="1" si="51"/>
        <v>#N/A</v>
      </c>
      <c r="T158" s="55" t="e">
        <f t="shared" ca="1" si="45"/>
        <v>#N/A</v>
      </c>
      <c r="U158" s="55" t="e">
        <f t="shared" ca="1" si="46"/>
        <v>#N/A</v>
      </c>
      <c r="V158" s="55" t="e">
        <f t="shared" ca="1" si="47"/>
        <v>#N/A</v>
      </c>
      <c r="W158" s="55" t="e">
        <f t="shared" ca="1" si="52"/>
        <v>#N/A</v>
      </c>
      <c r="X158" s="55" t="e">
        <f t="shared" ca="1" si="53"/>
        <v>#N/A</v>
      </c>
      <c r="Y158" s="55" t="e">
        <f t="shared" ca="1" si="54"/>
        <v>#N/A</v>
      </c>
      <c r="Z158" t="e">
        <f t="shared" ca="1" si="48"/>
        <v>#N/A</v>
      </c>
      <c r="AA158" t="e">
        <f t="shared" ca="1" si="55"/>
        <v>#N/A</v>
      </c>
      <c r="AB158" t="e">
        <f t="shared" ca="1" si="49"/>
        <v>#N/A</v>
      </c>
      <c r="AC158" t="e">
        <f t="shared" ca="1" si="50"/>
        <v>#N/A</v>
      </c>
      <c r="AD158" s="83" t="e">
        <f ca="1"/>
        <v>#N/A</v>
      </c>
      <c r="AE158" s="55" t="e">
        <f t="shared" ca="1" si="59"/>
        <v>#N/A</v>
      </c>
      <c r="AF158" s="55" t="e">
        <f t="shared" ca="1" si="60"/>
        <v>#N/A</v>
      </c>
      <c r="AG158" s="55" t="e">
        <f t="shared" ca="1" si="61"/>
        <v>#N/A</v>
      </c>
      <c r="AH158" s="55" t="e">
        <f t="shared" ca="1" si="62"/>
        <v>#N/A</v>
      </c>
      <c r="AI158" s="55" t="e">
        <f t="shared" ca="1" si="56"/>
        <v>#N/A</v>
      </c>
      <c r="AJ158" s="55" t="e">
        <f t="shared" ca="1" si="57"/>
        <v>#N/A</v>
      </c>
      <c r="AK158" s="55" t="e">
        <f t="shared" ca="1" si="58"/>
        <v>#N/A</v>
      </c>
    </row>
    <row r="159" spans="18:37">
      <c r="R159" s="83" t="e">
        <f ca="1"/>
        <v>#N/A</v>
      </c>
      <c r="S159" s="55" t="e">
        <f t="shared" ca="1" si="51"/>
        <v>#N/A</v>
      </c>
      <c r="T159" s="55" t="e">
        <f t="shared" ca="1" si="45"/>
        <v>#N/A</v>
      </c>
      <c r="U159" s="55" t="e">
        <f t="shared" ca="1" si="46"/>
        <v>#N/A</v>
      </c>
      <c r="V159" s="55" t="e">
        <f t="shared" ca="1" si="47"/>
        <v>#N/A</v>
      </c>
      <c r="W159" s="55" t="e">
        <f t="shared" ca="1" si="52"/>
        <v>#N/A</v>
      </c>
      <c r="X159" s="55" t="e">
        <f t="shared" ca="1" si="53"/>
        <v>#N/A</v>
      </c>
      <c r="Y159" s="55" t="e">
        <f t="shared" ca="1" si="54"/>
        <v>#N/A</v>
      </c>
      <c r="Z159" t="e">
        <f t="shared" ca="1" si="48"/>
        <v>#N/A</v>
      </c>
      <c r="AA159" t="e">
        <f t="shared" ca="1" si="55"/>
        <v>#N/A</v>
      </c>
      <c r="AB159" t="e">
        <f t="shared" ca="1" si="49"/>
        <v>#N/A</v>
      </c>
      <c r="AC159" t="e">
        <f t="shared" ca="1" si="50"/>
        <v>#N/A</v>
      </c>
      <c r="AD159" s="83" t="e">
        <f ca="1"/>
        <v>#N/A</v>
      </c>
      <c r="AE159" s="55" t="e">
        <f t="shared" ca="1" si="59"/>
        <v>#N/A</v>
      </c>
      <c r="AF159" s="55" t="e">
        <f t="shared" ca="1" si="60"/>
        <v>#N/A</v>
      </c>
      <c r="AG159" s="55" t="e">
        <f t="shared" ca="1" si="61"/>
        <v>#N/A</v>
      </c>
      <c r="AH159" s="55" t="e">
        <f t="shared" ca="1" si="62"/>
        <v>#N/A</v>
      </c>
      <c r="AI159" s="55" t="e">
        <f t="shared" ca="1" si="56"/>
        <v>#N/A</v>
      </c>
      <c r="AJ159" s="55" t="e">
        <f t="shared" ca="1" si="57"/>
        <v>#N/A</v>
      </c>
      <c r="AK159" s="55" t="e">
        <f t="shared" ca="1" si="58"/>
        <v>#N/A</v>
      </c>
    </row>
    <row r="160" spans="18:37">
      <c r="R160" s="83" t="e">
        <f ca="1"/>
        <v>#N/A</v>
      </c>
      <c r="S160" s="55" t="e">
        <f t="shared" ca="1" si="51"/>
        <v>#N/A</v>
      </c>
      <c r="T160" s="55" t="e">
        <f t="shared" ca="1" si="45"/>
        <v>#N/A</v>
      </c>
      <c r="U160" s="55" t="e">
        <f t="shared" ca="1" si="46"/>
        <v>#N/A</v>
      </c>
      <c r="V160" s="55" t="e">
        <f t="shared" ca="1" si="47"/>
        <v>#N/A</v>
      </c>
      <c r="W160" s="55" t="e">
        <f t="shared" ca="1" si="52"/>
        <v>#N/A</v>
      </c>
      <c r="X160" s="55" t="e">
        <f t="shared" ca="1" si="53"/>
        <v>#N/A</v>
      </c>
      <c r="Y160" s="55" t="e">
        <f t="shared" ca="1" si="54"/>
        <v>#N/A</v>
      </c>
      <c r="Z160" t="e">
        <f t="shared" ca="1" si="48"/>
        <v>#N/A</v>
      </c>
      <c r="AA160" t="e">
        <f t="shared" ca="1" si="55"/>
        <v>#N/A</v>
      </c>
      <c r="AB160" t="e">
        <f t="shared" ca="1" si="49"/>
        <v>#N/A</v>
      </c>
      <c r="AC160" t="e">
        <f t="shared" ca="1" si="50"/>
        <v>#N/A</v>
      </c>
      <c r="AD160" s="83" t="e">
        <f ca="1"/>
        <v>#N/A</v>
      </c>
      <c r="AE160" s="55" t="e">
        <f t="shared" ca="1" si="59"/>
        <v>#N/A</v>
      </c>
      <c r="AF160" s="55" t="e">
        <f t="shared" ca="1" si="60"/>
        <v>#N/A</v>
      </c>
      <c r="AG160" s="55" t="e">
        <f t="shared" ca="1" si="61"/>
        <v>#N/A</v>
      </c>
      <c r="AH160" s="55" t="e">
        <f t="shared" ca="1" si="62"/>
        <v>#N/A</v>
      </c>
      <c r="AI160" s="55" t="e">
        <f t="shared" ca="1" si="56"/>
        <v>#N/A</v>
      </c>
      <c r="AJ160" s="55" t="e">
        <f t="shared" ca="1" si="57"/>
        <v>#N/A</v>
      </c>
      <c r="AK160" s="55" t="e">
        <f t="shared" ca="1" si="58"/>
        <v>#N/A</v>
      </c>
    </row>
    <row r="161" spans="18:37">
      <c r="R161" s="83" t="e">
        <f ca="1"/>
        <v>#N/A</v>
      </c>
      <c r="S161" s="55" t="e">
        <f t="shared" ca="1" si="51"/>
        <v>#N/A</v>
      </c>
      <c r="T161" s="55" t="e">
        <f t="shared" ca="1" si="45"/>
        <v>#N/A</v>
      </c>
      <c r="U161" s="55" t="e">
        <f t="shared" ca="1" si="46"/>
        <v>#N/A</v>
      </c>
      <c r="V161" s="55" t="e">
        <f t="shared" ca="1" si="47"/>
        <v>#N/A</v>
      </c>
      <c r="W161" s="55" t="e">
        <f t="shared" ca="1" si="52"/>
        <v>#N/A</v>
      </c>
      <c r="X161" s="55" t="e">
        <f t="shared" ca="1" si="53"/>
        <v>#N/A</v>
      </c>
      <c r="Y161" s="55" t="e">
        <f t="shared" ca="1" si="54"/>
        <v>#N/A</v>
      </c>
      <c r="Z161" t="e">
        <f t="shared" ca="1" si="48"/>
        <v>#N/A</v>
      </c>
      <c r="AA161" t="e">
        <f t="shared" ca="1" si="55"/>
        <v>#N/A</v>
      </c>
      <c r="AB161" t="e">
        <f t="shared" ca="1" si="49"/>
        <v>#N/A</v>
      </c>
      <c r="AC161" t="e">
        <f t="shared" ca="1" si="50"/>
        <v>#N/A</v>
      </c>
      <c r="AD161" s="83" t="e">
        <f ca="1"/>
        <v>#N/A</v>
      </c>
      <c r="AE161" s="55" t="e">
        <f t="shared" ca="1" si="59"/>
        <v>#N/A</v>
      </c>
      <c r="AF161" s="55" t="e">
        <f t="shared" ca="1" si="60"/>
        <v>#N/A</v>
      </c>
      <c r="AG161" s="55" t="e">
        <f t="shared" ca="1" si="61"/>
        <v>#N/A</v>
      </c>
      <c r="AH161" s="55" t="e">
        <f t="shared" ca="1" si="62"/>
        <v>#N/A</v>
      </c>
      <c r="AI161" s="55" t="e">
        <f t="shared" ca="1" si="56"/>
        <v>#N/A</v>
      </c>
      <c r="AJ161" s="55" t="e">
        <f t="shared" ca="1" si="57"/>
        <v>#N/A</v>
      </c>
      <c r="AK161" s="55" t="e">
        <f t="shared" ca="1" si="58"/>
        <v>#N/A</v>
      </c>
    </row>
    <row r="162" spans="18:37">
      <c r="R162" s="83" t="e">
        <f ca="1"/>
        <v>#N/A</v>
      </c>
      <c r="S162" s="55" t="e">
        <f t="shared" ca="1" si="51"/>
        <v>#N/A</v>
      </c>
      <c r="T162" s="55" t="e">
        <f t="shared" ca="1" si="45"/>
        <v>#N/A</v>
      </c>
      <c r="U162" s="55" t="e">
        <f t="shared" ca="1" si="46"/>
        <v>#N/A</v>
      </c>
      <c r="V162" s="55" t="e">
        <f t="shared" ca="1" si="47"/>
        <v>#N/A</v>
      </c>
      <c r="W162" s="55" t="e">
        <f t="shared" ca="1" si="52"/>
        <v>#N/A</v>
      </c>
      <c r="X162" s="55" t="e">
        <f t="shared" ca="1" si="53"/>
        <v>#N/A</v>
      </c>
      <c r="Y162" s="55" t="e">
        <f t="shared" ca="1" si="54"/>
        <v>#N/A</v>
      </c>
      <c r="Z162" t="e">
        <f t="shared" ca="1" si="48"/>
        <v>#N/A</v>
      </c>
      <c r="AA162" t="e">
        <f t="shared" ca="1" si="55"/>
        <v>#N/A</v>
      </c>
      <c r="AB162" t="e">
        <f t="shared" ca="1" si="49"/>
        <v>#N/A</v>
      </c>
      <c r="AC162" t="e">
        <f t="shared" ca="1" si="50"/>
        <v>#N/A</v>
      </c>
      <c r="AD162" s="83" t="e">
        <f ca="1"/>
        <v>#N/A</v>
      </c>
      <c r="AE162" s="55" t="e">
        <f t="shared" ca="1" si="59"/>
        <v>#N/A</v>
      </c>
      <c r="AF162" s="55" t="e">
        <f t="shared" ca="1" si="60"/>
        <v>#N/A</v>
      </c>
      <c r="AG162" s="55" t="e">
        <f t="shared" ca="1" si="61"/>
        <v>#N/A</v>
      </c>
      <c r="AH162" s="55" t="e">
        <f t="shared" ca="1" si="62"/>
        <v>#N/A</v>
      </c>
      <c r="AI162" s="55" t="e">
        <f t="shared" ca="1" si="56"/>
        <v>#N/A</v>
      </c>
      <c r="AJ162" s="55" t="e">
        <f t="shared" ca="1" si="57"/>
        <v>#N/A</v>
      </c>
      <c r="AK162" s="55" t="e">
        <f t="shared" ca="1" si="58"/>
        <v>#N/A</v>
      </c>
    </row>
    <row r="163" spans="18:37">
      <c r="R163" s="83" t="e">
        <f ca="1"/>
        <v>#N/A</v>
      </c>
      <c r="S163" s="55" t="e">
        <f t="shared" ca="1" si="51"/>
        <v>#N/A</v>
      </c>
      <c r="T163" s="55" t="e">
        <f t="shared" ca="1" si="45"/>
        <v>#N/A</v>
      </c>
      <c r="U163" s="55" t="e">
        <f t="shared" ca="1" si="46"/>
        <v>#N/A</v>
      </c>
      <c r="V163" s="55" t="e">
        <f t="shared" ca="1" si="47"/>
        <v>#N/A</v>
      </c>
      <c r="W163" s="55" t="e">
        <f t="shared" ca="1" si="52"/>
        <v>#N/A</v>
      </c>
      <c r="X163" s="55" t="e">
        <f t="shared" ca="1" si="53"/>
        <v>#N/A</v>
      </c>
      <c r="Y163" s="55" t="e">
        <f t="shared" ca="1" si="54"/>
        <v>#N/A</v>
      </c>
      <c r="Z163" t="e">
        <f t="shared" ca="1" si="48"/>
        <v>#N/A</v>
      </c>
      <c r="AA163" t="e">
        <f t="shared" ca="1" si="55"/>
        <v>#N/A</v>
      </c>
      <c r="AB163" t="e">
        <f t="shared" ca="1" si="49"/>
        <v>#N/A</v>
      </c>
      <c r="AC163" t="e">
        <f t="shared" ca="1" si="50"/>
        <v>#N/A</v>
      </c>
      <c r="AD163" s="83" t="e">
        <f ca="1"/>
        <v>#N/A</v>
      </c>
      <c r="AE163" s="55" t="e">
        <f t="shared" ca="1" si="59"/>
        <v>#N/A</v>
      </c>
      <c r="AF163" s="55" t="e">
        <f t="shared" ca="1" si="60"/>
        <v>#N/A</v>
      </c>
      <c r="AG163" s="55" t="e">
        <f t="shared" ca="1" si="61"/>
        <v>#N/A</v>
      </c>
      <c r="AH163" s="55" t="e">
        <f t="shared" ca="1" si="62"/>
        <v>#N/A</v>
      </c>
      <c r="AI163" s="55" t="e">
        <f t="shared" ca="1" si="56"/>
        <v>#N/A</v>
      </c>
      <c r="AJ163" s="55" t="e">
        <f t="shared" ca="1" si="57"/>
        <v>#N/A</v>
      </c>
      <c r="AK163" s="55" t="e">
        <f t="shared" ca="1" si="58"/>
        <v>#N/A</v>
      </c>
    </row>
    <row r="164" spans="18:37">
      <c r="R164" s="83" t="e">
        <f ca="1"/>
        <v>#N/A</v>
      </c>
      <c r="S164" s="55" t="e">
        <f t="shared" ca="1" si="51"/>
        <v>#N/A</v>
      </c>
      <c r="T164" s="55" t="e">
        <f t="shared" ca="1" si="45"/>
        <v>#N/A</v>
      </c>
      <c r="U164" s="55" t="e">
        <f t="shared" ca="1" si="46"/>
        <v>#N/A</v>
      </c>
      <c r="V164" s="55" t="e">
        <f t="shared" ca="1" si="47"/>
        <v>#N/A</v>
      </c>
      <c r="W164" s="55" t="e">
        <f t="shared" ca="1" si="52"/>
        <v>#N/A</v>
      </c>
      <c r="X164" s="55" t="e">
        <f t="shared" ca="1" si="53"/>
        <v>#N/A</v>
      </c>
      <c r="Y164" s="55" t="e">
        <f t="shared" ca="1" si="54"/>
        <v>#N/A</v>
      </c>
      <c r="Z164" t="e">
        <f t="shared" ca="1" si="48"/>
        <v>#N/A</v>
      </c>
      <c r="AA164" t="e">
        <f t="shared" ca="1" si="55"/>
        <v>#N/A</v>
      </c>
      <c r="AB164" t="e">
        <f t="shared" ca="1" si="49"/>
        <v>#N/A</v>
      </c>
      <c r="AC164" t="e">
        <f t="shared" ca="1" si="50"/>
        <v>#N/A</v>
      </c>
      <c r="AD164" s="83" t="e">
        <f ca="1"/>
        <v>#N/A</v>
      </c>
      <c r="AE164" s="55" t="e">
        <f t="shared" ca="1" si="59"/>
        <v>#N/A</v>
      </c>
      <c r="AF164" s="55" t="e">
        <f t="shared" ca="1" si="60"/>
        <v>#N/A</v>
      </c>
      <c r="AG164" s="55" t="e">
        <f t="shared" ca="1" si="61"/>
        <v>#N/A</v>
      </c>
      <c r="AH164" s="55" t="e">
        <f t="shared" ca="1" si="62"/>
        <v>#N/A</v>
      </c>
      <c r="AI164" s="55" t="e">
        <f t="shared" ca="1" si="56"/>
        <v>#N/A</v>
      </c>
      <c r="AJ164" s="55" t="e">
        <f t="shared" ca="1" si="57"/>
        <v>#N/A</v>
      </c>
      <c r="AK164" s="55" t="e">
        <f t="shared" ca="1" si="58"/>
        <v>#N/A</v>
      </c>
    </row>
    <row r="165" spans="18:37">
      <c r="R165" s="83" t="e">
        <f ca="1"/>
        <v>#N/A</v>
      </c>
      <c r="S165" s="55" t="e">
        <f t="shared" ca="1" si="51"/>
        <v>#N/A</v>
      </c>
      <c r="T165" s="55" t="e">
        <f t="shared" ca="1" si="45"/>
        <v>#N/A</v>
      </c>
      <c r="U165" s="55" t="e">
        <f t="shared" ca="1" si="46"/>
        <v>#N/A</v>
      </c>
      <c r="V165" s="55" t="e">
        <f t="shared" ca="1" si="47"/>
        <v>#N/A</v>
      </c>
      <c r="W165" s="55" t="e">
        <f t="shared" ca="1" si="52"/>
        <v>#N/A</v>
      </c>
      <c r="X165" s="55" t="e">
        <f t="shared" ca="1" si="53"/>
        <v>#N/A</v>
      </c>
      <c r="Y165" s="55" t="e">
        <f t="shared" ca="1" si="54"/>
        <v>#N/A</v>
      </c>
      <c r="Z165" t="e">
        <f t="shared" ca="1" si="48"/>
        <v>#N/A</v>
      </c>
      <c r="AA165" t="e">
        <f t="shared" ca="1" si="55"/>
        <v>#N/A</v>
      </c>
      <c r="AB165" t="e">
        <f t="shared" ca="1" si="49"/>
        <v>#N/A</v>
      </c>
      <c r="AC165" t="e">
        <f t="shared" ca="1" si="50"/>
        <v>#N/A</v>
      </c>
      <c r="AD165" s="83" t="e">
        <f ca="1"/>
        <v>#N/A</v>
      </c>
      <c r="AE165" s="55" t="e">
        <f t="shared" ca="1" si="59"/>
        <v>#N/A</v>
      </c>
      <c r="AF165" s="55" t="e">
        <f t="shared" ca="1" si="60"/>
        <v>#N/A</v>
      </c>
      <c r="AG165" s="55" t="e">
        <f t="shared" ca="1" si="61"/>
        <v>#N/A</v>
      </c>
      <c r="AH165" s="55" t="e">
        <f t="shared" ca="1" si="62"/>
        <v>#N/A</v>
      </c>
      <c r="AI165" s="55" t="e">
        <f t="shared" ca="1" si="56"/>
        <v>#N/A</v>
      </c>
      <c r="AJ165" s="55" t="e">
        <f t="shared" ca="1" si="57"/>
        <v>#N/A</v>
      </c>
      <c r="AK165" s="55" t="e">
        <f t="shared" ca="1" si="58"/>
        <v>#N/A</v>
      </c>
    </row>
    <row r="166" spans="18:37">
      <c r="R166" s="83" t="e">
        <f ca="1"/>
        <v>#N/A</v>
      </c>
      <c r="S166" s="55" t="e">
        <f t="shared" ca="1" si="51"/>
        <v>#N/A</v>
      </c>
      <c r="T166" s="55" t="e">
        <f t="shared" ca="1" si="45"/>
        <v>#N/A</v>
      </c>
      <c r="U166" s="55" t="e">
        <f t="shared" ca="1" si="46"/>
        <v>#N/A</v>
      </c>
      <c r="V166" s="55" t="e">
        <f t="shared" ca="1" si="47"/>
        <v>#N/A</v>
      </c>
      <c r="W166" s="55" t="e">
        <f t="shared" ca="1" si="52"/>
        <v>#N/A</v>
      </c>
      <c r="X166" s="55" t="e">
        <f t="shared" ca="1" si="53"/>
        <v>#N/A</v>
      </c>
      <c r="Y166" s="55" t="e">
        <f t="shared" ca="1" si="54"/>
        <v>#N/A</v>
      </c>
      <c r="Z166" t="e">
        <f t="shared" ca="1" si="48"/>
        <v>#N/A</v>
      </c>
      <c r="AA166" t="e">
        <f t="shared" ca="1" si="55"/>
        <v>#N/A</v>
      </c>
      <c r="AB166" t="e">
        <f t="shared" ca="1" si="49"/>
        <v>#N/A</v>
      </c>
      <c r="AC166" t="e">
        <f t="shared" ca="1" si="50"/>
        <v>#N/A</v>
      </c>
      <c r="AD166" s="83" t="e">
        <f ca="1"/>
        <v>#N/A</v>
      </c>
      <c r="AE166" s="55" t="e">
        <f t="shared" ca="1" si="59"/>
        <v>#N/A</v>
      </c>
      <c r="AF166" s="55" t="e">
        <f t="shared" ca="1" si="60"/>
        <v>#N/A</v>
      </c>
      <c r="AG166" s="55" t="e">
        <f t="shared" ca="1" si="61"/>
        <v>#N/A</v>
      </c>
      <c r="AH166" s="55" t="e">
        <f t="shared" ca="1" si="62"/>
        <v>#N/A</v>
      </c>
      <c r="AI166" s="55" t="e">
        <f t="shared" ca="1" si="56"/>
        <v>#N/A</v>
      </c>
      <c r="AJ166" s="55" t="e">
        <f t="shared" ca="1" si="57"/>
        <v>#N/A</v>
      </c>
      <c r="AK166" s="55" t="e">
        <f t="shared" ca="1" si="58"/>
        <v>#N/A</v>
      </c>
    </row>
    <row r="167" spans="18:37">
      <c r="R167" s="83" t="e">
        <f ca="1"/>
        <v>#N/A</v>
      </c>
      <c r="S167" s="55" t="e">
        <f t="shared" ca="1" si="51"/>
        <v>#N/A</v>
      </c>
      <c r="T167" s="55" t="e">
        <f t="shared" ca="1" si="45"/>
        <v>#N/A</v>
      </c>
      <c r="U167" s="55" t="e">
        <f t="shared" ca="1" si="46"/>
        <v>#N/A</v>
      </c>
      <c r="V167" s="55" t="e">
        <f t="shared" ca="1" si="47"/>
        <v>#N/A</v>
      </c>
      <c r="W167" s="55" t="e">
        <f t="shared" ca="1" si="52"/>
        <v>#N/A</v>
      </c>
      <c r="X167" s="55" t="e">
        <f t="shared" ca="1" si="53"/>
        <v>#N/A</v>
      </c>
      <c r="Y167" s="55" t="e">
        <f t="shared" ca="1" si="54"/>
        <v>#N/A</v>
      </c>
      <c r="Z167" t="e">
        <f t="shared" ca="1" si="48"/>
        <v>#N/A</v>
      </c>
      <c r="AA167" t="e">
        <f t="shared" ca="1" si="55"/>
        <v>#N/A</v>
      </c>
      <c r="AB167" t="e">
        <f t="shared" ca="1" si="49"/>
        <v>#N/A</v>
      </c>
      <c r="AC167" t="e">
        <f t="shared" ca="1" si="50"/>
        <v>#N/A</v>
      </c>
      <c r="AD167" s="83" t="e">
        <f ca="1"/>
        <v>#N/A</v>
      </c>
      <c r="AE167" s="55" t="e">
        <f t="shared" ca="1" si="59"/>
        <v>#N/A</v>
      </c>
      <c r="AF167" s="55" t="e">
        <f t="shared" ca="1" si="60"/>
        <v>#N/A</v>
      </c>
      <c r="AG167" s="55" t="e">
        <f t="shared" ca="1" si="61"/>
        <v>#N/A</v>
      </c>
      <c r="AH167" s="55" t="e">
        <f t="shared" ca="1" si="62"/>
        <v>#N/A</v>
      </c>
      <c r="AI167" s="55" t="e">
        <f t="shared" ca="1" si="56"/>
        <v>#N/A</v>
      </c>
      <c r="AJ167" s="55" t="e">
        <f t="shared" ca="1" si="57"/>
        <v>#N/A</v>
      </c>
      <c r="AK167" s="55" t="e">
        <f t="shared" ca="1" si="58"/>
        <v>#N/A</v>
      </c>
    </row>
    <row r="168" spans="18:37">
      <c r="R168" s="83" t="e">
        <f ca="1"/>
        <v>#N/A</v>
      </c>
      <c r="S168" s="55" t="e">
        <f t="shared" ca="1" si="51"/>
        <v>#N/A</v>
      </c>
      <c r="T168" s="55" t="e">
        <f t="shared" ca="1" si="45"/>
        <v>#N/A</v>
      </c>
      <c r="U168" s="55" t="e">
        <f t="shared" ca="1" si="46"/>
        <v>#N/A</v>
      </c>
      <c r="V168" s="55" t="e">
        <f t="shared" ca="1" si="47"/>
        <v>#N/A</v>
      </c>
      <c r="W168" s="55" t="e">
        <f t="shared" ca="1" si="52"/>
        <v>#N/A</v>
      </c>
      <c r="X168" s="55" t="e">
        <f t="shared" ca="1" si="53"/>
        <v>#N/A</v>
      </c>
      <c r="Y168" s="55" t="e">
        <f t="shared" ca="1" si="54"/>
        <v>#N/A</v>
      </c>
      <c r="Z168" t="e">
        <f t="shared" ca="1" si="48"/>
        <v>#N/A</v>
      </c>
      <c r="AA168" t="e">
        <f t="shared" ca="1" si="55"/>
        <v>#N/A</v>
      </c>
      <c r="AB168" t="e">
        <f t="shared" ca="1" si="49"/>
        <v>#N/A</v>
      </c>
      <c r="AC168" t="e">
        <f t="shared" ca="1" si="50"/>
        <v>#N/A</v>
      </c>
      <c r="AD168" s="83" t="e">
        <f ca="1"/>
        <v>#N/A</v>
      </c>
      <c r="AE168" s="55" t="e">
        <f t="shared" ca="1" si="59"/>
        <v>#N/A</v>
      </c>
      <c r="AF168" s="55" t="e">
        <f t="shared" ca="1" si="60"/>
        <v>#N/A</v>
      </c>
      <c r="AG168" s="55" t="e">
        <f t="shared" ca="1" si="61"/>
        <v>#N/A</v>
      </c>
      <c r="AH168" s="55" t="e">
        <f t="shared" ca="1" si="62"/>
        <v>#N/A</v>
      </c>
      <c r="AI168" s="55" t="e">
        <f t="shared" ca="1" si="56"/>
        <v>#N/A</v>
      </c>
      <c r="AJ168" s="55" t="e">
        <f t="shared" ca="1" si="57"/>
        <v>#N/A</v>
      </c>
      <c r="AK168" s="55" t="e">
        <f t="shared" ca="1" si="58"/>
        <v>#N/A</v>
      </c>
    </row>
    <row r="169" spans="18:37">
      <c r="R169" s="83" t="e">
        <f ca="1"/>
        <v>#N/A</v>
      </c>
      <c r="S169" s="55" t="e">
        <f t="shared" ca="1" si="51"/>
        <v>#N/A</v>
      </c>
      <c r="T169" s="55" t="e">
        <f t="shared" ca="1" si="45"/>
        <v>#N/A</v>
      </c>
      <c r="U169" s="55" t="e">
        <f t="shared" ca="1" si="46"/>
        <v>#N/A</v>
      </c>
      <c r="V169" s="55" t="e">
        <f t="shared" ca="1" si="47"/>
        <v>#N/A</v>
      </c>
      <c r="W169" s="55" t="e">
        <f t="shared" ca="1" si="52"/>
        <v>#N/A</v>
      </c>
      <c r="X169" s="55" t="e">
        <f t="shared" ca="1" si="53"/>
        <v>#N/A</v>
      </c>
      <c r="Y169" s="55" t="e">
        <f t="shared" ca="1" si="54"/>
        <v>#N/A</v>
      </c>
      <c r="Z169" t="e">
        <f t="shared" ca="1" si="48"/>
        <v>#N/A</v>
      </c>
      <c r="AA169" t="e">
        <f t="shared" ca="1" si="55"/>
        <v>#N/A</v>
      </c>
      <c r="AB169" t="e">
        <f t="shared" ca="1" si="49"/>
        <v>#N/A</v>
      </c>
      <c r="AC169" t="e">
        <f t="shared" ca="1" si="50"/>
        <v>#N/A</v>
      </c>
      <c r="AD169" s="83" t="e">
        <f ca="1"/>
        <v>#N/A</v>
      </c>
      <c r="AE169" s="55" t="e">
        <f t="shared" ca="1" si="59"/>
        <v>#N/A</v>
      </c>
      <c r="AF169" s="55" t="e">
        <f t="shared" ca="1" si="60"/>
        <v>#N/A</v>
      </c>
      <c r="AG169" s="55" t="e">
        <f t="shared" ca="1" si="61"/>
        <v>#N/A</v>
      </c>
      <c r="AH169" s="55" t="e">
        <f t="shared" ca="1" si="62"/>
        <v>#N/A</v>
      </c>
      <c r="AI169" s="55" t="e">
        <f t="shared" ca="1" si="56"/>
        <v>#N/A</v>
      </c>
      <c r="AJ169" s="55" t="e">
        <f t="shared" ca="1" si="57"/>
        <v>#N/A</v>
      </c>
      <c r="AK169" s="55" t="e">
        <f t="shared" ca="1" si="58"/>
        <v>#N/A</v>
      </c>
    </row>
    <row r="170" spans="18:37">
      <c r="R170" s="83" t="e">
        <f ca="1"/>
        <v>#N/A</v>
      </c>
      <c r="S170" s="55" t="e">
        <f t="shared" ca="1" si="51"/>
        <v>#N/A</v>
      </c>
      <c r="T170" s="55" t="e">
        <f t="shared" ca="1" si="45"/>
        <v>#N/A</v>
      </c>
      <c r="U170" s="55" t="e">
        <f t="shared" ca="1" si="46"/>
        <v>#N/A</v>
      </c>
      <c r="V170" s="55" t="e">
        <f t="shared" ca="1" si="47"/>
        <v>#N/A</v>
      </c>
      <c r="W170" s="55" t="e">
        <f t="shared" ca="1" si="52"/>
        <v>#N/A</v>
      </c>
      <c r="X170" s="55" t="e">
        <f t="shared" ca="1" si="53"/>
        <v>#N/A</v>
      </c>
      <c r="Y170" s="55" t="e">
        <f t="shared" ca="1" si="54"/>
        <v>#N/A</v>
      </c>
      <c r="Z170" t="e">
        <f t="shared" ca="1" si="48"/>
        <v>#N/A</v>
      </c>
      <c r="AA170" t="e">
        <f t="shared" ca="1" si="55"/>
        <v>#N/A</v>
      </c>
      <c r="AB170" t="e">
        <f t="shared" ca="1" si="49"/>
        <v>#N/A</v>
      </c>
      <c r="AC170" t="e">
        <f t="shared" ca="1" si="50"/>
        <v>#N/A</v>
      </c>
      <c r="AD170" s="83" t="e">
        <f ca="1"/>
        <v>#N/A</v>
      </c>
      <c r="AE170" s="55" t="e">
        <f t="shared" ca="1" si="59"/>
        <v>#N/A</v>
      </c>
      <c r="AF170" s="55" t="e">
        <f t="shared" ca="1" si="60"/>
        <v>#N/A</v>
      </c>
      <c r="AG170" s="55" t="e">
        <f t="shared" ca="1" si="61"/>
        <v>#N/A</v>
      </c>
      <c r="AH170" s="55" t="e">
        <f t="shared" ca="1" si="62"/>
        <v>#N/A</v>
      </c>
      <c r="AI170" s="55" t="e">
        <f t="shared" ca="1" si="56"/>
        <v>#N/A</v>
      </c>
      <c r="AJ170" s="55" t="e">
        <f t="shared" ca="1" si="57"/>
        <v>#N/A</v>
      </c>
      <c r="AK170" s="55" t="e">
        <f t="shared" ca="1" si="58"/>
        <v>#N/A</v>
      </c>
    </row>
    <row r="171" spans="18:37">
      <c r="R171" s="83" t="e">
        <f ca="1"/>
        <v>#N/A</v>
      </c>
      <c r="S171" s="55" t="e">
        <f t="shared" ca="1" si="51"/>
        <v>#N/A</v>
      </c>
      <c r="T171" s="55" t="e">
        <f t="shared" ca="1" si="45"/>
        <v>#N/A</v>
      </c>
      <c r="U171" s="55" t="e">
        <f t="shared" ca="1" si="46"/>
        <v>#N/A</v>
      </c>
      <c r="V171" s="55" t="e">
        <f t="shared" ca="1" si="47"/>
        <v>#N/A</v>
      </c>
      <c r="W171" s="55" t="e">
        <f t="shared" ca="1" si="52"/>
        <v>#N/A</v>
      </c>
      <c r="X171" s="55" t="e">
        <f t="shared" ca="1" si="53"/>
        <v>#N/A</v>
      </c>
      <c r="Y171" s="55" t="e">
        <f t="shared" ca="1" si="54"/>
        <v>#N/A</v>
      </c>
      <c r="Z171" t="e">
        <f t="shared" ca="1" si="48"/>
        <v>#N/A</v>
      </c>
      <c r="AA171" t="e">
        <f t="shared" ca="1" si="55"/>
        <v>#N/A</v>
      </c>
      <c r="AB171" t="e">
        <f t="shared" ca="1" si="49"/>
        <v>#N/A</v>
      </c>
      <c r="AC171" t="e">
        <f t="shared" ca="1" si="50"/>
        <v>#N/A</v>
      </c>
      <c r="AD171" s="83" t="e">
        <f ca="1"/>
        <v>#N/A</v>
      </c>
      <c r="AE171" s="55" t="e">
        <f t="shared" ca="1" si="59"/>
        <v>#N/A</v>
      </c>
      <c r="AF171" s="55" t="e">
        <f t="shared" ca="1" si="60"/>
        <v>#N/A</v>
      </c>
      <c r="AG171" s="55" t="e">
        <f t="shared" ca="1" si="61"/>
        <v>#N/A</v>
      </c>
      <c r="AH171" s="55" t="e">
        <f t="shared" ca="1" si="62"/>
        <v>#N/A</v>
      </c>
      <c r="AI171" s="55" t="e">
        <f t="shared" ca="1" si="56"/>
        <v>#N/A</v>
      </c>
      <c r="AJ171" s="55" t="e">
        <f t="shared" ca="1" si="57"/>
        <v>#N/A</v>
      </c>
      <c r="AK171" s="55" t="e">
        <f t="shared" ca="1" si="58"/>
        <v>#N/A</v>
      </c>
    </row>
    <row r="172" spans="18:37">
      <c r="R172" s="83" t="e">
        <f ca="1"/>
        <v>#N/A</v>
      </c>
      <c r="S172" s="55" t="e">
        <f t="shared" ca="1" si="51"/>
        <v>#N/A</v>
      </c>
      <c r="T172" s="55" t="e">
        <f t="shared" ca="1" si="45"/>
        <v>#N/A</v>
      </c>
      <c r="U172" s="55" t="e">
        <f t="shared" ca="1" si="46"/>
        <v>#N/A</v>
      </c>
      <c r="V172" s="55" t="e">
        <f t="shared" ca="1" si="47"/>
        <v>#N/A</v>
      </c>
      <c r="W172" s="55" t="e">
        <f t="shared" ca="1" si="52"/>
        <v>#N/A</v>
      </c>
      <c r="X172" s="55" t="e">
        <f t="shared" ca="1" si="53"/>
        <v>#N/A</v>
      </c>
      <c r="Y172" s="55" t="e">
        <f t="shared" ca="1" si="54"/>
        <v>#N/A</v>
      </c>
      <c r="Z172" t="e">
        <f t="shared" ca="1" si="48"/>
        <v>#N/A</v>
      </c>
      <c r="AA172" t="e">
        <f t="shared" ca="1" si="55"/>
        <v>#N/A</v>
      </c>
      <c r="AB172" t="e">
        <f t="shared" ca="1" si="49"/>
        <v>#N/A</v>
      </c>
      <c r="AC172" t="e">
        <f t="shared" ca="1" si="50"/>
        <v>#N/A</v>
      </c>
      <c r="AD172" s="83" t="e">
        <f ca="1"/>
        <v>#N/A</v>
      </c>
      <c r="AE172" s="55" t="e">
        <f t="shared" ca="1" si="59"/>
        <v>#N/A</v>
      </c>
      <c r="AF172" s="55" t="e">
        <f t="shared" ca="1" si="60"/>
        <v>#N/A</v>
      </c>
      <c r="AG172" s="55" t="e">
        <f t="shared" ca="1" si="61"/>
        <v>#N/A</v>
      </c>
      <c r="AH172" s="55" t="e">
        <f t="shared" ca="1" si="62"/>
        <v>#N/A</v>
      </c>
      <c r="AI172" s="55" t="e">
        <f t="shared" ca="1" si="56"/>
        <v>#N/A</v>
      </c>
      <c r="AJ172" s="55" t="e">
        <f t="shared" ca="1" si="57"/>
        <v>#N/A</v>
      </c>
      <c r="AK172" s="55" t="e">
        <f t="shared" ca="1" si="58"/>
        <v>#N/A</v>
      </c>
    </row>
    <row r="173" spans="18:37">
      <c r="R173" s="83" t="e">
        <f ca="1"/>
        <v>#N/A</v>
      </c>
      <c r="S173" s="55" t="e">
        <f t="shared" ca="1" si="51"/>
        <v>#N/A</v>
      </c>
      <c r="T173" s="55" t="e">
        <f t="shared" ca="1" si="45"/>
        <v>#N/A</v>
      </c>
      <c r="U173" s="55" t="e">
        <f t="shared" ca="1" si="46"/>
        <v>#N/A</v>
      </c>
      <c r="V173" s="55" t="e">
        <f t="shared" ca="1" si="47"/>
        <v>#N/A</v>
      </c>
      <c r="W173" s="55" t="e">
        <f t="shared" ca="1" si="52"/>
        <v>#N/A</v>
      </c>
      <c r="X173" s="55" t="e">
        <f t="shared" ca="1" si="53"/>
        <v>#N/A</v>
      </c>
      <c r="Y173" s="55" t="e">
        <f t="shared" ca="1" si="54"/>
        <v>#N/A</v>
      </c>
      <c r="Z173" t="e">
        <f t="shared" ca="1" si="48"/>
        <v>#N/A</v>
      </c>
      <c r="AA173" t="e">
        <f t="shared" ca="1" si="55"/>
        <v>#N/A</v>
      </c>
      <c r="AB173" t="e">
        <f t="shared" ca="1" si="49"/>
        <v>#N/A</v>
      </c>
      <c r="AC173" t="e">
        <f t="shared" ca="1" si="50"/>
        <v>#N/A</v>
      </c>
      <c r="AD173" s="83" t="e">
        <f ca="1"/>
        <v>#N/A</v>
      </c>
      <c r="AE173" s="55" t="e">
        <f t="shared" ca="1" si="59"/>
        <v>#N/A</v>
      </c>
      <c r="AF173" s="55" t="e">
        <f t="shared" ca="1" si="60"/>
        <v>#N/A</v>
      </c>
      <c r="AG173" s="55" t="e">
        <f t="shared" ca="1" si="61"/>
        <v>#N/A</v>
      </c>
      <c r="AH173" s="55" t="e">
        <f t="shared" ca="1" si="62"/>
        <v>#N/A</v>
      </c>
      <c r="AI173" s="55" t="e">
        <f t="shared" ca="1" si="56"/>
        <v>#N/A</v>
      </c>
      <c r="AJ173" s="55" t="e">
        <f t="shared" ca="1" si="57"/>
        <v>#N/A</v>
      </c>
      <c r="AK173" s="55" t="e">
        <f t="shared" ca="1" si="58"/>
        <v>#N/A</v>
      </c>
    </row>
    <row r="174" spans="18:37">
      <c r="R174" s="83" t="e">
        <f ca="1"/>
        <v>#N/A</v>
      </c>
      <c r="S174" s="55" t="e">
        <f t="shared" ca="1" si="51"/>
        <v>#N/A</v>
      </c>
      <c r="T174" s="55" t="e">
        <f t="shared" ca="1" si="45"/>
        <v>#N/A</v>
      </c>
      <c r="U174" s="55" t="e">
        <f t="shared" ca="1" si="46"/>
        <v>#N/A</v>
      </c>
      <c r="V174" s="55" t="e">
        <f t="shared" ca="1" si="47"/>
        <v>#N/A</v>
      </c>
      <c r="W174" s="55" t="e">
        <f t="shared" ca="1" si="52"/>
        <v>#N/A</v>
      </c>
      <c r="X174" s="55" t="e">
        <f t="shared" ca="1" si="53"/>
        <v>#N/A</v>
      </c>
      <c r="Y174" s="55" t="e">
        <f t="shared" ca="1" si="54"/>
        <v>#N/A</v>
      </c>
      <c r="Z174" t="e">
        <f t="shared" ca="1" si="48"/>
        <v>#N/A</v>
      </c>
      <c r="AA174" t="e">
        <f t="shared" ca="1" si="55"/>
        <v>#N/A</v>
      </c>
      <c r="AB174" t="e">
        <f t="shared" ca="1" si="49"/>
        <v>#N/A</v>
      </c>
      <c r="AC174" t="e">
        <f t="shared" ca="1" si="50"/>
        <v>#N/A</v>
      </c>
      <c r="AD174" s="83" t="e">
        <f ca="1"/>
        <v>#N/A</v>
      </c>
      <c r="AE174" s="55" t="e">
        <f t="shared" ca="1" si="59"/>
        <v>#N/A</v>
      </c>
      <c r="AF174" s="55" t="e">
        <f t="shared" ca="1" si="60"/>
        <v>#N/A</v>
      </c>
      <c r="AG174" s="55" t="e">
        <f t="shared" ca="1" si="61"/>
        <v>#N/A</v>
      </c>
      <c r="AH174" s="55" t="e">
        <f t="shared" ca="1" si="62"/>
        <v>#N/A</v>
      </c>
      <c r="AI174" s="55" t="e">
        <f t="shared" ca="1" si="56"/>
        <v>#N/A</v>
      </c>
      <c r="AJ174" s="55" t="e">
        <f t="shared" ca="1" si="57"/>
        <v>#N/A</v>
      </c>
      <c r="AK174" s="55" t="e">
        <f t="shared" ca="1" si="58"/>
        <v>#N/A</v>
      </c>
    </row>
    <row r="175" spans="18:37">
      <c r="R175" s="83" t="e">
        <f ca="1"/>
        <v>#N/A</v>
      </c>
      <c r="S175" s="55" t="e">
        <f t="shared" ca="1" si="51"/>
        <v>#N/A</v>
      </c>
      <c r="T175" s="55" t="e">
        <f t="shared" ca="1" si="45"/>
        <v>#N/A</v>
      </c>
      <c r="U175" s="55" t="e">
        <f t="shared" ca="1" si="46"/>
        <v>#N/A</v>
      </c>
      <c r="V175" s="55" t="e">
        <f t="shared" ca="1" si="47"/>
        <v>#N/A</v>
      </c>
      <c r="W175" s="55" t="e">
        <f t="shared" ca="1" si="52"/>
        <v>#N/A</v>
      </c>
      <c r="X175" s="55" t="e">
        <f t="shared" ca="1" si="53"/>
        <v>#N/A</v>
      </c>
      <c r="Y175" s="55" t="e">
        <f t="shared" ca="1" si="54"/>
        <v>#N/A</v>
      </c>
      <c r="Z175" t="e">
        <f t="shared" ca="1" si="48"/>
        <v>#N/A</v>
      </c>
      <c r="AA175" t="e">
        <f t="shared" ca="1" si="55"/>
        <v>#N/A</v>
      </c>
      <c r="AB175" t="e">
        <f t="shared" ca="1" si="49"/>
        <v>#N/A</v>
      </c>
      <c r="AC175" t="e">
        <f t="shared" ca="1" si="50"/>
        <v>#N/A</v>
      </c>
      <c r="AD175" s="83" t="e">
        <f ca="1"/>
        <v>#N/A</v>
      </c>
      <c r="AE175" s="55" t="e">
        <f t="shared" ca="1" si="59"/>
        <v>#N/A</v>
      </c>
      <c r="AF175" s="55" t="e">
        <f t="shared" ca="1" si="60"/>
        <v>#N/A</v>
      </c>
      <c r="AG175" s="55" t="e">
        <f t="shared" ca="1" si="61"/>
        <v>#N/A</v>
      </c>
      <c r="AH175" s="55" t="e">
        <f t="shared" ca="1" si="62"/>
        <v>#N/A</v>
      </c>
      <c r="AI175" s="55" t="e">
        <f t="shared" ca="1" si="56"/>
        <v>#N/A</v>
      </c>
      <c r="AJ175" s="55" t="e">
        <f t="shared" ca="1" si="57"/>
        <v>#N/A</v>
      </c>
      <c r="AK175" s="55" t="e">
        <f t="shared" ca="1" si="58"/>
        <v>#N/A</v>
      </c>
    </row>
    <row r="176" spans="18:37">
      <c r="R176" s="83" t="e">
        <f ca="1"/>
        <v>#N/A</v>
      </c>
      <c r="S176" s="55" t="e">
        <f t="shared" ca="1" si="51"/>
        <v>#N/A</v>
      </c>
      <c r="T176" s="55" t="e">
        <f t="shared" ca="1" si="45"/>
        <v>#N/A</v>
      </c>
      <c r="U176" s="55" t="e">
        <f t="shared" ca="1" si="46"/>
        <v>#N/A</v>
      </c>
      <c r="V176" s="55" t="e">
        <f t="shared" ca="1" si="47"/>
        <v>#N/A</v>
      </c>
      <c r="W176" s="55" t="e">
        <f t="shared" ca="1" si="52"/>
        <v>#N/A</v>
      </c>
      <c r="X176" s="55" t="e">
        <f t="shared" ca="1" si="53"/>
        <v>#N/A</v>
      </c>
      <c r="Y176" s="55" t="e">
        <f t="shared" ca="1" si="54"/>
        <v>#N/A</v>
      </c>
      <c r="Z176" t="e">
        <f t="shared" ca="1" si="48"/>
        <v>#N/A</v>
      </c>
      <c r="AA176" t="e">
        <f t="shared" ca="1" si="55"/>
        <v>#N/A</v>
      </c>
      <c r="AB176" t="e">
        <f t="shared" ca="1" si="49"/>
        <v>#N/A</v>
      </c>
      <c r="AC176" t="e">
        <f t="shared" ca="1" si="50"/>
        <v>#N/A</v>
      </c>
      <c r="AD176" s="83" t="e">
        <f ca="1"/>
        <v>#N/A</v>
      </c>
      <c r="AE176" s="55" t="e">
        <f t="shared" ca="1" si="59"/>
        <v>#N/A</v>
      </c>
      <c r="AF176" s="55" t="e">
        <f t="shared" ca="1" si="60"/>
        <v>#N/A</v>
      </c>
      <c r="AG176" s="55" t="e">
        <f t="shared" ca="1" si="61"/>
        <v>#N/A</v>
      </c>
      <c r="AH176" s="55" t="e">
        <f t="shared" ca="1" si="62"/>
        <v>#N/A</v>
      </c>
      <c r="AI176" s="55" t="e">
        <f t="shared" ca="1" si="56"/>
        <v>#N/A</v>
      </c>
      <c r="AJ176" s="55" t="e">
        <f t="shared" ca="1" si="57"/>
        <v>#N/A</v>
      </c>
      <c r="AK176" s="55" t="e">
        <f t="shared" ca="1" si="58"/>
        <v>#N/A</v>
      </c>
    </row>
    <row r="177" spans="18:37">
      <c r="R177" s="83" t="e">
        <f ca="1"/>
        <v>#N/A</v>
      </c>
      <c r="S177" s="55" t="e">
        <f t="shared" ca="1" si="51"/>
        <v>#N/A</v>
      </c>
      <c r="T177" s="55" t="e">
        <f t="shared" ca="1" si="45"/>
        <v>#N/A</v>
      </c>
      <c r="U177" s="55" t="e">
        <f t="shared" ca="1" si="46"/>
        <v>#N/A</v>
      </c>
      <c r="V177" s="55" t="e">
        <f t="shared" ca="1" si="47"/>
        <v>#N/A</v>
      </c>
      <c r="W177" s="55" t="e">
        <f t="shared" ca="1" si="52"/>
        <v>#N/A</v>
      </c>
      <c r="X177" s="55" t="e">
        <f t="shared" ca="1" si="53"/>
        <v>#N/A</v>
      </c>
      <c r="Y177" s="55" t="e">
        <f t="shared" ca="1" si="54"/>
        <v>#N/A</v>
      </c>
      <c r="Z177" t="e">
        <f t="shared" ca="1" si="48"/>
        <v>#N/A</v>
      </c>
      <c r="AA177" t="e">
        <f t="shared" ca="1" si="55"/>
        <v>#N/A</v>
      </c>
      <c r="AB177" t="e">
        <f t="shared" ca="1" si="49"/>
        <v>#N/A</v>
      </c>
      <c r="AC177" t="e">
        <f t="shared" ca="1" si="50"/>
        <v>#N/A</v>
      </c>
      <c r="AD177" s="83" t="e">
        <f ca="1"/>
        <v>#N/A</v>
      </c>
      <c r="AE177" s="55" t="e">
        <f t="shared" ca="1" si="59"/>
        <v>#N/A</v>
      </c>
      <c r="AF177" s="55" t="e">
        <f t="shared" ca="1" si="60"/>
        <v>#N/A</v>
      </c>
      <c r="AG177" s="55" t="e">
        <f t="shared" ca="1" si="61"/>
        <v>#N/A</v>
      </c>
      <c r="AH177" s="55" t="e">
        <f t="shared" ca="1" si="62"/>
        <v>#N/A</v>
      </c>
      <c r="AI177" s="55" t="e">
        <f t="shared" ca="1" si="56"/>
        <v>#N/A</v>
      </c>
      <c r="AJ177" s="55" t="e">
        <f t="shared" ca="1" si="57"/>
        <v>#N/A</v>
      </c>
      <c r="AK177" s="55" t="e">
        <f t="shared" ca="1" si="58"/>
        <v>#N/A</v>
      </c>
    </row>
    <row r="178" spans="18:37">
      <c r="R178" s="83" t="e">
        <f ca="1"/>
        <v>#N/A</v>
      </c>
      <c r="S178" s="55" t="e">
        <f t="shared" ca="1" si="51"/>
        <v>#N/A</v>
      </c>
      <c r="T178" s="55" t="e">
        <f t="shared" ca="1" si="45"/>
        <v>#N/A</v>
      </c>
      <c r="U178" s="55" t="e">
        <f t="shared" ca="1" si="46"/>
        <v>#N/A</v>
      </c>
      <c r="V178" s="55" t="e">
        <f t="shared" ca="1" si="47"/>
        <v>#N/A</v>
      </c>
      <c r="W178" s="55" t="e">
        <f t="shared" ca="1" si="52"/>
        <v>#N/A</v>
      </c>
      <c r="X178" s="55" t="e">
        <f t="shared" ca="1" si="53"/>
        <v>#N/A</v>
      </c>
      <c r="Y178" s="55" t="e">
        <f t="shared" ca="1" si="54"/>
        <v>#N/A</v>
      </c>
      <c r="Z178" t="e">
        <f t="shared" ca="1" si="48"/>
        <v>#N/A</v>
      </c>
      <c r="AA178" t="e">
        <f t="shared" ca="1" si="55"/>
        <v>#N/A</v>
      </c>
      <c r="AB178" t="e">
        <f t="shared" ca="1" si="49"/>
        <v>#N/A</v>
      </c>
      <c r="AC178" t="e">
        <f t="shared" ca="1" si="50"/>
        <v>#N/A</v>
      </c>
      <c r="AD178" s="83" t="e">
        <f ca="1"/>
        <v>#N/A</v>
      </c>
      <c r="AE178" s="55" t="e">
        <f t="shared" ca="1" si="59"/>
        <v>#N/A</v>
      </c>
      <c r="AF178" s="55" t="e">
        <f t="shared" ca="1" si="60"/>
        <v>#N/A</v>
      </c>
      <c r="AG178" s="55" t="e">
        <f t="shared" ca="1" si="61"/>
        <v>#N/A</v>
      </c>
      <c r="AH178" s="55" t="e">
        <f t="shared" ca="1" si="62"/>
        <v>#N/A</v>
      </c>
      <c r="AI178" s="55" t="e">
        <f t="shared" ca="1" si="56"/>
        <v>#N/A</v>
      </c>
      <c r="AJ178" s="55" t="e">
        <f t="shared" ca="1" si="57"/>
        <v>#N/A</v>
      </c>
      <c r="AK178" s="55" t="e">
        <f t="shared" ca="1" si="58"/>
        <v>#N/A</v>
      </c>
    </row>
    <row r="179" spans="18:37">
      <c r="R179" s="83" t="e">
        <f ca="1"/>
        <v>#N/A</v>
      </c>
      <c r="S179" s="55" t="e">
        <f t="shared" ca="1" si="51"/>
        <v>#N/A</v>
      </c>
      <c r="T179" s="55" t="e">
        <f t="shared" ca="1" si="45"/>
        <v>#N/A</v>
      </c>
      <c r="U179" s="55" t="e">
        <f t="shared" ca="1" si="46"/>
        <v>#N/A</v>
      </c>
      <c r="V179" s="55" t="e">
        <f t="shared" ca="1" si="47"/>
        <v>#N/A</v>
      </c>
      <c r="W179" s="55" t="e">
        <f t="shared" ca="1" si="52"/>
        <v>#N/A</v>
      </c>
      <c r="X179" s="55" t="e">
        <f t="shared" ca="1" si="53"/>
        <v>#N/A</v>
      </c>
      <c r="Y179" s="55" t="e">
        <f t="shared" ca="1" si="54"/>
        <v>#N/A</v>
      </c>
      <c r="Z179" t="e">
        <f t="shared" ca="1" si="48"/>
        <v>#N/A</v>
      </c>
      <c r="AA179" t="e">
        <f t="shared" ca="1" si="55"/>
        <v>#N/A</v>
      </c>
      <c r="AB179" t="e">
        <f t="shared" ca="1" si="49"/>
        <v>#N/A</v>
      </c>
      <c r="AC179" t="e">
        <f t="shared" ca="1" si="50"/>
        <v>#N/A</v>
      </c>
      <c r="AD179" s="83" t="e">
        <f ca="1"/>
        <v>#N/A</v>
      </c>
      <c r="AE179" s="55" t="e">
        <f t="shared" ca="1" si="59"/>
        <v>#N/A</v>
      </c>
      <c r="AF179" s="55" t="e">
        <f t="shared" ca="1" si="60"/>
        <v>#N/A</v>
      </c>
      <c r="AG179" s="55" t="e">
        <f t="shared" ca="1" si="61"/>
        <v>#N/A</v>
      </c>
      <c r="AH179" s="55" t="e">
        <f t="shared" ca="1" si="62"/>
        <v>#N/A</v>
      </c>
      <c r="AI179" s="55" t="e">
        <f t="shared" ca="1" si="56"/>
        <v>#N/A</v>
      </c>
      <c r="AJ179" s="55" t="e">
        <f t="shared" ca="1" si="57"/>
        <v>#N/A</v>
      </c>
      <c r="AK179" s="55" t="e">
        <f t="shared" ca="1" si="58"/>
        <v>#N/A</v>
      </c>
    </row>
    <row r="180" spans="18:37">
      <c r="R180" s="83" t="e">
        <f ca="1"/>
        <v>#N/A</v>
      </c>
      <c r="S180" s="55" t="e">
        <f t="shared" ca="1" si="51"/>
        <v>#N/A</v>
      </c>
      <c r="T180" s="55" t="e">
        <f t="shared" ca="1" si="45"/>
        <v>#N/A</v>
      </c>
      <c r="U180" s="55" t="e">
        <f t="shared" ca="1" si="46"/>
        <v>#N/A</v>
      </c>
      <c r="V180" s="55" t="e">
        <f t="shared" ca="1" si="47"/>
        <v>#N/A</v>
      </c>
      <c r="W180" s="55" t="e">
        <f t="shared" ca="1" si="52"/>
        <v>#N/A</v>
      </c>
      <c r="X180" s="55" t="e">
        <f t="shared" ca="1" si="53"/>
        <v>#N/A</v>
      </c>
      <c r="Y180" s="55" t="e">
        <f t="shared" ca="1" si="54"/>
        <v>#N/A</v>
      </c>
      <c r="Z180" t="e">
        <f t="shared" ca="1" si="48"/>
        <v>#N/A</v>
      </c>
      <c r="AA180" t="e">
        <f t="shared" ca="1" si="55"/>
        <v>#N/A</v>
      </c>
      <c r="AB180" t="e">
        <f t="shared" ca="1" si="49"/>
        <v>#N/A</v>
      </c>
      <c r="AC180" t="e">
        <f t="shared" ca="1" si="50"/>
        <v>#N/A</v>
      </c>
      <c r="AD180" s="83" t="e">
        <f ca="1"/>
        <v>#N/A</v>
      </c>
      <c r="AE180" s="55" t="e">
        <f t="shared" ca="1" si="59"/>
        <v>#N/A</v>
      </c>
      <c r="AF180" s="55" t="e">
        <f t="shared" ca="1" si="60"/>
        <v>#N/A</v>
      </c>
      <c r="AG180" s="55" t="e">
        <f t="shared" ca="1" si="61"/>
        <v>#N/A</v>
      </c>
      <c r="AH180" s="55" t="e">
        <f t="shared" ca="1" si="62"/>
        <v>#N/A</v>
      </c>
      <c r="AI180" s="55" t="e">
        <f t="shared" ca="1" si="56"/>
        <v>#N/A</v>
      </c>
      <c r="AJ180" s="55" t="e">
        <f t="shared" ca="1" si="57"/>
        <v>#N/A</v>
      </c>
      <c r="AK180" s="55" t="e">
        <f t="shared" ca="1" si="58"/>
        <v>#N/A</v>
      </c>
    </row>
    <row r="181" spans="18:37">
      <c r="R181" s="83" t="e">
        <f ca="1"/>
        <v>#N/A</v>
      </c>
      <c r="S181" s="55" t="e">
        <f t="shared" ca="1" si="51"/>
        <v>#N/A</v>
      </c>
      <c r="T181" s="55" t="e">
        <f t="shared" ca="1" si="45"/>
        <v>#N/A</v>
      </c>
      <c r="U181" s="55" t="e">
        <f t="shared" ca="1" si="46"/>
        <v>#N/A</v>
      </c>
      <c r="V181" s="55" t="e">
        <f t="shared" ca="1" si="47"/>
        <v>#N/A</v>
      </c>
      <c r="W181" s="55" t="e">
        <f t="shared" ca="1" si="52"/>
        <v>#N/A</v>
      </c>
      <c r="X181" s="55" t="e">
        <f t="shared" ca="1" si="53"/>
        <v>#N/A</v>
      </c>
      <c r="Y181" s="55" t="e">
        <f t="shared" ca="1" si="54"/>
        <v>#N/A</v>
      </c>
      <c r="Z181" t="e">
        <f t="shared" ca="1" si="48"/>
        <v>#N/A</v>
      </c>
      <c r="AA181" t="e">
        <f t="shared" ca="1" si="55"/>
        <v>#N/A</v>
      </c>
      <c r="AB181" t="e">
        <f t="shared" ca="1" si="49"/>
        <v>#N/A</v>
      </c>
      <c r="AC181" t="e">
        <f t="shared" ca="1" si="50"/>
        <v>#N/A</v>
      </c>
      <c r="AD181" s="83" t="e">
        <f ca="1"/>
        <v>#N/A</v>
      </c>
      <c r="AE181" s="55" t="e">
        <f t="shared" ca="1" si="59"/>
        <v>#N/A</v>
      </c>
      <c r="AF181" s="55" t="e">
        <f t="shared" ca="1" si="60"/>
        <v>#N/A</v>
      </c>
      <c r="AG181" s="55" t="e">
        <f t="shared" ca="1" si="61"/>
        <v>#N/A</v>
      </c>
      <c r="AH181" s="55" t="e">
        <f t="shared" ca="1" si="62"/>
        <v>#N/A</v>
      </c>
      <c r="AI181" s="55" t="e">
        <f t="shared" ca="1" si="56"/>
        <v>#N/A</v>
      </c>
      <c r="AJ181" s="55" t="e">
        <f t="shared" ca="1" si="57"/>
        <v>#N/A</v>
      </c>
      <c r="AK181" s="55" t="e">
        <f t="shared" ca="1" si="58"/>
        <v>#N/A</v>
      </c>
    </row>
    <row r="182" spans="18:37">
      <c r="R182" s="83" t="e">
        <f ca="1"/>
        <v>#N/A</v>
      </c>
      <c r="S182" s="55" t="e">
        <f t="shared" ca="1" si="51"/>
        <v>#N/A</v>
      </c>
      <c r="T182" s="55" t="e">
        <f t="shared" ca="1" si="45"/>
        <v>#N/A</v>
      </c>
      <c r="U182" s="55" t="e">
        <f t="shared" ca="1" si="46"/>
        <v>#N/A</v>
      </c>
      <c r="V182" s="55" t="e">
        <f t="shared" ca="1" si="47"/>
        <v>#N/A</v>
      </c>
      <c r="W182" s="55" t="e">
        <f t="shared" ca="1" si="52"/>
        <v>#N/A</v>
      </c>
      <c r="X182" s="55" t="e">
        <f t="shared" ca="1" si="53"/>
        <v>#N/A</v>
      </c>
      <c r="Y182" s="55" t="e">
        <f t="shared" ca="1" si="54"/>
        <v>#N/A</v>
      </c>
      <c r="Z182" t="e">
        <f t="shared" ca="1" si="48"/>
        <v>#N/A</v>
      </c>
      <c r="AA182" t="e">
        <f t="shared" ca="1" si="55"/>
        <v>#N/A</v>
      </c>
      <c r="AB182" t="e">
        <f t="shared" ca="1" si="49"/>
        <v>#N/A</v>
      </c>
      <c r="AC182" t="e">
        <f t="shared" ca="1" si="50"/>
        <v>#N/A</v>
      </c>
      <c r="AD182" s="83" t="e">
        <f ca="1"/>
        <v>#N/A</v>
      </c>
      <c r="AE182" s="55" t="e">
        <f t="shared" ca="1" si="59"/>
        <v>#N/A</v>
      </c>
      <c r="AF182" s="55" t="e">
        <f t="shared" ca="1" si="60"/>
        <v>#N/A</v>
      </c>
      <c r="AG182" s="55" t="e">
        <f t="shared" ca="1" si="61"/>
        <v>#N/A</v>
      </c>
      <c r="AH182" s="55" t="e">
        <f t="shared" ca="1" si="62"/>
        <v>#N/A</v>
      </c>
      <c r="AI182" s="55" t="e">
        <f t="shared" ca="1" si="56"/>
        <v>#N/A</v>
      </c>
      <c r="AJ182" s="55" t="e">
        <f t="shared" ca="1" si="57"/>
        <v>#N/A</v>
      </c>
      <c r="AK182" s="55" t="e">
        <f t="shared" ca="1" si="58"/>
        <v>#N/A</v>
      </c>
    </row>
    <row r="183" spans="18:37">
      <c r="R183" s="83" t="e">
        <f ca="1"/>
        <v>#N/A</v>
      </c>
      <c r="S183" s="55" t="e">
        <f t="shared" ca="1" si="51"/>
        <v>#N/A</v>
      </c>
      <c r="T183" s="55" t="e">
        <f t="shared" ca="1" si="45"/>
        <v>#N/A</v>
      </c>
      <c r="U183" s="55" t="e">
        <f t="shared" ca="1" si="46"/>
        <v>#N/A</v>
      </c>
      <c r="V183" s="55" t="e">
        <f t="shared" ca="1" si="47"/>
        <v>#N/A</v>
      </c>
      <c r="W183" s="55" t="e">
        <f t="shared" ca="1" si="52"/>
        <v>#N/A</v>
      </c>
      <c r="X183" s="55" t="e">
        <f t="shared" ca="1" si="53"/>
        <v>#N/A</v>
      </c>
      <c r="Y183" s="55" t="e">
        <f t="shared" ca="1" si="54"/>
        <v>#N/A</v>
      </c>
      <c r="Z183" t="e">
        <f t="shared" ca="1" si="48"/>
        <v>#N/A</v>
      </c>
      <c r="AA183" t="e">
        <f t="shared" ca="1" si="55"/>
        <v>#N/A</v>
      </c>
      <c r="AB183" t="e">
        <f t="shared" ca="1" si="49"/>
        <v>#N/A</v>
      </c>
      <c r="AC183" t="e">
        <f t="shared" ca="1" si="50"/>
        <v>#N/A</v>
      </c>
      <c r="AD183" s="83" t="e">
        <f ca="1"/>
        <v>#N/A</v>
      </c>
      <c r="AE183" s="55" t="e">
        <f t="shared" ca="1" si="59"/>
        <v>#N/A</v>
      </c>
      <c r="AF183" s="55" t="e">
        <f t="shared" ca="1" si="60"/>
        <v>#N/A</v>
      </c>
      <c r="AG183" s="55" t="e">
        <f t="shared" ca="1" si="61"/>
        <v>#N/A</v>
      </c>
      <c r="AH183" s="55" t="e">
        <f t="shared" ca="1" si="62"/>
        <v>#N/A</v>
      </c>
      <c r="AI183" s="55" t="e">
        <f t="shared" ca="1" si="56"/>
        <v>#N/A</v>
      </c>
      <c r="AJ183" s="55" t="e">
        <f t="shared" ca="1" si="57"/>
        <v>#N/A</v>
      </c>
      <c r="AK183" s="55" t="e">
        <f t="shared" ca="1" si="58"/>
        <v>#N/A</v>
      </c>
    </row>
    <row r="184" spans="18:37">
      <c r="R184" s="83" t="e">
        <f ca="1"/>
        <v>#N/A</v>
      </c>
      <c r="S184" s="55" t="e">
        <f t="shared" ca="1" si="51"/>
        <v>#N/A</v>
      </c>
      <c r="T184" s="55" t="e">
        <f t="shared" ca="1" si="45"/>
        <v>#N/A</v>
      </c>
      <c r="U184" s="55" t="e">
        <f t="shared" ca="1" si="46"/>
        <v>#N/A</v>
      </c>
      <c r="V184" s="55" t="e">
        <f t="shared" ca="1" si="47"/>
        <v>#N/A</v>
      </c>
      <c r="W184" s="55" t="e">
        <f t="shared" ca="1" si="52"/>
        <v>#N/A</v>
      </c>
      <c r="X184" s="55" t="e">
        <f t="shared" ca="1" si="53"/>
        <v>#N/A</v>
      </c>
      <c r="Y184" s="55" t="e">
        <f t="shared" ca="1" si="54"/>
        <v>#N/A</v>
      </c>
      <c r="Z184" t="e">
        <f t="shared" ca="1" si="48"/>
        <v>#N/A</v>
      </c>
      <c r="AA184" t="e">
        <f t="shared" ca="1" si="55"/>
        <v>#N/A</v>
      </c>
      <c r="AB184" t="e">
        <f t="shared" ca="1" si="49"/>
        <v>#N/A</v>
      </c>
      <c r="AC184" t="e">
        <f t="shared" ca="1" si="50"/>
        <v>#N/A</v>
      </c>
      <c r="AD184" s="83" t="e">
        <f ca="1"/>
        <v>#N/A</v>
      </c>
      <c r="AE184" s="55" t="e">
        <f t="shared" ca="1" si="59"/>
        <v>#N/A</v>
      </c>
      <c r="AF184" s="55" t="e">
        <f t="shared" ca="1" si="60"/>
        <v>#N/A</v>
      </c>
      <c r="AG184" s="55" t="e">
        <f t="shared" ca="1" si="61"/>
        <v>#N/A</v>
      </c>
      <c r="AH184" s="55" t="e">
        <f t="shared" ca="1" si="62"/>
        <v>#N/A</v>
      </c>
      <c r="AI184" s="55" t="e">
        <f t="shared" ca="1" si="56"/>
        <v>#N/A</v>
      </c>
      <c r="AJ184" s="55" t="e">
        <f t="shared" ca="1" si="57"/>
        <v>#N/A</v>
      </c>
      <c r="AK184" s="55" t="e">
        <f t="shared" ca="1" si="58"/>
        <v>#N/A</v>
      </c>
    </row>
    <row r="185" spans="18:37">
      <c r="R185" s="83" t="e">
        <f ca="1"/>
        <v>#N/A</v>
      </c>
      <c r="S185" s="55" t="e">
        <f t="shared" ca="1" si="51"/>
        <v>#N/A</v>
      </c>
      <c r="T185" s="55" t="e">
        <f t="shared" ca="1" si="45"/>
        <v>#N/A</v>
      </c>
      <c r="U185" s="55" t="e">
        <f t="shared" ca="1" si="46"/>
        <v>#N/A</v>
      </c>
      <c r="V185" s="55" t="e">
        <f t="shared" ca="1" si="47"/>
        <v>#N/A</v>
      </c>
      <c r="W185" s="55" t="e">
        <f t="shared" ca="1" si="52"/>
        <v>#N/A</v>
      </c>
      <c r="X185" s="55" t="e">
        <f t="shared" ca="1" si="53"/>
        <v>#N/A</v>
      </c>
      <c r="Y185" s="55" t="e">
        <f t="shared" ca="1" si="54"/>
        <v>#N/A</v>
      </c>
      <c r="Z185" t="e">
        <f t="shared" ca="1" si="48"/>
        <v>#N/A</v>
      </c>
      <c r="AA185" t="e">
        <f t="shared" ca="1" si="55"/>
        <v>#N/A</v>
      </c>
      <c r="AB185" t="e">
        <f t="shared" ca="1" si="49"/>
        <v>#N/A</v>
      </c>
      <c r="AC185" t="e">
        <f t="shared" ca="1" si="50"/>
        <v>#N/A</v>
      </c>
      <c r="AD185" s="83" t="e">
        <f ca="1"/>
        <v>#N/A</v>
      </c>
      <c r="AE185" s="55" t="e">
        <f t="shared" ca="1" si="59"/>
        <v>#N/A</v>
      </c>
      <c r="AF185" s="55" t="e">
        <f t="shared" ca="1" si="60"/>
        <v>#N/A</v>
      </c>
      <c r="AG185" s="55" t="e">
        <f t="shared" ca="1" si="61"/>
        <v>#N/A</v>
      </c>
      <c r="AH185" s="55" t="e">
        <f t="shared" ca="1" si="62"/>
        <v>#N/A</v>
      </c>
      <c r="AI185" s="55" t="e">
        <f t="shared" ca="1" si="56"/>
        <v>#N/A</v>
      </c>
      <c r="AJ185" s="55" t="e">
        <f t="shared" ca="1" si="57"/>
        <v>#N/A</v>
      </c>
      <c r="AK185" s="55" t="e">
        <f t="shared" ca="1" si="58"/>
        <v>#N/A</v>
      </c>
    </row>
    <row r="186" spans="18:37">
      <c r="R186" s="83" t="e">
        <f ca="1"/>
        <v>#N/A</v>
      </c>
      <c r="S186" s="55" t="e">
        <f t="shared" ca="1" si="51"/>
        <v>#N/A</v>
      </c>
      <c r="T186" s="55" t="e">
        <f t="shared" ca="1" si="45"/>
        <v>#N/A</v>
      </c>
      <c r="U186" s="55" t="e">
        <f t="shared" ca="1" si="46"/>
        <v>#N/A</v>
      </c>
      <c r="V186" s="55" t="e">
        <f t="shared" ca="1" si="47"/>
        <v>#N/A</v>
      </c>
      <c r="W186" s="55" t="e">
        <f t="shared" ca="1" si="52"/>
        <v>#N/A</v>
      </c>
      <c r="X186" s="55" t="e">
        <f t="shared" ca="1" si="53"/>
        <v>#N/A</v>
      </c>
      <c r="Y186" s="55" t="e">
        <f t="shared" ca="1" si="54"/>
        <v>#N/A</v>
      </c>
      <c r="Z186" t="e">
        <f t="shared" ca="1" si="48"/>
        <v>#N/A</v>
      </c>
      <c r="AA186" t="e">
        <f t="shared" ca="1" si="55"/>
        <v>#N/A</v>
      </c>
      <c r="AB186" t="e">
        <f t="shared" ca="1" si="49"/>
        <v>#N/A</v>
      </c>
      <c r="AC186" t="e">
        <f t="shared" ca="1" si="50"/>
        <v>#N/A</v>
      </c>
      <c r="AD186" s="83" t="e">
        <f ca="1"/>
        <v>#N/A</v>
      </c>
      <c r="AE186" s="55" t="e">
        <f t="shared" ca="1" si="59"/>
        <v>#N/A</v>
      </c>
      <c r="AF186" s="55" t="e">
        <f t="shared" ca="1" si="60"/>
        <v>#N/A</v>
      </c>
      <c r="AG186" s="55" t="e">
        <f t="shared" ca="1" si="61"/>
        <v>#N/A</v>
      </c>
      <c r="AH186" s="55" t="e">
        <f t="shared" ca="1" si="62"/>
        <v>#N/A</v>
      </c>
      <c r="AI186" s="55" t="e">
        <f t="shared" ca="1" si="56"/>
        <v>#N/A</v>
      </c>
      <c r="AJ186" s="55" t="e">
        <f t="shared" ca="1" si="57"/>
        <v>#N/A</v>
      </c>
      <c r="AK186" s="55" t="e">
        <f t="shared" ca="1" si="58"/>
        <v>#N/A</v>
      </c>
    </row>
    <row r="187" spans="18:37">
      <c r="R187" s="83" t="e">
        <f ca="1"/>
        <v>#N/A</v>
      </c>
      <c r="S187" s="55" t="e">
        <f t="shared" ca="1" si="51"/>
        <v>#N/A</v>
      </c>
      <c r="T187" s="55" t="e">
        <f t="shared" ca="1" si="45"/>
        <v>#N/A</v>
      </c>
      <c r="U187" s="55" t="e">
        <f t="shared" ca="1" si="46"/>
        <v>#N/A</v>
      </c>
      <c r="V187" s="55" t="e">
        <f t="shared" ca="1" si="47"/>
        <v>#N/A</v>
      </c>
      <c r="W187" s="55" t="e">
        <f t="shared" ca="1" si="52"/>
        <v>#N/A</v>
      </c>
      <c r="X187" s="55" t="e">
        <f t="shared" ca="1" si="53"/>
        <v>#N/A</v>
      </c>
      <c r="Y187" s="55" t="e">
        <f t="shared" ca="1" si="54"/>
        <v>#N/A</v>
      </c>
      <c r="Z187" t="e">
        <f t="shared" ca="1" si="48"/>
        <v>#N/A</v>
      </c>
      <c r="AA187" t="e">
        <f t="shared" ca="1" si="55"/>
        <v>#N/A</v>
      </c>
      <c r="AB187" t="e">
        <f t="shared" ca="1" si="49"/>
        <v>#N/A</v>
      </c>
      <c r="AC187" t="e">
        <f t="shared" ca="1" si="50"/>
        <v>#N/A</v>
      </c>
      <c r="AD187" s="83" t="e">
        <f ca="1"/>
        <v>#N/A</v>
      </c>
      <c r="AE187" s="55" t="e">
        <f t="shared" ca="1" si="59"/>
        <v>#N/A</v>
      </c>
      <c r="AF187" s="55" t="e">
        <f t="shared" ca="1" si="60"/>
        <v>#N/A</v>
      </c>
      <c r="AG187" s="55" t="e">
        <f t="shared" ca="1" si="61"/>
        <v>#N/A</v>
      </c>
      <c r="AH187" s="55" t="e">
        <f t="shared" ca="1" si="62"/>
        <v>#N/A</v>
      </c>
      <c r="AI187" s="55" t="e">
        <f t="shared" ca="1" si="56"/>
        <v>#N/A</v>
      </c>
      <c r="AJ187" s="55" t="e">
        <f t="shared" ca="1" si="57"/>
        <v>#N/A</v>
      </c>
      <c r="AK187" s="55" t="e">
        <f t="shared" ca="1" si="58"/>
        <v>#N/A</v>
      </c>
    </row>
    <row r="188" spans="18:37">
      <c r="R188" s="83" t="e">
        <f ca="1"/>
        <v>#N/A</v>
      </c>
      <c r="S188" s="55" t="e">
        <f t="shared" ca="1" si="51"/>
        <v>#N/A</v>
      </c>
      <c r="T188" s="55" t="e">
        <f t="shared" ca="1" si="45"/>
        <v>#N/A</v>
      </c>
      <c r="U188" s="55" t="e">
        <f t="shared" ca="1" si="46"/>
        <v>#N/A</v>
      </c>
      <c r="V188" s="55" t="e">
        <f t="shared" ca="1" si="47"/>
        <v>#N/A</v>
      </c>
      <c r="W188" s="55" t="e">
        <f t="shared" ca="1" si="52"/>
        <v>#N/A</v>
      </c>
      <c r="X188" s="55" t="e">
        <f t="shared" ca="1" si="53"/>
        <v>#N/A</v>
      </c>
      <c r="Y188" s="55" t="e">
        <f t="shared" ca="1" si="54"/>
        <v>#N/A</v>
      </c>
      <c r="Z188" t="e">
        <f t="shared" ca="1" si="48"/>
        <v>#N/A</v>
      </c>
      <c r="AA188" t="e">
        <f t="shared" ca="1" si="55"/>
        <v>#N/A</v>
      </c>
      <c r="AB188" t="e">
        <f t="shared" ca="1" si="49"/>
        <v>#N/A</v>
      </c>
      <c r="AC188" t="e">
        <f t="shared" ca="1" si="50"/>
        <v>#N/A</v>
      </c>
      <c r="AD188" s="83" t="e">
        <f ca="1"/>
        <v>#N/A</v>
      </c>
      <c r="AE188" s="55" t="e">
        <f t="shared" ca="1" si="59"/>
        <v>#N/A</v>
      </c>
      <c r="AF188" s="55" t="e">
        <f t="shared" ca="1" si="60"/>
        <v>#N/A</v>
      </c>
      <c r="AG188" s="55" t="e">
        <f t="shared" ca="1" si="61"/>
        <v>#N/A</v>
      </c>
      <c r="AH188" s="55" t="e">
        <f t="shared" ca="1" si="62"/>
        <v>#N/A</v>
      </c>
      <c r="AI188" s="55" t="e">
        <f t="shared" ca="1" si="56"/>
        <v>#N/A</v>
      </c>
      <c r="AJ188" s="55" t="e">
        <f t="shared" ca="1" si="57"/>
        <v>#N/A</v>
      </c>
      <c r="AK188" s="55" t="e">
        <f t="shared" ca="1" si="58"/>
        <v>#N/A</v>
      </c>
    </row>
    <row r="189" spans="18:37">
      <c r="R189" s="83" t="e">
        <f ca="1"/>
        <v>#N/A</v>
      </c>
      <c r="S189" s="55" t="e">
        <f t="shared" ca="1" si="51"/>
        <v>#N/A</v>
      </c>
      <c r="T189" s="55" t="e">
        <f t="shared" ca="1" si="45"/>
        <v>#N/A</v>
      </c>
      <c r="U189" s="55" t="e">
        <f t="shared" ca="1" si="46"/>
        <v>#N/A</v>
      </c>
      <c r="V189" s="55" t="e">
        <f t="shared" ca="1" si="47"/>
        <v>#N/A</v>
      </c>
      <c r="W189" s="55" t="e">
        <f t="shared" ca="1" si="52"/>
        <v>#N/A</v>
      </c>
      <c r="X189" s="55" t="e">
        <f t="shared" ca="1" si="53"/>
        <v>#N/A</v>
      </c>
      <c r="Y189" s="55" t="e">
        <f t="shared" ca="1" si="54"/>
        <v>#N/A</v>
      </c>
      <c r="Z189" t="e">
        <f t="shared" ca="1" si="48"/>
        <v>#N/A</v>
      </c>
      <c r="AA189" t="e">
        <f t="shared" ca="1" si="55"/>
        <v>#N/A</v>
      </c>
      <c r="AB189" t="e">
        <f t="shared" ca="1" si="49"/>
        <v>#N/A</v>
      </c>
      <c r="AC189" t="e">
        <f t="shared" ca="1" si="50"/>
        <v>#N/A</v>
      </c>
      <c r="AD189" s="83" t="e">
        <f ca="1"/>
        <v>#N/A</v>
      </c>
      <c r="AE189" s="55" t="e">
        <f t="shared" ca="1" si="59"/>
        <v>#N/A</v>
      </c>
      <c r="AF189" s="55" t="e">
        <f t="shared" ca="1" si="60"/>
        <v>#N/A</v>
      </c>
      <c r="AG189" s="55" t="e">
        <f t="shared" ca="1" si="61"/>
        <v>#N/A</v>
      </c>
      <c r="AH189" s="55" t="e">
        <f t="shared" ca="1" si="62"/>
        <v>#N/A</v>
      </c>
      <c r="AI189" s="55" t="e">
        <f t="shared" ca="1" si="56"/>
        <v>#N/A</v>
      </c>
      <c r="AJ189" s="55" t="e">
        <f t="shared" ca="1" si="57"/>
        <v>#N/A</v>
      </c>
      <c r="AK189" s="55" t="e">
        <f t="shared" ca="1" si="58"/>
        <v>#N/A</v>
      </c>
    </row>
    <row r="190" spans="18:37">
      <c r="R190" s="83" t="e">
        <f ca="1"/>
        <v>#N/A</v>
      </c>
      <c r="S190" s="55" t="e">
        <f t="shared" ca="1" si="51"/>
        <v>#N/A</v>
      </c>
      <c r="T190" s="55" t="e">
        <f t="shared" ca="1" si="45"/>
        <v>#N/A</v>
      </c>
      <c r="U190" s="55" t="e">
        <f t="shared" ca="1" si="46"/>
        <v>#N/A</v>
      </c>
      <c r="V190" s="55" t="e">
        <f t="shared" ca="1" si="47"/>
        <v>#N/A</v>
      </c>
      <c r="W190" s="55" t="e">
        <f t="shared" ca="1" si="52"/>
        <v>#N/A</v>
      </c>
      <c r="X190" s="55" t="e">
        <f t="shared" ca="1" si="53"/>
        <v>#N/A</v>
      </c>
      <c r="Y190" s="55" t="e">
        <f t="shared" ca="1" si="54"/>
        <v>#N/A</v>
      </c>
      <c r="Z190" t="e">
        <f t="shared" ca="1" si="48"/>
        <v>#N/A</v>
      </c>
      <c r="AA190" t="e">
        <f t="shared" ca="1" si="55"/>
        <v>#N/A</v>
      </c>
      <c r="AB190" t="e">
        <f t="shared" ca="1" si="49"/>
        <v>#N/A</v>
      </c>
      <c r="AC190" t="e">
        <f t="shared" ca="1" si="50"/>
        <v>#N/A</v>
      </c>
      <c r="AD190" s="83" t="e">
        <f ca="1"/>
        <v>#N/A</v>
      </c>
      <c r="AE190" s="55" t="e">
        <f t="shared" ca="1" si="59"/>
        <v>#N/A</v>
      </c>
      <c r="AF190" s="55" t="e">
        <f t="shared" ca="1" si="60"/>
        <v>#N/A</v>
      </c>
      <c r="AG190" s="55" t="e">
        <f t="shared" ca="1" si="61"/>
        <v>#N/A</v>
      </c>
      <c r="AH190" s="55" t="e">
        <f t="shared" ca="1" si="62"/>
        <v>#N/A</v>
      </c>
      <c r="AI190" s="55" t="e">
        <f t="shared" ca="1" si="56"/>
        <v>#N/A</v>
      </c>
      <c r="AJ190" s="55" t="e">
        <f t="shared" ca="1" si="57"/>
        <v>#N/A</v>
      </c>
      <c r="AK190" s="55" t="e">
        <f t="shared" ca="1" si="58"/>
        <v>#N/A</v>
      </c>
    </row>
    <row r="191" spans="18:37">
      <c r="R191" s="83" t="e">
        <f ca="1"/>
        <v>#N/A</v>
      </c>
      <c r="S191" s="55" t="e">
        <f t="shared" ca="1" si="51"/>
        <v>#N/A</v>
      </c>
      <c r="T191" s="55" t="e">
        <f t="shared" ca="1" si="45"/>
        <v>#N/A</v>
      </c>
      <c r="U191" s="55" t="e">
        <f t="shared" ca="1" si="46"/>
        <v>#N/A</v>
      </c>
      <c r="V191" s="55" t="e">
        <f t="shared" ca="1" si="47"/>
        <v>#N/A</v>
      </c>
      <c r="W191" s="55" t="e">
        <f t="shared" ca="1" si="52"/>
        <v>#N/A</v>
      </c>
      <c r="X191" s="55" t="e">
        <f t="shared" ca="1" si="53"/>
        <v>#N/A</v>
      </c>
      <c r="Y191" s="55" t="e">
        <f t="shared" ca="1" si="54"/>
        <v>#N/A</v>
      </c>
      <c r="Z191" t="e">
        <f t="shared" ca="1" si="48"/>
        <v>#N/A</v>
      </c>
      <c r="AA191" t="e">
        <f t="shared" ca="1" si="55"/>
        <v>#N/A</v>
      </c>
      <c r="AB191" t="e">
        <f t="shared" ca="1" si="49"/>
        <v>#N/A</v>
      </c>
      <c r="AC191" t="e">
        <f t="shared" ca="1" si="50"/>
        <v>#N/A</v>
      </c>
      <c r="AD191" s="83" t="e">
        <f ca="1"/>
        <v>#N/A</v>
      </c>
      <c r="AE191" s="55" t="e">
        <f t="shared" ca="1" si="59"/>
        <v>#N/A</v>
      </c>
      <c r="AF191" s="55" t="e">
        <f t="shared" ca="1" si="60"/>
        <v>#N/A</v>
      </c>
      <c r="AG191" s="55" t="e">
        <f t="shared" ca="1" si="61"/>
        <v>#N/A</v>
      </c>
      <c r="AH191" s="55" t="e">
        <f t="shared" ca="1" si="62"/>
        <v>#N/A</v>
      </c>
      <c r="AI191" s="55" t="e">
        <f t="shared" ca="1" si="56"/>
        <v>#N/A</v>
      </c>
      <c r="AJ191" s="55" t="e">
        <f t="shared" ca="1" si="57"/>
        <v>#N/A</v>
      </c>
      <c r="AK191" s="55" t="e">
        <f t="shared" ca="1" si="58"/>
        <v>#N/A</v>
      </c>
    </row>
    <row r="192" spans="18:37">
      <c r="R192" s="83" t="e">
        <f ca="1"/>
        <v>#N/A</v>
      </c>
      <c r="S192" s="55" t="e">
        <f t="shared" ca="1" si="51"/>
        <v>#N/A</v>
      </c>
      <c r="T192" s="55" t="e">
        <f t="shared" ca="1" si="45"/>
        <v>#N/A</v>
      </c>
      <c r="U192" s="55" t="e">
        <f t="shared" ca="1" si="46"/>
        <v>#N/A</v>
      </c>
      <c r="V192" s="55" t="e">
        <f t="shared" ca="1" si="47"/>
        <v>#N/A</v>
      </c>
      <c r="W192" s="55" t="e">
        <f t="shared" ca="1" si="52"/>
        <v>#N/A</v>
      </c>
      <c r="X192" s="55" t="e">
        <f t="shared" ca="1" si="53"/>
        <v>#N/A</v>
      </c>
      <c r="Y192" s="55" t="e">
        <f t="shared" ca="1" si="54"/>
        <v>#N/A</v>
      </c>
      <c r="Z192" t="e">
        <f t="shared" ca="1" si="48"/>
        <v>#N/A</v>
      </c>
      <c r="AA192" t="e">
        <f t="shared" ca="1" si="55"/>
        <v>#N/A</v>
      </c>
      <c r="AB192" t="e">
        <f t="shared" ca="1" si="49"/>
        <v>#N/A</v>
      </c>
      <c r="AC192" t="e">
        <f t="shared" ca="1" si="50"/>
        <v>#N/A</v>
      </c>
      <c r="AD192" s="83" t="e">
        <f ca="1"/>
        <v>#N/A</v>
      </c>
      <c r="AE192" s="55" t="e">
        <f t="shared" ca="1" si="59"/>
        <v>#N/A</v>
      </c>
      <c r="AF192" s="55" t="e">
        <f t="shared" ca="1" si="60"/>
        <v>#N/A</v>
      </c>
      <c r="AG192" s="55" t="e">
        <f t="shared" ca="1" si="61"/>
        <v>#N/A</v>
      </c>
      <c r="AH192" s="55" t="e">
        <f t="shared" ca="1" si="62"/>
        <v>#N/A</v>
      </c>
      <c r="AI192" s="55" t="e">
        <f t="shared" ca="1" si="56"/>
        <v>#N/A</v>
      </c>
      <c r="AJ192" s="55" t="e">
        <f t="shared" ca="1" si="57"/>
        <v>#N/A</v>
      </c>
      <c r="AK192" s="55" t="e">
        <f t="shared" ca="1" si="58"/>
        <v>#N/A</v>
      </c>
    </row>
    <row r="193" spans="18:37">
      <c r="R193" s="83" t="e">
        <f ca="1"/>
        <v>#N/A</v>
      </c>
      <c r="S193" s="55" t="e">
        <f t="shared" ca="1" si="51"/>
        <v>#N/A</v>
      </c>
      <c r="T193" s="55" t="e">
        <f t="shared" ca="1" si="45"/>
        <v>#N/A</v>
      </c>
      <c r="U193" s="55" t="e">
        <f t="shared" ca="1" si="46"/>
        <v>#N/A</v>
      </c>
      <c r="V193" s="55" t="e">
        <f t="shared" ca="1" si="47"/>
        <v>#N/A</v>
      </c>
      <c r="W193" s="55" t="e">
        <f t="shared" ca="1" si="52"/>
        <v>#N/A</v>
      </c>
      <c r="X193" s="55" t="e">
        <f t="shared" ca="1" si="53"/>
        <v>#N/A</v>
      </c>
      <c r="Y193" s="55" t="e">
        <f t="shared" ca="1" si="54"/>
        <v>#N/A</v>
      </c>
      <c r="Z193" t="e">
        <f t="shared" ca="1" si="48"/>
        <v>#N/A</v>
      </c>
      <c r="AA193" t="e">
        <f t="shared" ca="1" si="55"/>
        <v>#N/A</v>
      </c>
      <c r="AB193" t="e">
        <f t="shared" ca="1" si="49"/>
        <v>#N/A</v>
      </c>
      <c r="AC193" t="e">
        <f t="shared" ca="1" si="50"/>
        <v>#N/A</v>
      </c>
      <c r="AD193" s="83" t="e">
        <f ca="1"/>
        <v>#N/A</v>
      </c>
      <c r="AE193" s="55" t="e">
        <f t="shared" ca="1" si="59"/>
        <v>#N/A</v>
      </c>
      <c r="AF193" s="55" t="e">
        <f t="shared" ca="1" si="60"/>
        <v>#N/A</v>
      </c>
      <c r="AG193" s="55" t="e">
        <f t="shared" ca="1" si="61"/>
        <v>#N/A</v>
      </c>
      <c r="AH193" s="55" t="e">
        <f t="shared" ca="1" si="62"/>
        <v>#N/A</v>
      </c>
      <c r="AI193" s="55" t="e">
        <f t="shared" ca="1" si="56"/>
        <v>#N/A</v>
      </c>
      <c r="AJ193" s="55" t="e">
        <f t="shared" ca="1" si="57"/>
        <v>#N/A</v>
      </c>
      <c r="AK193" s="55" t="e">
        <f t="shared" ca="1" si="58"/>
        <v>#N/A</v>
      </c>
    </row>
    <row r="194" spans="18:37">
      <c r="R194" s="83" t="e">
        <f ca="1"/>
        <v>#N/A</v>
      </c>
      <c r="S194" s="55" t="e">
        <f t="shared" ca="1" si="51"/>
        <v>#N/A</v>
      </c>
      <c r="T194" s="55" t="e">
        <f t="shared" ca="1" si="45"/>
        <v>#N/A</v>
      </c>
      <c r="U194" s="55" t="e">
        <f t="shared" ca="1" si="46"/>
        <v>#N/A</v>
      </c>
      <c r="V194" s="55" t="e">
        <f t="shared" ca="1" si="47"/>
        <v>#N/A</v>
      </c>
      <c r="W194" s="55" t="e">
        <f t="shared" ca="1" si="52"/>
        <v>#N/A</v>
      </c>
      <c r="X194" s="55" t="e">
        <f t="shared" ca="1" si="53"/>
        <v>#N/A</v>
      </c>
      <c r="Y194" s="55" t="e">
        <f t="shared" ca="1" si="54"/>
        <v>#N/A</v>
      </c>
      <c r="Z194" t="e">
        <f t="shared" ca="1" si="48"/>
        <v>#N/A</v>
      </c>
      <c r="AA194" t="e">
        <f t="shared" ca="1" si="55"/>
        <v>#N/A</v>
      </c>
      <c r="AB194" t="e">
        <f t="shared" ca="1" si="49"/>
        <v>#N/A</v>
      </c>
      <c r="AC194" t="e">
        <f t="shared" ca="1" si="50"/>
        <v>#N/A</v>
      </c>
      <c r="AD194" s="83" t="e">
        <f ca="1"/>
        <v>#N/A</v>
      </c>
      <c r="AE194" s="55" t="e">
        <f t="shared" ca="1" si="59"/>
        <v>#N/A</v>
      </c>
      <c r="AF194" s="55" t="e">
        <f t="shared" ca="1" si="60"/>
        <v>#N/A</v>
      </c>
      <c r="AG194" s="55" t="e">
        <f t="shared" ca="1" si="61"/>
        <v>#N/A</v>
      </c>
      <c r="AH194" s="55" t="e">
        <f t="shared" ca="1" si="62"/>
        <v>#N/A</v>
      </c>
      <c r="AI194" s="55" t="e">
        <f t="shared" ca="1" si="56"/>
        <v>#N/A</v>
      </c>
      <c r="AJ194" s="55" t="e">
        <f t="shared" ca="1" si="57"/>
        <v>#N/A</v>
      </c>
      <c r="AK194" s="55" t="e">
        <f t="shared" ca="1" si="58"/>
        <v>#N/A</v>
      </c>
    </row>
    <row r="195" spans="18:37">
      <c r="R195" s="83" t="e">
        <f ca="1"/>
        <v>#N/A</v>
      </c>
      <c r="S195" s="55" t="e">
        <f t="shared" ca="1" si="51"/>
        <v>#N/A</v>
      </c>
      <c r="T195" s="55" t="e">
        <f t="shared" ca="1" si="45"/>
        <v>#N/A</v>
      </c>
      <c r="U195" s="55" t="e">
        <f t="shared" ca="1" si="46"/>
        <v>#N/A</v>
      </c>
      <c r="V195" s="55" t="e">
        <f t="shared" ca="1" si="47"/>
        <v>#N/A</v>
      </c>
      <c r="W195" s="55" t="e">
        <f t="shared" ca="1" si="52"/>
        <v>#N/A</v>
      </c>
      <c r="X195" s="55" t="e">
        <f t="shared" ca="1" si="53"/>
        <v>#N/A</v>
      </c>
      <c r="Y195" s="55" t="e">
        <f t="shared" ca="1" si="54"/>
        <v>#N/A</v>
      </c>
      <c r="Z195" t="e">
        <f t="shared" ca="1" si="48"/>
        <v>#N/A</v>
      </c>
      <c r="AA195" t="e">
        <f t="shared" ca="1" si="55"/>
        <v>#N/A</v>
      </c>
      <c r="AB195" t="e">
        <f t="shared" ca="1" si="49"/>
        <v>#N/A</v>
      </c>
      <c r="AC195" t="e">
        <f t="shared" ca="1" si="50"/>
        <v>#N/A</v>
      </c>
      <c r="AD195" s="83" t="e">
        <f ca="1"/>
        <v>#N/A</v>
      </c>
      <c r="AE195" s="55" t="e">
        <f t="shared" ca="1" si="59"/>
        <v>#N/A</v>
      </c>
      <c r="AF195" s="55" t="e">
        <f t="shared" ca="1" si="60"/>
        <v>#N/A</v>
      </c>
      <c r="AG195" s="55" t="e">
        <f t="shared" ca="1" si="61"/>
        <v>#N/A</v>
      </c>
      <c r="AH195" s="55" t="e">
        <f t="shared" ca="1" si="62"/>
        <v>#N/A</v>
      </c>
      <c r="AI195" s="55" t="e">
        <f t="shared" ca="1" si="56"/>
        <v>#N/A</v>
      </c>
      <c r="AJ195" s="55" t="e">
        <f t="shared" ca="1" si="57"/>
        <v>#N/A</v>
      </c>
      <c r="AK195" s="55" t="e">
        <f t="shared" ca="1" si="58"/>
        <v>#N/A</v>
      </c>
    </row>
    <row r="196" spans="18:37">
      <c r="R196" s="83" t="e">
        <f ca="1"/>
        <v>#N/A</v>
      </c>
      <c r="S196" s="55" t="e">
        <f t="shared" ca="1" si="51"/>
        <v>#N/A</v>
      </c>
      <c r="T196" s="55" t="e">
        <f t="shared" ca="1" si="45"/>
        <v>#N/A</v>
      </c>
      <c r="U196" s="55" t="e">
        <f t="shared" ca="1" si="46"/>
        <v>#N/A</v>
      </c>
      <c r="V196" s="55" t="e">
        <f t="shared" ca="1" si="47"/>
        <v>#N/A</v>
      </c>
      <c r="W196" s="55" t="e">
        <f t="shared" ca="1" si="52"/>
        <v>#N/A</v>
      </c>
      <c r="X196" s="55" t="e">
        <f t="shared" ca="1" si="53"/>
        <v>#N/A</v>
      </c>
      <c r="Y196" s="55" t="e">
        <f t="shared" ca="1" si="54"/>
        <v>#N/A</v>
      </c>
      <c r="Z196" t="e">
        <f t="shared" ca="1" si="48"/>
        <v>#N/A</v>
      </c>
      <c r="AA196" t="e">
        <f t="shared" ca="1" si="55"/>
        <v>#N/A</v>
      </c>
      <c r="AB196" t="e">
        <f t="shared" ca="1" si="49"/>
        <v>#N/A</v>
      </c>
      <c r="AC196" t="e">
        <f t="shared" ca="1" si="50"/>
        <v>#N/A</v>
      </c>
      <c r="AD196" s="83" t="e">
        <f ca="1"/>
        <v>#N/A</v>
      </c>
      <c r="AE196" s="55" t="e">
        <f t="shared" ca="1" si="59"/>
        <v>#N/A</v>
      </c>
      <c r="AF196" s="55" t="e">
        <f t="shared" ca="1" si="60"/>
        <v>#N/A</v>
      </c>
      <c r="AG196" s="55" t="e">
        <f t="shared" ca="1" si="61"/>
        <v>#N/A</v>
      </c>
      <c r="AH196" s="55" t="e">
        <f t="shared" ca="1" si="62"/>
        <v>#N/A</v>
      </c>
      <c r="AI196" s="55" t="e">
        <f t="shared" ca="1" si="56"/>
        <v>#N/A</v>
      </c>
      <c r="AJ196" s="55" t="e">
        <f t="shared" ca="1" si="57"/>
        <v>#N/A</v>
      </c>
      <c r="AK196" s="55" t="e">
        <f t="shared" ca="1" si="58"/>
        <v>#N/A</v>
      </c>
    </row>
    <row r="197" spans="18:37">
      <c r="R197" s="83" t="e">
        <f ca="1"/>
        <v>#N/A</v>
      </c>
      <c r="S197" s="55" t="e">
        <f t="shared" ca="1" si="51"/>
        <v>#N/A</v>
      </c>
      <c r="T197" s="55" t="e">
        <f t="shared" ca="1" si="45"/>
        <v>#N/A</v>
      </c>
      <c r="U197" s="55" t="e">
        <f t="shared" ca="1" si="46"/>
        <v>#N/A</v>
      </c>
      <c r="V197" s="55" t="e">
        <f t="shared" ca="1" si="47"/>
        <v>#N/A</v>
      </c>
      <c r="W197" s="55" t="e">
        <f t="shared" ca="1" si="52"/>
        <v>#N/A</v>
      </c>
      <c r="X197" s="55" t="e">
        <f t="shared" ca="1" si="53"/>
        <v>#N/A</v>
      </c>
      <c r="Y197" s="55" t="e">
        <f t="shared" ca="1" si="54"/>
        <v>#N/A</v>
      </c>
      <c r="Z197" t="e">
        <f t="shared" ca="1" si="48"/>
        <v>#N/A</v>
      </c>
      <c r="AA197" t="e">
        <f t="shared" ca="1" si="55"/>
        <v>#N/A</v>
      </c>
      <c r="AB197" t="e">
        <f t="shared" ca="1" si="49"/>
        <v>#N/A</v>
      </c>
      <c r="AC197" t="e">
        <f t="shared" ca="1" si="50"/>
        <v>#N/A</v>
      </c>
      <c r="AD197" s="83" t="e">
        <f ca="1"/>
        <v>#N/A</v>
      </c>
      <c r="AE197" s="55" t="e">
        <f t="shared" ca="1" si="59"/>
        <v>#N/A</v>
      </c>
      <c r="AF197" s="55" t="e">
        <f t="shared" ca="1" si="60"/>
        <v>#N/A</v>
      </c>
      <c r="AG197" s="55" t="e">
        <f t="shared" ca="1" si="61"/>
        <v>#N/A</v>
      </c>
      <c r="AH197" s="55" t="e">
        <f t="shared" ca="1" si="62"/>
        <v>#N/A</v>
      </c>
      <c r="AI197" s="55" t="e">
        <f t="shared" ca="1" si="56"/>
        <v>#N/A</v>
      </c>
      <c r="AJ197" s="55" t="e">
        <f t="shared" ca="1" si="57"/>
        <v>#N/A</v>
      </c>
      <c r="AK197" s="55" t="e">
        <f t="shared" ca="1" si="58"/>
        <v>#N/A</v>
      </c>
    </row>
    <row r="198" spans="18:37">
      <c r="R198" s="83" t="e">
        <f ca="1"/>
        <v>#N/A</v>
      </c>
      <c r="S198" s="55" t="e">
        <f t="shared" ca="1" si="51"/>
        <v>#N/A</v>
      </c>
      <c r="T198" s="55" t="e">
        <f t="shared" ca="1" si="45"/>
        <v>#N/A</v>
      </c>
      <c r="U198" s="55" t="e">
        <f t="shared" ca="1" si="46"/>
        <v>#N/A</v>
      </c>
      <c r="V198" s="55" t="e">
        <f t="shared" ca="1" si="47"/>
        <v>#N/A</v>
      </c>
      <c r="W198" s="55" t="e">
        <f t="shared" ca="1" si="52"/>
        <v>#N/A</v>
      </c>
      <c r="X198" s="55" t="e">
        <f t="shared" ca="1" si="53"/>
        <v>#N/A</v>
      </c>
      <c r="Y198" s="55" t="e">
        <f t="shared" ca="1" si="54"/>
        <v>#N/A</v>
      </c>
      <c r="Z198" t="e">
        <f t="shared" ca="1" si="48"/>
        <v>#N/A</v>
      </c>
      <c r="AA198" t="e">
        <f t="shared" ca="1" si="55"/>
        <v>#N/A</v>
      </c>
      <c r="AB198" t="e">
        <f t="shared" ca="1" si="49"/>
        <v>#N/A</v>
      </c>
      <c r="AC198" t="e">
        <f t="shared" ca="1" si="50"/>
        <v>#N/A</v>
      </c>
      <c r="AD198" s="83" t="e">
        <f ca="1"/>
        <v>#N/A</v>
      </c>
      <c r="AE198" s="55" t="e">
        <f t="shared" ca="1" si="59"/>
        <v>#N/A</v>
      </c>
      <c r="AF198" s="55" t="e">
        <f t="shared" ca="1" si="60"/>
        <v>#N/A</v>
      </c>
      <c r="AG198" s="55" t="e">
        <f t="shared" ca="1" si="61"/>
        <v>#N/A</v>
      </c>
      <c r="AH198" s="55" t="e">
        <f t="shared" ca="1" si="62"/>
        <v>#N/A</v>
      </c>
      <c r="AI198" s="55" t="e">
        <f t="shared" ca="1" si="56"/>
        <v>#N/A</v>
      </c>
      <c r="AJ198" s="55" t="e">
        <f t="shared" ca="1" si="57"/>
        <v>#N/A</v>
      </c>
      <c r="AK198" s="55" t="e">
        <f t="shared" ca="1" si="58"/>
        <v>#N/A</v>
      </c>
    </row>
    <row r="199" spans="18:37">
      <c r="R199" s="83" t="e">
        <f ca="1"/>
        <v>#N/A</v>
      </c>
      <c r="S199" s="55" t="e">
        <f t="shared" ca="1" si="51"/>
        <v>#N/A</v>
      </c>
      <c r="T199" s="55" t="e">
        <f t="shared" ca="1" si="45"/>
        <v>#N/A</v>
      </c>
      <c r="U199" s="55" t="e">
        <f t="shared" ca="1" si="46"/>
        <v>#N/A</v>
      </c>
      <c r="V199" s="55" t="e">
        <f t="shared" ca="1" si="47"/>
        <v>#N/A</v>
      </c>
      <c r="W199" s="55" t="e">
        <f t="shared" ca="1" si="52"/>
        <v>#N/A</v>
      </c>
      <c r="X199" s="55" t="e">
        <f t="shared" ca="1" si="53"/>
        <v>#N/A</v>
      </c>
      <c r="Y199" s="55" t="e">
        <f t="shared" ca="1" si="54"/>
        <v>#N/A</v>
      </c>
      <c r="Z199" t="e">
        <f t="shared" ca="1" si="48"/>
        <v>#N/A</v>
      </c>
      <c r="AA199" t="e">
        <f t="shared" ca="1" si="55"/>
        <v>#N/A</v>
      </c>
      <c r="AB199" t="e">
        <f t="shared" ca="1" si="49"/>
        <v>#N/A</v>
      </c>
      <c r="AC199" t="e">
        <f t="shared" ca="1" si="50"/>
        <v>#N/A</v>
      </c>
      <c r="AD199" s="83" t="e">
        <f ca="1"/>
        <v>#N/A</v>
      </c>
      <c r="AE199" s="55" t="e">
        <f t="shared" ca="1" si="59"/>
        <v>#N/A</v>
      </c>
      <c r="AF199" s="55" t="e">
        <f t="shared" ca="1" si="60"/>
        <v>#N/A</v>
      </c>
      <c r="AG199" s="55" t="e">
        <f t="shared" ca="1" si="61"/>
        <v>#N/A</v>
      </c>
      <c r="AH199" s="55" t="e">
        <f t="shared" ca="1" si="62"/>
        <v>#N/A</v>
      </c>
      <c r="AI199" s="55" t="e">
        <f t="shared" ca="1" si="56"/>
        <v>#N/A</v>
      </c>
      <c r="AJ199" s="55" t="e">
        <f t="shared" ca="1" si="57"/>
        <v>#N/A</v>
      </c>
      <c r="AK199" s="55" t="e">
        <f t="shared" ca="1" si="58"/>
        <v>#N/A</v>
      </c>
    </row>
    <row r="200" spans="18:37">
      <c r="R200" s="83" t="e">
        <f ca="1"/>
        <v>#N/A</v>
      </c>
      <c r="S200" s="55" t="e">
        <f t="shared" ca="1" si="51"/>
        <v>#N/A</v>
      </c>
      <c r="T200" s="55" t="e">
        <f t="shared" ca="1" si="45"/>
        <v>#N/A</v>
      </c>
      <c r="U200" s="55" t="e">
        <f t="shared" ca="1" si="46"/>
        <v>#N/A</v>
      </c>
      <c r="V200" s="55" t="e">
        <f t="shared" ca="1" si="47"/>
        <v>#N/A</v>
      </c>
      <c r="W200" s="55" t="e">
        <f t="shared" ca="1" si="52"/>
        <v>#N/A</v>
      </c>
      <c r="X200" s="55" t="e">
        <f t="shared" ca="1" si="53"/>
        <v>#N/A</v>
      </c>
      <c r="Y200" s="55" t="e">
        <f t="shared" ca="1" si="54"/>
        <v>#N/A</v>
      </c>
      <c r="Z200" t="e">
        <f t="shared" ca="1" si="48"/>
        <v>#N/A</v>
      </c>
      <c r="AA200" t="e">
        <f t="shared" ca="1" si="55"/>
        <v>#N/A</v>
      </c>
      <c r="AB200" t="e">
        <f t="shared" ca="1" si="49"/>
        <v>#N/A</v>
      </c>
      <c r="AC200" t="e">
        <f t="shared" ca="1" si="50"/>
        <v>#N/A</v>
      </c>
      <c r="AD200" s="83" t="e">
        <f ca="1"/>
        <v>#N/A</v>
      </c>
      <c r="AE200" s="55" t="e">
        <f t="shared" ca="1" si="59"/>
        <v>#N/A</v>
      </c>
      <c r="AF200" s="55" t="e">
        <f t="shared" ca="1" si="60"/>
        <v>#N/A</v>
      </c>
      <c r="AG200" s="55" t="e">
        <f t="shared" ca="1" si="61"/>
        <v>#N/A</v>
      </c>
      <c r="AH200" s="55" t="e">
        <f t="shared" ca="1" si="62"/>
        <v>#N/A</v>
      </c>
      <c r="AI200" s="55" t="e">
        <f t="shared" ca="1" si="56"/>
        <v>#N/A</v>
      </c>
      <c r="AJ200" s="55" t="e">
        <f t="shared" ca="1" si="57"/>
        <v>#N/A</v>
      </c>
      <c r="AK200" s="55" t="e">
        <f t="shared" ca="1" si="58"/>
        <v>#N/A</v>
      </c>
    </row>
    <row r="201" spans="18:37">
      <c r="R201" s="83" t="e">
        <f ca="1"/>
        <v>#N/A</v>
      </c>
      <c r="S201" s="55" t="e">
        <f t="shared" ca="1" si="51"/>
        <v>#N/A</v>
      </c>
      <c r="T201" s="55" t="e">
        <f t="shared" ca="1" si="45"/>
        <v>#N/A</v>
      </c>
      <c r="U201" s="55" t="e">
        <f t="shared" ca="1" si="46"/>
        <v>#N/A</v>
      </c>
      <c r="V201" s="55" t="e">
        <f t="shared" ca="1" si="47"/>
        <v>#N/A</v>
      </c>
      <c r="W201" s="55" t="e">
        <f t="shared" ca="1" si="52"/>
        <v>#N/A</v>
      </c>
      <c r="X201" s="55" t="e">
        <f t="shared" ca="1" si="53"/>
        <v>#N/A</v>
      </c>
      <c r="Y201" s="55" t="e">
        <f t="shared" ca="1" si="54"/>
        <v>#N/A</v>
      </c>
      <c r="Z201" t="e">
        <f t="shared" ca="1" si="48"/>
        <v>#N/A</v>
      </c>
      <c r="AA201" t="e">
        <f t="shared" ca="1" si="55"/>
        <v>#N/A</v>
      </c>
      <c r="AB201" t="e">
        <f t="shared" ca="1" si="49"/>
        <v>#N/A</v>
      </c>
      <c r="AC201" t="e">
        <f t="shared" ca="1" si="50"/>
        <v>#N/A</v>
      </c>
      <c r="AD201" s="83" t="e">
        <f ca="1"/>
        <v>#N/A</v>
      </c>
      <c r="AE201" s="55" t="e">
        <f t="shared" ca="1" si="59"/>
        <v>#N/A</v>
      </c>
      <c r="AF201" s="55" t="e">
        <f t="shared" ca="1" si="60"/>
        <v>#N/A</v>
      </c>
      <c r="AG201" s="55" t="e">
        <f t="shared" ca="1" si="61"/>
        <v>#N/A</v>
      </c>
      <c r="AH201" s="55" t="e">
        <f t="shared" ca="1" si="62"/>
        <v>#N/A</v>
      </c>
      <c r="AI201" s="55" t="e">
        <f t="shared" ca="1" si="56"/>
        <v>#N/A</v>
      </c>
      <c r="AJ201" s="55" t="e">
        <f t="shared" ca="1" si="57"/>
        <v>#N/A</v>
      </c>
      <c r="AK201" s="55" t="e">
        <f t="shared" ca="1" si="58"/>
        <v>#N/A</v>
      </c>
    </row>
    <row r="202" spans="18:37">
      <c r="R202" s="83" t="e">
        <f ca="1"/>
        <v>#N/A</v>
      </c>
      <c r="S202" s="55" t="e">
        <f t="shared" ca="1" si="51"/>
        <v>#N/A</v>
      </c>
      <c r="T202" s="55" t="e">
        <f t="shared" ca="1" si="45"/>
        <v>#N/A</v>
      </c>
      <c r="U202" s="55" t="e">
        <f t="shared" ca="1" si="46"/>
        <v>#N/A</v>
      </c>
      <c r="V202" s="55" t="e">
        <f t="shared" ca="1" si="47"/>
        <v>#N/A</v>
      </c>
      <c r="W202" s="55" t="e">
        <f t="shared" ca="1" si="52"/>
        <v>#N/A</v>
      </c>
      <c r="X202" s="55" t="e">
        <f t="shared" ca="1" si="53"/>
        <v>#N/A</v>
      </c>
      <c r="Y202" s="55" t="e">
        <f t="shared" ca="1" si="54"/>
        <v>#N/A</v>
      </c>
      <c r="Z202" t="e">
        <f t="shared" ca="1" si="48"/>
        <v>#N/A</v>
      </c>
      <c r="AA202" t="e">
        <f t="shared" ca="1" si="55"/>
        <v>#N/A</v>
      </c>
      <c r="AB202" t="e">
        <f t="shared" ca="1" si="49"/>
        <v>#N/A</v>
      </c>
      <c r="AC202" t="e">
        <f t="shared" ca="1" si="50"/>
        <v>#N/A</v>
      </c>
      <c r="AD202" s="83" t="e">
        <f ca="1"/>
        <v>#N/A</v>
      </c>
      <c r="AE202" s="55" t="e">
        <f t="shared" ca="1" si="59"/>
        <v>#N/A</v>
      </c>
      <c r="AF202" s="55" t="e">
        <f t="shared" ca="1" si="60"/>
        <v>#N/A</v>
      </c>
      <c r="AG202" s="55" t="e">
        <f t="shared" ca="1" si="61"/>
        <v>#N/A</v>
      </c>
      <c r="AH202" s="55" t="e">
        <f t="shared" ca="1" si="62"/>
        <v>#N/A</v>
      </c>
      <c r="AI202" s="55" t="e">
        <f t="shared" ca="1" si="56"/>
        <v>#N/A</v>
      </c>
      <c r="AJ202" s="55" t="e">
        <f t="shared" ca="1" si="57"/>
        <v>#N/A</v>
      </c>
      <c r="AK202" s="55" t="e">
        <f t="shared" ca="1" si="58"/>
        <v>#N/A</v>
      </c>
    </row>
    <row r="203" spans="18:37">
      <c r="R203" s="83" t="e">
        <f ca="1"/>
        <v>#N/A</v>
      </c>
      <c r="S203" s="55" t="e">
        <f t="shared" ca="1" si="51"/>
        <v>#N/A</v>
      </c>
      <c r="T203" s="55" t="e">
        <f t="shared" ca="1" si="45"/>
        <v>#N/A</v>
      </c>
      <c r="U203" s="55" t="e">
        <f t="shared" ca="1" si="46"/>
        <v>#N/A</v>
      </c>
      <c r="V203" s="55" t="e">
        <f t="shared" ca="1" si="47"/>
        <v>#N/A</v>
      </c>
      <c r="W203" s="55" t="e">
        <f t="shared" ca="1" si="52"/>
        <v>#N/A</v>
      </c>
      <c r="X203" s="55" t="e">
        <f t="shared" ca="1" si="53"/>
        <v>#N/A</v>
      </c>
      <c r="Y203" s="55" t="e">
        <f t="shared" ca="1" si="54"/>
        <v>#N/A</v>
      </c>
      <c r="Z203" t="e">
        <f t="shared" ca="1" si="48"/>
        <v>#N/A</v>
      </c>
      <c r="AA203" t="e">
        <f t="shared" ca="1" si="55"/>
        <v>#N/A</v>
      </c>
      <c r="AB203" t="e">
        <f t="shared" ca="1" si="49"/>
        <v>#N/A</v>
      </c>
      <c r="AC203" t="e">
        <f t="shared" ca="1" si="50"/>
        <v>#N/A</v>
      </c>
      <c r="AD203" s="83" t="e">
        <f ca="1"/>
        <v>#N/A</v>
      </c>
      <c r="AE203" s="55" t="e">
        <f t="shared" ca="1" si="59"/>
        <v>#N/A</v>
      </c>
      <c r="AF203" s="55" t="e">
        <f t="shared" ca="1" si="60"/>
        <v>#N/A</v>
      </c>
      <c r="AG203" s="55" t="e">
        <f t="shared" ca="1" si="61"/>
        <v>#N/A</v>
      </c>
      <c r="AH203" s="55" t="e">
        <f t="shared" ca="1" si="62"/>
        <v>#N/A</v>
      </c>
      <c r="AI203" s="55" t="e">
        <f t="shared" ca="1" si="56"/>
        <v>#N/A</v>
      </c>
      <c r="AJ203" s="55" t="e">
        <f t="shared" ca="1" si="57"/>
        <v>#N/A</v>
      </c>
      <c r="AK203" s="55" t="e">
        <f t="shared" ca="1" si="58"/>
        <v>#N/A</v>
      </c>
    </row>
    <row r="204" spans="18:37">
      <c r="R204" s="83" t="e">
        <f ca="1"/>
        <v>#N/A</v>
      </c>
      <c r="S204" s="55" t="e">
        <f t="shared" ca="1" si="51"/>
        <v>#N/A</v>
      </c>
      <c r="T204" s="55" t="e">
        <f t="shared" ca="1" si="45"/>
        <v>#N/A</v>
      </c>
      <c r="U204" s="55" t="e">
        <f t="shared" ca="1" si="46"/>
        <v>#N/A</v>
      </c>
      <c r="V204" s="55" t="e">
        <f t="shared" ca="1" si="47"/>
        <v>#N/A</v>
      </c>
      <c r="W204" s="55" t="e">
        <f t="shared" ca="1" si="52"/>
        <v>#N/A</v>
      </c>
      <c r="X204" s="55" t="e">
        <f t="shared" ca="1" si="53"/>
        <v>#N/A</v>
      </c>
      <c r="Y204" s="55" t="e">
        <f t="shared" ca="1" si="54"/>
        <v>#N/A</v>
      </c>
      <c r="Z204" t="e">
        <f t="shared" ca="1" si="48"/>
        <v>#N/A</v>
      </c>
      <c r="AA204" t="e">
        <f t="shared" ca="1" si="55"/>
        <v>#N/A</v>
      </c>
      <c r="AB204" t="e">
        <f t="shared" ca="1" si="49"/>
        <v>#N/A</v>
      </c>
      <c r="AC204" t="e">
        <f t="shared" ca="1" si="50"/>
        <v>#N/A</v>
      </c>
      <c r="AD204" s="83" t="e">
        <f ca="1"/>
        <v>#N/A</v>
      </c>
      <c r="AE204" s="55" t="e">
        <f t="shared" ca="1" si="59"/>
        <v>#N/A</v>
      </c>
      <c r="AF204" s="55" t="e">
        <f t="shared" ca="1" si="60"/>
        <v>#N/A</v>
      </c>
      <c r="AG204" s="55" t="e">
        <f t="shared" ca="1" si="61"/>
        <v>#N/A</v>
      </c>
      <c r="AH204" s="55" t="e">
        <f t="shared" ca="1" si="62"/>
        <v>#N/A</v>
      </c>
      <c r="AI204" s="55" t="e">
        <f t="shared" ca="1" si="56"/>
        <v>#N/A</v>
      </c>
      <c r="AJ204" s="55" t="e">
        <f t="shared" ca="1" si="57"/>
        <v>#N/A</v>
      </c>
      <c r="AK204" s="55" t="e">
        <f t="shared" ca="1" si="58"/>
        <v>#N/A</v>
      </c>
    </row>
    <row r="205" spans="18:37">
      <c r="R205" s="83" t="e">
        <f ca="1"/>
        <v>#N/A</v>
      </c>
      <c r="S205" s="55" t="e">
        <f t="shared" ca="1" si="51"/>
        <v>#N/A</v>
      </c>
      <c r="T205" s="55" t="e">
        <f t="shared" ca="1" si="45"/>
        <v>#N/A</v>
      </c>
      <c r="U205" s="55" t="e">
        <f t="shared" ca="1" si="46"/>
        <v>#N/A</v>
      </c>
      <c r="V205" s="55" t="e">
        <f t="shared" ca="1" si="47"/>
        <v>#N/A</v>
      </c>
      <c r="W205" s="55" t="e">
        <f t="shared" ca="1" si="52"/>
        <v>#N/A</v>
      </c>
      <c r="X205" s="55" t="e">
        <f t="shared" ca="1" si="53"/>
        <v>#N/A</v>
      </c>
      <c r="Y205" s="55" t="e">
        <f t="shared" ca="1" si="54"/>
        <v>#N/A</v>
      </c>
      <c r="Z205" t="e">
        <f t="shared" ca="1" si="48"/>
        <v>#N/A</v>
      </c>
      <c r="AA205" t="e">
        <f t="shared" ca="1" si="55"/>
        <v>#N/A</v>
      </c>
      <c r="AB205" t="e">
        <f t="shared" ca="1" si="49"/>
        <v>#N/A</v>
      </c>
      <c r="AC205" t="e">
        <f t="shared" ca="1" si="50"/>
        <v>#N/A</v>
      </c>
      <c r="AD205" s="83" t="e">
        <f ca="1"/>
        <v>#N/A</v>
      </c>
      <c r="AE205" s="55" t="e">
        <f t="shared" ca="1" si="59"/>
        <v>#N/A</v>
      </c>
      <c r="AF205" s="55" t="e">
        <f t="shared" ca="1" si="60"/>
        <v>#N/A</v>
      </c>
      <c r="AG205" s="55" t="e">
        <f t="shared" ca="1" si="61"/>
        <v>#N/A</v>
      </c>
      <c r="AH205" s="55" t="e">
        <f t="shared" ca="1" si="62"/>
        <v>#N/A</v>
      </c>
      <c r="AI205" s="55" t="e">
        <f t="shared" ca="1" si="56"/>
        <v>#N/A</v>
      </c>
      <c r="AJ205" s="55" t="e">
        <f t="shared" ca="1" si="57"/>
        <v>#N/A</v>
      </c>
      <c r="AK205" s="55" t="e">
        <f t="shared" ca="1" si="58"/>
        <v>#N/A</v>
      </c>
    </row>
    <row r="206" spans="18:37">
      <c r="R206" s="83" t="e">
        <f ca="1"/>
        <v>#N/A</v>
      </c>
      <c r="S206" s="55" t="e">
        <f t="shared" ca="1" si="51"/>
        <v>#N/A</v>
      </c>
      <c r="T206" s="55" t="e">
        <f t="shared" ca="1" si="45"/>
        <v>#N/A</v>
      </c>
      <c r="U206" s="55" t="e">
        <f t="shared" ca="1" si="46"/>
        <v>#N/A</v>
      </c>
      <c r="V206" s="55" t="e">
        <f t="shared" ca="1" si="47"/>
        <v>#N/A</v>
      </c>
      <c r="W206" s="55" t="e">
        <f t="shared" ca="1" si="52"/>
        <v>#N/A</v>
      </c>
      <c r="X206" s="55" t="e">
        <f t="shared" ca="1" si="53"/>
        <v>#N/A</v>
      </c>
      <c r="Y206" s="55" t="e">
        <f t="shared" ca="1" si="54"/>
        <v>#N/A</v>
      </c>
      <c r="Z206" t="e">
        <f t="shared" ca="1" si="48"/>
        <v>#N/A</v>
      </c>
      <c r="AA206" t="e">
        <f t="shared" ca="1" si="55"/>
        <v>#N/A</v>
      </c>
      <c r="AB206" t="e">
        <f t="shared" ca="1" si="49"/>
        <v>#N/A</v>
      </c>
      <c r="AC206" t="e">
        <f t="shared" ca="1" si="50"/>
        <v>#N/A</v>
      </c>
      <c r="AD206" s="83" t="e">
        <f ca="1"/>
        <v>#N/A</v>
      </c>
      <c r="AE206" s="55" t="e">
        <f t="shared" ca="1" si="59"/>
        <v>#N/A</v>
      </c>
      <c r="AF206" s="55" t="e">
        <f t="shared" ca="1" si="60"/>
        <v>#N/A</v>
      </c>
      <c r="AG206" s="55" t="e">
        <f t="shared" ca="1" si="61"/>
        <v>#N/A</v>
      </c>
      <c r="AH206" s="55" t="e">
        <f t="shared" ca="1" si="62"/>
        <v>#N/A</v>
      </c>
      <c r="AI206" s="55" t="e">
        <f t="shared" ca="1" si="56"/>
        <v>#N/A</v>
      </c>
      <c r="AJ206" s="55" t="e">
        <f t="shared" ca="1" si="57"/>
        <v>#N/A</v>
      </c>
      <c r="AK206" s="55" t="e">
        <f t="shared" ca="1" si="58"/>
        <v>#N/A</v>
      </c>
    </row>
    <row r="207" spans="18:37">
      <c r="R207" s="83" t="e">
        <f ca="1"/>
        <v>#N/A</v>
      </c>
      <c r="S207" s="55" t="e">
        <f t="shared" ca="1" si="51"/>
        <v>#N/A</v>
      </c>
      <c r="T207" s="55" t="e">
        <f t="shared" ca="1" si="45"/>
        <v>#N/A</v>
      </c>
      <c r="U207" s="55" t="e">
        <f t="shared" ca="1" si="46"/>
        <v>#N/A</v>
      </c>
      <c r="V207" s="55" t="e">
        <f t="shared" ca="1" si="47"/>
        <v>#N/A</v>
      </c>
      <c r="W207" s="55" t="e">
        <f t="shared" ca="1" si="52"/>
        <v>#N/A</v>
      </c>
      <c r="X207" s="55" t="e">
        <f t="shared" ca="1" si="53"/>
        <v>#N/A</v>
      </c>
      <c r="Y207" s="55" t="e">
        <f t="shared" ca="1" si="54"/>
        <v>#N/A</v>
      </c>
      <c r="Z207" t="e">
        <f t="shared" ca="1" si="48"/>
        <v>#N/A</v>
      </c>
      <c r="AA207" t="e">
        <f t="shared" ca="1" si="55"/>
        <v>#N/A</v>
      </c>
      <c r="AB207" t="e">
        <f t="shared" ca="1" si="49"/>
        <v>#N/A</v>
      </c>
      <c r="AC207" t="e">
        <f t="shared" ca="1" si="50"/>
        <v>#N/A</v>
      </c>
      <c r="AD207" s="83" t="e">
        <f ca="1"/>
        <v>#N/A</v>
      </c>
      <c r="AE207" s="55" t="e">
        <f t="shared" ca="1" si="59"/>
        <v>#N/A</v>
      </c>
      <c r="AF207" s="55" t="e">
        <f t="shared" ca="1" si="60"/>
        <v>#N/A</v>
      </c>
      <c r="AG207" s="55" t="e">
        <f t="shared" ca="1" si="61"/>
        <v>#N/A</v>
      </c>
      <c r="AH207" s="55" t="e">
        <f t="shared" ca="1" si="62"/>
        <v>#N/A</v>
      </c>
      <c r="AI207" s="55" t="e">
        <f t="shared" ca="1" si="56"/>
        <v>#N/A</v>
      </c>
      <c r="AJ207" s="55" t="e">
        <f t="shared" ca="1" si="57"/>
        <v>#N/A</v>
      </c>
      <c r="AK207" s="55" t="e">
        <f t="shared" ca="1" si="58"/>
        <v>#N/A</v>
      </c>
    </row>
    <row r="208" spans="18:37">
      <c r="R208" s="83" t="e">
        <f ca="1"/>
        <v>#N/A</v>
      </c>
      <c r="S208" s="55" t="e">
        <f t="shared" ca="1" si="51"/>
        <v>#N/A</v>
      </c>
      <c r="T208" s="55" t="e">
        <f t="shared" ca="1" si="45"/>
        <v>#N/A</v>
      </c>
      <c r="U208" s="55" t="e">
        <f t="shared" ca="1" si="46"/>
        <v>#N/A</v>
      </c>
      <c r="V208" s="55" t="e">
        <f t="shared" ca="1" si="47"/>
        <v>#N/A</v>
      </c>
      <c r="W208" s="55" t="e">
        <f t="shared" ca="1" si="52"/>
        <v>#N/A</v>
      </c>
      <c r="X208" s="55" t="e">
        <f t="shared" ca="1" si="53"/>
        <v>#N/A</v>
      </c>
      <c r="Y208" s="55" t="e">
        <f t="shared" ca="1" si="54"/>
        <v>#N/A</v>
      </c>
      <c r="Z208" t="e">
        <f t="shared" ca="1" si="48"/>
        <v>#N/A</v>
      </c>
      <c r="AA208" t="e">
        <f t="shared" ca="1" si="55"/>
        <v>#N/A</v>
      </c>
      <c r="AB208" t="e">
        <f t="shared" ca="1" si="49"/>
        <v>#N/A</v>
      </c>
      <c r="AC208" t="e">
        <f t="shared" ca="1" si="50"/>
        <v>#N/A</v>
      </c>
      <c r="AD208" s="83" t="e">
        <f ca="1"/>
        <v>#N/A</v>
      </c>
      <c r="AE208" s="55" t="e">
        <f t="shared" ca="1" si="59"/>
        <v>#N/A</v>
      </c>
      <c r="AF208" s="55" t="e">
        <f t="shared" ca="1" si="60"/>
        <v>#N/A</v>
      </c>
      <c r="AG208" s="55" t="e">
        <f t="shared" ca="1" si="61"/>
        <v>#N/A</v>
      </c>
      <c r="AH208" s="55" t="e">
        <f t="shared" ca="1" si="62"/>
        <v>#N/A</v>
      </c>
      <c r="AI208" s="55" t="e">
        <f t="shared" ca="1" si="56"/>
        <v>#N/A</v>
      </c>
      <c r="AJ208" s="55" t="e">
        <f t="shared" ca="1" si="57"/>
        <v>#N/A</v>
      </c>
      <c r="AK208" s="55" t="e">
        <f t="shared" ca="1" si="58"/>
        <v>#N/A</v>
      </c>
    </row>
    <row r="209" spans="18:37">
      <c r="R209" s="83" t="e">
        <f ca="1"/>
        <v>#N/A</v>
      </c>
      <c r="S209" s="55" t="e">
        <f t="shared" ca="1" si="51"/>
        <v>#N/A</v>
      </c>
      <c r="T209" s="55" t="e">
        <f t="shared" ca="1" si="45"/>
        <v>#N/A</v>
      </c>
      <c r="U209" s="55" t="e">
        <f t="shared" ca="1" si="46"/>
        <v>#N/A</v>
      </c>
      <c r="V209" s="55" t="e">
        <f t="shared" ca="1" si="47"/>
        <v>#N/A</v>
      </c>
      <c r="W209" s="55" t="e">
        <f t="shared" ca="1" si="52"/>
        <v>#N/A</v>
      </c>
      <c r="X209" s="55" t="e">
        <f t="shared" ca="1" si="53"/>
        <v>#N/A</v>
      </c>
      <c r="Y209" s="55" t="e">
        <f t="shared" ca="1" si="54"/>
        <v>#N/A</v>
      </c>
      <c r="Z209" t="e">
        <f t="shared" ca="1" si="48"/>
        <v>#N/A</v>
      </c>
      <c r="AA209" t="e">
        <f t="shared" ca="1" si="55"/>
        <v>#N/A</v>
      </c>
      <c r="AB209" t="e">
        <f t="shared" ca="1" si="49"/>
        <v>#N/A</v>
      </c>
      <c r="AC209" t="e">
        <f t="shared" ca="1" si="50"/>
        <v>#N/A</v>
      </c>
      <c r="AD209" s="83" t="e">
        <f ca="1"/>
        <v>#N/A</v>
      </c>
      <c r="AE209" s="55" t="e">
        <f t="shared" ca="1" si="59"/>
        <v>#N/A</v>
      </c>
      <c r="AF209" s="55" t="e">
        <f t="shared" ca="1" si="60"/>
        <v>#N/A</v>
      </c>
      <c r="AG209" s="55" t="e">
        <f t="shared" ca="1" si="61"/>
        <v>#N/A</v>
      </c>
      <c r="AH209" s="55" t="e">
        <f t="shared" ca="1" si="62"/>
        <v>#N/A</v>
      </c>
      <c r="AI209" s="55" t="e">
        <f t="shared" ca="1" si="56"/>
        <v>#N/A</v>
      </c>
      <c r="AJ209" s="55" t="e">
        <f t="shared" ca="1" si="57"/>
        <v>#N/A</v>
      </c>
      <c r="AK209" s="55" t="e">
        <f t="shared" ca="1" si="58"/>
        <v>#N/A</v>
      </c>
    </row>
    <row r="210" spans="18:37">
      <c r="R210" s="83" t="e">
        <f ca="1"/>
        <v>#N/A</v>
      </c>
      <c r="S210" s="55" t="e">
        <f t="shared" ca="1" si="51"/>
        <v>#N/A</v>
      </c>
      <c r="T210" s="55" t="e">
        <f t="shared" ref="T210:T273" ca="1" si="63">VLOOKUP(S210,ModelOutputs,2,FALSE)</f>
        <v>#N/A</v>
      </c>
      <c r="U210" s="55" t="e">
        <f t="shared" ref="U210:U273" ca="1" si="64">VLOOKUP(S210,ModelOutputs,7,FALSE)</f>
        <v>#N/A</v>
      </c>
      <c r="V210" s="55" t="e">
        <f t="shared" ref="V210:V273" ca="1" si="65">VLOOKUP(S210,ModelOutputs,6,FALSE)</f>
        <v>#N/A</v>
      </c>
      <c r="W210" s="55" t="e">
        <f t="shared" ca="1" si="52"/>
        <v>#N/A</v>
      </c>
      <c r="X210" s="55" t="e">
        <f t="shared" ca="1" si="53"/>
        <v>#N/A</v>
      </c>
      <c r="Y210" s="55" t="e">
        <f t="shared" ca="1" si="54"/>
        <v>#N/A</v>
      </c>
      <c r="Z210" t="e">
        <f t="shared" ref="Z210:Z273" ca="1" si="66">VLOOKUP(S210,ModelOutputs,10,FALSE)*AWC</f>
        <v>#N/A</v>
      </c>
      <c r="AA210" t="e">
        <f t="shared" ca="1" si="55"/>
        <v>#N/A</v>
      </c>
      <c r="AB210" t="e">
        <f t="shared" ref="AB210:AB273" ca="1" si="67">VLOOKUP(S210,ModelOutputs,12,FALSE)</f>
        <v>#N/A</v>
      </c>
      <c r="AC210" t="e">
        <f t="shared" ref="AC210:AC273" ca="1" si="68">VLOOKUP(S210,ModelOutputs,13,FALSE)</f>
        <v>#N/A</v>
      </c>
      <c r="AD210" s="83" t="e">
        <f ca="1"/>
        <v>#N/A</v>
      </c>
      <c r="AE210" s="55" t="e">
        <f t="shared" ca="1" si="59"/>
        <v>#N/A</v>
      </c>
      <c r="AF210" s="55" t="e">
        <f t="shared" ca="1" si="60"/>
        <v>#N/A</v>
      </c>
      <c r="AG210" s="55" t="e">
        <f t="shared" ca="1" si="61"/>
        <v>#N/A</v>
      </c>
      <c r="AH210" s="55" t="e">
        <f t="shared" ca="1" si="62"/>
        <v>#N/A</v>
      </c>
      <c r="AI210" s="55" t="e">
        <f t="shared" ca="1" si="56"/>
        <v>#N/A</v>
      </c>
      <c r="AJ210" s="55" t="e">
        <f t="shared" ca="1" si="57"/>
        <v>#N/A</v>
      </c>
      <c r="AK210" s="55" t="e">
        <f t="shared" ca="1" si="58"/>
        <v>#N/A</v>
      </c>
    </row>
    <row r="211" spans="18:37">
      <c r="R211" s="83" t="e">
        <f ca="1"/>
        <v>#N/A</v>
      </c>
      <c r="S211" s="55" t="e">
        <f t="shared" ref="S211:S274" ca="1" si="69">IF(R211&gt;1,R211,"")</f>
        <v>#N/A</v>
      </c>
      <c r="T211" s="55" t="e">
        <f t="shared" ca="1" si="63"/>
        <v>#N/A</v>
      </c>
      <c r="U211" s="55" t="e">
        <f t="shared" ca="1" si="64"/>
        <v>#N/A</v>
      </c>
      <c r="V211" s="55" t="e">
        <f t="shared" ca="1" si="65"/>
        <v>#N/A</v>
      </c>
      <c r="W211" s="55" t="e">
        <f t="shared" ref="W211:W274" ca="1" si="70">-VLOOKUP(S211,ModelOutputs,9,FALSE)+W210</f>
        <v>#N/A</v>
      </c>
      <c r="X211" s="55" t="e">
        <f t="shared" ref="X211:X274" ca="1" si="71">VLOOKUP(S211,ModelOutputs,5,FALSE)+X210</f>
        <v>#N/A</v>
      </c>
      <c r="Y211" s="55" t="e">
        <f t="shared" ref="Y211:Y274" ca="1" si="72">VLOOKUP(S211,ModelOutputs,4,FALSE)+Y210</f>
        <v>#N/A</v>
      </c>
      <c r="Z211" t="e">
        <f t="shared" ca="1" si="66"/>
        <v>#N/A</v>
      </c>
      <c r="AA211" t="e">
        <f t="shared" ref="AA211:AA274" ca="1" si="73">VLOOKUP(S211,ModelOutputs,11,FALSE)+AA210</f>
        <v>#N/A</v>
      </c>
      <c r="AB211" t="e">
        <f t="shared" ca="1" si="67"/>
        <v>#N/A</v>
      </c>
      <c r="AC211" t="e">
        <f t="shared" ca="1" si="68"/>
        <v>#N/A</v>
      </c>
      <c r="AD211" s="83" t="e">
        <f ca="1"/>
        <v>#N/A</v>
      </c>
      <c r="AE211" s="55" t="e">
        <f t="shared" ca="1" si="59"/>
        <v>#N/A</v>
      </c>
      <c r="AF211" s="55" t="e">
        <f t="shared" ca="1" si="60"/>
        <v>#N/A</v>
      </c>
      <c r="AG211" s="55" t="e">
        <f t="shared" ca="1" si="61"/>
        <v>#N/A</v>
      </c>
      <c r="AH211" s="55" t="e">
        <f t="shared" ca="1" si="62"/>
        <v>#N/A</v>
      </c>
      <c r="AI211" s="55" t="e">
        <f t="shared" ref="AI211:AI274" ca="1" si="74">-VLOOKUP(AE211,ModelOutputs,9,FALSE)+AI210</f>
        <v>#N/A</v>
      </c>
      <c r="AJ211" s="55" t="e">
        <f t="shared" ref="AJ211:AJ274" ca="1" si="75">VLOOKUP(AE211,ModelOutputs,5,FALSE)+AJ210</f>
        <v>#N/A</v>
      </c>
      <c r="AK211" s="55" t="e">
        <f t="shared" ref="AK211:AK274" ca="1" si="76">VLOOKUP(AE211,ModelOutputs,4,FALSE)+AK210</f>
        <v>#N/A</v>
      </c>
    </row>
    <row r="212" spans="18:37">
      <c r="R212" s="83" t="e">
        <f ca="1"/>
        <v>#N/A</v>
      </c>
      <c r="S212" s="55" t="e">
        <f t="shared" ca="1" si="69"/>
        <v>#N/A</v>
      </c>
      <c r="T212" s="55" t="e">
        <f t="shared" ca="1" si="63"/>
        <v>#N/A</v>
      </c>
      <c r="U212" s="55" t="e">
        <f t="shared" ca="1" si="64"/>
        <v>#N/A</v>
      </c>
      <c r="V212" s="55" t="e">
        <f t="shared" ca="1" si="65"/>
        <v>#N/A</v>
      </c>
      <c r="W212" s="55" t="e">
        <f t="shared" ca="1" si="70"/>
        <v>#N/A</v>
      </c>
      <c r="X212" s="55" t="e">
        <f t="shared" ca="1" si="71"/>
        <v>#N/A</v>
      </c>
      <c r="Y212" s="55" t="e">
        <f t="shared" ca="1" si="72"/>
        <v>#N/A</v>
      </c>
      <c r="Z212" t="e">
        <f t="shared" ca="1" si="66"/>
        <v>#N/A</v>
      </c>
      <c r="AA212" t="e">
        <f t="shared" ca="1" si="73"/>
        <v>#N/A</v>
      </c>
      <c r="AB212" t="e">
        <f t="shared" ca="1" si="67"/>
        <v>#N/A</v>
      </c>
      <c r="AC212" t="e">
        <f t="shared" ca="1" si="68"/>
        <v>#N/A</v>
      </c>
      <c r="AD212" s="83" t="e">
        <f ca="1"/>
        <v>#N/A</v>
      </c>
      <c r="AE212" s="55" t="e">
        <f t="shared" ca="1" si="59"/>
        <v>#N/A</v>
      </c>
      <c r="AF212" s="55" t="e">
        <f t="shared" ca="1" si="60"/>
        <v>#N/A</v>
      </c>
      <c r="AG212" s="55" t="e">
        <f t="shared" ca="1" si="61"/>
        <v>#N/A</v>
      </c>
      <c r="AH212" s="55" t="e">
        <f t="shared" ca="1" si="62"/>
        <v>#N/A</v>
      </c>
      <c r="AI212" s="55" t="e">
        <f t="shared" ca="1" si="74"/>
        <v>#N/A</v>
      </c>
      <c r="AJ212" s="55" t="e">
        <f t="shared" ca="1" si="75"/>
        <v>#N/A</v>
      </c>
      <c r="AK212" s="55" t="e">
        <f t="shared" ca="1" si="76"/>
        <v>#N/A</v>
      </c>
    </row>
    <row r="213" spans="18:37">
      <c r="R213" s="83" t="e">
        <f ca="1"/>
        <v>#N/A</v>
      </c>
      <c r="S213" s="55" t="e">
        <f t="shared" ca="1" si="69"/>
        <v>#N/A</v>
      </c>
      <c r="T213" s="55" t="e">
        <f t="shared" ca="1" si="63"/>
        <v>#N/A</v>
      </c>
      <c r="U213" s="55" t="e">
        <f t="shared" ca="1" si="64"/>
        <v>#N/A</v>
      </c>
      <c r="V213" s="55" t="e">
        <f t="shared" ca="1" si="65"/>
        <v>#N/A</v>
      </c>
      <c r="W213" s="55" t="e">
        <f t="shared" ca="1" si="70"/>
        <v>#N/A</v>
      </c>
      <c r="X213" s="55" t="e">
        <f t="shared" ca="1" si="71"/>
        <v>#N/A</v>
      </c>
      <c r="Y213" s="55" t="e">
        <f t="shared" ca="1" si="72"/>
        <v>#N/A</v>
      </c>
      <c r="Z213" t="e">
        <f t="shared" ca="1" si="66"/>
        <v>#N/A</v>
      </c>
      <c r="AA213" t="e">
        <f t="shared" ca="1" si="73"/>
        <v>#N/A</v>
      </c>
      <c r="AB213" t="e">
        <f t="shared" ca="1" si="67"/>
        <v>#N/A</v>
      </c>
      <c r="AC213" t="e">
        <f t="shared" ca="1" si="68"/>
        <v>#N/A</v>
      </c>
      <c r="AD213" s="83" t="e">
        <f ca="1"/>
        <v>#N/A</v>
      </c>
      <c r="AE213" s="55" t="e">
        <f t="shared" ref="AE213:AE276" ca="1" si="77">IF(AD213&gt;1,AD213,"")</f>
        <v>#N/A</v>
      </c>
      <c r="AF213" s="55" t="e">
        <f t="shared" ref="AF213:AF276" ca="1" si="78">VLOOKUP(AE213,ModelOutputs,2,FALSE)</f>
        <v>#N/A</v>
      </c>
      <c r="AG213" s="55" t="e">
        <f t="shared" ref="AG213:AG276" ca="1" si="79">VLOOKUP(AE213,ModelOutputs,7,FALSE)</f>
        <v>#N/A</v>
      </c>
      <c r="AH213" s="55" t="e">
        <f t="shared" ref="AH213:AH276" ca="1" si="80">VLOOKUP(AE213,ModelOutputs,6,FALSE)</f>
        <v>#N/A</v>
      </c>
      <c r="AI213" s="55" t="e">
        <f t="shared" ca="1" si="74"/>
        <v>#N/A</v>
      </c>
      <c r="AJ213" s="55" t="e">
        <f t="shared" ca="1" si="75"/>
        <v>#N/A</v>
      </c>
      <c r="AK213" s="55" t="e">
        <f t="shared" ca="1" si="76"/>
        <v>#N/A</v>
      </c>
    </row>
    <row r="214" spans="18:37">
      <c r="R214" s="83" t="e">
        <f ca="1"/>
        <v>#N/A</v>
      </c>
      <c r="S214" s="55" t="e">
        <f t="shared" ca="1" si="69"/>
        <v>#N/A</v>
      </c>
      <c r="T214" s="55" t="e">
        <f t="shared" ca="1" si="63"/>
        <v>#N/A</v>
      </c>
      <c r="U214" s="55" t="e">
        <f t="shared" ca="1" si="64"/>
        <v>#N/A</v>
      </c>
      <c r="V214" s="55" t="e">
        <f t="shared" ca="1" si="65"/>
        <v>#N/A</v>
      </c>
      <c r="W214" s="55" t="e">
        <f t="shared" ca="1" si="70"/>
        <v>#N/A</v>
      </c>
      <c r="X214" s="55" t="e">
        <f t="shared" ca="1" si="71"/>
        <v>#N/A</v>
      </c>
      <c r="Y214" s="55" t="e">
        <f t="shared" ca="1" si="72"/>
        <v>#N/A</v>
      </c>
      <c r="Z214" t="e">
        <f t="shared" ca="1" si="66"/>
        <v>#N/A</v>
      </c>
      <c r="AA214" t="e">
        <f t="shared" ca="1" si="73"/>
        <v>#N/A</v>
      </c>
      <c r="AB214" t="e">
        <f t="shared" ca="1" si="67"/>
        <v>#N/A</v>
      </c>
      <c r="AC214" t="e">
        <f t="shared" ca="1" si="68"/>
        <v>#N/A</v>
      </c>
      <c r="AD214" s="83" t="e">
        <f ca="1"/>
        <v>#N/A</v>
      </c>
      <c r="AE214" s="55" t="e">
        <f t="shared" ca="1" si="77"/>
        <v>#N/A</v>
      </c>
      <c r="AF214" s="55" t="e">
        <f t="shared" ca="1" si="78"/>
        <v>#N/A</v>
      </c>
      <c r="AG214" s="55" t="e">
        <f t="shared" ca="1" si="79"/>
        <v>#N/A</v>
      </c>
      <c r="AH214" s="55" t="e">
        <f t="shared" ca="1" si="80"/>
        <v>#N/A</v>
      </c>
      <c r="AI214" s="55" t="e">
        <f t="shared" ca="1" si="74"/>
        <v>#N/A</v>
      </c>
      <c r="AJ214" s="55" t="e">
        <f t="shared" ca="1" si="75"/>
        <v>#N/A</v>
      </c>
      <c r="AK214" s="55" t="e">
        <f t="shared" ca="1" si="76"/>
        <v>#N/A</v>
      </c>
    </row>
    <row r="215" spans="18:37">
      <c r="R215" s="83" t="e">
        <f ca="1"/>
        <v>#N/A</v>
      </c>
      <c r="S215" s="55" t="e">
        <f t="shared" ca="1" si="69"/>
        <v>#N/A</v>
      </c>
      <c r="T215" s="55" t="e">
        <f t="shared" ca="1" si="63"/>
        <v>#N/A</v>
      </c>
      <c r="U215" s="55" t="e">
        <f t="shared" ca="1" si="64"/>
        <v>#N/A</v>
      </c>
      <c r="V215" s="55" t="e">
        <f t="shared" ca="1" si="65"/>
        <v>#N/A</v>
      </c>
      <c r="W215" s="55" t="e">
        <f t="shared" ca="1" si="70"/>
        <v>#N/A</v>
      </c>
      <c r="X215" s="55" t="e">
        <f t="shared" ca="1" si="71"/>
        <v>#N/A</v>
      </c>
      <c r="Y215" s="55" t="e">
        <f t="shared" ca="1" si="72"/>
        <v>#N/A</v>
      </c>
      <c r="Z215" t="e">
        <f t="shared" ca="1" si="66"/>
        <v>#N/A</v>
      </c>
      <c r="AA215" t="e">
        <f t="shared" ca="1" si="73"/>
        <v>#N/A</v>
      </c>
      <c r="AB215" t="e">
        <f t="shared" ca="1" si="67"/>
        <v>#N/A</v>
      </c>
      <c r="AC215" t="e">
        <f t="shared" ca="1" si="68"/>
        <v>#N/A</v>
      </c>
      <c r="AD215" s="83" t="e">
        <f ca="1"/>
        <v>#N/A</v>
      </c>
      <c r="AE215" s="55" t="e">
        <f t="shared" ca="1" si="77"/>
        <v>#N/A</v>
      </c>
      <c r="AF215" s="55" t="e">
        <f t="shared" ca="1" si="78"/>
        <v>#N/A</v>
      </c>
      <c r="AG215" s="55" t="e">
        <f t="shared" ca="1" si="79"/>
        <v>#N/A</v>
      </c>
      <c r="AH215" s="55" t="e">
        <f t="shared" ca="1" si="80"/>
        <v>#N/A</v>
      </c>
      <c r="AI215" s="55" t="e">
        <f t="shared" ca="1" si="74"/>
        <v>#N/A</v>
      </c>
      <c r="AJ215" s="55" t="e">
        <f t="shared" ca="1" si="75"/>
        <v>#N/A</v>
      </c>
      <c r="AK215" s="55" t="e">
        <f t="shared" ca="1" si="76"/>
        <v>#N/A</v>
      </c>
    </row>
    <row r="216" spans="18:37">
      <c r="R216" s="83" t="e">
        <f ca="1"/>
        <v>#N/A</v>
      </c>
      <c r="S216" s="55" t="e">
        <f t="shared" ca="1" si="69"/>
        <v>#N/A</v>
      </c>
      <c r="T216" s="55" t="e">
        <f t="shared" ca="1" si="63"/>
        <v>#N/A</v>
      </c>
      <c r="U216" s="55" t="e">
        <f t="shared" ca="1" si="64"/>
        <v>#N/A</v>
      </c>
      <c r="V216" s="55" t="e">
        <f t="shared" ca="1" si="65"/>
        <v>#N/A</v>
      </c>
      <c r="W216" s="55" t="e">
        <f t="shared" ca="1" si="70"/>
        <v>#N/A</v>
      </c>
      <c r="X216" s="55" t="e">
        <f t="shared" ca="1" si="71"/>
        <v>#N/A</v>
      </c>
      <c r="Y216" s="55" t="e">
        <f t="shared" ca="1" si="72"/>
        <v>#N/A</v>
      </c>
      <c r="Z216" t="e">
        <f t="shared" ca="1" si="66"/>
        <v>#N/A</v>
      </c>
      <c r="AA216" t="e">
        <f t="shared" ca="1" si="73"/>
        <v>#N/A</v>
      </c>
      <c r="AB216" t="e">
        <f t="shared" ca="1" si="67"/>
        <v>#N/A</v>
      </c>
      <c r="AC216" t="e">
        <f t="shared" ca="1" si="68"/>
        <v>#N/A</v>
      </c>
      <c r="AD216" s="83" t="e">
        <f ca="1"/>
        <v>#N/A</v>
      </c>
      <c r="AE216" s="55" t="e">
        <f t="shared" ca="1" si="77"/>
        <v>#N/A</v>
      </c>
      <c r="AF216" s="55" t="e">
        <f t="shared" ca="1" si="78"/>
        <v>#N/A</v>
      </c>
      <c r="AG216" s="55" t="e">
        <f t="shared" ca="1" si="79"/>
        <v>#N/A</v>
      </c>
      <c r="AH216" s="55" t="e">
        <f t="shared" ca="1" si="80"/>
        <v>#N/A</v>
      </c>
      <c r="AI216" s="55" t="e">
        <f t="shared" ca="1" si="74"/>
        <v>#N/A</v>
      </c>
      <c r="AJ216" s="55" t="e">
        <f t="shared" ca="1" si="75"/>
        <v>#N/A</v>
      </c>
      <c r="AK216" s="55" t="e">
        <f t="shared" ca="1" si="76"/>
        <v>#N/A</v>
      </c>
    </row>
    <row r="217" spans="18:37">
      <c r="R217" s="83" t="e">
        <f ca="1"/>
        <v>#N/A</v>
      </c>
      <c r="S217" s="55" t="e">
        <f t="shared" ca="1" si="69"/>
        <v>#N/A</v>
      </c>
      <c r="T217" s="55" t="e">
        <f t="shared" ca="1" si="63"/>
        <v>#N/A</v>
      </c>
      <c r="U217" s="55" t="e">
        <f t="shared" ca="1" si="64"/>
        <v>#N/A</v>
      </c>
      <c r="V217" s="55" t="e">
        <f t="shared" ca="1" si="65"/>
        <v>#N/A</v>
      </c>
      <c r="W217" s="55" t="e">
        <f t="shared" ca="1" si="70"/>
        <v>#N/A</v>
      </c>
      <c r="X217" s="55" t="e">
        <f t="shared" ca="1" si="71"/>
        <v>#N/A</v>
      </c>
      <c r="Y217" s="55" t="e">
        <f t="shared" ca="1" si="72"/>
        <v>#N/A</v>
      </c>
      <c r="Z217" t="e">
        <f t="shared" ca="1" si="66"/>
        <v>#N/A</v>
      </c>
      <c r="AA217" t="e">
        <f t="shared" ca="1" si="73"/>
        <v>#N/A</v>
      </c>
      <c r="AB217" t="e">
        <f t="shared" ca="1" si="67"/>
        <v>#N/A</v>
      </c>
      <c r="AC217" t="e">
        <f t="shared" ca="1" si="68"/>
        <v>#N/A</v>
      </c>
      <c r="AD217" s="83" t="e">
        <f ca="1"/>
        <v>#N/A</v>
      </c>
      <c r="AE217" s="55" t="e">
        <f t="shared" ca="1" si="77"/>
        <v>#N/A</v>
      </c>
      <c r="AF217" s="55" t="e">
        <f t="shared" ca="1" si="78"/>
        <v>#N/A</v>
      </c>
      <c r="AG217" s="55" t="e">
        <f t="shared" ca="1" si="79"/>
        <v>#N/A</v>
      </c>
      <c r="AH217" s="55" t="e">
        <f t="shared" ca="1" si="80"/>
        <v>#N/A</v>
      </c>
      <c r="AI217" s="55" t="e">
        <f t="shared" ca="1" si="74"/>
        <v>#N/A</v>
      </c>
      <c r="AJ217" s="55" t="e">
        <f t="shared" ca="1" si="75"/>
        <v>#N/A</v>
      </c>
      <c r="AK217" s="55" t="e">
        <f t="shared" ca="1" si="76"/>
        <v>#N/A</v>
      </c>
    </row>
    <row r="218" spans="18:37">
      <c r="R218" s="83" t="e">
        <f ca="1"/>
        <v>#N/A</v>
      </c>
      <c r="S218" s="55" t="e">
        <f t="shared" ca="1" si="69"/>
        <v>#N/A</v>
      </c>
      <c r="T218" s="55" t="e">
        <f t="shared" ca="1" si="63"/>
        <v>#N/A</v>
      </c>
      <c r="U218" s="55" t="e">
        <f t="shared" ca="1" si="64"/>
        <v>#N/A</v>
      </c>
      <c r="V218" s="55" t="e">
        <f t="shared" ca="1" si="65"/>
        <v>#N/A</v>
      </c>
      <c r="W218" s="55" t="e">
        <f t="shared" ca="1" si="70"/>
        <v>#N/A</v>
      </c>
      <c r="X218" s="55" t="e">
        <f t="shared" ca="1" si="71"/>
        <v>#N/A</v>
      </c>
      <c r="Y218" s="55" t="e">
        <f t="shared" ca="1" si="72"/>
        <v>#N/A</v>
      </c>
      <c r="Z218" t="e">
        <f t="shared" ca="1" si="66"/>
        <v>#N/A</v>
      </c>
      <c r="AA218" t="e">
        <f t="shared" ca="1" si="73"/>
        <v>#N/A</v>
      </c>
      <c r="AB218" t="e">
        <f t="shared" ca="1" si="67"/>
        <v>#N/A</v>
      </c>
      <c r="AC218" t="e">
        <f t="shared" ca="1" si="68"/>
        <v>#N/A</v>
      </c>
      <c r="AD218" s="83" t="e">
        <f ca="1"/>
        <v>#N/A</v>
      </c>
      <c r="AE218" s="55" t="e">
        <f t="shared" ca="1" si="77"/>
        <v>#N/A</v>
      </c>
      <c r="AF218" s="55" t="e">
        <f t="shared" ca="1" si="78"/>
        <v>#N/A</v>
      </c>
      <c r="AG218" s="55" t="e">
        <f t="shared" ca="1" si="79"/>
        <v>#N/A</v>
      </c>
      <c r="AH218" s="55" t="e">
        <f t="shared" ca="1" si="80"/>
        <v>#N/A</v>
      </c>
      <c r="AI218" s="55" t="e">
        <f t="shared" ca="1" si="74"/>
        <v>#N/A</v>
      </c>
      <c r="AJ218" s="55" t="e">
        <f t="shared" ca="1" si="75"/>
        <v>#N/A</v>
      </c>
      <c r="AK218" s="55" t="e">
        <f t="shared" ca="1" si="76"/>
        <v>#N/A</v>
      </c>
    </row>
    <row r="219" spans="18:37">
      <c r="R219" s="83" t="e">
        <f ca="1"/>
        <v>#N/A</v>
      </c>
      <c r="S219" s="55" t="e">
        <f t="shared" ca="1" si="69"/>
        <v>#N/A</v>
      </c>
      <c r="T219" s="55" t="e">
        <f t="shared" ca="1" si="63"/>
        <v>#N/A</v>
      </c>
      <c r="U219" s="55" t="e">
        <f t="shared" ca="1" si="64"/>
        <v>#N/A</v>
      </c>
      <c r="V219" s="55" t="e">
        <f t="shared" ca="1" si="65"/>
        <v>#N/A</v>
      </c>
      <c r="W219" s="55" t="e">
        <f t="shared" ca="1" si="70"/>
        <v>#N/A</v>
      </c>
      <c r="X219" s="55" t="e">
        <f t="shared" ca="1" si="71"/>
        <v>#N/A</v>
      </c>
      <c r="Y219" s="55" t="e">
        <f t="shared" ca="1" si="72"/>
        <v>#N/A</v>
      </c>
      <c r="Z219" t="e">
        <f t="shared" ca="1" si="66"/>
        <v>#N/A</v>
      </c>
      <c r="AA219" t="e">
        <f t="shared" ca="1" si="73"/>
        <v>#N/A</v>
      </c>
      <c r="AB219" t="e">
        <f t="shared" ca="1" si="67"/>
        <v>#N/A</v>
      </c>
      <c r="AC219" t="e">
        <f t="shared" ca="1" si="68"/>
        <v>#N/A</v>
      </c>
      <c r="AD219" s="83" t="e">
        <f ca="1"/>
        <v>#N/A</v>
      </c>
      <c r="AE219" s="55" t="e">
        <f t="shared" ca="1" si="77"/>
        <v>#N/A</v>
      </c>
      <c r="AF219" s="55" t="e">
        <f t="shared" ca="1" si="78"/>
        <v>#N/A</v>
      </c>
      <c r="AG219" s="55" t="e">
        <f t="shared" ca="1" si="79"/>
        <v>#N/A</v>
      </c>
      <c r="AH219" s="55" t="e">
        <f t="shared" ca="1" si="80"/>
        <v>#N/A</v>
      </c>
      <c r="AI219" s="55" t="e">
        <f t="shared" ca="1" si="74"/>
        <v>#N/A</v>
      </c>
      <c r="AJ219" s="55" t="e">
        <f t="shared" ca="1" si="75"/>
        <v>#N/A</v>
      </c>
      <c r="AK219" s="55" t="e">
        <f t="shared" ca="1" si="76"/>
        <v>#N/A</v>
      </c>
    </row>
    <row r="220" spans="18:37">
      <c r="R220" s="83" t="e">
        <f ca="1"/>
        <v>#N/A</v>
      </c>
      <c r="S220" s="55" t="e">
        <f t="shared" ca="1" si="69"/>
        <v>#N/A</v>
      </c>
      <c r="T220" s="55" t="e">
        <f t="shared" ca="1" si="63"/>
        <v>#N/A</v>
      </c>
      <c r="U220" s="55" t="e">
        <f t="shared" ca="1" si="64"/>
        <v>#N/A</v>
      </c>
      <c r="V220" s="55" t="e">
        <f t="shared" ca="1" si="65"/>
        <v>#N/A</v>
      </c>
      <c r="W220" s="55" t="e">
        <f t="shared" ca="1" si="70"/>
        <v>#N/A</v>
      </c>
      <c r="X220" s="55" t="e">
        <f t="shared" ca="1" si="71"/>
        <v>#N/A</v>
      </c>
      <c r="Y220" s="55" t="e">
        <f t="shared" ca="1" si="72"/>
        <v>#N/A</v>
      </c>
      <c r="Z220" t="e">
        <f t="shared" ca="1" si="66"/>
        <v>#N/A</v>
      </c>
      <c r="AA220" t="e">
        <f t="shared" ca="1" si="73"/>
        <v>#N/A</v>
      </c>
      <c r="AB220" t="e">
        <f t="shared" ca="1" si="67"/>
        <v>#N/A</v>
      </c>
      <c r="AC220" t="e">
        <f t="shared" ca="1" si="68"/>
        <v>#N/A</v>
      </c>
      <c r="AD220" s="83" t="e">
        <f ca="1"/>
        <v>#N/A</v>
      </c>
      <c r="AE220" s="55" t="e">
        <f t="shared" ca="1" si="77"/>
        <v>#N/A</v>
      </c>
      <c r="AF220" s="55" t="e">
        <f t="shared" ca="1" si="78"/>
        <v>#N/A</v>
      </c>
      <c r="AG220" s="55" t="e">
        <f t="shared" ca="1" si="79"/>
        <v>#N/A</v>
      </c>
      <c r="AH220" s="55" t="e">
        <f t="shared" ca="1" si="80"/>
        <v>#N/A</v>
      </c>
      <c r="AI220" s="55" t="e">
        <f t="shared" ca="1" si="74"/>
        <v>#N/A</v>
      </c>
      <c r="AJ220" s="55" t="e">
        <f t="shared" ca="1" si="75"/>
        <v>#N/A</v>
      </c>
      <c r="AK220" s="55" t="e">
        <f t="shared" ca="1" si="76"/>
        <v>#N/A</v>
      </c>
    </row>
    <row r="221" spans="18:37">
      <c r="R221" s="83" t="e">
        <f ca="1"/>
        <v>#N/A</v>
      </c>
      <c r="S221" s="55" t="e">
        <f t="shared" ca="1" si="69"/>
        <v>#N/A</v>
      </c>
      <c r="T221" s="55" t="e">
        <f t="shared" ca="1" si="63"/>
        <v>#N/A</v>
      </c>
      <c r="U221" s="55" t="e">
        <f t="shared" ca="1" si="64"/>
        <v>#N/A</v>
      </c>
      <c r="V221" s="55" t="e">
        <f t="shared" ca="1" si="65"/>
        <v>#N/A</v>
      </c>
      <c r="W221" s="55" t="e">
        <f t="shared" ca="1" si="70"/>
        <v>#N/A</v>
      </c>
      <c r="X221" s="55" t="e">
        <f t="shared" ca="1" si="71"/>
        <v>#N/A</v>
      </c>
      <c r="Y221" s="55" t="e">
        <f t="shared" ca="1" si="72"/>
        <v>#N/A</v>
      </c>
      <c r="Z221" t="e">
        <f t="shared" ca="1" si="66"/>
        <v>#N/A</v>
      </c>
      <c r="AA221" t="e">
        <f t="shared" ca="1" si="73"/>
        <v>#N/A</v>
      </c>
      <c r="AB221" t="e">
        <f t="shared" ca="1" si="67"/>
        <v>#N/A</v>
      </c>
      <c r="AC221" t="e">
        <f t="shared" ca="1" si="68"/>
        <v>#N/A</v>
      </c>
      <c r="AD221" s="83" t="e">
        <f ca="1"/>
        <v>#N/A</v>
      </c>
      <c r="AE221" s="55" t="e">
        <f t="shared" ca="1" si="77"/>
        <v>#N/A</v>
      </c>
      <c r="AF221" s="55" t="e">
        <f t="shared" ca="1" si="78"/>
        <v>#N/A</v>
      </c>
      <c r="AG221" s="55" t="e">
        <f t="shared" ca="1" si="79"/>
        <v>#N/A</v>
      </c>
      <c r="AH221" s="55" t="e">
        <f t="shared" ca="1" si="80"/>
        <v>#N/A</v>
      </c>
      <c r="AI221" s="55" t="e">
        <f t="shared" ca="1" si="74"/>
        <v>#N/A</v>
      </c>
      <c r="AJ221" s="55" t="e">
        <f t="shared" ca="1" si="75"/>
        <v>#N/A</v>
      </c>
      <c r="AK221" s="55" t="e">
        <f t="shared" ca="1" si="76"/>
        <v>#N/A</v>
      </c>
    </row>
    <row r="222" spans="18:37">
      <c r="R222" s="83" t="e">
        <f ca="1"/>
        <v>#N/A</v>
      </c>
      <c r="S222" s="55" t="e">
        <f t="shared" ca="1" si="69"/>
        <v>#N/A</v>
      </c>
      <c r="T222" s="55" t="e">
        <f t="shared" ca="1" si="63"/>
        <v>#N/A</v>
      </c>
      <c r="U222" s="55" t="e">
        <f t="shared" ca="1" si="64"/>
        <v>#N/A</v>
      </c>
      <c r="V222" s="55" t="e">
        <f t="shared" ca="1" si="65"/>
        <v>#N/A</v>
      </c>
      <c r="W222" s="55" t="e">
        <f t="shared" ca="1" si="70"/>
        <v>#N/A</v>
      </c>
      <c r="X222" s="55" t="e">
        <f t="shared" ca="1" si="71"/>
        <v>#N/A</v>
      </c>
      <c r="Y222" s="55" t="e">
        <f t="shared" ca="1" si="72"/>
        <v>#N/A</v>
      </c>
      <c r="Z222" t="e">
        <f t="shared" ca="1" si="66"/>
        <v>#N/A</v>
      </c>
      <c r="AA222" t="e">
        <f t="shared" ca="1" si="73"/>
        <v>#N/A</v>
      </c>
      <c r="AB222" t="e">
        <f t="shared" ca="1" si="67"/>
        <v>#N/A</v>
      </c>
      <c r="AC222" t="e">
        <f t="shared" ca="1" si="68"/>
        <v>#N/A</v>
      </c>
      <c r="AD222" s="83" t="e">
        <f ca="1"/>
        <v>#N/A</v>
      </c>
      <c r="AE222" s="55" t="e">
        <f t="shared" ca="1" si="77"/>
        <v>#N/A</v>
      </c>
      <c r="AF222" s="55" t="e">
        <f t="shared" ca="1" si="78"/>
        <v>#N/A</v>
      </c>
      <c r="AG222" s="55" t="e">
        <f t="shared" ca="1" si="79"/>
        <v>#N/A</v>
      </c>
      <c r="AH222" s="55" t="e">
        <f t="shared" ca="1" si="80"/>
        <v>#N/A</v>
      </c>
      <c r="AI222" s="55" t="e">
        <f t="shared" ca="1" si="74"/>
        <v>#N/A</v>
      </c>
      <c r="AJ222" s="55" t="e">
        <f t="shared" ca="1" si="75"/>
        <v>#N/A</v>
      </c>
      <c r="AK222" s="55" t="e">
        <f t="shared" ca="1" si="76"/>
        <v>#N/A</v>
      </c>
    </row>
    <row r="223" spans="18:37">
      <c r="R223" s="83" t="e">
        <f ca="1"/>
        <v>#N/A</v>
      </c>
      <c r="S223" s="55" t="e">
        <f t="shared" ca="1" si="69"/>
        <v>#N/A</v>
      </c>
      <c r="T223" s="55" t="e">
        <f t="shared" ca="1" si="63"/>
        <v>#N/A</v>
      </c>
      <c r="U223" s="55" t="e">
        <f t="shared" ca="1" si="64"/>
        <v>#N/A</v>
      </c>
      <c r="V223" s="55" t="e">
        <f t="shared" ca="1" si="65"/>
        <v>#N/A</v>
      </c>
      <c r="W223" s="55" t="e">
        <f t="shared" ca="1" si="70"/>
        <v>#N/A</v>
      </c>
      <c r="X223" s="55" t="e">
        <f t="shared" ca="1" si="71"/>
        <v>#N/A</v>
      </c>
      <c r="Y223" s="55" t="e">
        <f t="shared" ca="1" si="72"/>
        <v>#N/A</v>
      </c>
      <c r="Z223" t="e">
        <f t="shared" ca="1" si="66"/>
        <v>#N/A</v>
      </c>
      <c r="AA223" t="e">
        <f t="shared" ca="1" si="73"/>
        <v>#N/A</v>
      </c>
      <c r="AB223" t="e">
        <f t="shared" ca="1" si="67"/>
        <v>#N/A</v>
      </c>
      <c r="AC223" t="e">
        <f t="shared" ca="1" si="68"/>
        <v>#N/A</v>
      </c>
      <c r="AD223" s="83" t="e">
        <f ca="1"/>
        <v>#N/A</v>
      </c>
      <c r="AE223" s="55" t="e">
        <f t="shared" ca="1" si="77"/>
        <v>#N/A</v>
      </c>
      <c r="AF223" s="55" t="e">
        <f t="shared" ca="1" si="78"/>
        <v>#N/A</v>
      </c>
      <c r="AG223" s="55" t="e">
        <f t="shared" ca="1" si="79"/>
        <v>#N/A</v>
      </c>
      <c r="AH223" s="55" t="e">
        <f t="shared" ca="1" si="80"/>
        <v>#N/A</v>
      </c>
      <c r="AI223" s="55" t="e">
        <f t="shared" ca="1" si="74"/>
        <v>#N/A</v>
      </c>
      <c r="AJ223" s="55" t="e">
        <f t="shared" ca="1" si="75"/>
        <v>#N/A</v>
      </c>
      <c r="AK223" s="55" t="e">
        <f t="shared" ca="1" si="76"/>
        <v>#N/A</v>
      </c>
    </row>
    <row r="224" spans="18:37">
      <c r="R224" s="83" t="e">
        <f ca="1"/>
        <v>#N/A</v>
      </c>
      <c r="S224" s="55" t="e">
        <f t="shared" ca="1" si="69"/>
        <v>#N/A</v>
      </c>
      <c r="T224" s="55" t="e">
        <f t="shared" ca="1" si="63"/>
        <v>#N/A</v>
      </c>
      <c r="U224" s="55" t="e">
        <f t="shared" ca="1" si="64"/>
        <v>#N/A</v>
      </c>
      <c r="V224" s="55" t="e">
        <f t="shared" ca="1" si="65"/>
        <v>#N/A</v>
      </c>
      <c r="W224" s="55" t="e">
        <f t="shared" ca="1" si="70"/>
        <v>#N/A</v>
      </c>
      <c r="X224" s="55" t="e">
        <f t="shared" ca="1" si="71"/>
        <v>#N/A</v>
      </c>
      <c r="Y224" s="55" t="e">
        <f t="shared" ca="1" si="72"/>
        <v>#N/A</v>
      </c>
      <c r="Z224" t="e">
        <f t="shared" ca="1" si="66"/>
        <v>#N/A</v>
      </c>
      <c r="AA224" t="e">
        <f t="shared" ca="1" si="73"/>
        <v>#N/A</v>
      </c>
      <c r="AB224" t="e">
        <f t="shared" ca="1" si="67"/>
        <v>#N/A</v>
      </c>
      <c r="AC224" t="e">
        <f t="shared" ca="1" si="68"/>
        <v>#N/A</v>
      </c>
      <c r="AD224" s="83" t="e">
        <f ca="1"/>
        <v>#N/A</v>
      </c>
      <c r="AE224" s="55" t="e">
        <f t="shared" ca="1" si="77"/>
        <v>#N/A</v>
      </c>
      <c r="AF224" s="55" t="e">
        <f t="shared" ca="1" si="78"/>
        <v>#N/A</v>
      </c>
      <c r="AG224" s="55" t="e">
        <f t="shared" ca="1" si="79"/>
        <v>#N/A</v>
      </c>
      <c r="AH224" s="55" t="e">
        <f t="shared" ca="1" si="80"/>
        <v>#N/A</v>
      </c>
      <c r="AI224" s="55" t="e">
        <f t="shared" ca="1" si="74"/>
        <v>#N/A</v>
      </c>
      <c r="AJ224" s="55" t="e">
        <f t="shared" ca="1" si="75"/>
        <v>#N/A</v>
      </c>
      <c r="AK224" s="55" t="e">
        <f t="shared" ca="1" si="76"/>
        <v>#N/A</v>
      </c>
    </row>
    <row r="225" spans="18:37">
      <c r="R225" s="83" t="e">
        <f ca="1"/>
        <v>#N/A</v>
      </c>
      <c r="S225" s="55" t="e">
        <f t="shared" ca="1" si="69"/>
        <v>#N/A</v>
      </c>
      <c r="T225" s="55" t="e">
        <f t="shared" ca="1" si="63"/>
        <v>#N/A</v>
      </c>
      <c r="U225" s="55" t="e">
        <f t="shared" ca="1" si="64"/>
        <v>#N/A</v>
      </c>
      <c r="V225" s="55" t="e">
        <f t="shared" ca="1" si="65"/>
        <v>#N/A</v>
      </c>
      <c r="W225" s="55" t="e">
        <f t="shared" ca="1" si="70"/>
        <v>#N/A</v>
      </c>
      <c r="X225" s="55" t="e">
        <f t="shared" ca="1" si="71"/>
        <v>#N/A</v>
      </c>
      <c r="Y225" s="55" t="e">
        <f t="shared" ca="1" si="72"/>
        <v>#N/A</v>
      </c>
      <c r="Z225" t="e">
        <f t="shared" ca="1" si="66"/>
        <v>#N/A</v>
      </c>
      <c r="AA225" t="e">
        <f t="shared" ca="1" si="73"/>
        <v>#N/A</v>
      </c>
      <c r="AB225" t="e">
        <f t="shared" ca="1" si="67"/>
        <v>#N/A</v>
      </c>
      <c r="AC225" t="e">
        <f t="shared" ca="1" si="68"/>
        <v>#N/A</v>
      </c>
      <c r="AD225" s="83" t="e">
        <f ca="1"/>
        <v>#N/A</v>
      </c>
      <c r="AE225" s="55" t="e">
        <f t="shared" ca="1" si="77"/>
        <v>#N/A</v>
      </c>
      <c r="AF225" s="55" t="e">
        <f t="shared" ca="1" si="78"/>
        <v>#N/A</v>
      </c>
      <c r="AG225" s="55" t="e">
        <f t="shared" ca="1" si="79"/>
        <v>#N/A</v>
      </c>
      <c r="AH225" s="55" t="e">
        <f t="shared" ca="1" si="80"/>
        <v>#N/A</v>
      </c>
      <c r="AI225" s="55" t="e">
        <f t="shared" ca="1" si="74"/>
        <v>#N/A</v>
      </c>
      <c r="AJ225" s="55" t="e">
        <f t="shared" ca="1" si="75"/>
        <v>#N/A</v>
      </c>
      <c r="AK225" s="55" t="e">
        <f t="shared" ca="1" si="76"/>
        <v>#N/A</v>
      </c>
    </row>
    <row r="226" spans="18:37">
      <c r="R226" s="83" t="e">
        <f ca="1"/>
        <v>#N/A</v>
      </c>
      <c r="S226" s="55" t="e">
        <f t="shared" ca="1" si="69"/>
        <v>#N/A</v>
      </c>
      <c r="T226" s="55" t="e">
        <f t="shared" ca="1" si="63"/>
        <v>#N/A</v>
      </c>
      <c r="U226" s="55" t="e">
        <f t="shared" ca="1" si="64"/>
        <v>#N/A</v>
      </c>
      <c r="V226" s="55" t="e">
        <f t="shared" ca="1" si="65"/>
        <v>#N/A</v>
      </c>
      <c r="W226" s="55" t="e">
        <f t="shared" ca="1" si="70"/>
        <v>#N/A</v>
      </c>
      <c r="X226" s="55" t="e">
        <f t="shared" ca="1" si="71"/>
        <v>#N/A</v>
      </c>
      <c r="Y226" s="55" t="e">
        <f t="shared" ca="1" si="72"/>
        <v>#N/A</v>
      </c>
      <c r="Z226" t="e">
        <f t="shared" ca="1" si="66"/>
        <v>#N/A</v>
      </c>
      <c r="AA226" t="e">
        <f t="shared" ca="1" si="73"/>
        <v>#N/A</v>
      </c>
      <c r="AB226" t="e">
        <f t="shared" ca="1" si="67"/>
        <v>#N/A</v>
      </c>
      <c r="AC226" t="e">
        <f t="shared" ca="1" si="68"/>
        <v>#N/A</v>
      </c>
      <c r="AD226" s="83" t="e">
        <f ca="1"/>
        <v>#N/A</v>
      </c>
      <c r="AE226" s="55" t="e">
        <f t="shared" ca="1" si="77"/>
        <v>#N/A</v>
      </c>
      <c r="AF226" s="55" t="e">
        <f t="shared" ca="1" si="78"/>
        <v>#N/A</v>
      </c>
      <c r="AG226" s="55" t="e">
        <f t="shared" ca="1" si="79"/>
        <v>#N/A</v>
      </c>
      <c r="AH226" s="55" t="e">
        <f t="shared" ca="1" si="80"/>
        <v>#N/A</v>
      </c>
      <c r="AI226" s="55" t="e">
        <f t="shared" ca="1" si="74"/>
        <v>#N/A</v>
      </c>
      <c r="AJ226" s="55" t="e">
        <f t="shared" ca="1" si="75"/>
        <v>#N/A</v>
      </c>
      <c r="AK226" s="55" t="e">
        <f t="shared" ca="1" si="76"/>
        <v>#N/A</v>
      </c>
    </row>
    <row r="227" spans="18:37">
      <c r="R227" s="83" t="e">
        <f ca="1"/>
        <v>#N/A</v>
      </c>
      <c r="S227" s="55" t="e">
        <f t="shared" ca="1" si="69"/>
        <v>#N/A</v>
      </c>
      <c r="T227" s="55" t="e">
        <f t="shared" ca="1" si="63"/>
        <v>#N/A</v>
      </c>
      <c r="U227" s="55" t="e">
        <f t="shared" ca="1" si="64"/>
        <v>#N/A</v>
      </c>
      <c r="V227" s="55" t="e">
        <f t="shared" ca="1" si="65"/>
        <v>#N/A</v>
      </c>
      <c r="W227" s="55" t="e">
        <f t="shared" ca="1" si="70"/>
        <v>#N/A</v>
      </c>
      <c r="X227" s="55" t="e">
        <f t="shared" ca="1" si="71"/>
        <v>#N/A</v>
      </c>
      <c r="Y227" s="55" t="e">
        <f t="shared" ca="1" si="72"/>
        <v>#N/A</v>
      </c>
      <c r="Z227" t="e">
        <f t="shared" ca="1" si="66"/>
        <v>#N/A</v>
      </c>
      <c r="AA227" t="e">
        <f t="shared" ca="1" si="73"/>
        <v>#N/A</v>
      </c>
      <c r="AB227" t="e">
        <f t="shared" ca="1" si="67"/>
        <v>#N/A</v>
      </c>
      <c r="AC227" t="e">
        <f t="shared" ca="1" si="68"/>
        <v>#N/A</v>
      </c>
      <c r="AD227" s="83" t="e">
        <f ca="1"/>
        <v>#N/A</v>
      </c>
      <c r="AE227" s="55" t="e">
        <f t="shared" ca="1" si="77"/>
        <v>#N/A</v>
      </c>
      <c r="AF227" s="55" t="e">
        <f t="shared" ca="1" si="78"/>
        <v>#N/A</v>
      </c>
      <c r="AG227" s="55" t="e">
        <f t="shared" ca="1" si="79"/>
        <v>#N/A</v>
      </c>
      <c r="AH227" s="55" t="e">
        <f t="shared" ca="1" si="80"/>
        <v>#N/A</v>
      </c>
      <c r="AI227" s="55" t="e">
        <f t="shared" ca="1" si="74"/>
        <v>#N/A</v>
      </c>
      <c r="AJ227" s="55" t="e">
        <f t="shared" ca="1" si="75"/>
        <v>#N/A</v>
      </c>
      <c r="AK227" s="55" t="e">
        <f t="shared" ca="1" si="76"/>
        <v>#N/A</v>
      </c>
    </row>
    <row r="228" spans="18:37">
      <c r="R228" s="83" t="e">
        <f ca="1"/>
        <v>#N/A</v>
      </c>
      <c r="S228" s="55" t="e">
        <f t="shared" ca="1" si="69"/>
        <v>#N/A</v>
      </c>
      <c r="T228" s="55" t="e">
        <f t="shared" ca="1" si="63"/>
        <v>#N/A</v>
      </c>
      <c r="U228" s="55" t="e">
        <f t="shared" ca="1" si="64"/>
        <v>#N/A</v>
      </c>
      <c r="V228" s="55" t="e">
        <f t="shared" ca="1" si="65"/>
        <v>#N/A</v>
      </c>
      <c r="W228" s="55" t="e">
        <f t="shared" ca="1" si="70"/>
        <v>#N/A</v>
      </c>
      <c r="X228" s="55" t="e">
        <f t="shared" ca="1" si="71"/>
        <v>#N/A</v>
      </c>
      <c r="Y228" s="55" t="e">
        <f t="shared" ca="1" si="72"/>
        <v>#N/A</v>
      </c>
      <c r="Z228" t="e">
        <f t="shared" ca="1" si="66"/>
        <v>#N/A</v>
      </c>
      <c r="AA228" t="e">
        <f t="shared" ca="1" si="73"/>
        <v>#N/A</v>
      </c>
      <c r="AB228" t="e">
        <f t="shared" ca="1" si="67"/>
        <v>#N/A</v>
      </c>
      <c r="AC228" t="e">
        <f t="shared" ca="1" si="68"/>
        <v>#N/A</v>
      </c>
      <c r="AD228" s="83" t="e">
        <f ca="1"/>
        <v>#N/A</v>
      </c>
      <c r="AE228" s="55" t="e">
        <f t="shared" ca="1" si="77"/>
        <v>#N/A</v>
      </c>
      <c r="AF228" s="55" t="e">
        <f t="shared" ca="1" si="78"/>
        <v>#N/A</v>
      </c>
      <c r="AG228" s="55" t="e">
        <f t="shared" ca="1" si="79"/>
        <v>#N/A</v>
      </c>
      <c r="AH228" s="55" t="e">
        <f t="shared" ca="1" si="80"/>
        <v>#N/A</v>
      </c>
      <c r="AI228" s="55" t="e">
        <f t="shared" ca="1" si="74"/>
        <v>#N/A</v>
      </c>
      <c r="AJ228" s="55" t="e">
        <f t="shared" ca="1" si="75"/>
        <v>#N/A</v>
      </c>
      <c r="AK228" s="55" t="e">
        <f t="shared" ca="1" si="76"/>
        <v>#N/A</v>
      </c>
    </row>
    <row r="229" spans="18:37">
      <c r="R229" s="83" t="e">
        <f ca="1"/>
        <v>#N/A</v>
      </c>
      <c r="S229" s="55" t="e">
        <f t="shared" ca="1" si="69"/>
        <v>#N/A</v>
      </c>
      <c r="T229" s="55" t="e">
        <f t="shared" ca="1" si="63"/>
        <v>#N/A</v>
      </c>
      <c r="U229" s="55" t="e">
        <f t="shared" ca="1" si="64"/>
        <v>#N/A</v>
      </c>
      <c r="V229" s="55" t="e">
        <f t="shared" ca="1" si="65"/>
        <v>#N/A</v>
      </c>
      <c r="W229" s="55" t="e">
        <f t="shared" ca="1" si="70"/>
        <v>#N/A</v>
      </c>
      <c r="X229" s="55" t="e">
        <f t="shared" ca="1" si="71"/>
        <v>#N/A</v>
      </c>
      <c r="Y229" s="55" t="e">
        <f t="shared" ca="1" si="72"/>
        <v>#N/A</v>
      </c>
      <c r="Z229" t="e">
        <f t="shared" ca="1" si="66"/>
        <v>#N/A</v>
      </c>
      <c r="AA229" t="e">
        <f t="shared" ca="1" si="73"/>
        <v>#N/A</v>
      </c>
      <c r="AB229" t="e">
        <f t="shared" ca="1" si="67"/>
        <v>#N/A</v>
      </c>
      <c r="AC229" t="e">
        <f t="shared" ca="1" si="68"/>
        <v>#N/A</v>
      </c>
      <c r="AD229" s="83" t="e">
        <f ca="1"/>
        <v>#N/A</v>
      </c>
      <c r="AE229" s="55" t="e">
        <f t="shared" ca="1" si="77"/>
        <v>#N/A</v>
      </c>
      <c r="AF229" s="55" t="e">
        <f t="shared" ca="1" si="78"/>
        <v>#N/A</v>
      </c>
      <c r="AG229" s="55" t="e">
        <f t="shared" ca="1" si="79"/>
        <v>#N/A</v>
      </c>
      <c r="AH229" s="55" t="e">
        <f t="shared" ca="1" si="80"/>
        <v>#N/A</v>
      </c>
      <c r="AI229" s="55" t="e">
        <f t="shared" ca="1" si="74"/>
        <v>#N/A</v>
      </c>
      <c r="AJ229" s="55" t="e">
        <f t="shared" ca="1" si="75"/>
        <v>#N/A</v>
      </c>
      <c r="AK229" s="55" t="e">
        <f t="shared" ca="1" si="76"/>
        <v>#N/A</v>
      </c>
    </row>
    <row r="230" spans="18:37">
      <c r="R230" s="83" t="e">
        <f ca="1"/>
        <v>#N/A</v>
      </c>
      <c r="S230" s="55" t="e">
        <f t="shared" ca="1" si="69"/>
        <v>#N/A</v>
      </c>
      <c r="T230" s="55" t="e">
        <f t="shared" ca="1" si="63"/>
        <v>#N/A</v>
      </c>
      <c r="U230" s="55" t="e">
        <f t="shared" ca="1" si="64"/>
        <v>#N/A</v>
      </c>
      <c r="V230" s="55" t="e">
        <f t="shared" ca="1" si="65"/>
        <v>#N/A</v>
      </c>
      <c r="W230" s="55" t="e">
        <f t="shared" ca="1" si="70"/>
        <v>#N/A</v>
      </c>
      <c r="X230" s="55" t="e">
        <f t="shared" ca="1" si="71"/>
        <v>#N/A</v>
      </c>
      <c r="Y230" s="55" t="e">
        <f t="shared" ca="1" si="72"/>
        <v>#N/A</v>
      </c>
      <c r="Z230" t="e">
        <f t="shared" ca="1" si="66"/>
        <v>#N/A</v>
      </c>
      <c r="AA230" t="e">
        <f t="shared" ca="1" si="73"/>
        <v>#N/A</v>
      </c>
      <c r="AB230" t="e">
        <f t="shared" ca="1" si="67"/>
        <v>#N/A</v>
      </c>
      <c r="AC230" t="e">
        <f t="shared" ca="1" si="68"/>
        <v>#N/A</v>
      </c>
      <c r="AD230" s="83" t="e">
        <f ca="1"/>
        <v>#N/A</v>
      </c>
      <c r="AE230" s="55" t="e">
        <f t="shared" ca="1" si="77"/>
        <v>#N/A</v>
      </c>
      <c r="AF230" s="55" t="e">
        <f t="shared" ca="1" si="78"/>
        <v>#N/A</v>
      </c>
      <c r="AG230" s="55" t="e">
        <f t="shared" ca="1" si="79"/>
        <v>#N/A</v>
      </c>
      <c r="AH230" s="55" t="e">
        <f t="shared" ca="1" si="80"/>
        <v>#N/A</v>
      </c>
      <c r="AI230" s="55" t="e">
        <f t="shared" ca="1" si="74"/>
        <v>#N/A</v>
      </c>
      <c r="AJ230" s="55" t="e">
        <f t="shared" ca="1" si="75"/>
        <v>#N/A</v>
      </c>
      <c r="AK230" s="55" t="e">
        <f t="shared" ca="1" si="76"/>
        <v>#N/A</v>
      </c>
    </row>
    <row r="231" spans="18:37">
      <c r="R231" s="83" t="e">
        <f ca="1"/>
        <v>#N/A</v>
      </c>
      <c r="S231" s="55" t="e">
        <f t="shared" ca="1" si="69"/>
        <v>#N/A</v>
      </c>
      <c r="T231" s="55" t="e">
        <f t="shared" ca="1" si="63"/>
        <v>#N/A</v>
      </c>
      <c r="U231" s="55" t="e">
        <f t="shared" ca="1" si="64"/>
        <v>#N/A</v>
      </c>
      <c r="V231" s="55" t="e">
        <f t="shared" ca="1" si="65"/>
        <v>#N/A</v>
      </c>
      <c r="W231" s="55" t="e">
        <f t="shared" ca="1" si="70"/>
        <v>#N/A</v>
      </c>
      <c r="X231" s="55" t="e">
        <f t="shared" ca="1" si="71"/>
        <v>#N/A</v>
      </c>
      <c r="Y231" s="55" t="e">
        <f t="shared" ca="1" si="72"/>
        <v>#N/A</v>
      </c>
      <c r="Z231" t="e">
        <f t="shared" ca="1" si="66"/>
        <v>#N/A</v>
      </c>
      <c r="AA231" t="e">
        <f t="shared" ca="1" si="73"/>
        <v>#N/A</v>
      </c>
      <c r="AB231" t="e">
        <f t="shared" ca="1" si="67"/>
        <v>#N/A</v>
      </c>
      <c r="AC231" t="e">
        <f t="shared" ca="1" si="68"/>
        <v>#N/A</v>
      </c>
      <c r="AD231" s="83" t="e">
        <f ca="1"/>
        <v>#N/A</v>
      </c>
      <c r="AE231" s="55" t="e">
        <f t="shared" ca="1" si="77"/>
        <v>#N/A</v>
      </c>
      <c r="AF231" s="55" t="e">
        <f t="shared" ca="1" si="78"/>
        <v>#N/A</v>
      </c>
      <c r="AG231" s="55" t="e">
        <f t="shared" ca="1" si="79"/>
        <v>#N/A</v>
      </c>
      <c r="AH231" s="55" t="e">
        <f t="shared" ca="1" si="80"/>
        <v>#N/A</v>
      </c>
      <c r="AI231" s="55" t="e">
        <f t="shared" ca="1" si="74"/>
        <v>#N/A</v>
      </c>
      <c r="AJ231" s="55" t="e">
        <f t="shared" ca="1" si="75"/>
        <v>#N/A</v>
      </c>
      <c r="AK231" s="55" t="e">
        <f t="shared" ca="1" si="76"/>
        <v>#N/A</v>
      </c>
    </row>
    <row r="232" spans="18:37">
      <c r="R232" s="83" t="e">
        <f ca="1"/>
        <v>#N/A</v>
      </c>
      <c r="S232" s="55" t="e">
        <f t="shared" ca="1" si="69"/>
        <v>#N/A</v>
      </c>
      <c r="T232" s="55" t="e">
        <f t="shared" ca="1" si="63"/>
        <v>#N/A</v>
      </c>
      <c r="U232" s="55" t="e">
        <f t="shared" ca="1" si="64"/>
        <v>#N/A</v>
      </c>
      <c r="V232" s="55" t="e">
        <f t="shared" ca="1" si="65"/>
        <v>#N/A</v>
      </c>
      <c r="W232" s="55" t="e">
        <f t="shared" ca="1" si="70"/>
        <v>#N/A</v>
      </c>
      <c r="X232" s="55" t="e">
        <f t="shared" ca="1" si="71"/>
        <v>#N/A</v>
      </c>
      <c r="Y232" s="55" t="e">
        <f t="shared" ca="1" si="72"/>
        <v>#N/A</v>
      </c>
      <c r="Z232" t="e">
        <f t="shared" ca="1" si="66"/>
        <v>#N/A</v>
      </c>
      <c r="AA232" t="e">
        <f t="shared" ca="1" si="73"/>
        <v>#N/A</v>
      </c>
      <c r="AB232" t="e">
        <f t="shared" ca="1" si="67"/>
        <v>#N/A</v>
      </c>
      <c r="AC232" t="e">
        <f t="shared" ca="1" si="68"/>
        <v>#N/A</v>
      </c>
      <c r="AD232" s="83" t="e">
        <f ca="1"/>
        <v>#N/A</v>
      </c>
      <c r="AE232" s="55" t="e">
        <f t="shared" ca="1" si="77"/>
        <v>#N/A</v>
      </c>
      <c r="AF232" s="55" t="e">
        <f t="shared" ca="1" si="78"/>
        <v>#N/A</v>
      </c>
      <c r="AG232" s="55" t="e">
        <f t="shared" ca="1" si="79"/>
        <v>#N/A</v>
      </c>
      <c r="AH232" s="55" t="e">
        <f t="shared" ca="1" si="80"/>
        <v>#N/A</v>
      </c>
      <c r="AI232" s="55" t="e">
        <f t="shared" ca="1" si="74"/>
        <v>#N/A</v>
      </c>
      <c r="AJ232" s="55" t="e">
        <f t="shared" ca="1" si="75"/>
        <v>#N/A</v>
      </c>
      <c r="AK232" s="55" t="e">
        <f t="shared" ca="1" si="76"/>
        <v>#N/A</v>
      </c>
    </row>
    <row r="233" spans="18:37">
      <c r="R233" s="83" t="e">
        <f ca="1"/>
        <v>#N/A</v>
      </c>
      <c r="S233" s="55" t="e">
        <f t="shared" ca="1" si="69"/>
        <v>#N/A</v>
      </c>
      <c r="T233" s="55" t="e">
        <f t="shared" ca="1" si="63"/>
        <v>#N/A</v>
      </c>
      <c r="U233" s="55" t="e">
        <f t="shared" ca="1" si="64"/>
        <v>#N/A</v>
      </c>
      <c r="V233" s="55" t="e">
        <f t="shared" ca="1" si="65"/>
        <v>#N/A</v>
      </c>
      <c r="W233" s="55" t="e">
        <f t="shared" ca="1" si="70"/>
        <v>#N/A</v>
      </c>
      <c r="X233" s="55" t="e">
        <f t="shared" ca="1" si="71"/>
        <v>#N/A</v>
      </c>
      <c r="Y233" s="55" t="e">
        <f t="shared" ca="1" si="72"/>
        <v>#N/A</v>
      </c>
      <c r="Z233" t="e">
        <f t="shared" ca="1" si="66"/>
        <v>#N/A</v>
      </c>
      <c r="AA233" t="e">
        <f t="shared" ca="1" si="73"/>
        <v>#N/A</v>
      </c>
      <c r="AB233" t="e">
        <f t="shared" ca="1" si="67"/>
        <v>#N/A</v>
      </c>
      <c r="AC233" t="e">
        <f t="shared" ca="1" si="68"/>
        <v>#N/A</v>
      </c>
      <c r="AD233" s="83" t="e">
        <f ca="1"/>
        <v>#N/A</v>
      </c>
      <c r="AE233" s="55" t="e">
        <f t="shared" ca="1" si="77"/>
        <v>#N/A</v>
      </c>
      <c r="AF233" s="55" t="e">
        <f t="shared" ca="1" si="78"/>
        <v>#N/A</v>
      </c>
      <c r="AG233" s="55" t="e">
        <f t="shared" ca="1" si="79"/>
        <v>#N/A</v>
      </c>
      <c r="AH233" s="55" t="e">
        <f t="shared" ca="1" si="80"/>
        <v>#N/A</v>
      </c>
      <c r="AI233" s="55" t="e">
        <f t="shared" ca="1" si="74"/>
        <v>#N/A</v>
      </c>
      <c r="AJ233" s="55" t="e">
        <f t="shared" ca="1" si="75"/>
        <v>#N/A</v>
      </c>
      <c r="AK233" s="55" t="e">
        <f t="shared" ca="1" si="76"/>
        <v>#N/A</v>
      </c>
    </row>
    <row r="234" spans="18:37">
      <c r="R234" s="83" t="e">
        <f ca="1"/>
        <v>#N/A</v>
      </c>
      <c r="S234" s="55" t="e">
        <f t="shared" ca="1" si="69"/>
        <v>#N/A</v>
      </c>
      <c r="T234" s="55" t="e">
        <f t="shared" ca="1" si="63"/>
        <v>#N/A</v>
      </c>
      <c r="U234" s="55" t="e">
        <f t="shared" ca="1" si="64"/>
        <v>#N/A</v>
      </c>
      <c r="V234" s="55" t="e">
        <f t="shared" ca="1" si="65"/>
        <v>#N/A</v>
      </c>
      <c r="W234" s="55" t="e">
        <f t="shared" ca="1" si="70"/>
        <v>#N/A</v>
      </c>
      <c r="X234" s="55" t="e">
        <f t="shared" ca="1" si="71"/>
        <v>#N/A</v>
      </c>
      <c r="Y234" s="55" t="e">
        <f t="shared" ca="1" si="72"/>
        <v>#N/A</v>
      </c>
      <c r="Z234" t="e">
        <f t="shared" ca="1" si="66"/>
        <v>#N/A</v>
      </c>
      <c r="AA234" t="e">
        <f t="shared" ca="1" si="73"/>
        <v>#N/A</v>
      </c>
      <c r="AB234" t="e">
        <f t="shared" ca="1" si="67"/>
        <v>#N/A</v>
      </c>
      <c r="AC234" t="e">
        <f t="shared" ca="1" si="68"/>
        <v>#N/A</v>
      </c>
      <c r="AD234" s="83" t="e">
        <f ca="1"/>
        <v>#N/A</v>
      </c>
      <c r="AE234" s="55" t="e">
        <f t="shared" ca="1" si="77"/>
        <v>#N/A</v>
      </c>
      <c r="AF234" s="55" t="e">
        <f t="shared" ca="1" si="78"/>
        <v>#N/A</v>
      </c>
      <c r="AG234" s="55" t="e">
        <f t="shared" ca="1" si="79"/>
        <v>#N/A</v>
      </c>
      <c r="AH234" s="55" t="e">
        <f t="shared" ca="1" si="80"/>
        <v>#N/A</v>
      </c>
      <c r="AI234" s="55" t="e">
        <f t="shared" ca="1" si="74"/>
        <v>#N/A</v>
      </c>
      <c r="AJ234" s="55" t="e">
        <f t="shared" ca="1" si="75"/>
        <v>#N/A</v>
      </c>
      <c r="AK234" s="55" t="e">
        <f t="shared" ca="1" si="76"/>
        <v>#N/A</v>
      </c>
    </row>
    <row r="235" spans="18:37">
      <c r="R235" s="83" t="e">
        <f ca="1"/>
        <v>#N/A</v>
      </c>
      <c r="S235" s="55" t="e">
        <f t="shared" ca="1" si="69"/>
        <v>#N/A</v>
      </c>
      <c r="T235" s="55" t="e">
        <f t="shared" ca="1" si="63"/>
        <v>#N/A</v>
      </c>
      <c r="U235" s="55" t="e">
        <f t="shared" ca="1" si="64"/>
        <v>#N/A</v>
      </c>
      <c r="V235" s="55" t="e">
        <f t="shared" ca="1" si="65"/>
        <v>#N/A</v>
      </c>
      <c r="W235" s="55" t="e">
        <f t="shared" ca="1" si="70"/>
        <v>#N/A</v>
      </c>
      <c r="X235" s="55" t="e">
        <f t="shared" ca="1" si="71"/>
        <v>#N/A</v>
      </c>
      <c r="Y235" s="55" t="e">
        <f t="shared" ca="1" si="72"/>
        <v>#N/A</v>
      </c>
      <c r="Z235" t="e">
        <f t="shared" ca="1" si="66"/>
        <v>#N/A</v>
      </c>
      <c r="AA235" t="e">
        <f t="shared" ca="1" si="73"/>
        <v>#N/A</v>
      </c>
      <c r="AB235" t="e">
        <f t="shared" ca="1" si="67"/>
        <v>#N/A</v>
      </c>
      <c r="AC235" t="e">
        <f t="shared" ca="1" si="68"/>
        <v>#N/A</v>
      </c>
      <c r="AD235" s="83" t="e">
        <f ca="1"/>
        <v>#N/A</v>
      </c>
      <c r="AE235" s="55" t="e">
        <f t="shared" ca="1" si="77"/>
        <v>#N/A</v>
      </c>
      <c r="AF235" s="55" t="e">
        <f t="shared" ca="1" si="78"/>
        <v>#N/A</v>
      </c>
      <c r="AG235" s="55" t="e">
        <f t="shared" ca="1" si="79"/>
        <v>#N/A</v>
      </c>
      <c r="AH235" s="55" t="e">
        <f t="shared" ca="1" si="80"/>
        <v>#N/A</v>
      </c>
      <c r="AI235" s="55" t="e">
        <f t="shared" ca="1" si="74"/>
        <v>#N/A</v>
      </c>
      <c r="AJ235" s="55" t="e">
        <f t="shared" ca="1" si="75"/>
        <v>#N/A</v>
      </c>
      <c r="AK235" s="55" t="e">
        <f t="shared" ca="1" si="76"/>
        <v>#N/A</v>
      </c>
    </row>
    <row r="236" spans="18:37">
      <c r="R236" s="83" t="e">
        <f ca="1"/>
        <v>#N/A</v>
      </c>
      <c r="S236" s="55" t="e">
        <f t="shared" ca="1" si="69"/>
        <v>#N/A</v>
      </c>
      <c r="T236" s="55" t="e">
        <f t="shared" ca="1" si="63"/>
        <v>#N/A</v>
      </c>
      <c r="U236" s="55" t="e">
        <f t="shared" ca="1" si="64"/>
        <v>#N/A</v>
      </c>
      <c r="V236" s="55" t="e">
        <f t="shared" ca="1" si="65"/>
        <v>#N/A</v>
      </c>
      <c r="W236" s="55" t="e">
        <f t="shared" ca="1" si="70"/>
        <v>#N/A</v>
      </c>
      <c r="X236" s="55" t="e">
        <f t="shared" ca="1" si="71"/>
        <v>#N/A</v>
      </c>
      <c r="Y236" s="55" t="e">
        <f t="shared" ca="1" si="72"/>
        <v>#N/A</v>
      </c>
      <c r="Z236" t="e">
        <f t="shared" ca="1" si="66"/>
        <v>#N/A</v>
      </c>
      <c r="AA236" t="e">
        <f t="shared" ca="1" si="73"/>
        <v>#N/A</v>
      </c>
      <c r="AB236" t="e">
        <f t="shared" ca="1" si="67"/>
        <v>#N/A</v>
      </c>
      <c r="AC236" t="e">
        <f t="shared" ca="1" si="68"/>
        <v>#N/A</v>
      </c>
      <c r="AD236" s="83" t="e">
        <f ca="1"/>
        <v>#N/A</v>
      </c>
      <c r="AE236" s="55" t="e">
        <f t="shared" ca="1" si="77"/>
        <v>#N/A</v>
      </c>
      <c r="AF236" s="55" t="e">
        <f t="shared" ca="1" si="78"/>
        <v>#N/A</v>
      </c>
      <c r="AG236" s="55" t="e">
        <f t="shared" ca="1" si="79"/>
        <v>#N/A</v>
      </c>
      <c r="AH236" s="55" t="e">
        <f t="shared" ca="1" si="80"/>
        <v>#N/A</v>
      </c>
      <c r="AI236" s="55" t="e">
        <f t="shared" ca="1" si="74"/>
        <v>#N/A</v>
      </c>
      <c r="AJ236" s="55" t="e">
        <f t="shared" ca="1" si="75"/>
        <v>#N/A</v>
      </c>
      <c r="AK236" s="55" t="e">
        <f t="shared" ca="1" si="76"/>
        <v>#N/A</v>
      </c>
    </row>
    <row r="237" spans="18:37">
      <c r="R237" s="83" t="e">
        <f ca="1"/>
        <v>#N/A</v>
      </c>
      <c r="S237" s="55" t="e">
        <f t="shared" ca="1" si="69"/>
        <v>#N/A</v>
      </c>
      <c r="T237" s="55" t="e">
        <f t="shared" ca="1" si="63"/>
        <v>#N/A</v>
      </c>
      <c r="U237" s="55" t="e">
        <f t="shared" ca="1" si="64"/>
        <v>#N/A</v>
      </c>
      <c r="V237" s="55" t="e">
        <f t="shared" ca="1" si="65"/>
        <v>#N/A</v>
      </c>
      <c r="W237" s="55" t="e">
        <f t="shared" ca="1" si="70"/>
        <v>#N/A</v>
      </c>
      <c r="X237" s="55" t="e">
        <f t="shared" ca="1" si="71"/>
        <v>#N/A</v>
      </c>
      <c r="Y237" s="55" t="e">
        <f t="shared" ca="1" si="72"/>
        <v>#N/A</v>
      </c>
      <c r="Z237" t="e">
        <f t="shared" ca="1" si="66"/>
        <v>#N/A</v>
      </c>
      <c r="AA237" t="e">
        <f t="shared" ca="1" si="73"/>
        <v>#N/A</v>
      </c>
      <c r="AB237" t="e">
        <f t="shared" ca="1" si="67"/>
        <v>#N/A</v>
      </c>
      <c r="AC237" t="e">
        <f t="shared" ca="1" si="68"/>
        <v>#N/A</v>
      </c>
      <c r="AD237" s="83" t="e">
        <f ca="1"/>
        <v>#N/A</v>
      </c>
      <c r="AE237" s="55" t="e">
        <f t="shared" ca="1" si="77"/>
        <v>#N/A</v>
      </c>
      <c r="AF237" s="55" t="e">
        <f t="shared" ca="1" si="78"/>
        <v>#N/A</v>
      </c>
      <c r="AG237" s="55" t="e">
        <f t="shared" ca="1" si="79"/>
        <v>#N/A</v>
      </c>
      <c r="AH237" s="55" t="e">
        <f t="shared" ca="1" si="80"/>
        <v>#N/A</v>
      </c>
      <c r="AI237" s="55" t="e">
        <f t="shared" ca="1" si="74"/>
        <v>#N/A</v>
      </c>
      <c r="AJ237" s="55" t="e">
        <f t="shared" ca="1" si="75"/>
        <v>#N/A</v>
      </c>
      <c r="AK237" s="55" t="e">
        <f t="shared" ca="1" si="76"/>
        <v>#N/A</v>
      </c>
    </row>
    <row r="238" spans="18:37">
      <c r="R238" s="83" t="e">
        <f ca="1"/>
        <v>#N/A</v>
      </c>
      <c r="S238" s="55" t="e">
        <f t="shared" ca="1" si="69"/>
        <v>#N/A</v>
      </c>
      <c r="T238" s="55" t="e">
        <f t="shared" ca="1" si="63"/>
        <v>#N/A</v>
      </c>
      <c r="U238" s="55" t="e">
        <f t="shared" ca="1" si="64"/>
        <v>#N/A</v>
      </c>
      <c r="V238" s="55" t="e">
        <f t="shared" ca="1" si="65"/>
        <v>#N/A</v>
      </c>
      <c r="W238" s="55" t="e">
        <f t="shared" ca="1" si="70"/>
        <v>#N/A</v>
      </c>
      <c r="X238" s="55" t="e">
        <f t="shared" ca="1" si="71"/>
        <v>#N/A</v>
      </c>
      <c r="Y238" s="55" t="e">
        <f t="shared" ca="1" si="72"/>
        <v>#N/A</v>
      </c>
      <c r="Z238" t="e">
        <f t="shared" ca="1" si="66"/>
        <v>#N/A</v>
      </c>
      <c r="AA238" t="e">
        <f t="shared" ca="1" si="73"/>
        <v>#N/A</v>
      </c>
      <c r="AB238" t="e">
        <f t="shared" ca="1" si="67"/>
        <v>#N/A</v>
      </c>
      <c r="AC238" t="e">
        <f t="shared" ca="1" si="68"/>
        <v>#N/A</v>
      </c>
      <c r="AD238" s="83" t="e">
        <f ca="1"/>
        <v>#N/A</v>
      </c>
      <c r="AE238" s="55" t="e">
        <f t="shared" ca="1" si="77"/>
        <v>#N/A</v>
      </c>
      <c r="AF238" s="55" t="e">
        <f t="shared" ca="1" si="78"/>
        <v>#N/A</v>
      </c>
      <c r="AG238" s="55" t="e">
        <f t="shared" ca="1" si="79"/>
        <v>#N/A</v>
      </c>
      <c r="AH238" s="55" t="e">
        <f t="shared" ca="1" si="80"/>
        <v>#N/A</v>
      </c>
      <c r="AI238" s="55" t="e">
        <f t="shared" ca="1" si="74"/>
        <v>#N/A</v>
      </c>
      <c r="AJ238" s="55" t="e">
        <f t="shared" ca="1" si="75"/>
        <v>#N/A</v>
      </c>
      <c r="AK238" s="55" t="e">
        <f t="shared" ca="1" si="76"/>
        <v>#N/A</v>
      </c>
    </row>
    <row r="239" spans="18:37">
      <c r="R239" s="83" t="e">
        <f ca="1"/>
        <v>#N/A</v>
      </c>
      <c r="S239" s="55" t="e">
        <f t="shared" ca="1" si="69"/>
        <v>#N/A</v>
      </c>
      <c r="T239" s="55" t="e">
        <f t="shared" ca="1" si="63"/>
        <v>#N/A</v>
      </c>
      <c r="U239" s="55" t="e">
        <f t="shared" ca="1" si="64"/>
        <v>#N/A</v>
      </c>
      <c r="V239" s="55" t="e">
        <f t="shared" ca="1" si="65"/>
        <v>#N/A</v>
      </c>
      <c r="W239" s="55" t="e">
        <f t="shared" ca="1" si="70"/>
        <v>#N/A</v>
      </c>
      <c r="X239" s="55" t="e">
        <f t="shared" ca="1" si="71"/>
        <v>#N/A</v>
      </c>
      <c r="Y239" s="55" t="e">
        <f t="shared" ca="1" si="72"/>
        <v>#N/A</v>
      </c>
      <c r="Z239" t="e">
        <f t="shared" ca="1" si="66"/>
        <v>#N/A</v>
      </c>
      <c r="AA239" t="e">
        <f t="shared" ca="1" si="73"/>
        <v>#N/A</v>
      </c>
      <c r="AB239" t="e">
        <f t="shared" ca="1" si="67"/>
        <v>#N/A</v>
      </c>
      <c r="AC239" t="e">
        <f t="shared" ca="1" si="68"/>
        <v>#N/A</v>
      </c>
      <c r="AD239" s="83" t="e">
        <f ca="1"/>
        <v>#N/A</v>
      </c>
      <c r="AE239" s="55" t="e">
        <f t="shared" ca="1" si="77"/>
        <v>#N/A</v>
      </c>
      <c r="AF239" s="55" t="e">
        <f t="shared" ca="1" si="78"/>
        <v>#N/A</v>
      </c>
      <c r="AG239" s="55" t="e">
        <f t="shared" ca="1" si="79"/>
        <v>#N/A</v>
      </c>
      <c r="AH239" s="55" t="e">
        <f t="shared" ca="1" si="80"/>
        <v>#N/A</v>
      </c>
      <c r="AI239" s="55" t="e">
        <f t="shared" ca="1" si="74"/>
        <v>#N/A</v>
      </c>
      <c r="AJ239" s="55" t="e">
        <f t="shared" ca="1" si="75"/>
        <v>#N/A</v>
      </c>
      <c r="AK239" s="55" t="e">
        <f t="shared" ca="1" si="76"/>
        <v>#N/A</v>
      </c>
    </row>
    <row r="240" spans="18:37">
      <c r="R240" s="83" t="e">
        <f ca="1"/>
        <v>#N/A</v>
      </c>
      <c r="S240" s="55" t="e">
        <f t="shared" ca="1" si="69"/>
        <v>#N/A</v>
      </c>
      <c r="T240" s="55" t="e">
        <f t="shared" ca="1" si="63"/>
        <v>#N/A</v>
      </c>
      <c r="U240" s="55" t="e">
        <f t="shared" ca="1" si="64"/>
        <v>#N/A</v>
      </c>
      <c r="V240" s="55" t="e">
        <f t="shared" ca="1" si="65"/>
        <v>#N/A</v>
      </c>
      <c r="W240" s="55" t="e">
        <f t="shared" ca="1" si="70"/>
        <v>#N/A</v>
      </c>
      <c r="X240" s="55" t="e">
        <f t="shared" ca="1" si="71"/>
        <v>#N/A</v>
      </c>
      <c r="Y240" s="55" t="e">
        <f t="shared" ca="1" si="72"/>
        <v>#N/A</v>
      </c>
      <c r="Z240" t="e">
        <f t="shared" ca="1" si="66"/>
        <v>#N/A</v>
      </c>
      <c r="AA240" t="e">
        <f t="shared" ca="1" si="73"/>
        <v>#N/A</v>
      </c>
      <c r="AB240" t="e">
        <f t="shared" ca="1" si="67"/>
        <v>#N/A</v>
      </c>
      <c r="AC240" t="e">
        <f t="shared" ca="1" si="68"/>
        <v>#N/A</v>
      </c>
      <c r="AD240" s="83" t="e">
        <f ca="1"/>
        <v>#N/A</v>
      </c>
      <c r="AE240" s="55" t="e">
        <f t="shared" ca="1" si="77"/>
        <v>#N/A</v>
      </c>
      <c r="AF240" s="55" t="e">
        <f t="shared" ca="1" si="78"/>
        <v>#N/A</v>
      </c>
      <c r="AG240" s="55" t="e">
        <f t="shared" ca="1" si="79"/>
        <v>#N/A</v>
      </c>
      <c r="AH240" s="55" t="e">
        <f t="shared" ca="1" si="80"/>
        <v>#N/A</v>
      </c>
      <c r="AI240" s="55" t="e">
        <f t="shared" ca="1" si="74"/>
        <v>#N/A</v>
      </c>
      <c r="AJ240" s="55" t="e">
        <f t="shared" ca="1" si="75"/>
        <v>#N/A</v>
      </c>
      <c r="AK240" s="55" t="e">
        <f t="shared" ca="1" si="76"/>
        <v>#N/A</v>
      </c>
    </row>
    <row r="241" spans="18:37">
      <c r="R241" s="83" t="e">
        <f ca="1"/>
        <v>#N/A</v>
      </c>
      <c r="S241" s="55" t="e">
        <f t="shared" ca="1" si="69"/>
        <v>#N/A</v>
      </c>
      <c r="T241" s="55" t="e">
        <f t="shared" ca="1" si="63"/>
        <v>#N/A</v>
      </c>
      <c r="U241" s="55" t="e">
        <f t="shared" ca="1" si="64"/>
        <v>#N/A</v>
      </c>
      <c r="V241" s="55" t="e">
        <f t="shared" ca="1" si="65"/>
        <v>#N/A</v>
      </c>
      <c r="W241" s="55" t="e">
        <f t="shared" ca="1" si="70"/>
        <v>#N/A</v>
      </c>
      <c r="X241" s="55" t="e">
        <f t="shared" ca="1" si="71"/>
        <v>#N/A</v>
      </c>
      <c r="Y241" s="55" t="e">
        <f t="shared" ca="1" si="72"/>
        <v>#N/A</v>
      </c>
      <c r="Z241" t="e">
        <f t="shared" ca="1" si="66"/>
        <v>#N/A</v>
      </c>
      <c r="AA241" t="e">
        <f t="shared" ca="1" si="73"/>
        <v>#N/A</v>
      </c>
      <c r="AB241" t="e">
        <f t="shared" ca="1" si="67"/>
        <v>#N/A</v>
      </c>
      <c r="AC241" t="e">
        <f t="shared" ca="1" si="68"/>
        <v>#N/A</v>
      </c>
      <c r="AD241" s="83" t="e">
        <f ca="1"/>
        <v>#N/A</v>
      </c>
      <c r="AE241" s="55" t="e">
        <f t="shared" ca="1" si="77"/>
        <v>#N/A</v>
      </c>
      <c r="AF241" s="55" t="e">
        <f t="shared" ca="1" si="78"/>
        <v>#N/A</v>
      </c>
      <c r="AG241" s="55" t="e">
        <f t="shared" ca="1" si="79"/>
        <v>#N/A</v>
      </c>
      <c r="AH241" s="55" t="e">
        <f t="shared" ca="1" si="80"/>
        <v>#N/A</v>
      </c>
      <c r="AI241" s="55" t="e">
        <f t="shared" ca="1" si="74"/>
        <v>#N/A</v>
      </c>
      <c r="AJ241" s="55" t="e">
        <f t="shared" ca="1" si="75"/>
        <v>#N/A</v>
      </c>
      <c r="AK241" s="55" t="e">
        <f t="shared" ca="1" si="76"/>
        <v>#N/A</v>
      </c>
    </row>
    <row r="242" spans="18:37">
      <c r="R242" s="83" t="e">
        <f ca="1"/>
        <v>#N/A</v>
      </c>
      <c r="S242" s="55" t="e">
        <f t="shared" ca="1" si="69"/>
        <v>#N/A</v>
      </c>
      <c r="T242" s="55" t="e">
        <f t="shared" ca="1" si="63"/>
        <v>#N/A</v>
      </c>
      <c r="U242" s="55" t="e">
        <f t="shared" ca="1" si="64"/>
        <v>#N/A</v>
      </c>
      <c r="V242" s="55" t="e">
        <f t="shared" ca="1" si="65"/>
        <v>#N/A</v>
      </c>
      <c r="W242" s="55" t="e">
        <f t="shared" ca="1" si="70"/>
        <v>#N/A</v>
      </c>
      <c r="X242" s="55" t="e">
        <f t="shared" ca="1" si="71"/>
        <v>#N/A</v>
      </c>
      <c r="Y242" s="55" t="e">
        <f t="shared" ca="1" si="72"/>
        <v>#N/A</v>
      </c>
      <c r="Z242" t="e">
        <f t="shared" ca="1" si="66"/>
        <v>#N/A</v>
      </c>
      <c r="AA242" t="e">
        <f t="shared" ca="1" si="73"/>
        <v>#N/A</v>
      </c>
      <c r="AB242" t="e">
        <f t="shared" ca="1" si="67"/>
        <v>#N/A</v>
      </c>
      <c r="AC242" t="e">
        <f t="shared" ca="1" si="68"/>
        <v>#N/A</v>
      </c>
      <c r="AD242" s="83" t="e">
        <f ca="1"/>
        <v>#N/A</v>
      </c>
      <c r="AE242" s="55" t="e">
        <f t="shared" ca="1" si="77"/>
        <v>#N/A</v>
      </c>
      <c r="AF242" s="55" t="e">
        <f t="shared" ca="1" si="78"/>
        <v>#N/A</v>
      </c>
      <c r="AG242" s="55" t="e">
        <f t="shared" ca="1" si="79"/>
        <v>#N/A</v>
      </c>
      <c r="AH242" s="55" t="e">
        <f t="shared" ca="1" si="80"/>
        <v>#N/A</v>
      </c>
      <c r="AI242" s="55" t="e">
        <f t="shared" ca="1" si="74"/>
        <v>#N/A</v>
      </c>
      <c r="AJ242" s="55" t="e">
        <f t="shared" ca="1" si="75"/>
        <v>#N/A</v>
      </c>
      <c r="AK242" s="55" t="e">
        <f t="shared" ca="1" si="76"/>
        <v>#N/A</v>
      </c>
    </row>
    <row r="243" spans="18:37">
      <c r="R243" s="83" t="e">
        <f ca="1"/>
        <v>#N/A</v>
      </c>
      <c r="S243" s="55" t="e">
        <f t="shared" ca="1" si="69"/>
        <v>#N/A</v>
      </c>
      <c r="T243" s="55" t="e">
        <f t="shared" ca="1" si="63"/>
        <v>#N/A</v>
      </c>
      <c r="U243" s="55" t="e">
        <f t="shared" ca="1" si="64"/>
        <v>#N/A</v>
      </c>
      <c r="V243" s="55" t="e">
        <f t="shared" ca="1" si="65"/>
        <v>#N/A</v>
      </c>
      <c r="W243" s="55" t="e">
        <f t="shared" ca="1" si="70"/>
        <v>#N/A</v>
      </c>
      <c r="X243" s="55" t="e">
        <f t="shared" ca="1" si="71"/>
        <v>#N/A</v>
      </c>
      <c r="Y243" s="55" t="e">
        <f t="shared" ca="1" si="72"/>
        <v>#N/A</v>
      </c>
      <c r="Z243" t="e">
        <f t="shared" ca="1" si="66"/>
        <v>#N/A</v>
      </c>
      <c r="AA243" t="e">
        <f t="shared" ca="1" si="73"/>
        <v>#N/A</v>
      </c>
      <c r="AB243" t="e">
        <f t="shared" ca="1" si="67"/>
        <v>#N/A</v>
      </c>
      <c r="AC243" t="e">
        <f t="shared" ca="1" si="68"/>
        <v>#N/A</v>
      </c>
      <c r="AD243" s="83" t="e">
        <f ca="1"/>
        <v>#N/A</v>
      </c>
      <c r="AE243" s="55" t="e">
        <f t="shared" ca="1" si="77"/>
        <v>#N/A</v>
      </c>
      <c r="AF243" s="55" t="e">
        <f t="shared" ca="1" si="78"/>
        <v>#N/A</v>
      </c>
      <c r="AG243" s="55" t="e">
        <f t="shared" ca="1" si="79"/>
        <v>#N/A</v>
      </c>
      <c r="AH243" s="55" t="e">
        <f t="shared" ca="1" si="80"/>
        <v>#N/A</v>
      </c>
      <c r="AI243" s="55" t="e">
        <f t="shared" ca="1" si="74"/>
        <v>#N/A</v>
      </c>
      <c r="AJ243" s="55" t="e">
        <f t="shared" ca="1" si="75"/>
        <v>#N/A</v>
      </c>
      <c r="AK243" s="55" t="e">
        <f t="shared" ca="1" si="76"/>
        <v>#N/A</v>
      </c>
    </row>
    <row r="244" spans="18:37">
      <c r="R244" s="83" t="e">
        <f ca="1"/>
        <v>#N/A</v>
      </c>
      <c r="S244" s="55" t="e">
        <f t="shared" ca="1" si="69"/>
        <v>#N/A</v>
      </c>
      <c r="T244" s="55" t="e">
        <f t="shared" ca="1" si="63"/>
        <v>#N/A</v>
      </c>
      <c r="U244" s="55" t="e">
        <f t="shared" ca="1" si="64"/>
        <v>#N/A</v>
      </c>
      <c r="V244" s="55" t="e">
        <f t="shared" ca="1" si="65"/>
        <v>#N/A</v>
      </c>
      <c r="W244" s="55" t="e">
        <f t="shared" ca="1" si="70"/>
        <v>#N/A</v>
      </c>
      <c r="X244" s="55" t="e">
        <f t="shared" ca="1" si="71"/>
        <v>#N/A</v>
      </c>
      <c r="Y244" s="55" t="e">
        <f t="shared" ca="1" si="72"/>
        <v>#N/A</v>
      </c>
      <c r="Z244" t="e">
        <f t="shared" ca="1" si="66"/>
        <v>#N/A</v>
      </c>
      <c r="AA244" t="e">
        <f t="shared" ca="1" si="73"/>
        <v>#N/A</v>
      </c>
      <c r="AB244" t="e">
        <f t="shared" ca="1" si="67"/>
        <v>#N/A</v>
      </c>
      <c r="AC244" t="e">
        <f t="shared" ca="1" si="68"/>
        <v>#N/A</v>
      </c>
      <c r="AD244" s="83" t="e">
        <f ca="1"/>
        <v>#N/A</v>
      </c>
      <c r="AE244" s="55" t="e">
        <f t="shared" ca="1" si="77"/>
        <v>#N/A</v>
      </c>
      <c r="AF244" s="55" t="e">
        <f t="shared" ca="1" si="78"/>
        <v>#N/A</v>
      </c>
      <c r="AG244" s="55" t="e">
        <f t="shared" ca="1" si="79"/>
        <v>#N/A</v>
      </c>
      <c r="AH244" s="55" t="e">
        <f t="shared" ca="1" si="80"/>
        <v>#N/A</v>
      </c>
      <c r="AI244" s="55" t="e">
        <f t="shared" ca="1" si="74"/>
        <v>#N/A</v>
      </c>
      <c r="AJ244" s="55" t="e">
        <f t="shared" ca="1" si="75"/>
        <v>#N/A</v>
      </c>
      <c r="AK244" s="55" t="e">
        <f t="shared" ca="1" si="76"/>
        <v>#N/A</v>
      </c>
    </row>
    <row r="245" spans="18:37">
      <c r="R245" s="83" t="e">
        <f ca="1"/>
        <v>#N/A</v>
      </c>
      <c r="S245" s="55" t="e">
        <f t="shared" ca="1" si="69"/>
        <v>#N/A</v>
      </c>
      <c r="T245" s="55" t="e">
        <f t="shared" ca="1" si="63"/>
        <v>#N/A</v>
      </c>
      <c r="U245" s="55" t="e">
        <f t="shared" ca="1" si="64"/>
        <v>#N/A</v>
      </c>
      <c r="V245" s="55" t="e">
        <f t="shared" ca="1" si="65"/>
        <v>#N/A</v>
      </c>
      <c r="W245" s="55" t="e">
        <f t="shared" ca="1" si="70"/>
        <v>#N/A</v>
      </c>
      <c r="X245" s="55" t="e">
        <f t="shared" ca="1" si="71"/>
        <v>#N/A</v>
      </c>
      <c r="Y245" s="55" t="e">
        <f t="shared" ca="1" si="72"/>
        <v>#N/A</v>
      </c>
      <c r="Z245" t="e">
        <f t="shared" ca="1" si="66"/>
        <v>#N/A</v>
      </c>
      <c r="AA245" t="e">
        <f t="shared" ca="1" si="73"/>
        <v>#N/A</v>
      </c>
      <c r="AB245" t="e">
        <f t="shared" ca="1" si="67"/>
        <v>#N/A</v>
      </c>
      <c r="AC245" t="e">
        <f t="shared" ca="1" si="68"/>
        <v>#N/A</v>
      </c>
      <c r="AD245" s="83" t="e">
        <f ca="1"/>
        <v>#N/A</v>
      </c>
      <c r="AE245" s="55" t="e">
        <f t="shared" ca="1" si="77"/>
        <v>#N/A</v>
      </c>
      <c r="AF245" s="55" t="e">
        <f t="shared" ca="1" si="78"/>
        <v>#N/A</v>
      </c>
      <c r="AG245" s="55" t="e">
        <f t="shared" ca="1" si="79"/>
        <v>#N/A</v>
      </c>
      <c r="AH245" s="55" t="e">
        <f t="shared" ca="1" si="80"/>
        <v>#N/A</v>
      </c>
      <c r="AI245" s="55" t="e">
        <f t="shared" ca="1" si="74"/>
        <v>#N/A</v>
      </c>
      <c r="AJ245" s="55" t="e">
        <f t="shared" ca="1" si="75"/>
        <v>#N/A</v>
      </c>
      <c r="AK245" s="55" t="e">
        <f t="shared" ca="1" si="76"/>
        <v>#N/A</v>
      </c>
    </row>
    <row r="246" spans="18:37">
      <c r="R246" s="83" t="e">
        <f ca="1"/>
        <v>#N/A</v>
      </c>
      <c r="S246" s="55" t="e">
        <f t="shared" ca="1" si="69"/>
        <v>#N/A</v>
      </c>
      <c r="T246" s="55" t="e">
        <f t="shared" ca="1" si="63"/>
        <v>#N/A</v>
      </c>
      <c r="U246" s="55" t="e">
        <f t="shared" ca="1" si="64"/>
        <v>#N/A</v>
      </c>
      <c r="V246" s="55" t="e">
        <f t="shared" ca="1" si="65"/>
        <v>#N/A</v>
      </c>
      <c r="W246" s="55" t="e">
        <f t="shared" ca="1" si="70"/>
        <v>#N/A</v>
      </c>
      <c r="X246" s="55" t="e">
        <f t="shared" ca="1" si="71"/>
        <v>#N/A</v>
      </c>
      <c r="Y246" s="55" t="e">
        <f t="shared" ca="1" si="72"/>
        <v>#N/A</v>
      </c>
      <c r="Z246" t="e">
        <f t="shared" ca="1" si="66"/>
        <v>#N/A</v>
      </c>
      <c r="AA246" t="e">
        <f t="shared" ca="1" si="73"/>
        <v>#N/A</v>
      </c>
      <c r="AB246" t="e">
        <f t="shared" ca="1" si="67"/>
        <v>#N/A</v>
      </c>
      <c r="AC246" t="e">
        <f t="shared" ca="1" si="68"/>
        <v>#N/A</v>
      </c>
      <c r="AD246" s="83" t="e">
        <f ca="1"/>
        <v>#N/A</v>
      </c>
      <c r="AE246" s="55" t="e">
        <f t="shared" ca="1" si="77"/>
        <v>#N/A</v>
      </c>
      <c r="AF246" s="55" t="e">
        <f t="shared" ca="1" si="78"/>
        <v>#N/A</v>
      </c>
      <c r="AG246" s="55" t="e">
        <f t="shared" ca="1" si="79"/>
        <v>#N/A</v>
      </c>
      <c r="AH246" s="55" t="e">
        <f t="shared" ca="1" si="80"/>
        <v>#N/A</v>
      </c>
      <c r="AI246" s="55" t="e">
        <f t="shared" ca="1" si="74"/>
        <v>#N/A</v>
      </c>
      <c r="AJ246" s="55" t="e">
        <f t="shared" ca="1" si="75"/>
        <v>#N/A</v>
      </c>
      <c r="AK246" s="55" t="e">
        <f t="shared" ca="1" si="76"/>
        <v>#N/A</v>
      </c>
    </row>
    <row r="247" spans="18:37">
      <c r="R247" s="83" t="e">
        <f ca="1"/>
        <v>#N/A</v>
      </c>
      <c r="S247" s="55" t="e">
        <f t="shared" ca="1" si="69"/>
        <v>#N/A</v>
      </c>
      <c r="T247" s="55" t="e">
        <f t="shared" ca="1" si="63"/>
        <v>#N/A</v>
      </c>
      <c r="U247" s="55" t="e">
        <f t="shared" ca="1" si="64"/>
        <v>#N/A</v>
      </c>
      <c r="V247" s="55" t="e">
        <f t="shared" ca="1" si="65"/>
        <v>#N/A</v>
      </c>
      <c r="W247" s="55" t="e">
        <f t="shared" ca="1" si="70"/>
        <v>#N/A</v>
      </c>
      <c r="X247" s="55" t="e">
        <f t="shared" ca="1" si="71"/>
        <v>#N/A</v>
      </c>
      <c r="Y247" s="55" t="e">
        <f t="shared" ca="1" si="72"/>
        <v>#N/A</v>
      </c>
      <c r="Z247" t="e">
        <f t="shared" ca="1" si="66"/>
        <v>#N/A</v>
      </c>
      <c r="AA247" t="e">
        <f t="shared" ca="1" si="73"/>
        <v>#N/A</v>
      </c>
      <c r="AB247" t="e">
        <f t="shared" ca="1" si="67"/>
        <v>#N/A</v>
      </c>
      <c r="AC247" t="e">
        <f t="shared" ca="1" si="68"/>
        <v>#N/A</v>
      </c>
      <c r="AD247" s="83" t="e">
        <f ca="1"/>
        <v>#N/A</v>
      </c>
      <c r="AE247" s="55" t="e">
        <f t="shared" ca="1" si="77"/>
        <v>#N/A</v>
      </c>
      <c r="AF247" s="55" t="e">
        <f t="shared" ca="1" si="78"/>
        <v>#N/A</v>
      </c>
      <c r="AG247" s="55" t="e">
        <f t="shared" ca="1" si="79"/>
        <v>#N/A</v>
      </c>
      <c r="AH247" s="55" t="e">
        <f t="shared" ca="1" si="80"/>
        <v>#N/A</v>
      </c>
      <c r="AI247" s="55" t="e">
        <f t="shared" ca="1" si="74"/>
        <v>#N/A</v>
      </c>
      <c r="AJ247" s="55" t="e">
        <f t="shared" ca="1" si="75"/>
        <v>#N/A</v>
      </c>
      <c r="AK247" s="55" t="e">
        <f t="shared" ca="1" si="76"/>
        <v>#N/A</v>
      </c>
    </row>
    <row r="248" spans="18:37">
      <c r="R248" s="83" t="e">
        <f ca="1"/>
        <v>#N/A</v>
      </c>
      <c r="S248" s="55" t="e">
        <f t="shared" ca="1" si="69"/>
        <v>#N/A</v>
      </c>
      <c r="T248" s="55" t="e">
        <f t="shared" ca="1" si="63"/>
        <v>#N/A</v>
      </c>
      <c r="U248" s="55" t="e">
        <f t="shared" ca="1" si="64"/>
        <v>#N/A</v>
      </c>
      <c r="V248" s="55" t="e">
        <f t="shared" ca="1" si="65"/>
        <v>#N/A</v>
      </c>
      <c r="W248" s="55" t="e">
        <f t="shared" ca="1" si="70"/>
        <v>#N/A</v>
      </c>
      <c r="X248" s="55" t="e">
        <f t="shared" ca="1" si="71"/>
        <v>#N/A</v>
      </c>
      <c r="Y248" s="55" t="e">
        <f t="shared" ca="1" si="72"/>
        <v>#N/A</v>
      </c>
      <c r="Z248" t="e">
        <f t="shared" ca="1" si="66"/>
        <v>#N/A</v>
      </c>
      <c r="AA248" t="e">
        <f t="shared" ca="1" si="73"/>
        <v>#N/A</v>
      </c>
      <c r="AB248" t="e">
        <f t="shared" ca="1" si="67"/>
        <v>#N/A</v>
      </c>
      <c r="AC248" t="e">
        <f t="shared" ca="1" si="68"/>
        <v>#N/A</v>
      </c>
      <c r="AD248" s="83" t="e">
        <f ca="1"/>
        <v>#N/A</v>
      </c>
      <c r="AE248" s="55" t="e">
        <f t="shared" ca="1" si="77"/>
        <v>#N/A</v>
      </c>
      <c r="AF248" s="55" t="e">
        <f t="shared" ca="1" si="78"/>
        <v>#N/A</v>
      </c>
      <c r="AG248" s="55" t="e">
        <f t="shared" ca="1" si="79"/>
        <v>#N/A</v>
      </c>
      <c r="AH248" s="55" t="e">
        <f t="shared" ca="1" si="80"/>
        <v>#N/A</v>
      </c>
      <c r="AI248" s="55" t="e">
        <f t="shared" ca="1" si="74"/>
        <v>#N/A</v>
      </c>
      <c r="AJ248" s="55" t="e">
        <f t="shared" ca="1" si="75"/>
        <v>#N/A</v>
      </c>
      <c r="AK248" s="55" t="e">
        <f t="shared" ca="1" si="76"/>
        <v>#N/A</v>
      </c>
    </row>
    <row r="249" spans="18:37">
      <c r="R249" s="83" t="e">
        <f ca="1"/>
        <v>#N/A</v>
      </c>
      <c r="S249" s="55" t="e">
        <f t="shared" ca="1" si="69"/>
        <v>#N/A</v>
      </c>
      <c r="T249" s="55" t="e">
        <f t="shared" ca="1" si="63"/>
        <v>#N/A</v>
      </c>
      <c r="U249" s="55" t="e">
        <f t="shared" ca="1" si="64"/>
        <v>#N/A</v>
      </c>
      <c r="V249" s="55" t="e">
        <f t="shared" ca="1" si="65"/>
        <v>#N/A</v>
      </c>
      <c r="W249" s="55" t="e">
        <f t="shared" ca="1" si="70"/>
        <v>#N/A</v>
      </c>
      <c r="X249" s="55" t="e">
        <f t="shared" ca="1" si="71"/>
        <v>#N/A</v>
      </c>
      <c r="Y249" s="55" t="e">
        <f t="shared" ca="1" si="72"/>
        <v>#N/A</v>
      </c>
      <c r="Z249" t="e">
        <f t="shared" ca="1" si="66"/>
        <v>#N/A</v>
      </c>
      <c r="AA249" t="e">
        <f t="shared" ca="1" si="73"/>
        <v>#N/A</v>
      </c>
      <c r="AB249" t="e">
        <f t="shared" ca="1" si="67"/>
        <v>#N/A</v>
      </c>
      <c r="AC249" t="e">
        <f t="shared" ca="1" si="68"/>
        <v>#N/A</v>
      </c>
      <c r="AD249" s="83" t="e">
        <f ca="1"/>
        <v>#N/A</v>
      </c>
      <c r="AE249" s="55" t="e">
        <f t="shared" ca="1" si="77"/>
        <v>#N/A</v>
      </c>
      <c r="AF249" s="55" t="e">
        <f t="shared" ca="1" si="78"/>
        <v>#N/A</v>
      </c>
      <c r="AG249" s="55" t="e">
        <f t="shared" ca="1" si="79"/>
        <v>#N/A</v>
      </c>
      <c r="AH249" s="55" t="e">
        <f t="shared" ca="1" si="80"/>
        <v>#N/A</v>
      </c>
      <c r="AI249" s="55" t="e">
        <f t="shared" ca="1" si="74"/>
        <v>#N/A</v>
      </c>
      <c r="AJ249" s="55" t="e">
        <f t="shared" ca="1" si="75"/>
        <v>#N/A</v>
      </c>
      <c r="AK249" s="55" t="e">
        <f t="shared" ca="1" si="76"/>
        <v>#N/A</v>
      </c>
    </row>
    <row r="250" spans="18:37">
      <c r="R250" s="83" t="e">
        <f ca="1"/>
        <v>#N/A</v>
      </c>
      <c r="S250" s="55" t="e">
        <f t="shared" ca="1" si="69"/>
        <v>#N/A</v>
      </c>
      <c r="T250" s="55" t="e">
        <f t="shared" ca="1" si="63"/>
        <v>#N/A</v>
      </c>
      <c r="U250" s="55" t="e">
        <f t="shared" ca="1" si="64"/>
        <v>#N/A</v>
      </c>
      <c r="V250" s="55" t="e">
        <f t="shared" ca="1" si="65"/>
        <v>#N/A</v>
      </c>
      <c r="W250" s="55" t="e">
        <f t="shared" ca="1" si="70"/>
        <v>#N/A</v>
      </c>
      <c r="X250" s="55" t="e">
        <f t="shared" ca="1" si="71"/>
        <v>#N/A</v>
      </c>
      <c r="Y250" s="55" t="e">
        <f t="shared" ca="1" si="72"/>
        <v>#N/A</v>
      </c>
      <c r="Z250" t="e">
        <f t="shared" ca="1" si="66"/>
        <v>#N/A</v>
      </c>
      <c r="AA250" t="e">
        <f t="shared" ca="1" si="73"/>
        <v>#N/A</v>
      </c>
      <c r="AB250" t="e">
        <f t="shared" ca="1" si="67"/>
        <v>#N/A</v>
      </c>
      <c r="AC250" t="e">
        <f t="shared" ca="1" si="68"/>
        <v>#N/A</v>
      </c>
      <c r="AD250" s="83" t="e">
        <f ca="1"/>
        <v>#N/A</v>
      </c>
      <c r="AE250" s="55" t="e">
        <f t="shared" ca="1" si="77"/>
        <v>#N/A</v>
      </c>
      <c r="AF250" s="55" t="e">
        <f t="shared" ca="1" si="78"/>
        <v>#N/A</v>
      </c>
      <c r="AG250" s="55" t="e">
        <f t="shared" ca="1" si="79"/>
        <v>#N/A</v>
      </c>
      <c r="AH250" s="55" t="e">
        <f t="shared" ca="1" si="80"/>
        <v>#N/A</v>
      </c>
      <c r="AI250" s="55" t="e">
        <f t="shared" ca="1" si="74"/>
        <v>#N/A</v>
      </c>
      <c r="AJ250" s="55" t="e">
        <f t="shared" ca="1" si="75"/>
        <v>#N/A</v>
      </c>
      <c r="AK250" s="55" t="e">
        <f t="shared" ca="1" si="76"/>
        <v>#N/A</v>
      </c>
    </row>
    <row r="251" spans="18:37">
      <c r="R251" s="83" t="e">
        <f ca="1"/>
        <v>#N/A</v>
      </c>
      <c r="S251" s="55" t="e">
        <f t="shared" ca="1" si="69"/>
        <v>#N/A</v>
      </c>
      <c r="T251" s="55" t="e">
        <f t="shared" ca="1" si="63"/>
        <v>#N/A</v>
      </c>
      <c r="U251" s="55" t="e">
        <f t="shared" ca="1" si="64"/>
        <v>#N/A</v>
      </c>
      <c r="V251" s="55" t="e">
        <f t="shared" ca="1" si="65"/>
        <v>#N/A</v>
      </c>
      <c r="W251" s="55" t="e">
        <f t="shared" ca="1" si="70"/>
        <v>#N/A</v>
      </c>
      <c r="X251" s="55" t="e">
        <f t="shared" ca="1" si="71"/>
        <v>#N/A</v>
      </c>
      <c r="Y251" s="55" t="e">
        <f t="shared" ca="1" si="72"/>
        <v>#N/A</v>
      </c>
      <c r="Z251" t="e">
        <f t="shared" ca="1" si="66"/>
        <v>#N/A</v>
      </c>
      <c r="AA251" t="e">
        <f t="shared" ca="1" si="73"/>
        <v>#N/A</v>
      </c>
      <c r="AB251" t="e">
        <f t="shared" ca="1" si="67"/>
        <v>#N/A</v>
      </c>
      <c r="AC251" t="e">
        <f t="shared" ca="1" si="68"/>
        <v>#N/A</v>
      </c>
      <c r="AD251" s="83" t="e">
        <f ca="1"/>
        <v>#N/A</v>
      </c>
      <c r="AE251" s="55" t="e">
        <f t="shared" ca="1" si="77"/>
        <v>#N/A</v>
      </c>
      <c r="AF251" s="55" t="e">
        <f t="shared" ca="1" si="78"/>
        <v>#N/A</v>
      </c>
      <c r="AG251" s="55" t="e">
        <f t="shared" ca="1" si="79"/>
        <v>#N/A</v>
      </c>
      <c r="AH251" s="55" t="e">
        <f t="shared" ca="1" si="80"/>
        <v>#N/A</v>
      </c>
      <c r="AI251" s="55" t="e">
        <f t="shared" ca="1" si="74"/>
        <v>#N/A</v>
      </c>
      <c r="AJ251" s="55" t="e">
        <f t="shared" ca="1" si="75"/>
        <v>#N/A</v>
      </c>
      <c r="AK251" s="55" t="e">
        <f t="shared" ca="1" si="76"/>
        <v>#N/A</v>
      </c>
    </row>
    <row r="252" spans="18:37">
      <c r="R252" s="83" t="e">
        <f ca="1"/>
        <v>#N/A</v>
      </c>
      <c r="S252" s="55" t="e">
        <f t="shared" ca="1" si="69"/>
        <v>#N/A</v>
      </c>
      <c r="T252" s="55" t="e">
        <f t="shared" ca="1" si="63"/>
        <v>#N/A</v>
      </c>
      <c r="U252" s="55" t="e">
        <f t="shared" ca="1" si="64"/>
        <v>#N/A</v>
      </c>
      <c r="V252" s="55" t="e">
        <f t="shared" ca="1" si="65"/>
        <v>#N/A</v>
      </c>
      <c r="W252" s="55" t="e">
        <f t="shared" ca="1" si="70"/>
        <v>#N/A</v>
      </c>
      <c r="X252" s="55" t="e">
        <f t="shared" ca="1" si="71"/>
        <v>#N/A</v>
      </c>
      <c r="Y252" s="55" t="e">
        <f t="shared" ca="1" si="72"/>
        <v>#N/A</v>
      </c>
      <c r="Z252" t="e">
        <f t="shared" ca="1" si="66"/>
        <v>#N/A</v>
      </c>
      <c r="AA252" t="e">
        <f t="shared" ca="1" si="73"/>
        <v>#N/A</v>
      </c>
      <c r="AB252" t="e">
        <f t="shared" ca="1" si="67"/>
        <v>#N/A</v>
      </c>
      <c r="AC252" t="e">
        <f t="shared" ca="1" si="68"/>
        <v>#N/A</v>
      </c>
      <c r="AD252" s="83" t="e">
        <f ca="1"/>
        <v>#N/A</v>
      </c>
      <c r="AE252" s="55" t="e">
        <f t="shared" ca="1" si="77"/>
        <v>#N/A</v>
      </c>
      <c r="AF252" s="55" t="e">
        <f t="shared" ca="1" si="78"/>
        <v>#N/A</v>
      </c>
      <c r="AG252" s="55" t="e">
        <f t="shared" ca="1" si="79"/>
        <v>#N/A</v>
      </c>
      <c r="AH252" s="55" t="e">
        <f t="shared" ca="1" si="80"/>
        <v>#N/A</v>
      </c>
      <c r="AI252" s="55" t="e">
        <f t="shared" ca="1" si="74"/>
        <v>#N/A</v>
      </c>
      <c r="AJ252" s="55" t="e">
        <f t="shared" ca="1" si="75"/>
        <v>#N/A</v>
      </c>
      <c r="AK252" s="55" t="e">
        <f t="shared" ca="1" si="76"/>
        <v>#N/A</v>
      </c>
    </row>
    <row r="253" spans="18:37">
      <c r="R253" s="83" t="e">
        <f ca="1"/>
        <v>#N/A</v>
      </c>
      <c r="S253" s="55" t="e">
        <f t="shared" ca="1" si="69"/>
        <v>#N/A</v>
      </c>
      <c r="T253" s="55" t="e">
        <f t="shared" ca="1" si="63"/>
        <v>#N/A</v>
      </c>
      <c r="U253" s="55" t="e">
        <f t="shared" ca="1" si="64"/>
        <v>#N/A</v>
      </c>
      <c r="V253" s="55" t="e">
        <f t="shared" ca="1" si="65"/>
        <v>#N/A</v>
      </c>
      <c r="W253" s="55" t="e">
        <f t="shared" ca="1" si="70"/>
        <v>#N/A</v>
      </c>
      <c r="X253" s="55" t="e">
        <f t="shared" ca="1" si="71"/>
        <v>#N/A</v>
      </c>
      <c r="Y253" s="55" t="e">
        <f t="shared" ca="1" si="72"/>
        <v>#N/A</v>
      </c>
      <c r="Z253" t="e">
        <f t="shared" ca="1" si="66"/>
        <v>#N/A</v>
      </c>
      <c r="AA253" t="e">
        <f t="shared" ca="1" si="73"/>
        <v>#N/A</v>
      </c>
      <c r="AB253" t="e">
        <f t="shared" ca="1" si="67"/>
        <v>#N/A</v>
      </c>
      <c r="AC253" t="e">
        <f t="shared" ca="1" si="68"/>
        <v>#N/A</v>
      </c>
      <c r="AD253" s="83" t="e">
        <f ca="1"/>
        <v>#N/A</v>
      </c>
      <c r="AE253" s="55" t="e">
        <f t="shared" ca="1" si="77"/>
        <v>#N/A</v>
      </c>
      <c r="AF253" s="55" t="e">
        <f t="shared" ca="1" si="78"/>
        <v>#N/A</v>
      </c>
      <c r="AG253" s="55" t="e">
        <f t="shared" ca="1" si="79"/>
        <v>#N/A</v>
      </c>
      <c r="AH253" s="55" t="e">
        <f t="shared" ca="1" si="80"/>
        <v>#N/A</v>
      </c>
      <c r="AI253" s="55" t="e">
        <f t="shared" ca="1" si="74"/>
        <v>#N/A</v>
      </c>
      <c r="AJ253" s="55" t="e">
        <f t="shared" ca="1" si="75"/>
        <v>#N/A</v>
      </c>
      <c r="AK253" s="55" t="e">
        <f t="shared" ca="1" si="76"/>
        <v>#N/A</v>
      </c>
    </row>
    <row r="254" spans="18:37">
      <c r="R254" s="83" t="e">
        <f ca="1"/>
        <v>#N/A</v>
      </c>
      <c r="S254" s="55" t="e">
        <f t="shared" ca="1" si="69"/>
        <v>#N/A</v>
      </c>
      <c r="T254" s="55" t="e">
        <f t="shared" ca="1" si="63"/>
        <v>#N/A</v>
      </c>
      <c r="U254" s="55" t="e">
        <f t="shared" ca="1" si="64"/>
        <v>#N/A</v>
      </c>
      <c r="V254" s="55" t="e">
        <f t="shared" ca="1" si="65"/>
        <v>#N/A</v>
      </c>
      <c r="W254" s="55" t="e">
        <f t="shared" ca="1" si="70"/>
        <v>#N/A</v>
      </c>
      <c r="X254" s="55" t="e">
        <f t="shared" ca="1" si="71"/>
        <v>#N/A</v>
      </c>
      <c r="Y254" s="55" t="e">
        <f t="shared" ca="1" si="72"/>
        <v>#N/A</v>
      </c>
      <c r="Z254" t="e">
        <f t="shared" ca="1" si="66"/>
        <v>#N/A</v>
      </c>
      <c r="AA254" t="e">
        <f t="shared" ca="1" si="73"/>
        <v>#N/A</v>
      </c>
      <c r="AB254" t="e">
        <f t="shared" ca="1" si="67"/>
        <v>#N/A</v>
      </c>
      <c r="AC254" t="e">
        <f t="shared" ca="1" si="68"/>
        <v>#N/A</v>
      </c>
      <c r="AD254" s="83" t="e">
        <f ca="1"/>
        <v>#N/A</v>
      </c>
      <c r="AE254" s="55" t="e">
        <f t="shared" ca="1" si="77"/>
        <v>#N/A</v>
      </c>
      <c r="AF254" s="55" t="e">
        <f t="shared" ca="1" si="78"/>
        <v>#N/A</v>
      </c>
      <c r="AG254" s="55" t="e">
        <f t="shared" ca="1" si="79"/>
        <v>#N/A</v>
      </c>
      <c r="AH254" s="55" t="e">
        <f t="shared" ca="1" si="80"/>
        <v>#N/A</v>
      </c>
      <c r="AI254" s="55" t="e">
        <f t="shared" ca="1" si="74"/>
        <v>#N/A</v>
      </c>
      <c r="AJ254" s="55" t="e">
        <f t="shared" ca="1" si="75"/>
        <v>#N/A</v>
      </c>
      <c r="AK254" s="55" t="e">
        <f t="shared" ca="1" si="76"/>
        <v>#N/A</v>
      </c>
    </row>
    <row r="255" spans="18:37">
      <c r="R255" s="83" t="e">
        <f ca="1"/>
        <v>#N/A</v>
      </c>
      <c r="S255" s="55" t="e">
        <f t="shared" ca="1" si="69"/>
        <v>#N/A</v>
      </c>
      <c r="T255" s="55" t="e">
        <f t="shared" ca="1" si="63"/>
        <v>#N/A</v>
      </c>
      <c r="U255" s="55" t="e">
        <f t="shared" ca="1" si="64"/>
        <v>#N/A</v>
      </c>
      <c r="V255" s="55" t="e">
        <f t="shared" ca="1" si="65"/>
        <v>#N/A</v>
      </c>
      <c r="W255" s="55" t="e">
        <f t="shared" ca="1" si="70"/>
        <v>#N/A</v>
      </c>
      <c r="X255" s="55" t="e">
        <f t="shared" ca="1" si="71"/>
        <v>#N/A</v>
      </c>
      <c r="Y255" s="55" t="e">
        <f t="shared" ca="1" si="72"/>
        <v>#N/A</v>
      </c>
      <c r="Z255" t="e">
        <f t="shared" ca="1" si="66"/>
        <v>#N/A</v>
      </c>
      <c r="AA255" t="e">
        <f t="shared" ca="1" si="73"/>
        <v>#N/A</v>
      </c>
      <c r="AB255" t="e">
        <f t="shared" ca="1" si="67"/>
        <v>#N/A</v>
      </c>
      <c r="AC255" t="e">
        <f t="shared" ca="1" si="68"/>
        <v>#N/A</v>
      </c>
      <c r="AD255" s="83" t="e">
        <f ca="1"/>
        <v>#N/A</v>
      </c>
      <c r="AE255" s="55" t="e">
        <f t="shared" ca="1" si="77"/>
        <v>#N/A</v>
      </c>
      <c r="AF255" s="55" t="e">
        <f t="shared" ca="1" si="78"/>
        <v>#N/A</v>
      </c>
      <c r="AG255" s="55" t="e">
        <f t="shared" ca="1" si="79"/>
        <v>#N/A</v>
      </c>
      <c r="AH255" s="55" t="e">
        <f t="shared" ca="1" si="80"/>
        <v>#N/A</v>
      </c>
      <c r="AI255" s="55" t="e">
        <f t="shared" ca="1" si="74"/>
        <v>#N/A</v>
      </c>
      <c r="AJ255" s="55" t="e">
        <f t="shared" ca="1" si="75"/>
        <v>#N/A</v>
      </c>
      <c r="AK255" s="55" t="e">
        <f t="shared" ca="1" si="76"/>
        <v>#N/A</v>
      </c>
    </row>
    <row r="256" spans="18:37">
      <c r="R256" s="83" t="e">
        <f ca="1"/>
        <v>#N/A</v>
      </c>
      <c r="S256" s="55" t="e">
        <f t="shared" ca="1" si="69"/>
        <v>#N/A</v>
      </c>
      <c r="T256" s="55" t="e">
        <f t="shared" ca="1" si="63"/>
        <v>#N/A</v>
      </c>
      <c r="U256" s="55" t="e">
        <f t="shared" ca="1" si="64"/>
        <v>#N/A</v>
      </c>
      <c r="V256" s="55" t="e">
        <f t="shared" ca="1" si="65"/>
        <v>#N/A</v>
      </c>
      <c r="W256" s="55" t="e">
        <f t="shared" ca="1" si="70"/>
        <v>#N/A</v>
      </c>
      <c r="X256" s="55" t="e">
        <f t="shared" ca="1" si="71"/>
        <v>#N/A</v>
      </c>
      <c r="Y256" s="55" t="e">
        <f t="shared" ca="1" si="72"/>
        <v>#N/A</v>
      </c>
      <c r="Z256" t="e">
        <f t="shared" ca="1" si="66"/>
        <v>#N/A</v>
      </c>
      <c r="AA256" t="e">
        <f t="shared" ca="1" si="73"/>
        <v>#N/A</v>
      </c>
      <c r="AB256" t="e">
        <f t="shared" ca="1" si="67"/>
        <v>#N/A</v>
      </c>
      <c r="AC256" t="e">
        <f t="shared" ca="1" si="68"/>
        <v>#N/A</v>
      </c>
      <c r="AD256" s="83" t="e">
        <f ca="1"/>
        <v>#N/A</v>
      </c>
      <c r="AE256" s="55" t="e">
        <f t="shared" ca="1" si="77"/>
        <v>#N/A</v>
      </c>
      <c r="AF256" s="55" t="e">
        <f t="shared" ca="1" si="78"/>
        <v>#N/A</v>
      </c>
      <c r="AG256" s="55" t="e">
        <f t="shared" ca="1" si="79"/>
        <v>#N/A</v>
      </c>
      <c r="AH256" s="55" t="e">
        <f t="shared" ca="1" si="80"/>
        <v>#N/A</v>
      </c>
      <c r="AI256" s="55" t="e">
        <f t="shared" ca="1" si="74"/>
        <v>#N/A</v>
      </c>
      <c r="AJ256" s="55" t="e">
        <f t="shared" ca="1" si="75"/>
        <v>#N/A</v>
      </c>
      <c r="AK256" s="55" t="e">
        <f t="shared" ca="1" si="76"/>
        <v>#N/A</v>
      </c>
    </row>
    <row r="257" spans="18:37">
      <c r="R257" s="83" t="e">
        <f ca="1"/>
        <v>#N/A</v>
      </c>
      <c r="S257" s="55" t="e">
        <f t="shared" ca="1" si="69"/>
        <v>#N/A</v>
      </c>
      <c r="T257" s="55" t="e">
        <f t="shared" ca="1" si="63"/>
        <v>#N/A</v>
      </c>
      <c r="U257" s="55" t="e">
        <f t="shared" ca="1" si="64"/>
        <v>#N/A</v>
      </c>
      <c r="V257" s="55" t="e">
        <f t="shared" ca="1" si="65"/>
        <v>#N/A</v>
      </c>
      <c r="W257" s="55" t="e">
        <f t="shared" ca="1" si="70"/>
        <v>#N/A</v>
      </c>
      <c r="X257" s="55" t="e">
        <f t="shared" ca="1" si="71"/>
        <v>#N/A</v>
      </c>
      <c r="Y257" s="55" t="e">
        <f t="shared" ca="1" si="72"/>
        <v>#N/A</v>
      </c>
      <c r="Z257" t="e">
        <f t="shared" ca="1" si="66"/>
        <v>#N/A</v>
      </c>
      <c r="AA257" t="e">
        <f t="shared" ca="1" si="73"/>
        <v>#N/A</v>
      </c>
      <c r="AB257" t="e">
        <f t="shared" ca="1" si="67"/>
        <v>#N/A</v>
      </c>
      <c r="AC257" t="e">
        <f t="shared" ca="1" si="68"/>
        <v>#N/A</v>
      </c>
      <c r="AD257" s="83" t="e">
        <f ca="1"/>
        <v>#N/A</v>
      </c>
      <c r="AE257" s="55" t="e">
        <f t="shared" ca="1" si="77"/>
        <v>#N/A</v>
      </c>
      <c r="AF257" s="55" t="e">
        <f t="shared" ca="1" si="78"/>
        <v>#N/A</v>
      </c>
      <c r="AG257" s="55" t="e">
        <f t="shared" ca="1" si="79"/>
        <v>#N/A</v>
      </c>
      <c r="AH257" s="55" t="e">
        <f t="shared" ca="1" si="80"/>
        <v>#N/A</v>
      </c>
      <c r="AI257" s="55" t="e">
        <f t="shared" ca="1" si="74"/>
        <v>#N/A</v>
      </c>
      <c r="AJ257" s="55" t="e">
        <f t="shared" ca="1" si="75"/>
        <v>#N/A</v>
      </c>
      <c r="AK257" s="55" t="e">
        <f t="shared" ca="1" si="76"/>
        <v>#N/A</v>
      </c>
    </row>
    <row r="258" spans="18:37">
      <c r="R258" s="83" t="e">
        <f ca="1"/>
        <v>#N/A</v>
      </c>
      <c r="S258" s="55" t="e">
        <f t="shared" ca="1" si="69"/>
        <v>#N/A</v>
      </c>
      <c r="T258" s="55" t="e">
        <f t="shared" ca="1" si="63"/>
        <v>#N/A</v>
      </c>
      <c r="U258" s="55" t="e">
        <f t="shared" ca="1" si="64"/>
        <v>#N/A</v>
      </c>
      <c r="V258" s="55" t="e">
        <f t="shared" ca="1" si="65"/>
        <v>#N/A</v>
      </c>
      <c r="W258" s="55" t="e">
        <f t="shared" ca="1" si="70"/>
        <v>#N/A</v>
      </c>
      <c r="X258" s="55" t="e">
        <f t="shared" ca="1" si="71"/>
        <v>#N/A</v>
      </c>
      <c r="Y258" s="55" t="e">
        <f t="shared" ca="1" si="72"/>
        <v>#N/A</v>
      </c>
      <c r="Z258" t="e">
        <f t="shared" ca="1" si="66"/>
        <v>#N/A</v>
      </c>
      <c r="AA258" t="e">
        <f t="shared" ca="1" si="73"/>
        <v>#N/A</v>
      </c>
      <c r="AB258" t="e">
        <f t="shared" ca="1" si="67"/>
        <v>#N/A</v>
      </c>
      <c r="AC258" t="e">
        <f t="shared" ca="1" si="68"/>
        <v>#N/A</v>
      </c>
      <c r="AD258" s="83" t="e">
        <f ca="1"/>
        <v>#N/A</v>
      </c>
      <c r="AE258" s="55" t="e">
        <f t="shared" ca="1" si="77"/>
        <v>#N/A</v>
      </c>
      <c r="AF258" s="55" t="e">
        <f t="shared" ca="1" si="78"/>
        <v>#N/A</v>
      </c>
      <c r="AG258" s="55" t="e">
        <f t="shared" ca="1" si="79"/>
        <v>#N/A</v>
      </c>
      <c r="AH258" s="55" t="e">
        <f t="shared" ca="1" si="80"/>
        <v>#N/A</v>
      </c>
      <c r="AI258" s="55" t="e">
        <f t="shared" ca="1" si="74"/>
        <v>#N/A</v>
      </c>
      <c r="AJ258" s="55" t="e">
        <f t="shared" ca="1" si="75"/>
        <v>#N/A</v>
      </c>
      <c r="AK258" s="55" t="e">
        <f t="shared" ca="1" si="76"/>
        <v>#N/A</v>
      </c>
    </row>
    <row r="259" spans="18:37">
      <c r="R259" s="83" t="e">
        <f ca="1"/>
        <v>#N/A</v>
      </c>
      <c r="S259" s="55" t="e">
        <f t="shared" ca="1" si="69"/>
        <v>#N/A</v>
      </c>
      <c r="T259" s="55" t="e">
        <f t="shared" ca="1" si="63"/>
        <v>#N/A</v>
      </c>
      <c r="U259" s="55" t="e">
        <f t="shared" ca="1" si="64"/>
        <v>#N/A</v>
      </c>
      <c r="V259" s="55" t="e">
        <f t="shared" ca="1" si="65"/>
        <v>#N/A</v>
      </c>
      <c r="W259" s="55" t="e">
        <f t="shared" ca="1" si="70"/>
        <v>#N/A</v>
      </c>
      <c r="X259" s="55" t="e">
        <f t="shared" ca="1" si="71"/>
        <v>#N/A</v>
      </c>
      <c r="Y259" s="55" t="e">
        <f t="shared" ca="1" si="72"/>
        <v>#N/A</v>
      </c>
      <c r="Z259" t="e">
        <f t="shared" ca="1" si="66"/>
        <v>#N/A</v>
      </c>
      <c r="AA259" t="e">
        <f t="shared" ca="1" si="73"/>
        <v>#N/A</v>
      </c>
      <c r="AB259" t="e">
        <f t="shared" ca="1" si="67"/>
        <v>#N/A</v>
      </c>
      <c r="AC259" t="e">
        <f t="shared" ca="1" si="68"/>
        <v>#N/A</v>
      </c>
      <c r="AD259" s="83" t="e">
        <f ca="1"/>
        <v>#N/A</v>
      </c>
      <c r="AE259" s="55" t="e">
        <f t="shared" ca="1" si="77"/>
        <v>#N/A</v>
      </c>
      <c r="AF259" s="55" t="e">
        <f t="shared" ca="1" si="78"/>
        <v>#N/A</v>
      </c>
      <c r="AG259" s="55" t="e">
        <f t="shared" ca="1" si="79"/>
        <v>#N/A</v>
      </c>
      <c r="AH259" s="55" t="e">
        <f t="shared" ca="1" si="80"/>
        <v>#N/A</v>
      </c>
      <c r="AI259" s="55" t="e">
        <f t="shared" ca="1" si="74"/>
        <v>#N/A</v>
      </c>
      <c r="AJ259" s="55" t="e">
        <f t="shared" ca="1" si="75"/>
        <v>#N/A</v>
      </c>
      <c r="AK259" s="55" t="e">
        <f t="shared" ca="1" si="76"/>
        <v>#N/A</v>
      </c>
    </row>
    <row r="260" spans="18:37">
      <c r="R260" s="83" t="e">
        <f ca="1"/>
        <v>#N/A</v>
      </c>
      <c r="S260" s="55" t="e">
        <f t="shared" ca="1" si="69"/>
        <v>#N/A</v>
      </c>
      <c r="T260" s="55" t="e">
        <f t="shared" ca="1" si="63"/>
        <v>#N/A</v>
      </c>
      <c r="U260" s="55" t="e">
        <f t="shared" ca="1" si="64"/>
        <v>#N/A</v>
      </c>
      <c r="V260" s="55" t="e">
        <f t="shared" ca="1" si="65"/>
        <v>#N/A</v>
      </c>
      <c r="W260" s="55" t="e">
        <f t="shared" ca="1" si="70"/>
        <v>#N/A</v>
      </c>
      <c r="X260" s="55" t="e">
        <f t="shared" ca="1" si="71"/>
        <v>#N/A</v>
      </c>
      <c r="Y260" s="55" t="e">
        <f t="shared" ca="1" si="72"/>
        <v>#N/A</v>
      </c>
      <c r="Z260" t="e">
        <f t="shared" ca="1" si="66"/>
        <v>#N/A</v>
      </c>
      <c r="AA260" t="e">
        <f t="shared" ca="1" si="73"/>
        <v>#N/A</v>
      </c>
      <c r="AB260" t="e">
        <f t="shared" ca="1" si="67"/>
        <v>#N/A</v>
      </c>
      <c r="AC260" t="e">
        <f t="shared" ca="1" si="68"/>
        <v>#N/A</v>
      </c>
      <c r="AD260" s="83" t="e">
        <f ca="1"/>
        <v>#N/A</v>
      </c>
      <c r="AE260" s="55" t="e">
        <f t="shared" ca="1" si="77"/>
        <v>#N/A</v>
      </c>
      <c r="AF260" s="55" t="e">
        <f t="shared" ca="1" si="78"/>
        <v>#N/A</v>
      </c>
      <c r="AG260" s="55" t="e">
        <f t="shared" ca="1" si="79"/>
        <v>#N/A</v>
      </c>
      <c r="AH260" s="55" t="e">
        <f t="shared" ca="1" si="80"/>
        <v>#N/A</v>
      </c>
      <c r="AI260" s="55" t="e">
        <f t="shared" ca="1" si="74"/>
        <v>#N/A</v>
      </c>
      <c r="AJ260" s="55" t="e">
        <f t="shared" ca="1" si="75"/>
        <v>#N/A</v>
      </c>
      <c r="AK260" s="55" t="e">
        <f t="shared" ca="1" si="76"/>
        <v>#N/A</v>
      </c>
    </row>
    <row r="261" spans="18:37">
      <c r="R261" s="83" t="e">
        <f ca="1"/>
        <v>#N/A</v>
      </c>
      <c r="S261" s="55" t="e">
        <f t="shared" ca="1" si="69"/>
        <v>#N/A</v>
      </c>
      <c r="T261" s="55" t="e">
        <f t="shared" ca="1" si="63"/>
        <v>#N/A</v>
      </c>
      <c r="U261" s="55" t="e">
        <f t="shared" ca="1" si="64"/>
        <v>#N/A</v>
      </c>
      <c r="V261" s="55" t="e">
        <f t="shared" ca="1" si="65"/>
        <v>#N/A</v>
      </c>
      <c r="W261" s="55" t="e">
        <f t="shared" ca="1" si="70"/>
        <v>#N/A</v>
      </c>
      <c r="X261" s="55" t="e">
        <f t="shared" ca="1" si="71"/>
        <v>#N/A</v>
      </c>
      <c r="Y261" s="55" t="e">
        <f t="shared" ca="1" si="72"/>
        <v>#N/A</v>
      </c>
      <c r="Z261" t="e">
        <f t="shared" ca="1" si="66"/>
        <v>#N/A</v>
      </c>
      <c r="AA261" t="e">
        <f t="shared" ca="1" si="73"/>
        <v>#N/A</v>
      </c>
      <c r="AB261" t="e">
        <f t="shared" ca="1" si="67"/>
        <v>#N/A</v>
      </c>
      <c r="AC261" t="e">
        <f t="shared" ca="1" si="68"/>
        <v>#N/A</v>
      </c>
      <c r="AD261" s="83" t="e">
        <f ca="1"/>
        <v>#N/A</v>
      </c>
      <c r="AE261" s="55" t="e">
        <f t="shared" ca="1" si="77"/>
        <v>#N/A</v>
      </c>
      <c r="AF261" s="55" t="e">
        <f t="shared" ca="1" si="78"/>
        <v>#N/A</v>
      </c>
      <c r="AG261" s="55" t="e">
        <f t="shared" ca="1" si="79"/>
        <v>#N/A</v>
      </c>
      <c r="AH261" s="55" t="e">
        <f t="shared" ca="1" si="80"/>
        <v>#N/A</v>
      </c>
      <c r="AI261" s="55" t="e">
        <f t="shared" ca="1" si="74"/>
        <v>#N/A</v>
      </c>
      <c r="AJ261" s="55" t="e">
        <f t="shared" ca="1" si="75"/>
        <v>#N/A</v>
      </c>
      <c r="AK261" s="55" t="e">
        <f t="shared" ca="1" si="76"/>
        <v>#N/A</v>
      </c>
    </row>
    <row r="262" spans="18:37">
      <c r="R262" s="83" t="e">
        <f ca="1"/>
        <v>#N/A</v>
      </c>
      <c r="S262" s="55" t="e">
        <f t="shared" ca="1" si="69"/>
        <v>#N/A</v>
      </c>
      <c r="T262" s="55" t="e">
        <f t="shared" ca="1" si="63"/>
        <v>#N/A</v>
      </c>
      <c r="U262" s="55" t="e">
        <f t="shared" ca="1" si="64"/>
        <v>#N/A</v>
      </c>
      <c r="V262" s="55" t="e">
        <f t="shared" ca="1" si="65"/>
        <v>#N/A</v>
      </c>
      <c r="W262" s="55" t="e">
        <f t="shared" ca="1" si="70"/>
        <v>#N/A</v>
      </c>
      <c r="X262" s="55" t="e">
        <f t="shared" ca="1" si="71"/>
        <v>#N/A</v>
      </c>
      <c r="Y262" s="55" t="e">
        <f t="shared" ca="1" si="72"/>
        <v>#N/A</v>
      </c>
      <c r="Z262" t="e">
        <f t="shared" ca="1" si="66"/>
        <v>#N/A</v>
      </c>
      <c r="AA262" t="e">
        <f t="shared" ca="1" si="73"/>
        <v>#N/A</v>
      </c>
      <c r="AB262" t="e">
        <f t="shared" ca="1" si="67"/>
        <v>#N/A</v>
      </c>
      <c r="AC262" t="e">
        <f t="shared" ca="1" si="68"/>
        <v>#N/A</v>
      </c>
      <c r="AD262" s="83" t="e">
        <f ca="1"/>
        <v>#N/A</v>
      </c>
      <c r="AE262" s="55" t="e">
        <f t="shared" ca="1" si="77"/>
        <v>#N/A</v>
      </c>
      <c r="AF262" s="55" t="e">
        <f t="shared" ca="1" si="78"/>
        <v>#N/A</v>
      </c>
      <c r="AG262" s="55" t="e">
        <f t="shared" ca="1" si="79"/>
        <v>#N/A</v>
      </c>
      <c r="AH262" s="55" t="e">
        <f t="shared" ca="1" si="80"/>
        <v>#N/A</v>
      </c>
      <c r="AI262" s="55" t="e">
        <f t="shared" ca="1" si="74"/>
        <v>#N/A</v>
      </c>
      <c r="AJ262" s="55" t="e">
        <f t="shared" ca="1" si="75"/>
        <v>#N/A</v>
      </c>
      <c r="AK262" s="55" t="e">
        <f t="shared" ca="1" si="76"/>
        <v>#N/A</v>
      </c>
    </row>
    <row r="263" spans="18:37">
      <c r="R263" s="83" t="e">
        <f ca="1"/>
        <v>#N/A</v>
      </c>
      <c r="S263" s="55" t="e">
        <f t="shared" ca="1" si="69"/>
        <v>#N/A</v>
      </c>
      <c r="T263" s="55" t="e">
        <f t="shared" ca="1" si="63"/>
        <v>#N/A</v>
      </c>
      <c r="U263" s="55" t="e">
        <f t="shared" ca="1" si="64"/>
        <v>#N/A</v>
      </c>
      <c r="V263" s="55" t="e">
        <f t="shared" ca="1" si="65"/>
        <v>#N/A</v>
      </c>
      <c r="W263" s="55" t="e">
        <f t="shared" ca="1" si="70"/>
        <v>#N/A</v>
      </c>
      <c r="X263" s="55" t="e">
        <f t="shared" ca="1" si="71"/>
        <v>#N/A</v>
      </c>
      <c r="Y263" s="55" t="e">
        <f t="shared" ca="1" si="72"/>
        <v>#N/A</v>
      </c>
      <c r="Z263" t="e">
        <f t="shared" ca="1" si="66"/>
        <v>#N/A</v>
      </c>
      <c r="AA263" t="e">
        <f t="shared" ca="1" si="73"/>
        <v>#N/A</v>
      </c>
      <c r="AB263" t="e">
        <f t="shared" ca="1" si="67"/>
        <v>#N/A</v>
      </c>
      <c r="AC263" t="e">
        <f t="shared" ca="1" si="68"/>
        <v>#N/A</v>
      </c>
      <c r="AD263" s="83" t="e">
        <f ca="1"/>
        <v>#N/A</v>
      </c>
      <c r="AE263" s="55" t="e">
        <f t="shared" ca="1" si="77"/>
        <v>#N/A</v>
      </c>
      <c r="AF263" s="55" t="e">
        <f t="shared" ca="1" si="78"/>
        <v>#N/A</v>
      </c>
      <c r="AG263" s="55" t="e">
        <f t="shared" ca="1" si="79"/>
        <v>#N/A</v>
      </c>
      <c r="AH263" s="55" t="e">
        <f t="shared" ca="1" si="80"/>
        <v>#N/A</v>
      </c>
      <c r="AI263" s="55" t="e">
        <f t="shared" ca="1" si="74"/>
        <v>#N/A</v>
      </c>
      <c r="AJ263" s="55" t="e">
        <f t="shared" ca="1" si="75"/>
        <v>#N/A</v>
      </c>
      <c r="AK263" s="55" t="e">
        <f t="shared" ca="1" si="76"/>
        <v>#N/A</v>
      </c>
    </row>
    <row r="264" spans="18:37">
      <c r="R264" s="83" t="e">
        <f ca="1"/>
        <v>#N/A</v>
      </c>
      <c r="S264" s="55" t="e">
        <f t="shared" ca="1" si="69"/>
        <v>#N/A</v>
      </c>
      <c r="T264" s="55" t="e">
        <f t="shared" ca="1" si="63"/>
        <v>#N/A</v>
      </c>
      <c r="U264" s="55" t="e">
        <f t="shared" ca="1" si="64"/>
        <v>#N/A</v>
      </c>
      <c r="V264" s="55" t="e">
        <f t="shared" ca="1" si="65"/>
        <v>#N/A</v>
      </c>
      <c r="W264" s="55" t="e">
        <f t="shared" ca="1" si="70"/>
        <v>#N/A</v>
      </c>
      <c r="X264" s="55" t="e">
        <f t="shared" ca="1" si="71"/>
        <v>#N/A</v>
      </c>
      <c r="Y264" s="55" t="e">
        <f t="shared" ca="1" si="72"/>
        <v>#N/A</v>
      </c>
      <c r="Z264" t="e">
        <f t="shared" ca="1" si="66"/>
        <v>#N/A</v>
      </c>
      <c r="AA264" t="e">
        <f t="shared" ca="1" si="73"/>
        <v>#N/A</v>
      </c>
      <c r="AB264" t="e">
        <f t="shared" ca="1" si="67"/>
        <v>#N/A</v>
      </c>
      <c r="AC264" t="e">
        <f t="shared" ca="1" si="68"/>
        <v>#N/A</v>
      </c>
      <c r="AD264" s="83" t="e">
        <f ca="1"/>
        <v>#N/A</v>
      </c>
      <c r="AE264" s="55" t="e">
        <f t="shared" ca="1" si="77"/>
        <v>#N/A</v>
      </c>
      <c r="AF264" s="55" t="e">
        <f t="shared" ca="1" si="78"/>
        <v>#N/A</v>
      </c>
      <c r="AG264" s="55" t="e">
        <f t="shared" ca="1" si="79"/>
        <v>#N/A</v>
      </c>
      <c r="AH264" s="55" t="e">
        <f t="shared" ca="1" si="80"/>
        <v>#N/A</v>
      </c>
      <c r="AI264" s="55" t="e">
        <f t="shared" ca="1" si="74"/>
        <v>#N/A</v>
      </c>
      <c r="AJ264" s="55" t="e">
        <f t="shared" ca="1" si="75"/>
        <v>#N/A</v>
      </c>
      <c r="AK264" s="55" t="e">
        <f t="shared" ca="1" si="76"/>
        <v>#N/A</v>
      </c>
    </row>
    <row r="265" spans="18:37">
      <c r="R265" s="83" t="e">
        <f ca="1"/>
        <v>#N/A</v>
      </c>
      <c r="S265" s="55" t="e">
        <f t="shared" ca="1" si="69"/>
        <v>#N/A</v>
      </c>
      <c r="T265" s="55" t="e">
        <f t="shared" ca="1" si="63"/>
        <v>#N/A</v>
      </c>
      <c r="U265" s="55" t="e">
        <f t="shared" ca="1" si="64"/>
        <v>#N/A</v>
      </c>
      <c r="V265" s="55" t="e">
        <f t="shared" ca="1" si="65"/>
        <v>#N/A</v>
      </c>
      <c r="W265" s="55" t="e">
        <f t="shared" ca="1" si="70"/>
        <v>#N/A</v>
      </c>
      <c r="X265" s="55" t="e">
        <f t="shared" ca="1" si="71"/>
        <v>#N/A</v>
      </c>
      <c r="Y265" s="55" t="e">
        <f t="shared" ca="1" si="72"/>
        <v>#N/A</v>
      </c>
      <c r="Z265" t="e">
        <f t="shared" ca="1" si="66"/>
        <v>#N/A</v>
      </c>
      <c r="AA265" t="e">
        <f t="shared" ca="1" si="73"/>
        <v>#N/A</v>
      </c>
      <c r="AB265" t="e">
        <f t="shared" ca="1" si="67"/>
        <v>#N/A</v>
      </c>
      <c r="AC265" t="e">
        <f t="shared" ca="1" si="68"/>
        <v>#N/A</v>
      </c>
      <c r="AD265" s="83" t="e">
        <f ca="1"/>
        <v>#N/A</v>
      </c>
      <c r="AE265" s="55" t="e">
        <f t="shared" ca="1" si="77"/>
        <v>#N/A</v>
      </c>
      <c r="AF265" s="55" t="e">
        <f t="shared" ca="1" si="78"/>
        <v>#N/A</v>
      </c>
      <c r="AG265" s="55" t="e">
        <f t="shared" ca="1" si="79"/>
        <v>#N/A</v>
      </c>
      <c r="AH265" s="55" t="e">
        <f t="shared" ca="1" si="80"/>
        <v>#N/A</v>
      </c>
      <c r="AI265" s="55" t="e">
        <f t="shared" ca="1" si="74"/>
        <v>#N/A</v>
      </c>
      <c r="AJ265" s="55" t="e">
        <f t="shared" ca="1" si="75"/>
        <v>#N/A</v>
      </c>
      <c r="AK265" s="55" t="e">
        <f t="shared" ca="1" si="76"/>
        <v>#N/A</v>
      </c>
    </row>
    <row r="266" spans="18:37">
      <c r="R266" s="83" t="e">
        <f ca="1"/>
        <v>#N/A</v>
      </c>
      <c r="S266" s="55" t="e">
        <f t="shared" ca="1" si="69"/>
        <v>#N/A</v>
      </c>
      <c r="T266" s="55" t="e">
        <f t="shared" ca="1" si="63"/>
        <v>#N/A</v>
      </c>
      <c r="U266" s="55" t="e">
        <f t="shared" ca="1" si="64"/>
        <v>#N/A</v>
      </c>
      <c r="V266" s="55" t="e">
        <f t="shared" ca="1" si="65"/>
        <v>#N/A</v>
      </c>
      <c r="W266" s="55" t="e">
        <f t="shared" ca="1" si="70"/>
        <v>#N/A</v>
      </c>
      <c r="X266" s="55" t="e">
        <f t="shared" ca="1" si="71"/>
        <v>#N/A</v>
      </c>
      <c r="Y266" s="55" t="e">
        <f t="shared" ca="1" si="72"/>
        <v>#N/A</v>
      </c>
      <c r="Z266" t="e">
        <f t="shared" ca="1" si="66"/>
        <v>#N/A</v>
      </c>
      <c r="AA266" t="e">
        <f t="shared" ca="1" si="73"/>
        <v>#N/A</v>
      </c>
      <c r="AB266" t="e">
        <f t="shared" ca="1" si="67"/>
        <v>#N/A</v>
      </c>
      <c r="AC266" t="e">
        <f t="shared" ca="1" si="68"/>
        <v>#N/A</v>
      </c>
      <c r="AD266" s="83" t="e">
        <f ca="1"/>
        <v>#N/A</v>
      </c>
      <c r="AE266" s="55" t="e">
        <f t="shared" ca="1" si="77"/>
        <v>#N/A</v>
      </c>
      <c r="AF266" s="55" t="e">
        <f t="shared" ca="1" si="78"/>
        <v>#N/A</v>
      </c>
      <c r="AG266" s="55" t="e">
        <f t="shared" ca="1" si="79"/>
        <v>#N/A</v>
      </c>
      <c r="AH266" s="55" t="e">
        <f t="shared" ca="1" si="80"/>
        <v>#N/A</v>
      </c>
      <c r="AI266" s="55" t="e">
        <f t="shared" ca="1" si="74"/>
        <v>#N/A</v>
      </c>
      <c r="AJ266" s="55" t="e">
        <f t="shared" ca="1" si="75"/>
        <v>#N/A</v>
      </c>
      <c r="AK266" s="55" t="e">
        <f t="shared" ca="1" si="76"/>
        <v>#N/A</v>
      </c>
    </row>
    <row r="267" spans="18:37">
      <c r="R267" s="83" t="e">
        <f ca="1"/>
        <v>#N/A</v>
      </c>
      <c r="S267" s="55" t="e">
        <f t="shared" ca="1" si="69"/>
        <v>#N/A</v>
      </c>
      <c r="T267" s="55" t="e">
        <f t="shared" ca="1" si="63"/>
        <v>#N/A</v>
      </c>
      <c r="U267" s="55" t="e">
        <f t="shared" ca="1" si="64"/>
        <v>#N/A</v>
      </c>
      <c r="V267" s="55" t="e">
        <f t="shared" ca="1" si="65"/>
        <v>#N/A</v>
      </c>
      <c r="W267" s="55" t="e">
        <f t="shared" ca="1" si="70"/>
        <v>#N/A</v>
      </c>
      <c r="X267" s="55" t="e">
        <f t="shared" ca="1" si="71"/>
        <v>#N/A</v>
      </c>
      <c r="Y267" s="55" t="e">
        <f t="shared" ca="1" si="72"/>
        <v>#N/A</v>
      </c>
      <c r="Z267" t="e">
        <f t="shared" ca="1" si="66"/>
        <v>#N/A</v>
      </c>
      <c r="AA267" t="e">
        <f t="shared" ca="1" si="73"/>
        <v>#N/A</v>
      </c>
      <c r="AB267" t="e">
        <f t="shared" ca="1" si="67"/>
        <v>#N/A</v>
      </c>
      <c r="AC267" t="e">
        <f t="shared" ca="1" si="68"/>
        <v>#N/A</v>
      </c>
      <c r="AD267" s="83" t="e">
        <f ca="1"/>
        <v>#N/A</v>
      </c>
      <c r="AE267" s="55" t="e">
        <f t="shared" ca="1" si="77"/>
        <v>#N/A</v>
      </c>
      <c r="AF267" s="55" t="e">
        <f t="shared" ca="1" si="78"/>
        <v>#N/A</v>
      </c>
      <c r="AG267" s="55" t="e">
        <f t="shared" ca="1" si="79"/>
        <v>#N/A</v>
      </c>
      <c r="AH267" s="55" t="e">
        <f t="shared" ca="1" si="80"/>
        <v>#N/A</v>
      </c>
      <c r="AI267" s="55" t="e">
        <f t="shared" ca="1" si="74"/>
        <v>#N/A</v>
      </c>
      <c r="AJ267" s="55" t="e">
        <f t="shared" ca="1" si="75"/>
        <v>#N/A</v>
      </c>
      <c r="AK267" s="55" t="e">
        <f t="shared" ca="1" si="76"/>
        <v>#N/A</v>
      </c>
    </row>
    <row r="268" spans="18:37">
      <c r="R268" s="83" t="e">
        <f ca="1"/>
        <v>#N/A</v>
      </c>
      <c r="S268" s="55" t="e">
        <f t="shared" ca="1" si="69"/>
        <v>#N/A</v>
      </c>
      <c r="T268" s="55" t="e">
        <f t="shared" ca="1" si="63"/>
        <v>#N/A</v>
      </c>
      <c r="U268" s="55" t="e">
        <f t="shared" ca="1" si="64"/>
        <v>#N/A</v>
      </c>
      <c r="V268" s="55" t="e">
        <f t="shared" ca="1" si="65"/>
        <v>#N/A</v>
      </c>
      <c r="W268" s="55" t="e">
        <f t="shared" ca="1" si="70"/>
        <v>#N/A</v>
      </c>
      <c r="X268" s="55" t="e">
        <f t="shared" ca="1" si="71"/>
        <v>#N/A</v>
      </c>
      <c r="Y268" s="55" t="e">
        <f t="shared" ca="1" si="72"/>
        <v>#N/A</v>
      </c>
      <c r="Z268" t="e">
        <f t="shared" ca="1" si="66"/>
        <v>#N/A</v>
      </c>
      <c r="AA268" t="e">
        <f t="shared" ca="1" si="73"/>
        <v>#N/A</v>
      </c>
      <c r="AB268" t="e">
        <f t="shared" ca="1" si="67"/>
        <v>#N/A</v>
      </c>
      <c r="AC268" t="e">
        <f t="shared" ca="1" si="68"/>
        <v>#N/A</v>
      </c>
      <c r="AD268" s="83" t="e">
        <f ca="1"/>
        <v>#N/A</v>
      </c>
      <c r="AE268" s="55" t="e">
        <f t="shared" ca="1" si="77"/>
        <v>#N/A</v>
      </c>
      <c r="AF268" s="55" t="e">
        <f t="shared" ca="1" si="78"/>
        <v>#N/A</v>
      </c>
      <c r="AG268" s="55" t="e">
        <f t="shared" ca="1" si="79"/>
        <v>#N/A</v>
      </c>
      <c r="AH268" s="55" t="e">
        <f t="shared" ca="1" si="80"/>
        <v>#N/A</v>
      </c>
      <c r="AI268" s="55" t="e">
        <f t="shared" ca="1" si="74"/>
        <v>#N/A</v>
      </c>
      <c r="AJ268" s="55" t="e">
        <f t="shared" ca="1" si="75"/>
        <v>#N/A</v>
      </c>
      <c r="AK268" s="55" t="e">
        <f t="shared" ca="1" si="76"/>
        <v>#N/A</v>
      </c>
    </row>
    <row r="269" spans="18:37">
      <c r="R269" s="83" t="e">
        <f ca="1"/>
        <v>#N/A</v>
      </c>
      <c r="S269" s="55" t="e">
        <f t="shared" ca="1" si="69"/>
        <v>#N/A</v>
      </c>
      <c r="T269" s="55" t="e">
        <f t="shared" ca="1" si="63"/>
        <v>#N/A</v>
      </c>
      <c r="U269" s="55" t="e">
        <f t="shared" ca="1" si="64"/>
        <v>#N/A</v>
      </c>
      <c r="V269" s="55" t="e">
        <f t="shared" ca="1" si="65"/>
        <v>#N/A</v>
      </c>
      <c r="W269" s="55" t="e">
        <f t="shared" ca="1" si="70"/>
        <v>#N/A</v>
      </c>
      <c r="X269" s="55" t="e">
        <f t="shared" ca="1" si="71"/>
        <v>#N/A</v>
      </c>
      <c r="Y269" s="55" t="e">
        <f t="shared" ca="1" si="72"/>
        <v>#N/A</v>
      </c>
      <c r="Z269" t="e">
        <f t="shared" ca="1" si="66"/>
        <v>#N/A</v>
      </c>
      <c r="AA269" t="e">
        <f t="shared" ca="1" si="73"/>
        <v>#N/A</v>
      </c>
      <c r="AB269" t="e">
        <f t="shared" ca="1" si="67"/>
        <v>#N/A</v>
      </c>
      <c r="AC269" t="e">
        <f t="shared" ca="1" si="68"/>
        <v>#N/A</v>
      </c>
      <c r="AD269" s="83" t="e">
        <f ca="1"/>
        <v>#N/A</v>
      </c>
      <c r="AE269" s="55" t="e">
        <f t="shared" ca="1" si="77"/>
        <v>#N/A</v>
      </c>
      <c r="AF269" s="55" t="e">
        <f t="shared" ca="1" si="78"/>
        <v>#N/A</v>
      </c>
      <c r="AG269" s="55" t="e">
        <f t="shared" ca="1" si="79"/>
        <v>#N/A</v>
      </c>
      <c r="AH269" s="55" t="e">
        <f t="shared" ca="1" si="80"/>
        <v>#N/A</v>
      </c>
      <c r="AI269" s="55" t="e">
        <f t="shared" ca="1" si="74"/>
        <v>#N/A</v>
      </c>
      <c r="AJ269" s="55" t="e">
        <f t="shared" ca="1" si="75"/>
        <v>#N/A</v>
      </c>
      <c r="AK269" s="55" t="e">
        <f t="shared" ca="1" si="76"/>
        <v>#N/A</v>
      </c>
    </row>
    <row r="270" spans="18:37">
      <c r="R270" s="83" t="e">
        <f ca="1"/>
        <v>#N/A</v>
      </c>
      <c r="S270" s="55" t="e">
        <f t="shared" ca="1" si="69"/>
        <v>#N/A</v>
      </c>
      <c r="T270" s="55" t="e">
        <f t="shared" ca="1" si="63"/>
        <v>#N/A</v>
      </c>
      <c r="U270" s="55" t="e">
        <f t="shared" ca="1" si="64"/>
        <v>#N/A</v>
      </c>
      <c r="V270" s="55" t="e">
        <f t="shared" ca="1" si="65"/>
        <v>#N/A</v>
      </c>
      <c r="W270" s="55" t="e">
        <f t="shared" ca="1" si="70"/>
        <v>#N/A</v>
      </c>
      <c r="X270" s="55" t="e">
        <f t="shared" ca="1" si="71"/>
        <v>#N/A</v>
      </c>
      <c r="Y270" s="55" t="e">
        <f t="shared" ca="1" si="72"/>
        <v>#N/A</v>
      </c>
      <c r="Z270" t="e">
        <f t="shared" ca="1" si="66"/>
        <v>#N/A</v>
      </c>
      <c r="AA270" t="e">
        <f t="shared" ca="1" si="73"/>
        <v>#N/A</v>
      </c>
      <c r="AB270" t="e">
        <f t="shared" ca="1" si="67"/>
        <v>#N/A</v>
      </c>
      <c r="AC270" t="e">
        <f t="shared" ca="1" si="68"/>
        <v>#N/A</v>
      </c>
      <c r="AD270" s="83" t="e">
        <f ca="1"/>
        <v>#N/A</v>
      </c>
      <c r="AE270" s="55" t="e">
        <f t="shared" ca="1" si="77"/>
        <v>#N/A</v>
      </c>
      <c r="AF270" s="55" t="e">
        <f t="shared" ca="1" si="78"/>
        <v>#N/A</v>
      </c>
      <c r="AG270" s="55" t="e">
        <f t="shared" ca="1" si="79"/>
        <v>#N/A</v>
      </c>
      <c r="AH270" s="55" t="e">
        <f t="shared" ca="1" si="80"/>
        <v>#N/A</v>
      </c>
      <c r="AI270" s="55" t="e">
        <f t="shared" ca="1" si="74"/>
        <v>#N/A</v>
      </c>
      <c r="AJ270" s="55" t="e">
        <f t="shared" ca="1" si="75"/>
        <v>#N/A</v>
      </c>
      <c r="AK270" s="55" t="e">
        <f t="shared" ca="1" si="76"/>
        <v>#N/A</v>
      </c>
    </row>
    <row r="271" spans="18:37">
      <c r="R271" s="83" t="e">
        <f ca="1"/>
        <v>#N/A</v>
      </c>
      <c r="S271" s="55" t="e">
        <f t="shared" ca="1" si="69"/>
        <v>#N/A</v>
      </c>
      <c r="T271" s="55" t="e">
        <f t="shared" ca="1" si="63"/>
        <v>#N/A</v>
      </c>
      <c r="U271" s="55" t="e">
        <f t="shared" ca="1" si="64"/>
        <v>#N/A</v>
      </c>
      <c r="V271" s="55" t="e">
        <f t="shared" ca="1" si="65"/>
        <v>#N/A</v>
      </c>
      <c r="W271" s="55" t="e">
        <f t="shared" ca="1" si="70"/>
        <v>#N/A</v>
      </c>
      <c r="X271" s="55" t="e">
        <f t="shared" ca="1" si="71"/>
        <v>#N/A</v>
      </c>
      <c r="Y271" s="55" t="e">
        <f t="shared" ca="1" si="72"/>
        <v>#N/A</v>
      </c>
      <c r="Z271" t="e">
        <f t="shared" ca="1" si="66"/>
        <v>#N/A</v>
      </c>
      <c r="AA271" t="e">
        <f t="shared" ca="1" si="73"/>
        <v>#N/A</v>
      </c>
      <c r="AB271" t="e">
        <f t="shared" ca="1" si="67"/>
        <v>#N/A</v>
      </c>
      <c r="AC271" t="e">
        <f t="shared" ca="1" si="68"/>
        <v>#N/A</v>
      </c>
      <c r="AD271" s="83" t="e">
        <f ca="1"/>
        <v>#N/A</v>
      </c>
      <c r="AE271" s="55" t="e">
        <f t="shared" ca="1" si="77"/>
        <v>#N/A</v>
      </c>
      <c r="AF271" s="55" t="e">
        <f t="shared" ca="1" si="78"/>
        <v>#N/A</v>
      </c>
      <c r="AG271" s="55" t="e">
        <f t="shared" ca="1" si="79"/>
        <v>#N/A</v>
      </c>
      <c r="AH271" s="55" t="e">
        <f t="shared" ca="1" si="80"/>
        <v>#N/A</v>
      </c>
      <c r="AI271" s="55" t="e">
        <f t="shared" ca="1" si="74"/>
        <v>#N/A</v>
      </c>
      <c r="AJ271" s="55" t="e">
        <f t="shared" ca="1" si="75"/>
        <v>#N/A</v>
      </c>
      <c r="AK271" s="55" t="e">
        <f t="shared" ca="1" si="76"/>
        <v>#N/A</v>
      </c>
    </row>
    <row r="272" spans="18:37">
      <c r="R272" s="83" t="e">
        <f ca="1"/>
        <v>#N/A</v>
      </c>
      <c r="S272" s="55" t="e">
        <f t="shared" ca="1" si="69"/>
        <v>#N/A</v>
      </c>
      <c r="T272" s="55" t="e">
        <f t="shared" ca="1" si="63"/>
        <v>#N/A</v>
      </c>
      <c r="U272" s="55" t="e">
        <f t="shared" ca="1" si="64"/>
        <v>#N/A</v>
      </c>
      <c r="V272" s="55" t="e">
        <f t="shared" ca="1" si="65"/>
        <v>#N/A</v>
      </c>
      <c r="W272" s="55" t="e">
        <f t="shared" ca="1" si="70"/>
        <v>#N/A</v>
      </c>
      <c r="X272" s="55" t="e">
        <f t="shared" ca="1" si="71"/>
        <v>#N/A</v>
      </c>
      <c r="Y272" s="55" t="e">
        <f t="shared" ca="1" si="72"/>
        <v>#N/A</v>
      </c>
      <c r="Z272" t="e">
        <f t="shared" ca="1" si="66"/>
        <v>#N/A</v>
      </c>
      <c r="AA272" t="e">
        <f t="shared" ca="1" si="73"/>
        <v>#N/A</v>
      </c>
      <c r="AB272" t="e">
        <f t="shared" ca="1" si="67"/>
        <v>#N/A</v>
      </c>
      <c r="AC272" t="e">
        <f t="shared" ca="1" si="68"/>
        <v>#N/A</v>
      </c>
      <c r="AD272" s="83" t="e">
        <f ca="1"/>
        <v>#N/A</v>
      </c>
      <c r="AE272" s="55" t="e">
        <f t="shared" ca="1" si="77"/>
        <v>#N/A</v>
      </c>
      <c r="AF272" s="55" t="e">
        <f t="shared" ca="1" si="78"/>
        <v>#N/A</v>
      </c>
      <c r="AG272" s="55" t="e">
        <f t="shared" ca="1" si="79"/>
        <v>#N/A</v>
      </c>
      <c r="AH272" s="55" t="e">
        <f t="shared" ca="1" si="80"/>
        <v>#N/A</v>
      </c>
      <c r="AI272" s="55" t="e">
        <f t="shared" ca="1" si="74"/>
        <v>#N/A</v>
      </c>
      <c r="AJ272" s="55" t="e">
        <f t="shared" ca="1" si="75"/>
        <v>#N/A</v>
      </c>
      <c r="AK272" s="55" t="e">
        <f t="shared" ca="1" si="76"/>
        <v>#N/A</v>
      </c>
    </row>
    <row r="273" spans="18:37">
      <c r="R273" s="83" t="e">
        <f ca="1"/>
        <v>#N/A</v>
      </c>
      <c r="S273" s="55" t="e">
        <f t="shared" ca="1" si="69"/>
        <v>#N/A</v>
      </c>
      <c r="T273" s="55" t="e">
        <f t="shared" ca="1" si="63"/>
        <v>#N/A</v>
      </c>
      <c r="U273" s="55" t="e">
        <f t="shared" ca="1" si="64"/>
        <v>#N/A</v>
      </c>
      <c r="V273" s="55" t="e">
        <f t="shared" ca="1" si="65"/>
        <v>#N/A</v>
      </c>
      <c r="W273" s="55" t="e">
        <f t="shared" ca="1" si="70"/>
        <v>#N/A</v>
      </c>
      <c r="X273" s="55" t="e">
        <f t="shared" ca="1" si="71"/>
        <v>#N/A</v>
      </c>
      <c r="Y273" s="55" t="e">
        <f t="shared" ca="1" si="72"/>
        <v>#N/A</v>
      </c>
      <c r="Z273" t="e">
        <f t="shared" ca="1" si="66"/>
        <v>#N/A</v>
      </c>
      <c r="AA273" t="e">
        <f t="shared" ca="1" si="73"/>
        <v>#N/A</v>
      </c>
      <c r="AB273" t="e">
        <f t="shared" ca="1" si="67"/>
        <v>#N/A</v>
      </c>
      <c r="AC273" t="e">
        <f t="shared" ca="1" si="68"/>
        <v>#N/A</v>
      </c>
      <c r="AD273" s="83" t="e">
        <f ca="1"/>
        <v>#N/A</v>
      </c>
      <c r="AE273" s="55" t="e">
        <f t="shared" ca="1" si="77"/>
        <v>#N/A</v>
      </c>
      <c r="AF273" s="55" t="e">
        <f t="shared" ca="1" si="78"/>
        <v>#N/A</v>
      </c>
      <c r="AG273" s="55" t="e">
        <f t="shared" ca="1" si="79"/>
        <v>#N/A</v>
      </c>
      <c r="AH273" s="55" t="e">
        <f t="shared" ca="1" si="80"/>
        <v>#N/A</v>
      </c>
      <c r="AI273" s="55" t="e">
        <f t="shared" ca="1" si="74"/>
        <v>#N/A</v>
      </c>
      <c r="AJ273" s="55" t="e">
        <f t="shared" ca="1" si="75"/>
        <v>#N/A</v>
      </c>
      <c r="AK273" s="55" t="e">
        <f t="shared" ca="1" si="76"/>
        <v>#N/A</v>
      </c>
    </row>
    <row r="274" spans="18:37">
      <c r="R274" s="83" t="e">
        <f ca="1"/>
        <v>#N/A</v>
      </c>
      <c r="S274" s="55" t="e">
        <f t="shared" ca="1" si="69"/>
        <v>#N/A</v>
      </c>
      <c r="T274" s="55" t="e">
        <f t="shared" ref="T274:T337" ca="1" si="81">VLOOKUP(S274,ModelOutputs,2,FALSE)</f>
        <v>#N/A</v>
      </c>
      <c r="U274" s="55" t="e">
        <f t="shared" ref="U274:U337" ca="1" si="82">VLOOKUP(S274,ModelOutputs,7,FALSE)</f>
        <v>#N/A</v>
      </c>
      <c r="V274" s="55" t="e">
        <f t="shared" ref="V274:V337" ca="1" si="83">VLOOKUP(S274,ModelOutputs,6,FALSE)</f>
        <v>#N/A</v>
      </c>
      <c r="W274" s="55" t="e">
        <f t="shared" ca="1" si="70"/>
        <v>#N/A</v>
      </c>
      <c r="X274" s="55" t="e">
        <f t="shared" ca="1" si="71"/>
        <v>#N/A</v>
      </c>
      <c r="Y274" s="55" t="e">
        <f t="shared" ca="1" si="72"/>
        <v>#N/A</v>
      </c>
      <c r="Z274" t="e">
        <f t="shared" ref="Z274:Z337" ca="1" si="84">VLOOKUP(S274,ModelOutputs,10,FALSE)*AWC</f>
        <v>#N/A</v>
      </c>
      <c r="AA274" t="e">
        <f t="shared" ca="1" si="73"/>
        <v>#N/A</v>
      </c>
      <c r="AB274" t="e">
        <f t="shared" ref="AB274:AB337" ca="1" si="85">VLOOKUP(S274,ModelOutputs,12,FALSE)</f>
        <v>#N/A</v>
      </c>
      <c r="AC274" t="e">
        <f t="shared" ref="AC274:AC337" ca="1" si="86">VLOOKUP(S274,ModelOutputs,13,FALSE)</f>
        <v>#N/A</v>
      </c>
      <c r="AD274" s="83" t="e">
        <f ca="1"/>
        <v>#N/A</v>
      </c>
      <c r="AE274" s="55" t="e">
        <f t="shared" ca="1" si="77"/>
        <v>#N/A</v>
      </c>
      <c r="AF274" s="55" t="e">
        <f t="shared" ca="1" si="78"/>
        <v>#N/A</v>
      </c>
      <c r="AG274" s="55" t="e">
        <f t="shared" ca="1" si="79"/>
        <v>#N/A</v>
      </c>
      <c r="AH274" s="55" t="e">
        <f t="shared" ca="1" si="80"/>
        <v>#N/A</v>
      </c>
      <c r="AI274" s="55" t="e">
        <f t="shared" ca="1" si="74"/>
        <v>#N/A</v>
      </c>
      <c r="AJ274" s="55" t="e">
        <f t="shared" ca="1" si="75"/>
        <v>#N/A</v>
      </c>
      <c r="AK274" s="55" t="e">
        <f t="shared" ca="1" si="76"/>
        <v>#N/A</v>
      </c>
    </row>
    <row r="275" spans="18:37">
      <c r="R275" s="83" t="e">
        <f ca="1"/>
        <v>#N/A</v>
      </c>
      <c r="S275" s="55" t="e">
        <f t="shared" ref="S275:S338" ca="1" si="87">IF(R275&gt;1,R275,"")</f>
        <v>#N/A</v>
      </c>
      <c r="T275" s="55" t="e">
        <f t="shared" ca="1" si="81"/>
        <v>#N/A</v>
      </c>
      <c r="U275" s="55" t="e">
        <f t="shared" ca="1" si="82"/>
        <v>#N/A</v>
      </c>
      <c r="V275" s="55" t="e">
        <f t="shared" ca="1" si="83"/>
        <v>#N/A</v>
      </c>
      <c r="W275" s="55" t="e">
        <f t="shared" ref="W275:W338" ca="1" si="88">-VLOOKUP(S275,ModelOutputs,9,FALSE)+W274</f>
        <v>#N/A</v>
      </c>
      <c r="X275" s="55" t="e">
        <f t="shared" ref="X275:X338" ca="1" si="89">VLOOKUP(S275,ModelOutputs,5,FALSE)+X274</f>
        <v>#N/A</v>
      </c>
      <c r="Y275" s="55" t="e">
        <f t="shared" ref="Y275:Y338" ca="1" si="90">VLOOKUP(S275,ModelOutputs,4,FALSE)+Y274</f>
        <v>#N/A</v>
      </c>
      <c r="Z275" t="e">
        <f t="shared" ca="1" si="84"/>
        <v>#N/A</v>
      </c>
      <c r="AA275" t="e">
        <f t="shared" ref="AA275:AA338" ca="1" si="91">VLOOKUP(S275,ModelOutputs,11,FALSE)+AA274</f>
        <v>#N/A</v>
      </c>
      <c r="AB275" t="e">
        <f t="shared" ca="1" si="85"/>
        <v>#N/A</v>
      </c>
      <c r="AC275" t="e">
        <f t="shared" ca="1" si="86"/>
        <v>#N/A</v>
      </c>
      <c r="AD275" s="83" t="e">
        <f ca="1"/>
        <v>#N/A</v>
      </c>
      <c r="AE275" s="55" t="e">
        <f t="shared" ca="1" si="77"/>
        <v>#N/A</v>
      </c>
      <c r="AF275" s="55" t="e">
        <f t="shared" ca="1" si="78"/>
        <v>#N/A</v>
      </c>
      <c r="AG275" s="55" t="e">
        <f t="shared" ca="1" si="79"/>
        <v>#N/A</v>
      </c>
      <c r="AH275" s="55" t="e">
        <f t="shared" ca="1" si="80"/>
        <v>#N/A</v>
      </c>
      <c r="AI275" s="55" t="e">
        <f t="shared" ref="AI275:AI338" ca="1" si="92">-VLOOKUP(AE275,ModelOutputs,9,FALSE)+AI274</f>
        <v>#N/A</v>
      </c>
      <c r="AJ275" s="55" t="e">
        <f t="shared" ref="AJ275:AJ338" ca="1" si="93">VLOOKUP(AE275,ModelOutputs,5,FALSE)+AJ274</f>
        <v>#N/A</v>
      </c>
      <c r="AK275" s="55" t="e">
        <f t="shared" ref="AK275:AK338" ca="1" si="94">VLOOKUP(AE275,ModelOutputs,4,FALSE)+AK274</f>
        <v>#N/A</v>
      </c>
    </row>
    <row r="276" spans="18:37">
      <c r="R276" s="83" t="e">
        <f ca="1"/>
        <v>#N/A</v>
      </c>
      <c r="S276" s="55" t="e">
        <f t="shared" ca="1" si="87"/>
        <v>#N/A</v>
      </c>
      <c r="T276" s="55" t="e">
        <f t="shared" ca="1" si="81"/>
        <v>#N/A</v>
      </c>
      <c r="U276" s="55" t="e">
        <f t="shared" ca="1" si="82"/>
        <v>#N/A</v>
      </c>
      <c r="V276" s="55" t="e">
        <f t="shared" ca="1" si="83"/>
        <v>#N/A</v>
      </c>
      <c r="W276" s="55" t="e">
        <f t="shared" ca="1" si="88"/>
        <v>#N/A</v>
      </c>
      <c r="X276" s="55" t="e">
        <f t="shared" ca="1" si="89"/>
        <v>#N/A</v>
      </c>
      <c r="Y276" s="55" t="e">
        <f t="shared" ca="1" si="90"/>
        <v>#N/A</v>
      </c>
      <c r="Z276" t="e">
        <f t="shared" ca="1" si="84"/>
        <v>#N/A</v>
      </c>
      <c r="AA276" t="e">
        <f t="shared" ca="1" si="91"/>
        <v>#N/A</v>
      </c>
      <c r="AB276" t="e">
        <f t="shared" ca="1" si="85"/>
        <v>#N/A</v>
      </c>
      <c r="AC276" t="e">
        <f t="shared" ca="1" si="86"/>
        <v>#N/A</v>
      </c>
      <c r="AD276" s="83" t="e">
        <f ca="1"/>
        <v>#N/A</v>
      </c>
      <c r="AE276" s="55" t="e">
        <f t="shared" ca="1" si="77"/>
        <v>#N/A</v>
      </c>
      <c r="AF276" s="55" t="e">
        <f t="shared" ca="1" si="78"/>
        <v>#N/A</v>
      </c>
      <c r="AG276" s="55" t="e">
        <f t="shared" ca="1" si="79"/>
        <v>#N/A</v>
      </c>
      <c r="AH276" s="55" t="e">
        <f t="shared" ca="1" si="80"/>
        <v>#N/A</v>
      </c>
      <c r="AI276" s="55" t="e">
        <f t="shared" ca="1" si="92"/>
        <v>#N/A</v>
      </c>
      <c r="AJ276" s="55" t="e">
        <f t="shared" ca="1" si="93"/>
        <v>#N/A</v>
      </c>
      <c r="AK276" s="55" t="e">
        <f t="shared" ca="1" si="94"/>
        <v>#N/A</v>
      </c>
    </row>
    <row r="277" spans="18:37">
      <c r="R277" s="83" t="e">
        <f ca="1"/>
        <v>#N/A</v>
      </c>
      <c r="S277" s="55" t="e">
        <f t="shared" ca="1" si="87"/>
        <v>#N/A</v>
      </c>
      <c r="T277" s="55" t="e">
        <f t="shared" ca="1" si="81"/>
        <v>#N/A</v>
      </c>
      <c r="U277" s="55" t="e">
        <f t="shared" ca="1" si="82"/>
        <v>#N/A</v>
      </c>
      <c r="V277" s="55" t="e">
        <f t="shared" ca="1" si="83"/>
        <v>#N/A</v>
      </c>
      <c r="W277" s="55" t="e">
        <f t="shared" ca="1" si="88"/>
        <v>#N/A</v>
      </c>
      <c r="X277" s="55" t="e">
        <f t="shared" ca="1" si="89"/>
        <v>#N/A</v>
      </c>
      <c r="Y277" s="55" t="e">
        <f t="shared" ca="1" si="90"/>
        <v>#N/A</v>
      </c>
      <c r="Z277" t="e">
        <f t="shared" ca="1" si="84"/>
        <v>#N/A</v>
      </c>
      <c r="AA277" t="e">
        <f t="shared" ca="1" si="91"/>
        <v>#N/A</v>
      </c>
      <c r="AB277" t="e">
        <f t="shared" ca="1" si="85"/>
        <v>#N/A</v>
      </c>
      <c r="AC277" t="e">
        <f t="shared" ca="1" si="86"/>
        <v>#N/A</v>
      </c>
      <c r="AD277" s="83" t="e">
        <f ca="1"/>
        <v>#N/A</v>
      </c>
      <c r="AE277" s="55" t="e">
        <f t="shared" ref="AE277:AE340" ca="1" si="95">IF(AD277&gt;1,AD277,"")</f>
        <v>#N/A</v>
      </c>
      <c r="AF277" s="55" t="e">
        <f t="shared" ref="AF277:AF340" ca="1" si="96">VLOOKUP(AE277,ModelOutputs,2,FALSE)</f>
        <v>#N/A</v>
      </c>
      <c r="AG277" s="55" t="e">
        <f t="shared" ref="AG277:AG340" ca="1" si="97">VLOOKUP(AE277,ModelOutputs,7,FALSE)</f>
        <v>#N/A</v>
      </c>
      <c r="AH277" s="55" t="e">
        <f t="shared" ref="AH277:AH340" ca="1" si="98">VLOOKUP(AE277,ModelOutputs,6,FALSE)</f>
        <v>#N/A</v>
      </c>
      <c r="AI277" s="55" t="e">
        <f t="shared" ca="1" si="92"/>
        <v>#N/A</v>
      </c>
      <c r="AJ277" s="55" t="e">
        <f t="shared" ca="1" si="93"/>
        <v>#N/A</v>
      </c>
      <c r="AK277" s="55" t="e">
        <f t="shared" ca="1" si="94"/>
        <v>#N/A</v>
      </c>
    </row>
    <row r="278" spans="18:37">
      <c r="R278" s="83" t="e">
        <f ca="1"/>
        <v>#N/A</v>
      </c>
      <c r="S278" s="55" t="e">
        <f t="shared" ca="1" si="87"/>
        <v>#N/A</v>
      </c>
      <c r="T278" s="55" t="e">
        <f t="shared" ca="1" si="81"/>
        <v>#N/A</v>
      </c>
      <c r="U278" s="55" t="e">
        <f t="shared" ca="1" si="82"/>
        <v>#N/A</v>
      </c>
      <c r="V278" s="55" t="e">
        <f t="shared" ca="1" si="83"/>
        <v>#N/A</v>
      </c>
      <c r="W278" s="55" t="e">
        <f t="shared" ca="1" si="88"/>
        <v>#N/A</v>
      </c>
      <c r="X278" s="55" t="e">
        <f t="shared" ca="1" si="89"/>
        <v>#N/A</v>
      </c>
      <c r="Y278" s="55" t="e">
        <f t="shared" ca="1" si="90"/>
        <v>#N/A</v>
      </c>
      <c r="Z278" t="e">
        <f t="shared" ca="1" si="84"/>
        <v>#N/A</v>
      </c>
      <c r="AA278" t="e">
        <f t="shared" ca="1" si="91"/>
        <v>#N/A</v>
      </c>
      <c r="AB278" t="e">
        <f t="shared" ca="1" si="85"/>
        <v>#N/A</v>
      </c>
      <c r="AC278" t="e">
        <f t="shared" ca="1" si="86"/>
        <v>#N/A</v>
      </c>
      <c r="AD278" s="83" t="e">
        <f ca="1"/>
        <v>#N/A</v>
      </c>
      <c r="AE278" s="55" t="e">
        <f t="shared" ca="1" si="95"/>
        <v>#N/A</v>
      </c>
      <c r="AF278" s="55" t="e">
        <f t="shared" ca="1" si="96"/>
        <v>#N/A</v>
      </c>
      <c r="AG278" s="55" t="e">
        <f t="shared" ca="1" si="97"/>
        <v>#N/A</v>
      </c>
      <c r="AH278" s="55" t="e">
        <f t="shared" ca="1" si="98"/>
        <v>#N/A</v>
      </c>
      <c r="AI278" s="55" t="e">
        <f t="shared" ca="1" si="92"/>
        <v>#N/A</v>
      </c>
      <c r="AJ278" s="55" t="e">
        <f t="shared" ca="1" si="93"/>
        <v>#N/A</v>
      </c>
      <c r="AK278" s="55" t="e">
        <f t="shared" ca="1" si="94"/>
        <v>#N/A</v>
      </c>
    </row>
    <row r="279" spans="18:37">
      <c r="R279" s="83" t="e">
        <f ca="1"/>
        <v>#N/A</v>
      </c>
      <c r="S279" s="55" t="e">
        <f t="shared" ca="1" si="87"/>
        <v>#N/A</v>
      </c>
      <c r="T279" s="55" t="e">
        <f t="shared" ca="1" si="81"/>
        <v>#N/A</v>
      </c>
      <c r="U279" s="55" t="e">
        <f t="shared" ca="1" si="82"/>
        <v>#N/A</v>
      </c>
      <c r="V279" s="55" t="e">
        <f t="shared" ca="1" si="83"/>
        <v>#N/A</v>
      </c>
      <c r="W279" s="55" t="e">
        <f t="shared" ca="1" si="88"/>
        <v>#N/A</v>
      </c>
      <c r="X279" s="55" t="e">
        <f t="shared" ca="1" si="89"/>
        <v>#N/A</v>
      </c>
      <c r="Y279" s="55" t="e">
        <f t="shared" ca="1" si="90"/>
        <v>#N/A</v>
      </c>
      <c r="Z279" t="e">
        <f t="shared" ca="1" si="84"/>
        <v>#N/A</v>
      </c>
      <c r="AA279" t="e">
        <f t="shared" ca="1" si="91"/>
        <v>#N/A</v>
      </c>
      <c r="AB279" t="e">
        <f t="shared" ca="1" si="85"/>
        <v>#N/A</v>
      </c>
      <c r="AC279" t="e">
        <f t="shared" ca="1" si="86"/>
        <v>#N/A</v>
      </c>
      <c r="AD279" s="83" t="e">
        <f ca="1"/>
        <v>#N/A</v>
      </c>
      <c r="AE279" s="55" t="e">
        <f t="shared" ca="1" si="95"/>
        <v>#N/A</v>
      </c>
      <c r="AF279" s="55" t="e">
        <f t="shared" ca="1" si="96"/>
        <v>#N/A</v>
      </c>
      <c r="AG279" s="55" t="e">
        <f t="shared" ca="1" si="97"/>
        <v>#N/A</v>
      </c>
      <c r="AH279" s="55" t="e">
        <f t="shared" ca="1" si="98"/>
        <v>#N/A</v>
      </c>
      <c r="AI279" s="55" t="e">
        <f t="shared" ca="1" si="92"/>
        <v>#N/A</v>
      </c>
      <c r="AJ279" s="55" t="e">
        <f t="shared" ca="1" si="93"/>
        <v>#N/A</v>
      </c>
      <c r="AK279" s="55" t="e">
        <f t="shared" ca="1" si="94"/>
        <v>#N/A</v>
      </c>
    </row>
    <row r="280" spans="18:37">
      <c r="R280" s="83" t="e">
        <f ca="1"/>
        <v>#N/A</v>
      </c>
      <c r="S280" s="55" t="e">
        <f t="shared" ca="1" si="87"/>
        <v>#N/A</v>
      </c>
      <c r="T280" s="55" t="e">
        <f t="shared" ca="1" si="81"/>
        <v>#N/A</v>
      </c>
      <c r="U280" s="55" t="e">
        <f t="shared" ca="1" si="82"/>
        <v>#N/A</v>
      </c>
      <c r="V280" s="55" t="e">
        <f t="shared" ca="1" si="83"/>
        <v>#N/A</v>
      </c>
      <c r="W280" s="55" t="e">
        <f t="shared" ca="1" si="88"/>
        <v>#N/A</v>
      </c>
      <c r="X280" s="55" t="e">
        <f t="shared" ca="1" si="89"/>
        <v>#N/A</v>
      </c>
      <c r="Y280" s="55" t="e">
        <f t="shared" ca="1" si="90"/>
        <v>#N/A</v>
      </c>
      <c r="Z280" t="e">
        <f t="shared" ca="1" si="84"/>
        <v>#N/A</v>
      </c>
      <c r="AA280" t="e">
        <f t="shared" ca="1" si="91"/>
        <v>#N/A</v>
      </c>
      <c r="AB280" t="e">
        <f t="shared" ca="1" si="85"/>
        <v>#N/A</v>
      </c>
      <c r="AC280" t="e">
        <f t="shared" ca="1" si="86"/>
        <v>#N/A</v>
      </c>
      <c r="AD280" s="83" t="e">
        <f ca="1"/>
        <v>#N/A</v>
      </c>
      <c r="AE280" s="55" t="e">
        <f t="shared" ca="1" si="95"/>
        <v>#N/A</v>
      </c>
      <c r="AF280" s="55" t="e">
        <f t="shared" ca="1" si="96"/>
        <v>#N/A</v>
      </c>
      <c r="AG280" s="55" t="e">
        <f t="shared" ca="1" si="97"/>
        <v>#N/A</v>
      </c>
      <c r="AH280" s="55" t="e">
        <f t="shared" ca="1" si="98"/>
        <v>#N/A</v>
      </c>
      <c r="AI280" s="55" t="e">
        <f t="shared" ca="1" si="92"/>
        <v>#N/A</v>
      </c>
      <c r="AJ280" s="55" t="e">
        <f t="shared" ca="1" si="93"/>
        <v>#N/A</v>
      </c>
      <c r="AK280" s="55" t="e">
        <f t="shared" ca="1" si="94"/>
        <v>#N/A</v>
      </c>
    </row>
    <row r="281" spans="18:37">
      <c r="R281" s="83" t="e">
        <f ca="1"/>
        <v>#N/A</v>
      </c>
      <c r="S281" s="55" t="e">
        <f t="shared" ca="1" si="87"/>
        <v>#N/A</v>
      </c>
      <c r="T281" s="55" t="e">
        <f t="shared" ca="1" si="81"/>
        <v>#N/A</v>
      </c>
      <c r="U281" s="55" t="e">
        <f t="shared" ca="1" si="82"/>
        <v>#N/A</v>
      </c>
      <c r="V281" s="55" t="e">
        <f t="shared" ca="1" si="83"/>
        <v>#N/A</v>
      </c>
      <c r="W281" s="55" t="e">
        <f t="shared" ca="1" si="88"/>
        <v>#N/A</v>
      </c>
      <c r="X281" s="55" t="e">
        <f t="shared" ca="1" si="89"/>
        <v>#N/A</v>
      </c>
      <c r="Y281" s="55" t="e">
        <f t="shared" ca="1" si="90"/>
        <v>#N/A</v>
      </c>
      <c r="Z281" t="e">
        <f t="shared" ca="1" si="84"/>
        <v>#N/A</v>
      </c>
      <c r="AA281" t="e">
        <f t="shared" ca="1" si="91"/>
        <v>#N/A</v>
      </c>
      <c r="AB281" t="e">
        <f t="shared" ca="1" si="85"/>
        <v>#N/A</v>
      </c>
      <c r="AC281" t="e">
        <f t="shared" ca="1" si="86"/>
        <v>#N/A</v>
      </c>
      <c r="AD281" s="83" t="e">
        <f ca="1"/>
        <v>#N/A</v>
      </c>
      <c r="AE281" s="55" t="e">
        <f t="shared" ca="1" si="95"/>
        <v>#N/A</v>
      </c>
      <c r="AF281" s="55" t="e">
        <f t="shared" ca="1" si="96"/>
        <v>#N/A</v>
      </c>
      <c r="AG281" s="55" t="e">
        <f t="shared" ca="1" si="97"/>
        <v>#N/A</v>
      </c>
      <c r="AH281" s="55" t="e">
        <f t="shared" ca="1" si="98"/>
        <v>#N/A</v>
      </c>
      <c r="AI281" s="55" t="e">
        <f t="shared" ca="1" si="92"/>
        <v>#N/A</v>
      </c>
      <c r="AJ281" s="55" t="e">
        <f t="shared" ca="1" si="93"/>
        <v>#N/A</v>
      </c>
      <c r="AK281" s="55" t="e">
        <f t="shared" ca="1" si="94"/>
        <v>#N/A</v>
      </c>
    </row>
    <row r="282" spans="18:37">
      <c r="R282" s="83" t="e">
        <f ca="1"/>
        <v>#N/A</v>
      </c>
      <c r="S282" s="55" t="e">
        <f t="shared" ca="1" si="87"/>
        <v>#N/A</v>
      </c>
      <c r="T282" s="55" t="e">
        <f t="shared" ca="1" si="81"/>
        <v>#N/A</v>
      </c>
      <c r="U282" s="55" t="e">
        <f t="shared" ca="1" si="82"/>
        <v>#N/A</v>
      </c>
      <c r="V282" s="55" t="e">
        <f t="shared" ca="1" si="83"/>
        <v>#N/A</v>
      </c>
      <c r="W282" s="55" t="e">
        <f t="shared" ca="1" si="88"/>
        <v>#N/A</v>
      </c>
      <c r="X282" s="55" t="e">
        <f t="shared" ca="1" si="89"/>
        <v>#N/A</v>
      </c>
      <c r="Y282" s="55" t="e">
        <f t="shared" ca="1" si="90"/>
        <v>#N/A</v>
      </c>
      <c r="Z282" t="e">
        <f t="shared" ca="1" si="84"/>
        <v>#N/A</v>
      </c>
      <c r="AA282" t="e">
        <f t="shared" ca="1" si="91"/>
        <v>#N/A</v>
      </c>
      <c r="AB282" t="e">
        <f t="shared" ca="1" si="85"/>
        <v>#N/A</v>
      </c>
      <c r="AC282" t="e">
        <f t="shared" ca="1" si="86"/>
        <v>#N/A</v>
      </c>
      <c r="AD282" s="83" t="e">
        <f ca="1"/>
        <v>#N/A</v>
      </c>
      <c r="AE282" s="55" t="e">
        <f t="shared" ca="1" si="95"/>
        <v>#N/A</v>
      </c>
      <c r="AF282" s="55" t="e">
        <f t="shared" ca="1" si="96"/>
        <v>#N/A</v>
      </c>
      <c r="AG282" s="55" t="e">
        <f t="shared" ca="1" si="97"/>
        <v>#N/A</v>
      </c>
      <c r="AH282" s="55" t="e">
        <f t="shared" ca="1" si="98"/>
        <v>#N/A</v>
      </c>
      <c r="AI282" s="55" t="e">
        <f t="shared" ca="1" si="92"/>
        <v>#N/A</v>
      </c>
      <c r="AJ282" s="55" t="e">
        <f t="shared" ca="1" si="93"/>
        <v>#N/A</v>
      </c>
      <c r="AK282" s="55" t="e">
        <f t="shared" ca="1" si="94"/>
        <v>#N/A</v>
      </c>
    </row>
    <row r="283" spans="18:37">
      <c r="R283" s="83" t="e">
        <f ca="1"/>
        <v>#N/A</v>
      </c>
      <c r="S283" s="55" t="e">
        <f t="shared" ca="1" si="87"/>
        <v>#N/A</v>
      </c>
      <c r="T283" s="55" t="e">
        <f t="shared" ca="1" si="81"/>
        <v>#N/A</v>
      </c>
      <c r="U283" s="55" t="e">
        <f t="shared" ca="1" si="82"/>
        <v>#N/A</v>
      </c>
      <c r="V283" s="55" t="e">
        <f t="shared" ca="1" si="83"/>
        <v>#N/A</v>
      </c>
      <c r="W283" s="55" t="e">
        <f t="shared" ca="1" si="88"/>
        <v>#N/A</v>
      </c>
      <c r="X283" s="55" t="e">
        <f t="shared" ca="1" si="89"/>
        <v>#N/A</v>
      </c>
      <c r="Y283" s="55" t="e">
        <f t="shared" ca="1" si="90"/>
        <v>#N/A</v>
      </c>
      <c r="Z283" t="e">
        <f t="shared" ca="1" si="84"/>
        <v>#N/A</v>
      </c>
      <c r="AA283" t="e">
        <f t="shared" ca="1" si="91"/>
        <v>#N/A</v>
      </c>
      <c r="AB283" t="e">
        <f t="shared" ca="1" si="85"/>
        <v>#N/A</v>
      </c>
      <c r="AC283" t="e">
        <f t="shared" ca="1" si="86"/>
        <v>#N/A</v>
      </c>
      <c r="AD283" s="83" t="e">
        <f ca="1"/>
        <v>#N/A</v>
      </c>
      <c r="AE283" s="55" t="e">
        <f t="shared" ca="1" si="95"/>
        <v>#N/A</v>
      </c>
      <c r="AF283" s="55" t="e">
        <f t="shared" ca="1" si="96"/>
        <v>#N/A</v>
      </c>
      <c r="AG283" s="55" t="e">
        <f t="shared" ca="1" si="97"/>
        <v>#N/A</v>
      </c>
      <c r="AH283" s="55" t="e">
        <f t="shared" ca="1" si="98"/>
        <v>#N/A</v>
      </c>
      <c r="AI283" s="55" t="e">
        <f t="shared" ca="1" si="92"/>
        <v>#N/A</v>
      </c>
      <c r="AJ283" s="55" t="e">
        <f t="shared" ca="1" si="93"/>
        <v>#N/A</v>
      </c>
      <c r="AK283" s="55" t="e">
        <f t="shared" ca="1" si="94"/>
        <v>#N/A</v>
      </c>
    </row>
    <row r="284" spans="18:37">
      <c r="R284" s="83" t="e">
        <f ca="1"/>
        <v>#N/A</v>
      </c>
      <c r="S284" s="55" t="e">
        <f t="shared" ca="1" si="87"/>
        <v>#N/A</v>
      </c>
      <c r="T284" s="55" t="e">
        <f t="shared" ca="1" si="81"/>
        <v>#N/A</v>
      </c>
      <c r="U284" s="55" t="e">
        <f t="shared" ca="1" si="82"/>
        <v>#N/A</v>
      </c>
      <c r="V284" s="55" t="e">
        <f t="shared" ca="1" si="83"/>
        <v>#N/A</v>
      </c>
      <c r="W284" s="55" t="e">
        <f t="shared" ca="1" si="88"/>
        <v>#N/A</v>
      </c>
      <c r="X284" s="55" t="e">
        <f t="shared" ca="1" si="89"/>
        <v>#N/A</v>
      </c>
      <c r="Y284" s="55" t="e">
        <f t="shared" ca="1" si="90"/>
        <v>#N/A</v>
      </c>
      <c r="Z284" t="e">
        <f t="shared" ca="1" si="84"/>
        <v>#N/A</v>
      </c>
      <c r="AA284" t="e">
        <f t="shared" ca="1" si="91"/>
        <v>#N/A</v>
      </c>
      <c r="AB284" t="e">
        <f t="shared" ca="1" si="85"/>
        <v>#N/A</v>
      </c>
      <c r="AC284" t="e">
        <f t="shared" ca="1" si="86"/>
        <v>#N/A</v>
      </c>
      <c r="AD284" s="83" t="e">
        <f ca="1"/>
        <v>#N/A</v>
      </c>
      <c r="AE284" s="55" t="e">
        <f t="shared" ca="1" si="95"/>
        <v>#N/A</v>
      </c>
      <c r="AF284" s="55" t="e">
        <f t="shared" ca="1" si="96"/>
        <v>#N/A</v>
      </c>
      <c r="AG284" s="55" t="e">
        <f t="shared" ca="1" si="97"/>
        <v>#N/A</v>
      </c>
      <c r="AH284" s="55" t="e">
        <f t="shared" ca="1" si="98"/>
        <v>#N/A</v>
      </c>
      <c r="AI284" s="55" t="e">
        <f t="shared" ca="1" si="92"/>
        <v>#N/A</v>
      </c>
      <c r="AJ284" s="55" t="e">
        <f t="shared" ca="1" si="93"/>
        <v>#N/A</v>
      </c>
      <c r="AK284" s="55" t="e">
        <f t="shared" ca="1" si="94"/>
        <v>#N/A</v>
      </c>
    </row>
    <row r="285" spans="18:37">
      <c r="R285" s="83" t="e">
        <f ca="1"/>
        <v>#N/A</v>
      </c>
      <c r="S285" s="55" t="e">
        <f t="shared" ca="1" si="87"/>
        <v>#N/A</v>
      </c>
      <c r="T285" s="55" t="e">
        <f t="shared" ca="1" si="81"/>
        <v>#N/A</v>
      </c>
      <c r="U285" s="55" t="e">
        <f t="shared" ca="1" si="82"/>
        <v>#N/A</v>
      </c>
      <c r="V285" s="55" t="e">
        <f t="shared" ca="1" si="83"/>
        <v>#N/A</v>
      </c>
      <c r="W285" s="55" t="e">
        <f t="shared" ca="1" si="88"/>
        <v>#N/A</v>
      </c>
      <c r="X285" s="55" t="e">
        <f t="shared" ca="1" si="89"/>
        <v>#N/A</v>
      </c>
      <c r="Y285" s="55" t="e">
        <f t="shared" ca="1" si="90"/>
        <v>#N/A</v>
      </c>
      <c r="Z285" t="e">
        <f t="shared" ca="1" si="84"/>
        <v>#N/A</v>
      </c>
      <c r="AA285" t="e">
        <f t="shared" ca="1" si="91"/>
        <v>#N/A</v>
      </c>
      <c r="AB285" t="e">
        <f t="shared" ca="1" si="85"/>
        <v>#N/A</v>
      </c>
      <c r="AC285" t="e">
        <f t="shared" ca="1" si="86"/>
        <v>#N/A</v>
      </c>
      <c r="AD285" s="83" t="e">
        <f ca="1"/>
        <v>#N/A</v>
      </c>
      <c r="AE285" s="55" t="e">
        <f t="shared" ca="1" si="95"/>
        <v>#N/A</v>
      </c>
      <c r="AF285" s="55" t="e">
        <f t="shared" ca="1" si="96"/>
        <v>#N/A</v>
      </c>
      <c r="AG285" s="55" t="e">
        <f t="shared" ca="1" si="97"/>
        <v>#N/A</v>
      </c>
      <c r="AH285" s="55" t="e">
        <f t="shared" ca="1" si="98"/>
        <v>#N/A</v>
      </c>
      <c r="AI285" s="55" t="e">
        <f t="shared" ca="1" si="92"/>
        <v>#N/A</v>
      </c>
      <c r="AJ285" s="55" t="e">
        <f t="shared" ca="1" si="93"/>
        <v>#N/A</v>
      </c>
      <c r="AK285" s="55" t="e">
        <f t="shared" ca="1" si="94"/>
        <v>#N/A</v>
      </c>
    </row>
    <row r="286" spans="18:37">
      <c r="R286" s="83" t="e">
        <f ca="1"/>
        <v>#N/A</v>
      </c>
      <c r="S286" s="55" t="e">
        <f t="shared" ca="1" si="87"/>
        <v>#N/A</v>
      </c>
      <c r="T286" s="55" t="e">
        <f t="shared" ca="1" si="81"/>
        <v>#N/A</v>
      </c>
      <c r="U286" s="55" t="e">
        <f t="shared" ca="1" si="82"/>
        <v>#N/A</v>
      </c>
      <c r="V286" s="55" t="e">
        <f t="shared" ca="1" si="83"/>
        <v>#N/A</v>
      </c>
      <c r="W286" s="55" t="e">
        <f t="shared" ca="1" si="88"/>
        <v>#N/A</v>
      </c>
      <c r="X286" s="55" t="e">
        <f t="shared" ca="1" si="89"/>
        <v>#N/A</v>
      </c>
      <c r="Y286" s="55" t="e">
        <f t="shared" ca="1" si="90"/>
        <v>#N/A</v>
      </c>
      <c r="Z286" t="e">
        <f t="shared" ca="1" si="84"/>
        <v>#N/A</v>
      </c>
      <c r="AA286" t="e">
        <f t="shared" ca="1" si="91"/>
        <v>#N/A</v>
      </c>
      <c r="AB286" t="e">
        <f t="shared" ca="1" si="85"/>
        <v>#N/A</v>
      </c>
      <c r="AC286" t="e">
        <f t="shared" ca="1" si="86"/>
        <v>#N/A</v>
      </c>
      <c r="AD286" s="83" t="e">
        <f ca="1"/>
        <v>#N/A</v>
      </c>
      <c r="AE286" s="55" t="e">
        <f t="shared" ca="1" si="95"/>
        <v>#N/A</v>
      </c>
      <c r="AF286" s="55" t="e">
        <f t="shared" ca="1" si="96"/>
        <v>#N/A</v>
      </c>
      <c r="AG286" s="55" t="e">
        <f t="shared" ca="1" si="97"/>
        <v>#N/A</v>
      </c>
      <c r="AH286" s="55" t="e">
        <f t="shared" ca="1" si="98"/>
        <v>#N/A</v>
      </c>
      <c r="AI286" s="55" t="e">
        <f t="shared" ca="1" si="92"/>
        <v>#N/A</v>
      </c>
      <c r="AJ286" s="55" t="e">
        <f t="shared" ca="1" si="93"/>
        <v>#N/A</v>
      </c>
      <c r="AK286" s="55" t="e">
        <f t="shared" ca="1" si="94"/>
        <v>#N/A</v>
      </c>
    </row>
    <row r="287" spans="18:37">
      <c r="R287" s="83" t="e">
        <f ca="1"/>
        <v>#N/A</v>
      </c>
      <c r="S287" s="55" t="e">
        <f t="shared" ca="1" si="87"/>
        <v>#N/A</v>
      </c>
      <c r="T287" s="55" t="e">
        <f t="shared" ca="1" si="81"/>
        <v>#N/A</v>
      </c>
      <c r="U287" s="55" t="e">
        <f t="shared" ca="1" si="82"/>
        <v>#N/A</v>
      </c>
      <c r="V287" s="55" t="e">
        <f t="shared" ca="1" si="83"/>
        <v>#N/A</v>
      </c>
      <c r="W287" s="55" t="e">
        <f t="shared" ca="1" si="88"/>
        <v>#N/A</v>
      </c>
      <c r="X287" s="55" t="e">
        <f t="shared" ca="1" si="89"/>
        <v>#N/A</v>
      </c>
      <c r="Y287" s="55" t="e">
        <f t="shared" ca="1" si="90"/>
        <v>#N/A</v>
      </c>
      <c r="Z287" t="e">
        <f t="shared" ca="1" si="84"/>
        <v>#N/A</v>
      </c>
      <c r="AA287" t="e">
        <f t="shared" ca="1" si="91"/>
        <v>#N/A</v>
      </c>
      <c r="AB287" t="e">
        <f t="shared" ca="1" si="85"/>
        <v>#N/A</v>
      </c>
      <c r="AC287" t="e">
        <f t="shared" ca="1" si="86"/>
        <v>#N/A</v>
      </c>
      <c r="AD287" s="83" t="e">
        <f ca="1"/>
        <v>#N/A</v>
      </c>
      <c r="AE287" s="55" t="e">
        <f t="shared" ca="1" si="95"/>
        <v>#N/A</v>
      </c>
      <c r="AF287" s="55" t="e">
        <f t="shared" ca="1" si="96"/>
        <v>#N/A</v>
      </c>
      <c r="AG287" s="55" t="e">
        <f t="shared" ca="1" si="97"/>
        <v>#N/A</v>
      </c>
      <c r="AH287" s="55" t="e">
        <f t="shared" ca="1" si="98"/>
        <v>#N/A</v>
      </c>
      <c r="AI287" s="55" t="e">
        <f t="shared" ca="1" si="92"/>
        <v>#N/A</v>
      </c>
      <c r="AJ287" s="55" t="e">
        <f t="shared" ca="1" si="93"/>
        <v>#N/A</v>
      </c>
      <c r="AK287" s="55" t="e">
        <f t="shared" ca="1" si="94"/>
        <v>#N/A</v>
      </c>
    </row>
    <row r="288" spans="18:37">
      <c r="R288" s="83" t="e">
        <f ca="1"/>
        <v>#N/A</v>
      </c>
      <c r="S288" s="55" t="e">
        <f t="shared" ca="1" si="87"/>
        <v>#N/A</v>
      </c>
      <c r="T288" s="55" t="e">
        <f t="shared" ca="1" si="81"/>
        <v>#N/A</v>
      </c>
      <c r="U288" s="55" t="e">
        <f t="shared" ca="1" si="82"/>
        <v>#N/A</v>
      </c>
      <c r="V288" s="55" t="e">
        <f t="shared" ca="1" si="83"/>
        <v>#N/A</v>
      </c>
      <c r="W288" s="55" t="e">
        <f t="shared" ca="1" si="88"/>
        <v>#N/A</v>
      </c>
      <c r="X288" s="55" t="e">
        <f t="shared" ca="1" si="89"/>
        <v>#N/A</v>
      </c>
      <c r="Y288" s="55" t="e">
        <f t="shared" ca="1" si="90"/>
        <v>#N/A</v>
      </c>
      <c r="Z288" t="e">
        <f t="shared" ca="1" si="84"/>
        <v>#N/A</v>
      </c>
      <c r="AA288" t="e">
        <f t="shared" ca="1" si="91"/>
        <v>#N/A</v>
      </c>
      <c r="AB288" t="e">
        <f t="shared" ca="1" si="85"/>
        <v>#N/A</v>
      </c>
      <c r="AC288" t="e">
        <f t="shared" ca="1" si="86"/>
        <v>#N/A</v>
      </c>
      <c r="AD288" s="83" t="e">
        <f ca="1"/>
        <v>#N/A</v>
      </c>
      <c r="AE288" s="55" t="e">
        <f t="shared" ca="1" si="95"/>
        <v>#N/A</v>
      </c>
      <c r="AF288" s="55" t="e">
        <f t="shared" ca="1" si="96"/>
        <v>#N/A</v>
      </c>
      <c r="AG288" s="55" t="e">
        <f t="shared" ca="1" si="97"/>
        <v>#N/A</v>
      </c>
      <c r="AH288" s="55" t="e">
        <f t="shared" ca="1" si="98"/>
        <v>#N/A</v>
      </c>
      <c r="AI288" s="55" t="e">
        <f t="shared" ca="1" si="92"/>
        <v>#N/A</v>
      </c>
      <c r="AJ288" s="55" t="e">
        <f t="shared" ca="1" si="93"/>
        <v>#N/A</v>
      </c>
      <c r="AK288" s="55" t="e">
        <f t="shared" ca="1" si="94"/>
        <v>#N/A</v>
      </c>
    </row>
    <row r="289" spans="18:37">
      <c r="R289" s="83" t="e">
        <f ca="1"/>
        <v>#N/A</v>
      </c>
      <c r="S289" s="55" t="e">
        <f t="shared" ca="1" si="87"/>
        <v>#N/A</v>
      </c>
      <c r="T289" s="55" t="e">
        <f t="shared" ca="1" si="81"/>
        <v>#N/A</v>
      </c>
      <c r="U289" s="55" t="e">
        <f t="shared" ca="1" si="82"/>
        <v>#N/A</v>
      </c>
      <c r="V289" s="55" t="e">
        <f t="shared" ca="1" si="83"/>
        <v>#N/A</v>
      </c>
      <c r="W289" s="55" t="e">
        <f t="shared" ca="1" si="88"/>
        <v>#N/A</v>
      </c>
      <c r="X289" s="55" t="e">
        <f t="shared" ca="1" si="89"/>
        <v>#N/A</v>
      </c>
      <c r="Y289" s="55" t="e">
        <f t="shared" ca="1" si="90"/>
        <v>#N/A</v>
      </c>
      <c r="Z289" t="e">
        <f t="shared" ca="1" si="84"/>
        <v>#N/A</v>
      </c>
      <c r="AA289" t="e">
        <f t="shared" ca="1" si="91"/>
        <v>#N/A</v>
      </c>
      <c r="AB289" t="e">
        <f t="shared" ca="1" si="85"/>
        <v>#N/A</v>
      </c>
      <c r="AC289" t="e">
        <f t="shared" ca="1" si="86"/>
        <v>#N/A</v>
      </c>
      <c r="AD289" s="83" t="e">
        <f ca="1"/>
        <v>#N/A</v>
      </c>
      <c r="AE289" s="55" t="e">
        <f t="shared" ca="1" si="95"/>
        <v>#N/A</v>
      </c>
      <c r="AF289" s="55" t="e">
        <f t="shared" ca="1" si="96"/>
        <v>#N/A</v>
      </c>
      <c r="AG289" s="55" t="e">
        <f t="shared" ca="1" si="97"/>
        <v>#N/A</v>
      </c>
      <c r="AH289" s="55" t="e">
        <f t="shared" ca="1" si="98"/>
        <v>#N/A</v>
      </c>
      <c r="AI289" s="55" t="e">
        <f t="shared" ca="1" si="92"/>
        <v>#N/A</v>
      </c>
      <c r="AJ289" s="55" t="e">
        <f t="shared" ca="1" si="93"/>
        <v>#N/A</v>
      </c>
      <c r="AK289" s="55" t="e">
        <f t="shared" ca="1" si="94"/>
        <v>#N/A</v>
      </c>
    </row>
    <row r="290" spans="18:37">
      <c r="R290" s="83" t="e">
        <f ca="1"/>
        <v>#N/A</v>
      </c>
      <c r="S290" s="55" t="e">
        <f t="shared" ca="1" si="87"/>
        <v>#N/A</v>
      </c>
      <c r="T290" s="55" t="e">
        <f t="shared" ca="1" si="81"/>
        <v>#N/A</v>
      </c>
      <c r="U290" s="55" t="e">
        <f t="shared" ca="1" si="82"/>
        <v>#N/A</v>
      </c>
      <c r="V290" s="55" t="e">
        <f t="shared" ca="1" si="83"/>
        <v>#N/A</v>
      </c>
      <c r="W290" s="55" t="e">
        <f t="shared" ca="1" si="88"/>
        <v>#N/A</v>
      </c>
      <c r="X290" s="55" t="e">
        <f t="shared" ca="1" si="89"/>
        <v>#N/A</v>
      </c>
      <c r="Y290" s="55" t="e">
        <f t="shared" ca="1" si="90"/>
        <v>#N/A</v>
      </c>
      <c r="Z290" t="e">
        <f t="shared" ca="1" si="84"/>
        <v>#N/A</v>
      </c>
      <c r="AA290" t="e">
        <f t="shared" ca="1" si="91"/>
        <v>#N/A</v>
      </c>
      <c r="AB290" t="e">
        <f t="shared" ca="1" si="85"/>
        <v>#N/A</v>
      </c>
      <c r="AC290" t="e">
        <f t="shared" ca="1" si="86"/>
        <v>#N/A</v>
      </c>
      <c r="AD290" s="83" t="e">
        <f ca="1"/>
        <v>#N/A</v>
      </c>
      <c r="AE290" s="55" t="e">
        <f t="shared" ca="1" si="95"/>
        <v>#N/A</v>
      </c>
      <c r="AF290" s="55" t="e">
        <f t="shared" ca="1" si="96"/>
        <v>#N/A</v>
      </c>
      <c r="AG290" s="55" t="e">
        <f t="shared" ca="1" si="97"/>
        <v>#N/A</v>
      </c>
      <c r="AH290" s="55" t="e">
        <f t="shared" ca="1" si="98"/>
        <v>#N/A</v>
      </c>
      <c r="AI290" s="55" t="e">
        <f t="shared" ca="1" si="92"/>
        <v>#N/A</v>
      </c>
      <c r="AJ290" s="55" t="e">
        <f t="shared" ca="1" si="93"/>
        <v>#N/A</v>
      </c>
      <c r="AK290" s="55" t="e">
        <f t="shared" ca="1" si="94"/>
        <v>#N/A</v>
      </c>
    </row>
    <row r="291" spans="18:37">
      <c r="R291" s="83" t="e">
        <f ca="1"/>
        <v>#N/A</v>
      </c>
      <c r="S291" s="55" t="e">
        <f t="shared" ca="1" si="87"/>
        <v>#N/A</v>
      </c>
      <c r="T291" s="55" t="e">
        <f t="shared" ca="1" si="81"/>
        <v>#N/A</v>
      </c>
      <c r="U291" s="55" t="e">
        <f t="shared" ca="1" si="82"/>
        <v>#N/A</v>
      </c>
      <c r="V291" s="55" t="e">
        <f t="shared" ca="1" si="83"/>
        <v>#N/A</v>
      </c>
      <c r="W291" s="55" t="e">
        <f t="shared" ca="1" si="88"/>
        <v>#N/A</v>
      </c>
      <c r="X291" s="55" t="e">
        <f t="shared" ca="1" si="89"/>
        <v>#N/A</v>
      </c>
      <c r="Y291" s="55" t="e">
        <f t="shared" ca="1" si="90"/>
        <v>#N/A</v>
      </c>
      <c r="Z291" t="e">
        <f t="shared" ca="1" si="84"/>
        <v>#N/A</v>
      </c>
      <c r="AA291" t="e">
        <f t="shared" ca="1" si="91"/>
        <v>#N/A</v>
      </c>
      <c r="AB291" t="e">
        <f t="shared" ca="1" si="85"/>
        <v>#N/A</v>
      </c>
      <c r="AC291" t="e">
        <f t="shared" ca="1" si="86"/>
        <v>#N/A</v>
      </c>
      <c r="AD291" s="83" t="e">
        <f ca="1"/>
        <v>#N/A</v>
      </c>
      <c r="AE291" s="55" t="e">
        <f t="shared" ca="1" si="95"/>
        <v>#N/A</v>
      </c>
      <c r="AF291" s="55" t="e">
        <f t="shared" ca="1" si="96"/>
        <v>#N/A</v>
      </c>
      <c r="AG291" s="55" t="e">
        <f t="shared" ca="1" si="97"/>
        <v>#N/A</v>
      </c>
      <c r="AH291" s="55" t="e">
        <f t="shared" ca="1" si="98"/>
        <v>#N/A</v>
      </c>
      <c r="AI291" s="55" t="e">
        <f t="shared" ca="1" si="92"/>
        <v>#N/A</v>
      </c>
      <c r="AJ291" s="55" t="e">
        <f t="shared" ca="1" si="93"/>
        <v>#N/A</v>
      </c>
      <c r="AK291" s="55" t="e">
        <f t="shared" ca="1" si="94"/>
        <v>#N/A</v>
      </c>
    </row>
    <row r="292" spans="18:37">
      <c r="R292" s="83" t="e">
        <f ca="1"/>
        <v>#N/A</v>
      </c>
      <c r="S292" s="55" t="e">
        <f t="shared" ca="1" si="87"/>
        <v>#N/A</v>
      </c>
      <c r="T292" s="55" t="e">
        <f t="shared" ca="1" si="81"/>
        <v>#N/A</v>
      </c>
      <c r="U292" s="55" t="e">
        <f t="shared" ca="1" si="82"/>
        <v>#N/A</v>
      </c>
      <c r="V292" s="55" t="e">
        <f t="shared" ca="1" si="83"/>
        <v>#N/A</v>
      </c>
      <c r="W292" s="55" t="e">
        <f t="shared" ca="1" si="88"/>
        <v>#N/A</v>
      </c>
      <c r="X292" s="55" t="e">
        <f t="shared" ca="1" si="89"/>
        <v>#N/A</v>
      </c>
      <c r="Y292" s="55" t="e">
        <f t="shared" ca="1" si="90"/>
        <v>#N/A</v>
      </c>
      <c r="Z292" t="e">
        <f t="shared" ca="1" si="84"/>
        <v>#N/A</v>
      </c>
      <c r="AA292" t="e">
        <f t="shared" ca="1" si="91"/>
        <v>#N/A</v>
      </c>
      <c r="AB292" t="e">
        <f t="shared" ca="1" si="85"/>
        <v>#N/A</v>
      </c>
      <c r="AC292" t="e">
        <f t="shared" ca="1" si="86"/>
        <v>#N/A</v>
      </c>
      <c r="AD292" s="83" t="e">
        <f ca="1"/>
        <v>#N/A</v>
      </c>
      <c r="AE292" s="55" t="e">
        <f t="shared" ca="1" si="95"/>
        <v>#N/A</v>
      </c>
      <c r="AF292" s="55" t="e">
        <f t="shared" ca="1" si="96"/>
        <v>#N/A</v>
      </c>
      <c r="AG292" s="55" t="e">
        <f t="shared" ca="1" si="97"/>
        <v>#N/A</v>
      </c>
      <c r="AH292" s="55" t="e">
        <f t="shared" ca="1" si="98"/>
        <v>#N/A</v>
      </c>
      <c r="AI292" s="55" t="e">
        <f t="shared" ca="1" si="92"/>
        <v>#N/A</v>
      </c>
      <c r="AJ292" s="55" t="e">
        <f t="shared" ca="1" si="93"/>
        <v>#N/A</v>
      </c>
      <c r="AK292" s="55" t="e">
        <f t="shared" ca="1" si="94"/>
        <v>#N/A</v>
      </c>
    </row>
    <row r="293" spans="18:37">
      <c r="R293" s="83" t="e">
        <f ca="1"/>
        <v>#N/A</v>
      </c>
      <c r="S293" s="55" t="e">
        <f t="shared" ca="1" si="87"/>
        <v>#N/A</v>
      </c>
      <c r="T293" s="55" t="e">
        <f t="shared" ca="1" si="81"/>
        <v>#N/A</v>
      </c>
      <c r="U293" s="55" t="e">
        <f t="shared" ca="1" si="82"/>
        <v>#N/A</v>
      </c>
      <c r="V293" s="55" t="e">
        <f t="shared" ca="1" si="83"/>
        <v>#N/A</v>
      </c>
      <c r="W293" s="55" t="e">
        <f t="shared" ca="1" si="88"/>
        <v>#N/A</v>
      </c>
      <c r="X293" s="55" t="e">
        <f t="shared" ca="1" si="89"/>
        <v>#N/A</v>
      </c>
      <c r="Y293" s="55" t="e">
        <f t="shared" ca="1" si="90"/>
        <v>#N/A</v>
      </c>
      <c r="Z293" t="e">
        <f t="shared" ca="1" si="84"/>
        <v>#N/A</v>
      </c>
      <c r="AA293" t="e">
        <f t="shared" ca="1" si="91"/>
        <v>#N/A</v>
      </c>
      <c r="AB293" t="e">
        <f t="shared" ca="1" si="85"/>
        <v>#N/A</v>
      </c>
      <c r="AC293" t="e">
        <f t="shared" ca="1" si="86"/>
        <v>#N/A</v>
      </c>
      <c r="AD293" s="83" t="e">
        <f ca="1"/>
        <v>#N/A</v>
      </c>
      <c r="AE293" s="55" t="e">
        <f t="shared" ca="1" si="95"/>
        <v>#N/A</v>
      </c>
      <c r="AF293" s="55" t="e">
        <f t="shared" ca="1" si="96"/>
        <v>#N/A</v>
      </c>
      <c r="AG293" s="55" t="e">
        <f t="shared" ca="1" si="97"/>
        <v>#N/A</v>
      </c>
      <c r="AH293" s="55" t="e">
        <f t="shared" ca="1" si="98"/>
        <v>#N/A</v>
      </c>
      <c r="AI293" s="55" t="e">
        <f t="shared" ca="1" si="92"/>
        <v>#N/A</v>
      </c>
      <c r="AJ293" s="55" t="e">
        <f t="shared" ca="1" si="93"/>
        <v>#N/A</v>
      </c>
      <c r="AK293" s="55" t="e">
        <f t="shared" ca="1" si="94"/>
        <v>#N/A</v>
      </c>
    </row>
    <row r="294" spans="18:37">
      <c r="R294" s="83" t="e">
        <f ca="1"/>
        <v>#N/A</v>
      </c>
      <c r="S294" s="55" t="e">
        <f t="shared" ca="1" si="87"/>
        <v>#N/A</v>
      </c>
      <c r="T294" s="55" t="e">
        <f t="shared" ca="1" si="81"/>
        <v>#N/A</v>
      </c>
      <c r="U294" s="55" t="e">
        <f t="shared" ca="1" si="82"/>
        <v>#N/A</v>
      </c>
      <c r="V294" s="55" t="e">
        <f t="shared" ca="1" si="83"/>
        <v>#N/A</v>
      </c>
      <c r="W294" s="55" t="e">
        <f t="shared" ca="1" si="88"/>
        <v>#N/A</v>
      </c>
      <c r="X294" s="55" t="e">
        <f t="shared" ca="1" si="89"/>
        <v>#N/A</v>
      </c>
      <c r="Y294" s="55" t="e">
        <f t="shared" ca="1" si="90"/>
        <v>#N/A</v>
      </c>
      <c r="Z294" t="e">
        <f t="shared" ca="1" si="84"/>
        <v>#N/A</v>
      </c>
      <c r="AA294" t="e">
        <f t="shared" ca="1" si="91"/>
        <v>#N/A</v>
      </c>
      <c r="AB294" t="e">
        <f t="shared" ca="1" si="85"/>
        <v>#N/A</v>
      </c>
      <c r="AC294" t="e">
        <f t="shared" ca="1" si="86"/>
        <v>#N/A</v>
      </c>
      <c r="AD294" s="83" t="e">
        <f ca="1"/>
        <v>#N/A</v>
      </c>
      <c r="AE294" s="55" t="e">
        <f t="shared" ca="1" si="95"/>
        <v>#N/A</v>
      </c>
      <c r="AF294" s="55" t="e">
        <f t="shared" ca="1" si="96"/>
        <v>#N/A</v>
      </c>
      <c r="AG294" s="55" t="e">
        <f t="shared" ca="1" si="97"/>
        <v>#N/A</v>
      </c>
      <c r="AH294" s="55" t="e">
        <f t="shared" ca="1" si="98"/>
        <v>#N/A</v>
      </c>
      <c r="AI294" s="55" t="e">
        <f t="shared" ca="1" si="92"/>
        <v>#N/A</v>
      </c>
      <c r="AJ294" s="55" t="e">
        <f t="shared" ca="1" si="93"/>
        <v>#N/A</v>
      </c>
      <c r="AK294" s="55" t="e">
        <f t="shared" ca="1" si="94"/>
        <v>#N/A</v>
      </c>
    </row>
    <row r="295" spans="18:37">
      <c r="R295" s="83" t="e">
        <f ca="1"/>
        <v>#N/A</v>
      </c>
      <c r="S295" s="55" t="e">
        <f t="shared" ca="1" si="87"/>
        <v>#N/A</v>
      </c>
      <c r="T295" s="55" t="e">
        <f t="shared" ca="1" si="81"/>
        <v>#N/A</v>
      </c>
      <c r="U295" s="55" t="e">
        <f t="shared" ca="1" si="82"/>
        <v>#N/A</v>
      </c>
      <c r="V295" s="55" t="e">
        <f t="shared" ca="1" si="83"/>
        <v>#N/A</v>
      </c>
      <c r="W295" s="55" t="e">
        <f t="shared" ca="1" si="88"/>
        <v>#N/A</v>
      </c>
      <c r="X295" s="55" t="e">
        <f t="shared" ca="1" si="89"/>
        <v>#N/A</v>
      </c>
      <c r="Y295" s="55" t="e">
        <f t="shared" ca="1" si="90"/>
        <v>#N/A</v>
      </c>
      <c r="Z295" t="e">
        <f t="shared" ca="1" si="84"/>
        <v>#N/A</v>
      </c>
      <c r="AA295" t="e">
        <f t="shared" ca="1" si="91"/>
        <v>#N/A</v>
      </c>
      <c r="AB295" t="e">
        <f t="shared" ca="1" si="85"/>
        <v>#N/A</v>
      </c>
      <c r="AC295" t="e">
        <f t="shared" ca="1" si="86"/>
        <v>#N/A</v>
      </c>
      <c r="AD295" s="83" t="e">
        <f ca="1"/>
        <v>#N/A</v>
      </c>
      <c r="AE295" s="55" t="e">
        <f t="shared" ca="1" si="95"/>
        <v>#N/A</v>
      </c>
      <c r="AF295" s="55" t="e">
        <f t="shared" ca="1" si="96"/>
        <v>#N/A</v>
      </c>
      <c r="AG295" s="55" t="e">
        <f t="shared" ca="1" si="97"/>
        <v>#N/A</v>
      </c>
      <c r="AH295" s="55" t="e">
        <f t="shared" ca="1" si="98"/>
        <v>#N/A</v>
      </c>
      <c r="AI295" s="55" t="e">
        <f t="shared" ca="1" si="92"/>
        <v>#N/A</v>
      </c>
      <c r="AJ295" s="55" t="e">
        <f t="shared" ca="1" si="93"/>
        <v>#N/A</v>
      </c>
      <c r="AK295" s="55" t="e">
        <f t="shared" ca="1" si="94"/>
        <v>#N/A</v>
      </c>
    </row>
    <row r="296" spans="18:37">
      <c r="R296" s="83" t="e">
        <f ca="1"/>
        <v>#N/A</v>
      </c>
      <c r="S296" s="55" t="e">
        <f t="shared" ca="1" si="87"/>
        <v>#N/A</v>
      </c>
      <c r="T296" s="55" t="e">
        <f t="shared" ca="1" si="81"/>
        <v>#N/A</v>
      </c>
      <c r="U296" s="55" t="e">
        <f t="shared" ca="1" si="82"/>
        <v>#N/A</v>
      </c>
      <c r="V296" s="55" t="e">
        <f t="shared" ca="1" si="83"/>
        <v>#N/A</v>
      </c>
      <c r="W296" s="55" t="e">
        <f t="shared" ca="1" si="88"/>
        <v>#N/A</v>
      </c>
      <c r="X296" s="55" t="e">
        <f t="shared" ca="1" si="89"/>
        <v>#N/A</v>
      </c>
      <c r="Y296" s="55" t="e">
        <f t="shared" ca="1" si="90"/>
        <v>#N/A</v>
      </c>
      <c r="Z296" t="e">
        <f t="shared" ca="1" si="84"/>
        <v>#N/A</v>
      </c>
      <c r="AA296" t="e">
        <f t="shared" ca="1" si="91"/>
        <v>#N/A</v>
      </c>
      <c r="AB296" t="e">
        <f t="shared" ca="1" si="85"/>
        <v>#N/A</v>
      </c>
      <c r="AC296" t="e">
        <f t="shared" ca="1" si="86"/>
        <v>#N/A</v>
      </c>
      <c r="AD296" s="83" t="e">
        <f ca="1"/>
        <v>#N/A</v>
      </c>
      <c r="AE296" s="55" t="e">
        <f t="shared" ca="1" si="95"/>
        <v>#N/A</v>
      </c>
      <c r="AF296" s="55" t="e">
        <f t="shared" ca="1" si="96"/>
        <v>#N/A</v>
      </c>
      <c r="AG296" s="55" t="e">
        <f t="shared" ca="1" si="97"/>
        <v>#N/A</v>
      </c>
      <c r="AH296" s="55" t="e">
        <f t="shared" ca="1" si="98"/>
        <v>#N/A</v>
      </c>
      <c r="AI296" s="55" t="e">
        <f t="shared" ca="1" si="92"/>
        <v>#N/A</v>
      </c>
      <c r="AJ296" s="55" t="e">
        <f t="shared" ca="1" si="93"/>
        <v>#N/A</v>
      </c>
      <c r="AK296" s="55" t="e">
        <f t="shared" ca="1" si="94"/>
        <v>#N/A</v>
      </c>
    </row>
    <row r="297" spans="18:37">
      <c r="R297" s="83" t="e">
        <f ca="1"/>
        <v>#N/A</v>
      </c>
      <c r="S297" s="55" t="e">
        <f t="shared" ca="1" si="87"/>
        <v>#N/A</v>
      </c>
      <c r="T297" s="55" t="e">
        <f t="shared" ca="1" si="81"/>
        <v>#N/A</v>
      </c>
      <c r="U297" s="55" t="e">
        <f t="shared" ca="1" si="82"/>
        <v>#N/A</v>
      </c>
      <c r="V297" s="55" t="e">
        <f t="shared" ca="1" si="83"/>
        <v>#N/A</v>
      </c>
      <c r="W297" s="55" t="e">
        <f t="shared" ca="1" si="88"/>
        <v>#N/A</v>
      </c>
      <c r="X297" s="55" t="e">
        <f t="shared" ca="1" si="89"/>
        <v>#N/A</v>
      </c>
      <c r="Y297" s="55" t="e">
        <f t="shared" ca="1" si="90"/>
        <v>#N/A</v>
      </c>
      <c r="Z297" t="e">
        <f t="shared" ca="1" si="84"/>
        <v>#N/A</v>
      </c>
      <c r="AA297" t="e">
        <f t="shared" ca="1" si="91"/>
        <v>#N/A</v>
      </c>
      <c r="AB297" t="e">
        <f t="shared" ca="1" si="85"/>
        <v>#N/A</v>
      </c>
      <c r="AC297" t="e">
        <f t="shared" ca="1" si="86"/>
        <v>#N/A</v>
      </c>
      <c r="AD297" s="83" t="e">
        <f ca="1"/>
        <v>#N/A</v>
      </c>
      <c r="AE297" s="55" t="e">
        <f t="shared" ca="1" si="95"/>
        <v>#N/A</v>
      </c>
      <c r="AF297" s="55" t="e">
        <f t="shared" ca="1" si="96"/>
        <v>#N/A</v>
      </c>
      <c r="AG297" s="55" t="e">
        <f t="shared" ca="1" si="97"/>
        <v>#N/A</v>
      </c>
      <c r="AH297" s="55" t="e">
        <f t="shared" ca="1" si="98"/>
        <v>#N/A</v>
      </c>
      <c r="AI297" s="55" t="e">
        <f t="shared" ca="1" si="92"/>
        <v>#N/A</v>
      </c>
      <c r="AJ297" s="55" t="e">
        <f t="shared" ca="1" si="93"/>
        <v>#N/A</v>
      </c>
      <c r="AK297" s="55" t="e">
        <f t="shared" ca="1" si="94"/>
        <v>#N/A</v>
      </c>
    </row>
    <row r="298" spans="18:37">
      <c r="R298" s="83" t="e">
        <f ca="1"/>
        <v>#N/A</v>
      </c>
      <c r="S298" s="55" t="e">
        <f t="shared" ca="1" si="87"/>
        <v>#N/A</v>
      </c>
      <c r="T298" s="55" t="e">
        <f t="shared" ca="1" si="81"/>
        <v>#N/A</v>
      </c>
      <c r="U298" s="55" t="e">
        <f t="shared" ca="1" si="82"/>
        <v>#N/A</v>
      </c>
      <c r="V298" s="55" t="e">
        <f t="shared" ca="1" si="83"/>
        <v>#N/A</v>
      </c>
      <c r="W298" s="55" t="e">
        <f t="shared" ca="1" si="88"/>
        <v>#N/A</v>
      </c>
      <c r="X298" s="55" t="e">
        <f t="shared" ca="1" si="89"/>
        <v>#N/A</v>
      </c>
      <c r="Y298" s="55" t="e">
        <f t="shared" ca="1" si="90"/>
        <v>#N/A</v>
      </c>
      <c r="Z298" t="e">
        <f t="shared" ca="1" si="84"/>
        <v>#N/A</v>
      </c>
      <c r="AA298" t="e">
        <f t="shared" ca="1" si="91"/>
        <v>#N/A</v>
      </c>
      <c r="AB298" t="e">
        <f t="shared" ca="1" si="85"/>
        <v>#N/A</v>
      </c>
      <c r="AC298" t="e">
        <f t="shared" ca="1" si="86"/>
        <v>#N/A</v>
      </c>
      <c r="AD298" s="83" t="e">
        <f ca="1"/>
        <v>#N/A</v>
      </c>
      <c r="AE298" s="55" t="e">
        <f t="shared" ca="1" si="95"/>
        <v>#N/A</v>
      </c>
      <c r="AF298" s="55" t="e">
        <f t="shared" ca="1" si="96"/>
        <v>#N/A</v>
      </c>
      <c r="AG298" s="55" t="e">
        <f t="shared" ca="1" si="97"/>
        <v>#N/A</v>
      </c>
      <c r="AH298" s="55" t="e">
        <f t="shared" ca="1" si="98"/>
        <v>#N/A</v>
      </c>
      <c r="AI298" s="55" t="e">
        <f t="shared" ca="1" si="92"/>
        <v>#N/A</v>
      </c>
      <c r="AJ298" s="55" t="e">
        <f t="shared" ca="1" si="93"/>
        <v>#N/A</v>
      </c>
      <c r="AK298" s="55" t="e">
        <f t="shared" ca="1" si="94"/>
        <v>#N/A</v>
      </c>
    </row>
    <row r="299" spans="18:37">
      <c r="R299" s="83" t="e">
        <f ca="1"/>
        <v>#N/A</v>
      </c>
      <c r="S299" s="55" t="e">
        <f t="shared" ca="1" si="87"/>
        <v>#N/A</v>
      </c>
      <c r="T299" s="55" t="e">
        <f t="shared" ca="1" si="81"/>
        <v>#N/A</v>
      </c>
      <c r="U299" s="55" t="e">
        <f t="shared" ca="1" si="82"/>
        <v>#N/A</v>
      </c>
      <c r="V299" s="55" t="e">
        <f t="shared" ca="1" si="83"/>
        <v>#N/A</v>
      </c>
      <c r="W299" s="55" t="e">
        <f t="shared" ca="1" si="88"/>
        <v>#N/A</v>
      </c>
      <c r="X299" s="55" t="e">
        <f t="shared" ca="1" si="89"/>
        <v>#N/A</v>
      </c>
      <c r="Y299" s="55" t="e">
        <f t="shared" ca="1" si="90"/>
        <v>#N/A</v>
      </c>
      <c r="Z299" t="e">
        <f t="shared" ca="1" si="84"/>
        <v>#N/A</v>
      </c>
      <c r="AA299" t="e">
        <f t="shared" ca="1" si="91"/>
        <v>#N/A</v>
      </c>
      <c r="AB299" t="e">
        <f t="shared" ca="1" si="85"/>
        <v>#N/A</v>
      </c>
      <c r="AC299" t="e">
        <f t="shared" ca="1" si="86"/>
        <v>#N/A</v>
      </c>
      <c r="AD299" s="83" t="e">
        <f ca="1"/>
        <v>#N/A</v>
      </c>
      <c r="AE299" s="55" t="e">
        <f t="shared" ca="1" si="95"/>
        <v>#N/A</v>
      </c>
      <c r="AF299" s="55" t="e">
        <f t="shared" ca="1" si="96"/>
        <v>#N/A</v>
      </c>
      <c r="AG299" s="55" t="e">
        <f t="shared" ca="1" si="97"/>
        <v>#N/A</v>
      </c>
      <c r="AH299" s="55" t="e">
        <f t="shared" ca="1" si="98"/>
        <v>#N/A</v>
      </c>
      <c r="AI299" s="55" t="e">
        <f t="shared" ca="1" si="92"/>
        <v>#N/A</v>
      </c>
      <c r="AJ299" s="55" t="e">
        <f t="shared" ca="1" si="93"/>
        <v>#N/A</v>
      </c>
      <c r="AK299" s="55" t="e">
        <f t="shared" ca="1" si="94"/>
        <v>#N/A</v>
      </c>
    </row>
    <row r="300" spans="18:37">
      <c r="R300" s="83" t="e">
        <f ca="1"/>
        <v>#N/A</v>
      </c>
      <c r="S300" s="55" t="e">
        <f t="shared" ca="1" si="87"/>
        <v>#N/A</v>
      </c>
      <c r="T300" s="55" t="e">
        <f t="shared" ca="1" si="81"/>
        <v>#N/A</v>
      </c>
      <c r="U300" s="55" t="e">
        <f t="shared" ca="1" si="82"/>
        <v>#N/A</v>
      </c>
      <c r="V300" s="55" t="e">
        <f t="shared" ca="1" si="83"/>
        <v>#N/A</v>
      </c>
      <c r="W300" s="55" t="e">
        <f t="shared" ca="1" si="88"/>
        <v>#N/A</v>
      </c>
      <c r="X300" s="55" t="e">
        <f t="shared" ca="1" si="89"/>
        <v>#N/A</v>
      </c>
      <c r="Y300" s="55" t="e">
        <f t="shared" ca="1" si="90"/>
        <v>#N/A</v>
      </c>
      <c r="Z300" t="e">
        <f t="shared" ca="1" si="84"/>
        <v>#N/A</v>
      </c>
      <c r="AA300" t="e">
        <f t="shared" ca="1" si="91"/>
        <v>#N/A</v>
      </c>
      <c r="AB300" t="e">
        <f t="shared" ca="1" si="85"/>
        <v>#N/A</v>
      </c>
      <c r="AC300" t="e">
        <f t="shared" ca="1" si="86"/>
        <v>#N/A</v>
      </c>
      <c r="AD300" s="83" t="e">
        <f ca="1"/>
        <v>#N/A</v>
      </c>
      <c r="AE300" s="55" t="e">
        <f t="shared" ca="1" si="95"/>
        <v>#N/A</v>
      </c>
      <c r="AF300" s="55" t="e">
        <f t="shared" ca="1" si="96"/>
        <v>#N/A</v>
      </c>
      <c r="AG300" s="55" t="e">
        <f t="shared" ca="1" si="97"/>
        <v>#N/A</v>
      </c>
      <c r="AH300" s="55" t="e">
        <f t="shared" ca="1" si="98"/>
        <v>#N/A</v>
      </c>
      <c r="AI300" s="55" t="e">
        <f t="shared" ca="1" si="92"/>
        <v>#N/A</v>
      </c>
      <c r="AJ300" s="55" t="e">
        <f t="shared" ca="1" si="93"/>
        <v>#N/A</v>
      </c>
      <c r="AK300" s="55" t="e">
        <f t="shared" ca="1" si="94"/>
        <v>#N/A</v>
      </c>
    </row>
    <row r="301" spans="18:37">
      <c r="R301" s="83" t="e">
        <f ca="1"/>
        <v>#N/A</v>
      </c>
      <c r="S301" s="55" t="e">
        <f t="shared" ca="1" si="87"/>
        <v>#N/A</v>
      </c>
      <c r="T301" s="55" t="e">
        <f t="shared" ca="1" si="81"/>
        <v>#N/A</v>
      </c>
      <c r="U301" s="55" t="e">
        <f t="shared" ca="1" si="82"/>
        <v>#N/A</v>
      </c>
      <c r="V301" s="55" t="e">
        <f t="shared" ca="1" si="83"/>
        <v>#N/A</v>
      </c>
      <c r="W301" s="55" t="e">
        <f t="shared" ca="1" si="88"/>
        <v>#N/A</v>
      </c>
      <c r="X301" s="55" t="e">
        <f t="shared" ca="1" si="89"/>
        <v>#N/A</v>
      </c>
      <c r="Y301" s="55" t="e">
        <f t="shared" ca="1" si="90"/>
        <v>#N/A</v>
      </c>
      <c r="Z301" t="e">
        <f t="shared" ca="1" si="84"/>
        <v>#N/A</v>
      </c>
      <c r="AA301" t="e">
        <f t="shared" ca="1" si="91"/>
        <v>#N/A</v>
      </c>
      <c r="AB301" t="e">
        <f t="shared" ca="1" si="85"/>
        <v>#N/A</v>
      </c>
      <c r="AC301" t="e">
        <f t="shared" ca="1" si="86"/>
        <v>#N/A</v>
      </c>
      <c r="AD301" s="83" t="e">
        <f ca="1"/>
        <v>#N/A</v>
      </c>
      <c r="AE301" s="55" t="e">
        <f t="shared" ca="1" si="95"/>
        <v>#N/A</v>
      </c>
      <c r="AF301" s="55" t="e">
        <f t="shared" ca="1" si="96"/>
        <v>#N/A</v>
      </c>
      <c r="AG301" s="55" t="e">
        <f t="shared" ca="1" si="97"/>
        <v>#N/A</v>
      </c>
      <c r="AH301" s="55" t="e">
        <f t="shared" ca="1" si="98"/>
        <v>#N/A</v>
      </c>
      <c r="AI301" s="55" t="e">
        <f t="shared" ca="1" si="92"/>
        <v>#N/A</v>
      </c>
      <c r="AJ301" s="55" t="e">
        <f t="shared" ca="1" si="93"/>
        <v>#N/A</v>
      </c>
      <c r="AK301" s="55" t="e">
        <f t="shared" ca="1" si="94"/>
        <v>#N/A</v>
      </c>
    </row>
    <row r="302" spans="18:37">
      <c r="R302" s="83" t="e">
        <f ca="1"/>
        <v>#N/A</v>
      </c>
      <c r="S302" s="55" t="e">
        <f t="shared" ca="1" si="87"/>
        <v>#N/A</v>
      </c>
      <c r="T302" s="55" t="e">
        <f t="shared" ca="1" si="81"/>
        <v>#N/A</v>
      </c>
      <c r="U302" s="55" t="e">
        <f t="shared" ca="1" si="82"/>
        <v>#N/A</v>
      </c>
      <c r="V302" s="55" t="e">
        <f t="shared" ca="1" si="83"/>
        <v>#N/A</v>
      </c>
      <c r="W302" s="55" t="e">
        <f t="shared" ca="1" si="88"/>
        <v>#N/A</v>
      </c>
      <c r="X302" s="55" t="e">
        <f t="shared" ca="1" si="89"/>
        <v>#N/A</v>
      </c>
      <c r="Y302" s="55" t="e">
        <f t="shared" ca="1" si="90"/>
        <v>#N/A</v>
      </c>
      <c r="Z302" t="e">
        <f t="shared" ca="1" si="84"/>
        <v>#N/A</v>
      </c>
      <c r="AA302" t="e">
        <f t="shared" ca="1" si="91"/>
        <v>#N/A</v>
      </c>
      <c r="AB302" t="e">
        <f t="shared" ca="1" si="85"/>
        <v>#N/A</v>
      </c>
      <c r="AC302" t="e">
        <f t="shared" ca="1" si="86"/>
        <v>#N/A</v>
      </c>
      <c r="AD302" s="83" t="e">
        <f ca="1"/>
        <v>#N/A</v>
      </c>
      <c r="AE302" s="55" t="e">
        <f t="shared" ca="1" si="95"/>
        <v>#N/A</v>
      </c>
      <c r="AF302" s="55" t="e">
        <f t="shared" ca="1" si="96"/>
        <v>#N/A</v>
      </c>
      <c r="AG302" s="55" t="e">
        <f t="shared" ca="1" si="97"/>
        <v>#N/A</v>
      </c>
      <c r="AH302" s="55" t="e">
        <f t="shared" ca="1" si="98"/>
        <v>#N/A</v>
      </c>
      <c r="AI302" s="55" t="e">
        <f t="shared" ca="1" si="92"/>
        <v>#N/A</v>
      </c>
      <c r="AJ302" s="55" t="e">
        <f t="shared" ca="1" si="93"/>
        <v>#N/A</v>
      </c>
      <c r="AK302" s="55" t="e">
        <f t="shared" ca="1" si="94"/>
        <v>#N/A</v>
      </c>
    </row>
    <row r="303" spans="18:37">
      <c r="R303" s="83" t="e">
        <f ca="1"/>
        <v>#N/A</v>
      </c>
      <c r="S303" s="55" t="e">
        <f t="shared" ca="1" si="87"/>
        <v>#N/A</v>
      </c>
      <c r="T303" s="55" t="e">
        <f t="shared" ca="1" si="81"/>
        <v>#N/A</v>
      </c>
      <c r="U303" s="55" t="e">
        <f t="shared" ca="1" si="82"/>
        <v>#N/A</v>
      </c>
      <c r="V303" s="55" t="e">
        <f t="shared" ca="1" si="83"/>
        <v>#N/A</v>
      </c>
      <c r="W303" s="55" t="e">
        <f t="shared" ca="1" si="88"/>
        <v>#N/A</v>
      </c>
      <c r="X303" s="55" t="e">
        <f t="shared" ca="1" si="89"/>
        <v>#N/A</v>
      </c>
      <c r="Y303" s="55" t="e">
        <f t="shared" ca="1" si="90"/>
        <v>#N/A</v>
      </c>
      <c r="Z303" t="e">
        <f t="shared" ca="1" si="84"/>
        <v>#N/A</v>
      </c>
      <c r="AA303" t="e">
        <f t="shared" ca="1" si="91"/>
        <v>#N/A</v>
      </c>
      <c r="AB303" t="e">
        <f t="shared" ca="1" si="85"/>
        <v>#N/A</v>
      </c>
      <c r="AC303" t="e">
        <f t="shared" ca="1" si="86"/>
        <v>#N/A</v>
      </c>
      <c r="AD303" s="83" t="e">
        <f ca="1"/>
        <v>#N/A</v>
      </c>
      <c r="AE303" s="55" t="e">
        <f t="shared" ca="1" si="95"/>
        <v>#N/A</v>
      </c>
      <c r="AF303" s="55" t="e">
        <f t="shared" ca="1" si="96"/>
        <v>#N/A</v>
      </c>
      <c r="AG303" s="55" t="e">
        <f t="shared" ca="1" si="97"/>
        <v>#N/A</v>
      </c>
      <c r="AH303" s="55" t="e">
        <f t="shared" ca="1" si="98"/>
        <v>#N/A</v>
      </c>
      <c r="AI303" s="55" t="e">
        <f t="shared" ca="1" si="92"/>
        <v>#N/A</v>
      </c>
      <c r="AJ303" s="55" t="e">
        <f t="shared" ca="1" si="93"/>
        <v>#N/A</v>
      </c>
      <c r="AK303" s="55" t="e">
        <f t="shared" ca="1" si="94"/>
        <v>#N/A</v>
      </c>
    </row>
    <row r="304" spans="18:37">
      <c r="R304" s="83" t="e">
        <f ca="1"/>
        <v>#N/A</v>
      </c>
      <c r="S304" s="55" t="e">
        <f t="shared" ca="1" si="87"/>
        <v>#N/A</v>
      </c>
      <c r="T304" s="55" t="e">
        <f t="shared" ca="1" si="81"/>
        <v>#N/A</v>
      </c>
      <c r="U304" s="55" t="e">
        <f t="shared" ca="1" si="82"/>
        <v>#N/A</v>
      </c>
      <c r="V304" s="55" t="e">
        <f t="shared" ca="1" si="83"/>
        <v>#N/A</v>
      </c>
      <c r="W304" s="55" t="e">
        <f t="shared" ca="1" si="88"/>
        <v>#N/A</v>
      </c>
      <c r="X304" s="55" t="e">
        <f t="shared" ca="1" si="89"/>
        <v>#N/A</v>
      </c>
      <c r="Y304" s="55" t="e">
        <f t="shared" ca="1" si="90"/>
        <v>#N/A</v>
      </c>
      <c r="Z304" t="e">
        <f t="shared" ca="1" si="84"/>
        <v>#N/A</v>
      </c>
      <c r="AA304" t="e">
        <f t="shared" ca="1" si="91"/>
        <v>#N/A</v>
      </c>
      <c r="AB304" t="e">
        <f t="shared" ca="1" si="85"/>
        <v>#N/A</v>
      </c>
      <c r="AC304" t="e">
        <f t="shared" ca="1" si="86"/>
        <v>#N/A</v>
      </c>
      <c r="AD304" s="83" t="e">
        <f ca="1"/>
        <v>#N/A</v>
      </c>
      <c r="AE304" s="55" t="e">
        <f t="shared" ca="1" si="95"/>
        <v>#N/A</v>
      </c>
      <c r="AF304" s="55" t="e">
        <f t="shared" ca="1" si="96"/>
        <v>#N/A</v>
      </c>
      <c r="AG304" s="55" t="e">
        <f t="shared" ca="1" si="97"/>
        <v>#N/A</v>
      </c>
      <c r="AH304" s="55" t="e">
        <f t="shared" ca="1" si="98"/>
        <v>#N/A</v>
      </c>
      <c r="AI304" s="55" t="e">
        <f t="shared" ca="1" si="92"/>
        <v>#N/A</v>
      </c>
      <c r="AJ304" s="55" t="e">
        <f t="shared" ca="1" si="93"/>
        <v>#N/A</v>
      </c>
      <c r="AK304" s="55" t="e">
        <f t="shared" ca="1" si="94"/>
        <v>#N/A</v>
      </c>
    </row>
    <row r="305" spans="18:37">
      <c r="R305" s="83" t="e">
        <f ca="1"/>
        <v>#N/A</v>
      </c>
      <c r="S305" s="55" t="e">
        <f t="shared" ca="1" si="87"/>
        <v>#N/A</v>
      </c>
      <c r="T305" s="55" t="e">
        <f t="shared" ca="1" si="81"/>
        <v>#N/A</v>
      </c>
      <c r="U305" s="55" t="e">
        <f t="shared" ca="1" si="82"/>
        <v>#N/A</v>
      </c>
      <c r="V305" s="55" t="e">
        <f t="shared" ca="1" si="83"/>
        <v>#N/A</v>
      </c>
      <c r="W305" s="55" t="e">
        <f t="shared" ca="1" si="88"/>
        <v>#N/A</v>
      </c>
      <c r="X305" s="55" t="e">
        <f t="shared" ca="1" si="89"/>
        <v>#N/A</v>
      </c>
      <c r="Y305" s="55" t="e">
        <f t="shared" ca="1" si="90"/>
        <v>#N/A</v>
      </c>
      <c r="Z305" t="e">
        <f t="shared" ca="1" si="84"/>
        <v>#N/A</v>
      </c>
      <c r="AA305" t="e">
        <f t="shared" ca="1" si="91"/>
        <v>#N/A</v>
      </c>
      <c r="AB305" t="e">
        <f t="shared" ca="1" si="85"/>
        <v>#N/A</v>
      </c>
      <c r="AC305" t="e">
        <f t="shared" ca="1" si="86"/>
        <v>#N/A</v>
      </c>
      <c r="AD305" s="83" t="e">
        <f ca="1"/>
        <v>#N/A</v>
      </c>
      <c r="AE305" s="55" t="e">
        <f t="shared" ca="1" si="95"/>
        <v>#N/A</v>
      </c>
      <c r="AF305" s="55" t="e">
        <f t="shared" ca="1" si="96"/>
        <v>#N/A</v>
      </c>
      <c r="AG305" s="55" t="e">
        <f t="shared" ca="1" si="97"/>
        <v>#N/A</v>
      </c>
      <c r="AH305" s="55" t="e">
        <f t="shared" ca="1" si="98"/>
        <v>#N/A</v>
      </c>
      <c r="AI305" s="55" t="e">
        <f t="shared" ca="1" si="92"/>
        <v>#N/A</v>
      </c>
      <c r="AJ305" s="55" t="e">
        <f t="shared" ca="1" si="93"/>
        <v>#N/A</v>
      </c>
      <c r="AK305" s="55" t="e">
        <f t="shared" ca="1" si="94"/>
        <v>#N/A</v>
      </c>
    </row>
    <row r="306" spans="18:37">
      <c r="R306" s="83" t="e">
        <f ca="1"/>
        <v>#N/A</v>
      </c>
      <c r="S306" s="55" t="e">
        <f t="shared" ca="1" si="87"/>
        <v>#N/A</v>
      </c>
      <c r="T306" s="55" t="e">
        <f t="shared" ca="1" si="81"/>
        <v>#N/A</v>
      </c>
      <c r="U306" s="55" t="e">
        <f t="shared" ca="1" si="82"/>
        <v>#N/A</v>
      </c>
      <c r="V306" s="55" t="e">
        <f t="shared" ca="1" si="83"/>
        <v>#N/A</v>
      </c>
      <c r="W306" s="55" t="e">
        <f t="shared" ca="1" si="88"/>
        <v>#N/A</v>
      </c>
      <c r="X306" s="55" t="e">
        <f t="shared" ca="1" si="89"/>
        <v>#N/A</v>
      </c>
      <c r="Y306" s="55" t="e">
        <f t="shared" ca="1" si="90"/>
        <v>#N/A</v>
      </c>
      <c r="Z306" t="e">
        <f t="shared" ca="1" si="84"/>
        <v>#N/A</v>
      </c>
      <c r="AA306" t="e">
        <f t="shared" ca="1" si="91"/>
        <v>#N/A</v>
      </c>
      <c r="AB306" t="e">
        <f t="shared" ca="1" si="85"/>
        <v>#N/A</v>
      </c>
      <c r="AC306" t="e">
        <f t="shared" ca="1" si="86"/>
        <v>#N/A</v>
      </c>
      <c r="AD306" s="83" t="e">
        <f ca="1"/>
        <v>#N/A</v>
      </c>
      <c r="AE306" s="55" t="e">
        <f t="shared" ca="1" si="95"/>
        <v>#N/A</v>
      </c>
      <c r="AF306" s="55" t="e">
        <f t="shared" ca="1" si="96"/>
        <v>#N/A</v>
      </c>
      <c r="AG306" s="55" t="e">
        <f t="shared" ca="1" si="97"/>
        <v>#N/A</v>
      </c>
      <c r="AH306" s="55" t="e">
        <f t="shared" ca="1" si="98"/>
        <v>#N/A</v>
      </c>
      <c r="AI306" s="55" t="e">
        <f t="shared" ca="1" si="92"/>
        <v>#N/A</v>
      </c>
      <c r="AJ306" s="55" t="e">
        <f t="shared" ca="1" si="93"/>
        <v>#N/A</v>
      </c>
      <c r="AK306" s="55" t="e">
        <f t="shared" ca="1" si="94"/>
        <v>#N/A</v>
      </c>
    </row>
    <row r="307" spans="18:37">
      <c r="R307" s="83" t="e">
        <f ca="1"/>
        <v>#N/A</v>
      </c>
      <c r="S307" s="55" t="e">
        <f t="shared" ca="1" si="87"/>
        <v>#N/A</v>
      </c>
      <c r="T307" s="55" t="e">
        <f t="shared" ca="1" si="81"/>
        <v>#N/A</v>
      </c>
      <c r="U307" s="55" t="e">
        <f t="shared" ca="1" si="82"/>
        <v>#N/A</v>
      </c>
      <c r="V307" s="55" t="e">
        <f t="shared" ca="1" si="83"/>
        <v>#N/A</v>
      </c>
      <c r="W307" s="55" t="e">
        <f t="shared" ca="1" si="88"/>
        <v>#N/A</v>
      </c>
      <c r="X307" s="55" t="e">
        <f t="shared" ca="1" si="89"/>
        <v>#N/A</v>
      </c>
      <c r="Y307" s="55" t="e">
        <f t="shared" ca="1" si="90"/>
        <v>#N/A</v>
      </c>
      <c r="Z307" t="e">
        <f t="shared" ca="1" si="84"/>
        <v>#N/A</v>
      </c>
      <c r="AA307" t="e">
        <f t="shared" ca="1" si="91"/>
        <v>#N/A</v>
      </c>
      <c r="AB307" t="e">
        <f t="shared" ca="1" si="85"/>
        <v>#N/A</v>
      </c>
      <c r="AC307" t="e">
        <f t="shared" ca="1" si="86"/>
        <v>#N/A</v>
      </c>
      <c r="AD307" s="83" t="e">
        <f ca="1"/>
        <v>#N/A</v>
      </c>
      <c r="AE307" s="55" t="e">
        <f t="shared" ca="1" si="95"/>
        <v>#N/A</v>
      </c>
      <c r="AF307" s="55" t="e">
        <f t="shared" ca="1" si="96"/>
        <v>#N/A</v>
      </c>
      <c r="AG307" s="55" t="e">
        <f t="shared" ca="1" si="97"/>
        <v>#N/A</v>
      </c>
      <c r="AH307" s="55" t="e">
        <f t="shared" ca="1" si="98"/>
        <v>#N/A</v>
      </c>
      <c r="AI307" s="55" t="e">
        <f t="shared" ca="1" si="92"/>
        <v>#N/A</v>
      </c>
      <c r="AJ307" s="55" t="e">
        <f t="shared" ca="1" si="93"/>
        <v>#N/A</v>
      </c>
      <c r="AK307" s="55" t="e">
        <f t="shared" ca="1" si="94"/>
        <v>#N/A</v>
      </c>
    </row>
    <row r="308" spans="18:37">
      <c r="R308" s="83" t="e">
        <f ca="1"/>
        <v>#N/A</v>
      </c>
      <c r="S308" s="55" t="e">
        <f t="shared" ca="1" si="87"/>
        <v>#N/A</v>
      </c>
      <c r="T308" s="55" t="e">
        <f t="shared" ca="1" si="81"/>
        <v>#N/A</v>
      </c>
      <c r="U308" s="55" t="e">
        <f t="shared" ca="1" si="82"/>
        <v>#N/A</v>
      </c>
      <c r="V308" s="55" t="e">
        <f t="shared" ca="1" si="83"/>
        <v>#N/A</v>
      </c>
      <c r="W308" s="55" t="e">
        <f t="shared" ca="1" si="88"/>
        <v>#N/A</v>
      </c>
      <c r="X308" s="55" t="e">
        <f t="shared" ca="1" si="89"/>
        <v>#N/A</v>
      </c>
      <c r="Y308" s="55" t="e">
        <f t="shared" ca="1" si="90"/>
        <v>#N/A</v>
      </c>
      <c r="Z308" t="e">
        <f t="shared" ca="1" si="84"/>
        <v>#N/A</v>
      </c>
      <c r="AA308" t="e">
        <f t="shared" ca="1" si="91"/>
        <v>#N/A</v>
      </c>
      <c r="AB308" t="e">
        <f t="shared" ca="1" si="85"/>
        <v>#N/A</v>
      </c>
      <c r="AC308" t="e">
        <f t="shared" ca="1" si="86"/>
        <v>#N/A</v>
      </c>
      <c r="AD308" s="83" t="e">
        <f ca="1"/>
        <v>#N/A</v>
      </c>
      <c r="AE308" s="55" t="e">
        <f t="shared" ca="1" si="95"/>
        <v>#N/A</v>
      </c>
      <c r="AF308" s="55" t="e">
        <f t="shared" ca="1" si="96"/>
        <v>#N/A</v>
      </c>
      <c r="AG308" s="55" t="e">
        <f t="shared" ca="1" si="97"/>
        <v>#N/A</v>
      </c>
      <c r="AH308" s="55" t="e">
        <f t="shared" ca="1" si="98"/>
        <v>#N/A</v>
      </c>
      <c r="AI308" s="55" t="e">
        <f t="shared" ca="1" si="92"/>
        <v>#N/A</v>
      </c>
      <c r="AJ308" s="55" t="e">
        <f t="shared" ca="1" si="93"/>
        <v>#N/A</v>
      </c>
      <c r="AK308" s="55" t="e">
        <f t="shared" ca="1" si="94"/>
        <v>#N/A</v>
      </c>
    </row>
    <row r="309" spans="18:37">
      <c r="R309" s="83" t="e">
        <f ca="1"/>
        <v>#N/A</v>
      </c>
      <c r="S309" s="55" t="e">
        <f t="shared" ca="1" si="87"/>
        <v>#N/A</v>
      </c>
      <c r="T309" s="55" t="e">
        <f t="shared" ca="1" si="81"/>
        <v>#N/A</v>
      </c>
      <c r="U309" s="55" t="e">
        <f t="shared" ca="1" si="82"/>
        <v>#N/A</v>
      </c>
      <c r="V309" s="55" t="e">
        <f t="shared" ca="1" si="83"/>
        <v>#N/A</v>
      </c>
      <c r="W309" s="55" t="e">
        <f t="shared" ca="1" si="88"/>
        <v>#N/A</v>
      </c>
      <c r="X309" s="55" t="e">
        <f t="shared" ca="1" si="89"/>
        <v>#N/A</v>
      </c>
      <c r="Y309" s="55" t="e">
        <f t="shared" ca="1" si="90"/>
        <v>#N/A</v>
      </c>
      <c r="Z309" t="e">
        <f t="shared" ca="1" si="84"/>
        <v>#N/A</v>
      </c>
      <c r="AA309" t="e">
        <f t="shared" ca="1" si="91"/>
        <v>#N/A</v>
      </c>
      <c r="AB309" t="e">
        <f t="shared" ca="1" si="85"/>
        <v>#N/A</v>
      </c>
      <c r="AC309" t="e">
        <f t="shared" ca="1" si="86"/>
        <v>#N/A</v>
      </c>
      <c r="AD309" s="83" t="e">
        <f ca="1"/>
        <v>#N/A</v>
      </c>
      <c r="AE309" s="55" t="e">
        <f t="shared" ca="1" si="95"/>
        <v>#N/A</v>
      </c>
      <c r="AF309" s="55" t="e">
        <f t="shared" ca="1" si="96"/>
        <v>#N/A</v>
      </c>
      <c r="AG309" s="55" t="e">
        <f t="shared" ca="1" si="97"/>
        <v>#N/A</v>
      </c>
      <c r="AH309" s="55" t="e">
        <f t="shared" ca="1" si="98"/>
        <v>#N/A</v>
      </c>
      <c r="AI309" s="55" t="e">
        <f t="shared" ca="1" si="92"/>
        <v>#N/A</v>
      </c>
      <c r="AJ309" s="55" t="e">
        <f t="shared" ca="1" si="93"/>
        <v>#N/A</v>
      </c>
      <c r="AK309" s="55" t="e">
        <f t="shared" ca="1" si="94"/>
        <v>#N/A</v>
      </c>
    </row>
    <row r="310" spans="18:37">
      <c r="R310" s="83" t="e">
        <f ca="1"/>
        <v>#N/A</v>
      </c>
      <c r="S310" s="55" t="e">
        <f t="shared" ca="1" si="87"/>
        <v>#N/A</v>
      </c>
      <c r="T310" s="55" t="e">
        <f t="shared" ca="1" si="81"/>
        <v>#N/A</v>
      </c>
      <c r="U310" s="55" t="e">
        <f t="shared" ca="1" si="82"/>
        <v>#N/A</v>
      </c>
      <c r="V310" s="55" t="e">
        <f t="shared" ca="1" si="83"/>
        <v>#N/A</v>
      </c>
      <c r="W310" s="55" t="e">
        <f t="shared" ca="1" si="88"/>
        <v>#N/A</v>
      </c>
      <c r="X310" s="55" t="e">
        <f t="shared" ca="1" si="89"/>
        <v>#N/A</v>
      </c>
      <c r="Y310" s="55" t="e">
        <f t="shared" ca="1" si="90"/>
        <v>#N/A</v>
      </c>
      <c r="Z310" t="e">
        <f t="shared" ca="1" si="84"/>
        <v>#N/A</v>
      </c>
      <c r="AA310" t="e">
        <f t="shared" ca="1" si="91"/>
        <v>#N/A</v>
      </c>
      <c r="AB310" t="e">
        <f t="shared" ca="1" si="85"/>
        <v>#N/A</v>
      </c>
      <c r="AC310" t="e">
        <f t="shared" ca="1" si="86"/>
        <v>#N/A</v>
      </c>
      <c r="AD310" s="83" t="e">
        <f ca="1"/>
        <v>#N/A</v>
      </c>
      <c r="AE310" s="55" t="e">
        <f t="shared" ca="1" si="95"/>
        <v>#N/A</v>
      </c>
      <c r="AF310" s="55" t="e">
        <f t="shared" ca="1" si="96"/>
        <v>#N/A</v>
      </c>
      <c r="AG310" s="55" t="e">
        <f t="shared" ca="1" si="97"/>
        <v>#N/A</v>
      </c>
      <c r="AH310" s="55" t="e">
        <f t="shared" ca="1" si="98"/>
        <v>#N/A</v>
      </c>
      <c r="AI310" s="55" t="e">
        <f t="shared" ca="1" si="92"/>
        <v>#N/A</v>
      </c>
      <c r="AJ310" s="55" t="e">
        <f t="shared" ca="1" si="93"/>
        <v>#N/A</v>
      </c>
      <c r="AK310" s="55" t="e">
        <f t="shared" ca="1" si="94"/>
        <v>#N/A</v>
      </c>
    </row>
    <row r="311" spans="18:37">
      <c r="R311" s="83" t="e">
        <f ca="1"/>
        <v>#N/A</v>
      </c>
      <c r="S311" s="55" t="e">
        <f t="shared" ca="1" si="87"/>
        <v>#N/A</v>
      </c>
      <c r="T311" s="55" t="e">
        <f t="shared" ca="1" si="81"/>
        <v>#N/A</v>
      </c>
      <c r="U311" s="55" t="e">
        <f t="shared" ca="1" si="82"/>
        <v>#N/A</v>
      </c>
      <c r="V311" s="55" t="e">
        <f t="shared" ca="1" si="83"/>
        <v>#N/A</v>
      </c>
      <c r="W311" s="55" t="e">
        <f t="shared" ca="1" si="88"/>
        <v>#N/A</v>
      </c>
      <c r="X311" s="55" t="e">
        <f t="shared" ca="1" si="89"/>
        <v>#N/A</v>
      </c>
      <c r="Y311" s="55" t="e">
        <f t="shared" ca="1" si="90"/>
        <v>#N/A</v>
      </c>
      <c r="Z311" t="e">
        <f t="shared" ca="1" si="84"/>
        <v>#N/A</v>
      </c>
      <c r="AA311" t="e">
        <f t="shared" ca="1" si="91"/>
        <v>#N/A</v>
      </c>
      <c r="AB311" t="e">
        <f t="shared" ca="1" si="85"/>
        <v>#N/A</v>
      </c>
      <c r="AC311" t="e">
        <f t="shared" ca="1" si="86"/>
        <v>#N/A</v>
      </c>
      <c r="AD311" s="83" t="e">
        <f ca="1"/>
        <v>#N/A</v>
      </c>
      <c r="AE311" s="55" t="e">
        <f t="shared" ca="1" si="95"/>
        <v>#N/A</v>
      </c>
      <c r="AF311" s="55" t="e">
        <f t="shared" ca="1" si="96"/>
        <v>#N/A</v>
      </c>
      <c r="AG311" s="55" t="e">
        <f t="shared" ca="1" si="97"/>
        <v>#N/A</v>
      </c>
      <c r="AH311" s="55" t="e">
        <f t="shared" ca="1" si="98"/>
        <v>#N/A</v>
      </c>
      <c r="AI311" s="55" t="e">
        <f t="shared" ca="1" si="92"/>
        <v>#N/A</v>
      </c>
      <c r="AJ311" s="55" t="e">
        <f t="shared" ca="1" si="93"/>
        <v>#N/A</v>
      </c>
      <c r="AK311" s="55" t="e">
        <f t="shared" ca="1" si="94"/>
        <v>#N/A</v>
      </c>
    </row>
    <row r="312" spans="18:37">
      <c r="R312" s="83" t="e">
        <f ca="1"/>
        <v>#N/A</v>
      </c>
      <c r="S312" s="55" t="e">
        <f t="shared" ca="1" si="87"/>
        <v>#N/A</v>
      </c>
      <c r="T312" s="55" t="e">
        <f t="shared" ca="1" si="81"/>
        <v>#N/A</v>
      </c>
      <c r="U312" s="55" t="e">
        <f t="shared" ca="1" si="82"/>
        <v>#N/A</v>
      </c>
      <c r="V312" s="55" t="e">
        <f t="shared" ca="1" si="83"/>
        <v>#N/A</v>
      </c>
      <c r="W312" s="55" t="e">
        <f t="shared" ca="1" si="88"/>
        <v>#N/A</v>
      </c>
      <c r="X312" s="55" t="e">
        <f t="shared" ca="1" si="89"/>
        <v>#N/A</v>
      </c>
      <c r="Y312" s="55" t="e">
        <f t="shared" ca="1" si="90"/>
        <v>#N/A</v>
      </c>
      <c r="Z312" t="e">
        <f t="shared" ca="1" si="84"/>
        <v>#N/A</v>
      </c>
      <c r="AA312" t="e">
        <f t="shared" ca="1" si="91"/>
        <v>#N/A</v>
      </c>
      <c r="AB312" t="e">
        <f t="shared" ca="1" si="85"/>
        <v>#N/A</v>
      </c>
      <c r="AC312" t="e">
        <f t="shared" ca="1" si="86"/>
        <v>#N/A</v>
      </c>
      <c r="AD312" s="83" t="e">
        <f ca="1"/>
        <v>#N/A</v>
      </c>
      <c r="AE312" s="55" t="e">
        <f t="shared" ca="1" si="95"/>
        <v>#N/A</v>
      </c>
      <c r="AF312" s="55" t="e">
        <f t="shared" ca="1" si="96"/>
        <v>#N/A</v>
      </c>
      <c r="AG312" s="55" t="e">
        <f t="shared" ca="1" si="97"/>
        <v>#N/A</v>
      </c>
      <c r="AH312" s="55" t="e">
        <f t="shared" ca="1" si="98"/>
        <v>#N/A</v>
      </c>
      <c r="AI312" s="55" t="e">
        <f t="shared" ca="1" si="92"/>
        <v>#N/A</v>
      </c>
      <c r="AJ312" s="55" t="e">
        <f t="shared" ca="1" si="93"/>
        <v>#N/A</v>
      </c>
      <c r="AK312" s="55" t="e">
        <f t="shared" ca="1" si="94"/>
        <v>#N/A</v>
      </c>
    </row>
    <row r="313" spans="18:37">
      <c r="R313" s="83" t="e">
        <f ca="1"/>
        <v>#N/A</v>
      </c>
      <c r="S313" s="55" t="e">
        <f t="shared" ca="1" si="87"/>
        <v>#N/A</v>
      </c>
      <c r="T313" s="55" t="e">
        <f t="shared" ca="1" si="81"/>
        <v>#N/A</v>
      </c>
      <c r="U313" s="55" t="e">
        <f t="shared" ca="1" si="82"/>
        <v>#N/A</v>
      </c>
      <c r="V313" s="55" t="e">
        <f t="shared" ca="1" si="83"/>
        <v>#N/A</v>
      </c>
      <c r="W313" s="55" t="e">
        <f t="shared" ca="1" si="88"/>
        <v>#N/A</v>
      </c>
      <c r="X313" s="55" t="e">
        <f t="shared" ca="1" si="89"/>
        <v>#N/A</v>
      </c>
      <c r="Y313" s="55" t="e">
        <f t="shared" ca="1" si="90"/>
        <v>#N/A</v>
      </c>
      <c r="Z313" t="e">
        <f t="shared" ca="1" si="84"/>
        <v>#N/A</v>
      </c>
      <c r="AA313" t="e">
        <f t="shared" ca="1" si="91"/>
        <v>#N/A</v>
      </c>
      <c r="AB313" t="e">
        <f t="shared" ca="1" si="85"/>
        <v>#N/A</v>
      </c>
      <c r="AC313" t="e">
        <f t="shared" ca="1" si="86"/>
        <v>#N/A</v>
      </c>
      <c r="AD313" s="83" t="e">
        <f ca="1"/>
        <v>#N/A</v>
      </c>
      <c r="AE313" s="55" t="e">
        <f t="shared" ca="1" si="95"/>
        <v>#N/A</v>
      </c>
      <c r="AF313" s="55" t="e">
        <f t="shared" ca="1" si="96"/>
        <v>#N/A</v>
      </c>
      <c r="AG313" s="55" t="e">
        <f t="shared" ca="1" si="97"/>
        <v>#N/A</v>
      </c>
      <c r="AH313" s="55" t="e">
        <f t="shared" ca="1" si="98"/>
        <v>#N/A</v>
      </c>
      <c r="AI313" s="55" t="e">
        <f t="shared" ca="1" si="92"/>
        <v>#N/A</v>
      </c>
      <c r="AJ313" s="55" t="e">
        <f t="shared" ca="1" si="93"/>
        <v>#N/A</v>
      </c>
      <c r="AK313" s="55" t="e">
        <f t="shared" ca="1" si="94"/>
        <v>#N/A</v>
      </c>
    </row>
    <row r="314" spans="18:37">
      <c r="R314" s="83" t="e">
        <f ca="1"/>
        <v>#N/A</v>
      </c>
      <c r="S314" s="55" t="e">
        <f t="shared" ca="1" si="87"/>
        <v>#N/A</v>
      </c>
      <c r="T314" s="55" t="e">
        <f t="shared" ca="1" si="81"/>
        <v>#N/A</v>
      </c>
      <c r="U314" s="55" t="e">
        <f t="shared" ca="1" si="82"/>
        <v>#N/A</v>
      </c>
      <c r="V314" s="55" t="e">
        <f t="shared" ca="1" si="83"/>
        <v>#N/A</v>
      </c>
      <c r="W314" s="55" t="e">
        <f t="shared" ca="1" si="88"/>
        <v>#N/A</v>
      </c>
      <c r="X314" s="55" t="e">
        <f t="shared" ca="1" si="89"/>
        <v>#N/A</v>
      </c>
      <c r="Y314" s="55" t="e">
        <f t="shared" ca="1" si="90"/>
        <v>#N/A</v>
      </c>
      <c r="Z314" t="e">
        <f t="shared" ca="1" si="84"/>
        <v>#N/A</v>
      </c>
      <c r="AA314" t="e">
        <f t="shared" ca="1" si="91"/>
        <v>#N/A</v>
      </c>
      <c r="AB314" t="e">
        <f t="shared" ca="1" si="85"/>
        <v>#N/A</v>
      </c>
      <c r="AC314" t="e">
        <f t="shared" ca="1" si="86"/>
        <v>#N/A</v>
      </c>
      <c r="AD314" s="83" t="e">
        <f ca="1"/>
        <v>#N/A</v>
      </c>
      <c r="AE314" s="55" t="e">
        <f t="shared" ca="1" si="95"/>
        <v>#N/A</v>
      </c>
      <c r="AF314" s="55" t="e">
        <f t="shared" ca="1" si="96"/>
        <v>#N/A</v>
      </c>
      <c r="AG314" s="55" t="e">
        <f t="shared" ca="1" si="97"/>
        <v>#N/A</v>
      </c>
      <c r="AH314" s="55" t="e">
        <f t="shared" ca="1" si="98"/>
        <v>#N/A</v>
      </c>
      <c r="AI314" s="55" t="e">
        <f t="shared" ca="1" si="92"/>
        <v>#N/A</v>
      </c>
      <c r="AJ314" s="55" t="e">
        <f t="shared" ca="1" si="93"/>
        <v>#N/A</v>
      </c>
      <c r="AK314" s="55" t="e">
        <f t="shared" ca="1" si="94"/>
        <v>#N/A</v>
      </c>
    </row>
    <row r="315" spans="18:37">
      <c r="R315" s="83" t="e">
        <f ca="1"/>
        <v>#N/A</v>
      </c>
      <c r="S315" s="55" t="e">
        <f t="shared" ca="1" si="87"/>
        <v>#N/A</v>
      </c>
      <c r="T315" s="55" t="e">
        <f t="shared" ca="1" si="81"/>
        <v>#N/A</v>
      </c>
      <c r="U315" s="55" t="e">
        <f t="shared" ca="1" si="82"/>
        <v>#N/A</v>
      </c>
      <c r="V315" s="55" t="e">
        <f t="shared" ca="1" si="83"/>
        <v>#N/A</v>
      </c>
      <c r="W315" s="55" t="e">
        <f t="shared" ca="1" si="88"/>
        <v>#N/A</v>
      </c>
      <c r="X315" s="55" t="e">
        <f t="shared" ca="1" si="89"/>
        <v>#N/A</v>
      </c>
      <c r="Y315" s="55" t="e">
        <f t="shared" ca="1" si="90"/>
        <v>#N/A</v>
      </c>
      <c r="Z315" t="e">
        <f t="shared" ca="1" si="84"/>
        <v>#N/A</v>
      </c>
      <c r="AA315" t="e">
        <f t="shared" ca="1" si="91"/>
        <v>#N/A</v>
      </c>
      <c r="AB315" t="e">
        <f t="shared" ca="1" si="85"/>
        <v>#N/A</v>
      </c>
      <c r="AC315" t="e">
        <f t="shared" ca="1" si="86"/>
        <v>#N/A</v>
      </c>
      <c r="AD315" s="83" t="e">
        <f ca="1"/>
        <v>#N/A</v>
      </c>
      <c r="AE315" s="55" t="e">
        <f t="shared" ca="1" si="95"/>
        <v>#N/A</v>
      </c>
      <c r="AF315" s="55" t="e">
        <f t="shared" ca="1" si="96"/>
        <v>#N/A</v>
      </c>
      <c r="AG315" s="55" t="e">
        <f t="shared" ca="1" si="97"/>
        <v>#N/A</v>
      </c>
      <c r="AH315" s="55" t="e">
        <f t="shared" ca="1" si="98"/>
        <v>#N/A</v>
      </c>
      <c r="AI315" s="55" t="e">
        <f t="shared" ca="1" si="92"/>
        <v>#N/A</v>
      </c>
      <c r="AJ315" s="55" t="e">
        <f t="shared" ca="1" si="93"/>
        <v>#N/A</v>
      </c>
      <c r="AK315" s="55" t="e">
        <f t="shared" ca="1" si="94"/>
        <v>#N/A</v>
      </c>
    </row>
    <row r="316" spans="18:37">
      <c r="R316" s="83" t="e">
        <f ca="1"/>
        <v>#N/A</v>
      </c>
      <c r="S316" s="55" t="e">
        <f t="shared" ca="1" si="87"/>
        <v>#N/A</v>
      </c>
      <c r="T316" s="55" t="e">
        <f t="shared" ca="1" si="81"/>
        <v>#N/A</v>
      </c>
      <c r="U316" s="55" t="e">
        <f t="shared" ca="1" si="82"/>
        <v>#N/A</v>
      </c>
      <c r="V316" s="55" t="e">
        <f t="shared" ca="1" si="83"/>
        <v>#N/A</v>
      </c>
      <c r="W316" s="55" t="e">
        <f t="shared" ca="1" si="88"/>
        <v>#N/A</v>
      </c>
      <c r="X316" s="55" t="e">
        <f t="shared" ca="1" si="89"/>
        <v>#N/A</v>
      </c>
      <c r="Y316" s="55" t="e">
        <f t="shared" ca="1" si="90"/>
        <v>#N/A</v>
      </c>
      <c r="Z316" t="e">
        <f t="shared" ca="1" si="84"/>
        <v>#N/A</v>
      </c>
      <c r="AA316" t="e">
        <f t="shared" ca="1" si="91"/>
        <v>#N/A</v>
      </c>
      <c r="AB316" t="e">
        <f t="shared" ca="1" si="85"/>
        <v>#N/A</v>
      </c>
      <c r="AC316" t="e">
        <f t="shared" ca="1" si="86"/>
        <v>#N/A</v>
      </c>
      <c r="AD316" s="83" t="e">
        <f ca="1"/>
        <v>#N/A</v>
      </c>
      <c r="AE316" s="55" t="e">
        <f t="shared" ca="1" si="95"/>
        <v>#N/A</v>
      </c>
      <c r="AF316" s="55" t="e">
        <f t="shared" ca="1" si="96"/>
        <v>#N/A</v>
      </c>
      <c r="AG316" s="55" t="e">
        <f t="shared" ca="1" si="97"/>
        <v>#N/A</v>
      </c>
      <c r="AH316" s="55" t="e">
        <f t="shared" ca="1" si="98"/>
        <v>#N/A</v>
      </c>
      <c r="AI316" s="55" t="e">
        <f t="shared" ca="1" si="92"/>
        <v>#N/A</v>
      </c>
      <c r="AJ316" s="55" t="e">
        <f t="shared" ca="1" si="93"/>
        <v>#N/A</v>
      </c>
      <c r="AK316" s="55" t="e">
        <f t="shared" ca="1" si="94"/>
        <v>#N/A</v>
      </c>
    </row>
    <row r="317" spans="18:37">
      <c r="R317" s="83" t="e">
        <f ca="1"/>
        <v>#N/A</v>
      </c>
      <c r="S317" s="55" t="e">
        <f t="shared" ca="1" si="87"/>
        <v>#N/A</v>
      </c>
      <c r="T317" s="55" t="e">
        <f t="shared" ca="1" si="81"/>
        <v>#N/A</v>
      </c>
      <c r="U317" s="55" t="e">
        <f t="shared" ca="1" si="82"/>
        <v>#N/A</v>
      </c>
      <c r="V317" s="55" t="e">
        <f t="shared" ca="1" si="83"/>
        <v>#N/A</v>
      </c>
      <c r="W317" s="55" t="e">
        <f t="shared" ca="1" si="88"/>
        <v>#N/A</v>
      </c>
      <c r="X317" s="55" t="e">
        <f t="shared" ca="1" si="89"/>
        <v>#N/A</v>
      </c>
      <c r="Y317" s="55" t="e">
        <f t="shared" ca="1" si="90"/>
        <v>#N/A</v>
      </c>
      <c r="Z317" t="e">
        <f t="shared" ca="1" si="84"/>
        <v>#N/A</v>
      </c>
      <c r="AA317" t="e">
        <f t="shared" ca="1" si="91"/>
        <v>#N/A</v>
      </c>
      <c r="AB317" t="e">
        <f t="shared" ca="1" si="85"/>
        <v>#N/A</v>
      </c>
      <c r="AC317" t="e">
        <f t="shared" ca="1" si="86"/>
        <v>#N/A</v>
      </c>
      <c r="AD317" s="83" t="e">
        <f ca="1"/>
        <v>#N/A</v>
      </c>
      <c r="AE317" s="55" t="e">
        <f t="shared" ca="1" si="95"/>
        <v>#N/A</v>
      </c>
      <c r="AF317" s="55" t="e">
        <f t="shared" ca="1" si="96"/>
        <v>#N/A</v>
      </c>
      <c r="AG317" s="55" t="e">
        <f t="shared" ca="1" si="97"/>
        <v>#N/A</v>
      </c>
      <c r="AH317" s="55" t="e">
        <f t="shared" ca="1" si="98"/>
        <v>#N/A</v>
      </c>
      <c r="AI317" s="55" t="e">
        <f t="shared" ca="1" si="92"/>
        <v>#N/A</v>
      </c>
      <c r="AJ317" s="55" t="e">
        <f t="shared" ca="1" si="93"/>
        <v>#N/A</v>
      </c>
      <c r="AK317" s="55" t="e">
        <f t="shared" ca="1" si="94"/>
        <v>#N/A</v>
      </c>
    </row>
    <row r="318" spans="18:37">
      <c r="R318" s="83" t="e">
        <f ca="1"/>
        <v>#N/A</v>
      </c>
      <c r="S318" s="55" t="e">
        <f t="shared" ca="1" si="87"/>
        <v>#N/A</v>
      </c>
      <c r="T318" s="55" t="e">
        <f t="shared" ca="1" si="81"/>
        <v>#N/A</v>
      </c>
      <c r="U318" s="55" t="e">
        <f t="shared" ca="1" si="82"/>
        <v>#N/A</v>
      </c>
      <c r="V318" s="55" t="e">
        <f t="shared" ca="1" si="83"/>
        <v>#N/A</v>
      </c>
      <c r="W318" s="55" t="e">
        <f t="shared" ca="1" si="88"/>
        <v>#N/A</v>
      </c>
      <c r="X318" s="55" t="e">
        <f t="shared" ca="1" si="89"/>
        <v>#N/A</v>
      </c>
      <c r="Y318" s="55" t="e">
        <f t="shared" ca="1" si="90"/>
        <v>#N/A</v>
      </c>
      <c r="Z318" t="e">
        <f t="shared" ca="1" si="84"/>
        <v>#N/A</v>
      </c>
      <c r="AA318" t="e">
        <f t="shared" ca="1" si="91"/>
        <v>#N/A</v>
      </c>
      <c r="AB318" t="e">
        <f t="shared" ca="1" si="85"/>
        <v>#N/A</v>
      </c>
      <c r="AC318" t="e">
        <f t="shared" ca="1" si="86"/>
        <v>#N/A</v>
      </c>
      <c r="AD318" s="83" t="e">
        <f ca="1"/>
        <v>#N/A</v>
      </c>
      <c r="AE318" s="55" t="e">
        <f t="shared" ca="1" si="95"/>
        <v>#N/A</v>
      </c>
      <c r="AF318" s="55" t="e">
        <f t="shared" ca="1" si="96"/>
        <v>#N/A</v>
      </c>
      <c r="AG318" s="55" t="e">
        <f t="shared" ca="1" si="97"/>
        <v>#N/A</v>
      </c>
      <c r="AH318" s="55" t="e">
        <f t="shared" ca="1" si="98"/>
        <v>#N/A</v>
      </c>
      <c r="AI318" s="55" t="e">
        <f t="shared" ca="1" si="92"/>
        <v>#N/A</v>
      </c>
      <c r="AJ318" s="55" t="e">
        <f t="shared" ca="1" si="93"/>
        <v>#N/A</v>
      </c>
      <c r="AK318" s="55" t="e">
        <f t="shared" ca="1" si="94"/>
        <v>#N/A</v>
      </c>
    </row>
    <row r="319" spans="18:37">
      <c r="R319" s="83" t="e">
        <f ca="1"/>
        <v>#N/A</v>
      </c>
      <c r="S319" s="55" t="e">
        <f t="shared" ca="1" si="87"/>
        <v>#N/A</v>
      </c>
      <c r="T319" s="55" t="e">
        <f t="shared" ca="1" si="81"/>
        <v>#N/A</v>
      </c>
      <c r="U319" s="55" t="e">
        <f t="shared" ca="1" si="82"/>
        <v>#N/A</v>
      </c>
      <c r="V319" s="55" t="e">
        <f t="shared" ca="1" si="83"/>
        <v>#N/A</v>
      </c>
      <c r="W319" s="55" t="e">
        <f t="shared" ca="1" si="88"/>
        <v>#N/A</v>
      </c>
      <c r="X319" s="55" t="e">
        <f t="shared" ca="1" si="89"/>
        <v>#N/A</v>
      </c>
      <c r="Y319" s="55" t="e">
        <f t="shared" ca="1" si="90"/>
        <v>#N/A</v>
      </c>
      <c r="Z319" t="e">
        <f t="shared" ca="1" si="84"/>
        <v>#N/A</v>
      </c>
      <c r="AA319" t="e">
        <f t="shared" ca="1" si="91"/>
        <v>#N/A</v>
      </c>
      <c r="AB319" t="e">
        <f t="shared" ca="1" si="85"/>
        <v>#N/A</v>
      </c>
      <c r="AC319" t="e">
        <f t="shared" ca="1" si="86"/>
        <v>#N/A</v>
      </c>
      <c r="AD319" s="83" t="e">
        <f ca="1"/>
        <v>#N/A</v>
      </c>
      <c r="AE319" s="55" t="e">
        <f t="shared" ca="1" si="95"/>
        <v>#N/A</v>
      </c>
      <c r="AF319" s="55" t="e">
        <f t="shared" ca="1" si="96"/>
        <v>#N/A</v>
      </c>
      <c r="AG319" s="55" t="e">
        <f t="shared" ca="1" si="97"/>
        <v>#N/A</v>
      </c>
      <c r="AH319" s="55" t="e">
        <f t="shared" ca="1" si="98"/>
        <v>#N/A</v>
      </c>
      <c r="AI319" s="55" t="e">
        <f t="shared" ca="1" si="92"/>
        <v>#N/A</v>
      </c>
      <c r="AJ319" s="55" t="e">
        <f t="shared" ca="1" si="93"/>
        <v>#N/A</v>
      </c>
      <c r="AK319" s="55" t="e">
        <f t="shared" ca="1" si="94"/>
        <v>#N/A</v>
      </c>
    </row>
    <row r="320" spans="18:37">
      <c r="R320" s="83" t="e">
        <f ca="1"/>
        <v>#N/A</v>
      </c>
      <c r="S320" s="55" t="e">
        <f t="shared" ca="1" si="87"/>
        <v>#N/A</v>
      </c>
      <c r="T320" s="55" t="e">
        <f t="shared" ca="1" si="81"/>
        <v>#N/A</v>
      </c>
      <c r="U320" s="55" t="e">
        <f t="shared" ca="1" si="82"/>
        <v>#N/A</v>
      </c>
      <c r="V320" s="55" t="e">
        <f t="shared" ca="1" si="83"/>
        <v>#N/A</v>
      </c>
      <c r="W320" s="55" t="e">
        <f t="shared" ca="1" si="88"/>
        <v>#N/A</v>
      </c>
      <c r="X320" s="55" t="e">
        <f t="shared" ca="1" si="89"/>
        <v>#N/A</v>
      </c>
      <c r="Y320" s="55" t="e">
        <f t="shared" ca="1" si="90"/>
        <v>#N/A</v>
      </c>
      <c r="Z320" t="e">
        <f t="shared" ca="1" si="84"/>
        <v>#N/A</v>
      </c>
      <c r="AA320" t="e">
        <f t="shared" ca="1" si="91"/>
        <v>#N/A</v>
      </c>
      <c r="AB320" t="e">
        <f t="shared" ca="1" si="85"/>
        <v>#N/A</v>
      </c>
      <c r="AC320" t="e">
        <f t="shared" ca="1" si="86"/>
        <v>#N/A</v>
      </c>
      <c r="AD320" s="83" t="e">
        <f ca="1"/>
        <v>#N/A</v>
      </c>
      <c r="AE320" s="55" t="e">
        <f t="shared" ca="1" si="95"/>
        <v>#N/A</v>
      </c>
      <c r="AF320" s="55" t="e">
        <f t="shared" ca="1" si="96"/>
        <v>#N/A</v>
      </c>
      <c r="AG320" s="55" t="e">
        <f t="shared" ca="1" si="97"/>
        <v>#N/A</v>
      </c>
      <c r="AH320" s="55" t="e">
        <f t="shared" ca="1" si="98"/>
        <v>#N/A</v>
      </c>
      <c r="AI320" s="55" t="e">
        <f t="shared" ca="1" si="92"/>
        <v>#N/A</v>
      </c>
      <c r="AJ320" s="55" t="e">
        <f t="shared" ca="1" si="93"/>
        <v>#N/A</v>
      </c>
      <c r="AK320" s="55" t="e">
        <f t="shared" ca="1" si="94"/>
        <v>#N/A</v>
      </c>
    </row>
    <row r="321" spans="18:37">
      <c r="R321" s="83" t="e">
        <f ca="1"/>
        <v>#N/A</v>
      </c>
      <c r="S321" s="55" t="e">
        <f t="shared" ca="1" si="87"/>
        <v>#N/A</v>
      </c>
      <c r="T321" s="55" t="e">
        <f t="shared" ca="1" si="81"/>
        <v>#N/A</v>
      </c>
      <c r="U321" s="55" t="e">
        <f t="shared" ca="1" si="82"/>
        <v>#N/A</v>
      </c>
      <c r="V321" s="55" t="e">
        <f t="shared" ca="1" si="83"/>
        <v>#N/A</v>
      </c>
      <c r="W321" s="55" t="e">
        <f t="shared" ca="1" si="88"/>
        <v>#N/A</v>
      </c>
      <c r="X321" s="55" t="e">
        <f t="shared" ca="1" si="89"/>
        <v>#N/A</v>
      </c>
      <c r="Y321" s="55" t="e">
        <f t="shared" ca="1" si="90"/>
        <v>#N/A</v>
      </c>
      <c r="Z321" t="e">
        <f t="shared" ca="1" si="84"/>
        <v>#N/A</v>
      </c>
      <c r="AA321" t="e">
        <f t="shared" ca="1" si="91"/>
        <v>#N/A</v>
      </c>
      <c r="AB321" t="e">
        <f t="shared" ca="1" si="85"/>
        <v>#N/A</v>
      </c>
      <c r="AC321" t="e">
        <f t="shared" ca="1" si="86"/>
        <v>#N/A</v>
      </c>
      <c r="AD321" s="83" t="e">
        <f ca="1"/>
        <v>#N/A</v>
      </c>
      <c r="AE321" s="55" t="e">
        <f t="shared" ca="1" si="95"/>
        <v>#N/A</v>
      </c>
      <c r="AF321" s="55" t="e">
        <f t="shared" ca="1" si="96"/>
        <v>#N/A</v>
      </c>
      <c r="AG321" s="55" t="e">
        <f t="shared" ca="1" si="97"/>
        <v>#N/A</v>
      </c>
      <c r="AH321" s="55" t="e">
        <f t="shared" ca="1" si="98"/>
        <v>#N/A</v>
      </c>
      <c r="AI321" s="55" t="e">
        <f t="shared" ca="1" si="92"/>
        <v>#N/A</v>
      </c>
      <c r="AJ321" s="55" t="e">
        <f t="shared" ca="1" si="93"/>
        <v>#N/A</v>
      </c>
      <c r="AK321" s="55" t="e">
        <f t="shared" ca="1" si="94"/>
        <v>#N/A</v>
      </c>
    </row>
    <row r="322" spans="18:37">
      <c r="R322" s="83" t="e">
        <f ca="1"/>
        <v>#N/A</v>
      </c>
      <c r="S322" s="55" t="e">
        <f t="shared" ca="1" si="87"/>
        <v>#N/A</v>
      </c>
      <c r="T322" s="55" t="e">
        <f t="shared" ca="1" si="81"/>
        <v>#N/A</v>
      </c>
      <c r="U322" s="55" t="e">
        <f t="shared" ca="1" si="82"/>
        <v>#N/A</v>
      </c>
      <c r="V322" s="55" t="e">
        <f t="shared" ca="1" si="83"/>
        <v>#N/A</v>
      </c>
      <c r="W322" s="55" t="e">
        <f t="shared" ca="1" si="88"/>
        <v>#N/A</v>
      </c>
      <c r="X322" s="55" t="e">
        <f t="shared" ca="1" si="89"/>
        <v>#N/A</v>
      </c>
      <c r="Y322" s="55" t="e">
        <f t="shared" ca="1" si="90"/>
        <v>#N/A</v>
      </c>
      <c r="Z322" t="e">
        <f t="shared" ca="1" si="84"/>
        <v>#N/A</v>
      </c>
      <c r="AA322" t="e">
        <f t="shared" ca="1" si="91"/>
        <v>#N/A</v>
      </c>
      <c r="AB322" t="e">
        <f t="shared" ca="1" si="85"/>
        <v>#N/A</v>
      </c>
      <c r="AC322" t="e">
        <f t="shared" ca="1" si="86"/>
        <v>#N/A</v>
      </c>
      <c r="AD322" s="83" t="e">
        <f ca="1"/>
        <v>#N/A</v>
      </c>
      <c r="AE322" s="55" t="e">
        <f t="shared" ca="1" si="95"/>
        <v>#N/A</v>
      </c>
      <c r="AF322" s="55" t="e">
        <f t="shared" ca="1" si="96"/>
        <v>#N/A</v>
      </c>
      <c r="AG322" s="55" t="e">
        <f t="shared" ca="1" si="97"/>
        <v>#N/A</v>
      </c>
      <c r="AH322" s="55" t="e">
        <f t="shared" ca="1" si="98"/>
        <v>#N/A</v>
      </c>
      <c r="AI322" s="55" t="e">
        <f t="shared" ca="1" si="92"/>
        <v>#N/A</v>
      </c>
      <c r="AJ322" s="55" t="e">
        <f t="shared" ca="1" si="93"/>
        <v>#N/A</v>
      </c>
      <c r="AK322" s="55" t="e">
        <f t="shared" ca="1" si="94"/>
        <v>#N/A</v>
      </c>
    </row>
    <row r="323" spans="18:37">
      <c r="R323" s="83" t="e">
        <f ca="1"/>
        <v>#N/A</v>
      </c>
      <c r="S323" s="55" t="e">
        <f t="shared" ca="1" si="87"/>
        <v>#N/A</v>
      </c>
      <c r="T323" s="55" t="e">
        <f t="shared" ca="1" si="81"/>
        <v>#N/A</v>
      </c>
      <c r="U323" s="55" t="e">
        <f t="shared" ca="1" si="82"/>
        <v>#N/A</v>
      </c>
      <c r="V323" s="55" t="e">
        <f t="shared" ca="1" si="83"/>
        <v>#N/A</v>
      </c>
      <c r="W323" s="55" t="e">
        <f t="shared" ca="1" si="88"/>
        <v>#N/A</v>
      </c>
      <c r="X323" s="55" t="e">
        <f t="shared" ca="1" si="89"/>
        <v>#N/A</v>
      </c>
      <c r="Y323" s="55" t="e">
        <f t="shared" ca="1" si="90"/>
        <v>#N/A</v>
      </c>
      <c r="Z323" t="e">
        <f t="shared" ca="1" si="84"/>
        <v>#N/A</v>
      </c>
      <c r="AA323" t="e">
        <f t="shared" ca="1" si="91"/>
        <v>#N/A</v>
      </c>
      <c r="AB323" t="e">
        <f t="shared" ca="1" si="85"/>
        <v>#N/A</v>
      </c>
      <c r="AC323" t="e">
        <f t="shared" ca="1" si="86"/>
        <v>#N/A</v>
      </c>
      <c r="AD323" s="83" t="e">
        <f ca="1"/>
        <v>#N/A</v>
      </c>
      <c r="AE323" s="55" t="e">
        <f t="shared" ca="1" si="95"/>
        <v>#N/A</v>
      </c>
      <c r="AF323" s="55" t="e">
        <f t="shared" ca="1" si="96"/>
        <v>#N/A</v>
      </c>
      <c r="AG323" s="55" t="e">
        <f t="shared" ca="1" si="97"/>
        <v>#N/A</v>
      </c>
      <c r="AH323" s="55" t="e">
        <f t="shared" ca="1" si="98"/>
        <v>#N/A</v>
      </c>
      <c r="AI323" s="55" t="e">
        <f t="shared" ca="1" si="92"/>
        <v>#N/A</v>
      </c>
      <c r="AJ323" s="55" t="e">
        <f t="shared" ca="1" si="93"/>
        <v>#N/A</v>
      </c>
      <c r="AK323" s="55" t="e">
        <f t="shared" ca="1" si="94"/>
        <v>#N/A</v>
      </c>
    </row>
    <row r="324" spans="18:37">
      <c r="R324" s="83" t="e">
        <f ca="1"/>
        <v>#N/A</v>
      </c>
      <c r="S324" s="55" t="e">
        <f t="shared" ca="1" si="87"/>
        <v>#N/A</v>
      </c>
      <c r="T324" s="55" t="e">
        <f t="shared" ca="1" si="81"/>
        <v>#N/A</v>
      </c>
      <c r="U324" s="55" t="e">
        <f t="shared" ca="1" si="82"/>
        <v>#N/A</v>
      </c>
      <c r="V324" s="55" t="e">
        <f t="shared" ca="1" si="83"/>
        <v>#N/A</v>
      </c>
      <c r="W324" s="55" t="e">
        <f t="shared" ca="1" si="88"/>
        <v>#N/A</v>
      </c>
      <c r="X324" s="55" t="e">
        <f t="shared" ca="1" si="89"/>
        <v>#N/A</v>
      </c>
      <c r="Y324" s="55" t="e">
        <f t="shared" ca="1" si="90"/>
        <v>#N/A</v>
      </c>
      <c r="Z324" t="e">
        <f t="shared" ca="1" si="84"/>
        <v>#N/A</v>
      </c>
      <c r="AA324" t="e">
        <f t="shared" ca="1" si="91"/>
        <v>#N/A</v>
      </c>
      <c r="AB324" t="e">
        <f t="shared" ca="1" si="85"/>
        <v>#N/A</v>
      </c>
      <c r="AC324" t="e">
        <f t="shared" ca="1" si="86"/>
        <v>#N/A</v>
      </c>
      <c r="AD324" s="83" t="e">
        <f ca="1"/>
        <v>#N/A</v>
      </c>
      <c r="AE324" s="55" t="e">
        <f t="shared" ca="1" si="95"/>
        <v>#N/A</v>
      </c>
      <c r="AF324" s="55" t="e">
        <f t="shared" ca="1" si="96"/>
        <v>#N/A</v>
      </c>
      <c r="AG324" s="55" t="e">
        <f t="shared" ca="1" si="97"/>
        <v>#N/A</v>
      </c>
      <c r="AH324" s="55" t="e">
        <f t="shared" ca="1" si="98"/>
        <v>#N/A</v>
      </c>
      <c r="AI324" s="55" t="e">
        <f t="shared" ca="1" si="92"/>
        <v>#N/A</v>
      </c>
      <c r="AJ324" s="55" t="e">
        <f t="shared" ca="1" si="93"/>
        <v>#N/A</v>
      </c>
      <c r="AK324" s="55" t="e">
        <f t="shared" ca="1" si="94"/>
        <v>#N/A</v>
      </c>
    </row>
    <row r="325" spans="18:37">
      <c r="R325" s="83" t="e">
        <f ca="1"/>
        <v>#N/A</v>
      </c>
      <c r="S325" s="55" t="e">
        <f t="shared" ca="1" si="87"/>
        <v>#N/A</v>
      </c>
      <c r="T325" s="55" t="e">
        <f t="shared" ca="1" si="81"/>
        <v>#N/A</v>
      </c>
      <c r="U325" s="55" t="e">
        <f t="shared" ca="1" si="82"/>
        <v>#N/A</v>
      </c>
      <c r="V325" s="55" t="e">
        <f t="shared" ca="1" si="83"/>
        <v>#N/A</v>
      </c>
      <c r="W325" s="55" t="e">
        <f t="shared" ca="1" si="88"/>
        <v>#N/A</v>
      </c>
      <c r="X325" s="55" t="e">
        <f t="shared" ca="1" si="89"/>
        <v>#N/A</v>
      </c>
      <c r="Y325" s="55" t="e">
        <f t="shared" ca="1" si="90"/>
        <v>#N/A</v>
      </c>
      <c r="Z325" t="e">
        <f t="shared" ca="1" si="84"/>
        <v>#N/A</v>
      </c>
      <c r="AA325" t="e">
        <f t="shared" ca="1" si="91"/>
        <v>#N/A</v>
      </c>
      <c r="AB325" t="e">
        <f t="shared" ca="1" si="85"/>
        <v>#N/A</v>
      </c>
      <c r="AC325" t="e">
        <f t="shared" ca="1" si="86"/>
        <v>#N/A</v>
      </c>
      <c r="AD325" s="83" t="e">
        <f ca="1"/>
        <v>#N/A</v>
      </c>
      <c r="AE325" s="55" t="e">
        <f t="shared" ca="1" si="95"/>
        <v>#N/A</v>
      </c>
      <c r="AF325" s="55" t="e">
        <f t="shared" ca="1" si="96"/>
        <v>#N/A</v>
      </c>
      <c r="AG325" s="55" t="e">
        <f t="shared" ca="1" si="97"/>
        <v>#N/A</v>
      </c>
      <c r="AH325" s="55" t="e">
        <f t="shared" ca="1" si="98"/>
        <v>#N/A</v>
      </c>
      <c r="AI325" s="55" t="e">
        <f t="shared" ca="1" si="92"/>
        <v>#N/A</v>
      </c>
      <c r="AJ325" s="55" t="e">
        <f t="shared" ca="1" si="93"/>
        <v>#N/A</v>
      </c>
      <c r="AK325" s="55" t="e">
        <f t="shared" ca="1" si="94"/>
        <v>#N/A</v>
      </c>
    </row>
    <row r="326" spans="18:37">
      <c r="R326" s="83" t="e">
        <f ca="1"/>
        <v>#N/A</v>
      </c>
      <c r="S326" s="55" t="e">
        <f t="shared" ca="1" si="87"/>
        <v>#N/A</v>
      </c>
      <c r="T326" s="55" t="e">
        <f t="shared" ca="1" si="81"/>
        <v>#N/A</v>
      </c>
      <c r="U326" s="55" t="e">
        <f t="shared" ca="1" si="82"/>
        <v>#N/A</v>
      </c>
      <c r="V326" s="55" t="e">
        <f t="shared" ca="1" si="83"/>
        <v>#N/A</v>
      </c>
      <c r="W326" s="55" t="e">
        <f t="shared" ca="1" si="88"/>
        <v>#N/A</v>
      </c>
      <c r="X326" s="55" t="e">
        <f t="shared" ca="1" si="89"/>
        <v>#N/A</v>
      </c>
      <c r="Y326" s="55" t="e">
        <f t="shared" ca="1" si="90"/>
        <v>#N/A</v>
      </c>
      <c r="Z326" t="e">
        <f t="shared" ca="1" si="84"/>
        <v>#N/A</v>
      </c>
      <c r="AA326" t="e">
        <f t="shared" ca="1" si="91"/>
        <v>#N/A</v>
      </c>
      <c r="AB326" t="e">
        <f t="shared" ca="1" si="85"/>
        <v>#N/A</v>
      </c>
      <c r="AC326" t="e">
        <f t="shared" ca="1" si="86"/>
        <v>#N/A</v>
      </c>
      <c r="AD326" s="83" t="e">
        <f ca="1"/>
        <v>#N/A</v>
      </c>
      <c r="AE326" s="55" t="e">
        <f t="shared" ca="1" si="95"/>
        <v>#N/A</v>
      </c>
      <c r="AF326" s="55" t="e">
        <f t="shared" ca="1" si="96"/>
        <v>#N/A</v>
      </c>
      <c r="AG326" s="55" t="e">
        <f t="shared" ca="1" si="97"/>
        <v>#N/A</v>
      </c>
      <c r="AH326" s="55" t="e">
        <f t="shared" ca="1" si="98"/>
        <v>#N/A</v>
      </c>
      <c r="AI326" s="55" t="e">
        <f t="shared" ca="1" si="92"/>
        <v>#N/A</v>
      </c>
      <c r="AJ326" s="55" t="e">
        <f t="shared" ca="1" si="93"/>
        <v>#N/A</v>
      </c>
      <c r="AK326" s="55" t="e">
        <f t="shared" ca="1" si="94"/>
        <v>#N/A</v>
      </c>
    </row>
    <row r="327" spans="18:37">
      <c r="R327" s="83" t="e">
        <f ca="1"/>
        <v>#N/A</v>
      </c>
      <c r="S327" s="55" t="e">
        <f t="shared" ca="1" si="87"/>
        <v>#N/A</v>
      </c>
      <c r="T327" s="55" t="e">
        <f t="shared" ca="1" si="81"/>
        <v>#N/A</v>
      </c>
      <c r="U327" s="55" t="e">
        <f t="shared" ca="1" si="82"/>
        <v>#N/A</v>
      </c>
      <c r="V327" s="55" t="e">
        <f t="shared" ca="1" si="83"/>
        <v>#N/A</v>
      </c>
      <c r="W327" s="55" t="e">
        <f t="shared" ca="1" si="88"/>
        <v>#N/A</v>
      </c>
      <c r="X327" s="55" t="e">
        <f t="shared" ca="1" si="89"/>
        <v>#N/A</v>
      </c>
      <c r="Y327" s="55" t="e">
        <f t="shared" ca="1" si="90"/>
        <v>#N/A</v>
      </c>
      <c r="Z327" t="e">
        <f t="shared" ca="1" si="84"/>
        <v>#N/A</v>
      </c>
      <c r="AA327" t="e">
        <f t="shared" ca="1" si="91"/>
        <v>#N/A</v>
      </c>
      <c r="AB327" t="e">
        <f t="shared" ca="1" si="85"/>
        <v>#N/A</v>
      </c>
      <c r="AC327" t="e">
        <f t="shared" ca="1" si="86"/>
        <v>#N/A</v>
      </c>
      <c r="AD327" s="83" t="e">
        <f ca="1"/>
        <v>#N/A</v>
      </c>
      <c r="AE327" s="55" t="e">
        <f t="shared" ca="1" si="95"/>
        <v>#N/A</v>
      </c>
      <c r="AF327" s="55" t="e">
        <f t="shared" ca="1" si="96"/>
        <v>#N/A</v>
      </c>
      <c r="AG327" s="55" t="e">
        <f t="shared" ca="1" si="97"/>
        <v>#N/A</v>
      </c>
      <c r="AH327" s="55" t="e">
        <f t="shared" ca="1" si="98"/>
        <v>#N/A</v>
      </c>
      <c r="AI327" s="55" t="e">
        <f t="shared" ca="1" si="92"/>
        <v>#N/A</v>
      </c>
      <c r="AJ327" s="55" t="e">
        <f t="shared" ca="1" si="93"/>
        <v>#N/A</v>
      </c>
      <c r="AK327" s="55" t="e">
        <f t="shared" ca="1" si="94"/>
        <v>#N/A</v>
      </c>
    </row>
    <row r="328" spans="18:37">
      <c r="R328" s="83" t="e">
        <f ca="1"/>
        <v>#N/A</v>
      </c>
      <c r="S328" s="55" t="e">
        <f t="shared" ca="1" si="87"/>
        <v>#N/A</v>
      </c>
      <c r="T328" s="55" t="e">
        <f t="shared" ca="1" si="81"/>
        <v>#N/A</v>
      </c>
      <c r="U328" s="55" t="e">
        <f t="shared" ca="1" si="82"/>
        <v>#N/A</v>
      </c>
      <c r="V328" s="55" t="e">
        <f t="shared" ca="1" si="83"/>
        <v>#N/A</v>
      </c>
      <c r="W328" s="55" t="e">
        <f t="shared" ca="1" si="88"/>
        <v>#N/A</v>
      </c>
      <c r="X328" s="55" t="e">
        <f t="shared" ca="1" si="89"/>
        <v>#N/A</v>
      </c>
      <c r="Y328" s="55" t="e">
        <f t="shared" ca="1" si="90"/>
        <v>#N/A</v>
      </c>
      <c r="Z328" t="e">
        <f t="shared" ca="1" si="84"/>
        <v>#N/A</v>
      </c>
      <c r="AA328" t="e">
        <f t="shared" ca="1" si="91"/>
        <v>#N/A</v>
      </c>
      <c r="AB328" t="e">
        <f t="shared" ca="1" si="85"/>
        <v>#N/A</v>
      </c>
      <c r="AC328" t="e">
        <f t="shared" ca="1" si="86"/>
        <v>#N/A</v>
      </c>
      <c r="AD328" s="83" t="e">
        <f ca="1"/>
        <v>#N/A</v>
      </c>
      <c r="AE328" s="55" t="e">
        <f t="shared" ca="1" si="95"/>
        <v>#N/A</v>
      </c>
      <c r="AF328" s="55" t="e">
        <f t="shared" ca="1" si="96"/>
        <v>#N/A</v>
      </c>
      <c r="AG328" s="55" t="e">
        <f t="shared" ca="1" si="97"/>
        <v>#N/A</v>
      </c>
      <c r="AH328" s="55" t="e">
        <f t="shared" ca="1" si="98"/>
        <v>#N/A</v>
      </c>
      <c r="AI328" s="55" t="e">
        <f t="shared" ca="1" si="92"/>
        <v>#N/A</v>
      </c>
      <c r="AJ328" s="55" t="e">
        <f t="shared" ca="1" si="93"/>
        <v>#N/A</v>
      </c>
      <c r="AK328" s="55" t="e">
        <f t="shared" ca="1" si="94"/>
        <v>#N/A</v>
      </c>
    </row>
    <row r="329" spans="18:37">
      <c r="R329" s="83" t="e">
        <f ca="1"/>
        <v>#N/A</v>
      </c>
      <c r="S329" s="55" t="e">
        <f t="shared" ca="1" si="87"/>
        <v>#N/A</v>
      </c>
      <c r="T329" s="55" t="e">
        <f t="shared" ca="1" si="81"/>
        <v>#N/A</v>
      </c>
      <c r="U329" s="55" t="e">
        <f t="shared" ca="1" si="82"/>
        <v>#N/A</v>
      </c>
      <c r="V329" s="55" t="e">
        <f t="shared" ca="1" si="83"/>
        <v>#N/A</v>
      </c>
      <c r="W329" s="55" t="e">
        <f t="shared" ca="1" si="88"/>
        <v>#N/A</v>
      </c>
      <c r="X329" s="55" t="e">
        <f t="shared" ca="1" si="89"/>
        <v>#N/A</v>
      </c>
      <c r="Y329" s="55" t="e">
        <f t="shared" ca="1" si="90"/>
        <v>#N/A</v>
      </c>
      <c r="Z329" t="e">
        <f t="shared" ca="1" si="84"/>
        <v>#N/A</v>
      </c>
      <c r="AA329" t="e">
        <f t="shared" ca="1" si="91"/>
        <v>#N/A</v>
      </c>
      <c r="AB329" t="e">
        <f t="shared" ca="1" si="85"/>
        <v>#N/A</v>
      </c>
      <c r="AC329" t="e">
        <f t="shared" ca="1" si="86"/>
        <v>#N/A</v>
      </c>
      <c r="AD329" s="83" t="e">
        <f ca="1"/>
        <v>#N/A</v>
      </c>
      <c r="AE329" s="55" t="e">
        <f t="shared" ca="1" si="95"/>
        <v>#N/A</v>
      </c>
      <c r="AF329" s="55" t="e">
        <f t="shared" ca="1" si="96"/>
        <v>#N/A</v>
      </c>
      <c r="AG329" s="55" t="e">
        <f t="shared" ca="1" si="97"/>
        <v>#N/A</v>
      </c>
      <c r="AH329" s="55" t="e">
        <f t="shared" ca="1" si="98"/>
        <v>#N/A</v>
      </c>
      <c r="AI329" s="55" t="e">
        <f t="shared" ca="1" si="92"/>
        <v>#N/A</v>
      </c>
      <c r="AJ329" s="55" t="e">
        <f t="shared" ca="1" si="93"/>
        <v>#N/A</v>
      </c>
      <c r="AK329" s="55" t="e">
        <f t="shared" ca="1" si="94"/>
        <v>#N/A</v>
      </c>
    </row>
    <row r="330" spans="18:37">
      <c r="R330" s="83" t="e">
        <f ca="1"/>
        <v>#N/A</v>
      </c>
      <c r="S330" s="55" t="e">
        <f t="shared" ca="1" si="87"/>
        <v>#N/A</v>
      </c>
      <c r="T330" s="55" t="e">
        <f t="shared" ca="1" si="81"/>
        <v>#N/A</v>
      </c>
      <c r="U330" s="55" t="e">
        <f t="shared" ca="1" si="82"/>
        <v>#N/A</v>
      </c>
      <c r="V330" s="55" t="e">
        <f t="shared" ca="1" si="83"/>
        <v>#N/A</v>
      </c>
      <c r="W330" s="55" t="e">
        <f t="shared" ca="1" si="88"/>
        <v>#N/A</v>
      </c>
      <c r="X330" s="55" t="e">
        <f t="shared" ca="1" si="89"/>
        <v>#N/A</v>
      </c>
      <c r="Y330" s="55" t="e">
        <f t="shared" ca="1" si="90"/>
        <v>#N/A</v>
      </c>
      <c r="Z330" t="e">
        <f t="shared" ca="1" si="84"/>
        <v>#N/A</v>
      </c>
      <c r="AA330" t="e">
        <f t="shared" ca="1" si="91"/>
        <v>#N/A</v>
      </c>
      <c r="AB330" t="e">
        <f t="shared" ca="1" si="85"/>
        <v>#N/A</v>
      </c>
      <c r="AC330" t="e">
        <f t="shared" ca="1" si="86"/>
        <v>#N/A</v>
      </c>
      <c r="AD330" s="83" t="e">
        <f ca="1"/>
        <v>#N/A</v>
      </c>
      <c r="AE330" s="55" t="e">
        <f t="shared" ca="1" si="95"/>
        <v>#N/A</v>
      </c>
      <c r="AF330" s="55" t="e">
        <f t="shared" ca="1" si="96"/>
        <v>#N/A</v>
      </c>
      <c r="AG330" s="55" t="e">
        <f t="shared" ca="1" si="97"/>
        <v>#N/A</v>
      </c>
      <c r="AH330" s="55" t="e">
        <f t="shared" ca="1" si="98"/>
        <v>#N/A</v>
      </c>
      <c r="AI330" s="55" t="e">
        <f t="shared" ca="1" si="92"/>
        <v>#N/A</v>
      </c>
      <c r="AJ330" s="55" t="e">
        <f t="shared" ca="1" si="93"/>
        <v>#N/A</v>
      </c>
      <c r="AK330" s="55" t="e">
        <f t="shared" ca="1" si="94"/>
        <v>#N/A</v>
      </c>
    </row>
    <row r="331" spans="18:37">
      <c r="R331" s="83" t="e">
        <f ca="1"/>
        <v>#N/A</v>
      </c>
      <c r="S331" s="55" t="e">
        <f t="shared" ca="1" si="87"/>
        <v>#N/A</v>
      </c>
      <c r="T331" s="55" t="e">
        <f t="shared" ca="1" si="81"/>
        <v>#N/A</v>
      </c>
      <c r="U331" s="55" t="e">
        <f t="shared" ca="1" si="82"/>
        <v>#N/A</v>
      </c>
      <c r="V331" s="55" t="e">
        <f t="shared" ca="1" si="83"/>
        <v>#N/A</v>
      </c>
      <c r="W331" s="55" t="e">
        <f t="shared" ca="1" si="88"/>
        <v>#N/A</v>
      </c>
      <c r="X331" s="55" t="e">
        <f t="shared" ca="1" si="89"/>
        <v>#N/A</v>
      </c>
      <c r="Y331" s="55" t="e">
        <f t="shared" ca="1" si="90"/>
        <v>#N/A</v>
      </c>
      <c r="Z331" t="e">
        <f t="shared" ca="1" si="84"/>
        <v>#N/A</v>
      </c>
      <c r="AA331" t="e">
        <f t="shared" ca="1" si="91"/>
        <v>#N/A</v>
      </c>
      <c r="AB331" t="e">
        <f t="shared" ca="1" si="85"/>
        <v>#N/A</v>
      </c>
      <c r="AC331" t="e">
        <f t="shared" ca="1" si="86"/>
        <v>#N/A</v>
      </c>
      <c r="AD331" s="83" t="e">
        <f ca="1"/>
        <v>#N/A</v>
      </c>
      <c r="AE331" s="55" t="e">
        <f t="shared" ca="1" si="95"/>
        <v>#N/A</v>
      </c>
      <c r="AF331" s="55" t="e">
        <f t="shared" ca="1" si="96"/>
        <v>#N/A</v>
      </c>
      <c r="AG331" s="55" t="e">
        <f t="shared" ca="1" si="97"/>
        <v>#N/A</v>
      </c>
      <c r="AH331" s="55" t="e">
        <f t="shared" ca="1" si="98"/>
        <v>#N/A</v>
      </c>
      <c r="AI331" s="55" t="e">
        <f t="shared" ca="1" si="92"/>
        <v>#N/A</v>
      </c>
      <c r="AJ331" s="55" t="e">
        <f t="shared" ca="1" si="93"/>
        <v>#N/A</v>
      </c>
      <c r="AK331" s="55" t="e">
        <f t="shared" ca="1" si="94"/>
        <v>#N/A</v>
      </c>
    </row>
    <row r="332" spans="18:37">
      <c r="R332" s="83" t="e">
        <f ca="1"/>
        <v>#N/A</v>
      </c>
      <c r="S332" s="55" t="e">
        <f t="shared" ca="1" si="87"/>
        <v>#N/A</v>
      </c>
      <c r="T332" s="55" t="e">
        <f t="shared" ca="1" si="81"/>
        <v>#N/A</v>
      </c>
      <c r="U332" s="55" t="e">
        <f t="shared" ca="1" si="82"/>
        <v>#N/A</v>
      </c>
      <c r="V332" s="55" t="e">
        <f t="shared" ca="1" si="83"/>
        <v>#N/A</v>
      </c>
      <c r="W332" s="55" t="e">
        <f t="shared" ca="1" si="88"/>
        <v>#N/A</v>
      </c>
      <c r="X332" s="55" t="e">
        <f t="shared" ca="1" si="89"/>
        <v>#N/A</v>
      </c>
      <c r="Y332" s="55" t="e">
        <f t="shared" ca="1" si="90"/>
        <v>#N/A</v>
      </c>
      <c r="Z332" t="e">
        <f t="shared" ca="1" si="84"/>
        <v>#N/A</v>
      </c>
      <c r="AA332" t="e">
        <f t="shared" ca="1" si="91"/>
        <v>#N/A</v>
      </c>
      <c r="AB332" t="e">
        <f t="shared" ca="1" si="85"/>
        <v>#N/A</v>
      </c>
      <c r="AC332" t="e">
        <f t="shared" ca="1" si="86"/>
        <v>#N/A</v>
      </c>
      <c r="AD332" s="83" t="e">
        <f ca="1"/>
        <v>#N/A</v>
      </c>
      <c r="AE332" s="55" t="e">
        <f t="shared" ca="1" si="95"/>
        <v>#N/A</v>
      </c>
      <c r="AF332" s="55" t="e">
        <f t="shared" ca="1" si="96"/>
        <v>#N/A</v>
      </c>
      <c r="AG332" s="55" t="e">
        <f t="shared" ca="1" si="97"/>
        <v>#N/A</v>
      </c>
      <c r="AH332" s="55" t="e">
        <f t="shared" ca="1" si="98"/>
        <v>#N/A</v>
      </c>
      <c r="AI332" s="55" t="e">
        <f t="shared" ca="1" si="92"/>
        <v>#N/A</v>
      </c>
      <c r="AJ332" s="55" t="e">
        <f t="shared" ca="1" si="93"/>
        <v>#N/A</v>
      </c>
      <c r="AK332" s="55" t="e">
        <f t="shared" ca="1" si="94"/>
        <v>#N/A</v>
      </c>
    </row>
    <row r="333" spans="18:37">
      <c r="R333" s="83" t="e">
        <f ca="1"/>
        <v>#N/A</v>
      </c>
      <c r="S333" s="55" t="e">
        <f t="shared" ca="1" si="87"/>
        <v>#N/A</v>
      </c>
      <c r="T333" s="55" t="e">
        <f t="shared" ca="1" si="81"/>
        <v>#N/A</v>
      </c>
      <c r="U333" s="55" t="e">
        <f t="shared" ca="1" si="82"/>
        <v>#N/A</v>
      </c>
      <c r="V333" s="55" t="e">
        <f t="shared" ca="1" si="83"/>
        <v>#N/A</v>
      </c>
      <c r="W333" s="55" t="e">
        <f t="shared" ca="1" si="88"/>
        <v>#N/A</v>
      </c>
      <c r="X333" s="55" t="e">
        <f t="shared" ca="1" si="89"/>
        <v>#N/A</v>
      </c>
      <c r="Y333" s="55" t="e">
        <f t="shared" ca="1" si="90"/>
        <v>#N/A</v>
      </c>
      <c r="Z333" t="e">
        <f t="shared" ca="1" si="84"/>
        <v>#N/A</v>
      </c>
      <c r="AA333" t="e">
        <f t="shared" ca="1" si="91"/>
        <v>#N/A</v>
      </c>
      <c r="AB333" t="e">
        <f t="shared" ca="1" si="85"/>
        <v>#N/A</v>
      </c>
      <c r="AC333" t="e">
        <f t="shared" ca="1" si="86"/>
        <v>#N/A</v>
      </c>
      <c r="AD333" s="83" t="e">
        <f ca="1"/>
        <v>#N/A</v>
      </c>
      <c r="AE333" s="55" t="e">
        <f t="shared" ca="1" si="95"/>
        <v>#N/A</v>
      </c>
      <c r="AF333" s="55" t="e">
        <f t="shared" ca="1" si="96"/>
        <v>#N/A</v>
      </c>
      <c r="AG333" s="55" t="e">
        <f t="shared" ca="1" si="97"/>
        <v>#N/A</v>
      </c>
      <c r="AH333" s="55" t="e">
        <f t="shared" ca="1" si="98"/>
        <v>#N/A</v>
      </c>
      <c r="AI333" s="55" t="e">
        <f t="shared" ca="1" si="92"/>
        <v>#N/A</v>
      </c>
      <c r="AJ333" s="55" t="e">
        <f t="shared" ca="1" si="93"/>
        <v>#N/A</v>
      </c>
      <c r="AK333" s="55" t="e">
        <f t="shared" ca="1" si="94"/>
        <v>#N/A</v>
      </c>
    </row>
    <row r="334" spans="18:37">
      <c r="R334" s="83" t="e">
        <f ca="1"/>
        <v>#N/A</v>
      </c>
      <c r="S334" s="55" t="e">
        <f t="shared" ca="1" si="87"/>
        <v>#N/A</v>
      </c>
      <c r="T334" s="55" t="e">
        <f t="shared" ca="1" si="81"/>
        <v>#N/A</v>
      </c>
      <c r="U334" s="55" t="e">
        <f t="shared" ca="1" si="82"/>
        <v>#N/A</v>
      </c>
      <c r="V334" s="55" t="e">
        <f t="shared" ca="1" si="83"/>
        <v>#N/A</v>
      </c>
      <c r="W334" s="55" t="e">
        <f t="shared" ca="1" si="88"/>
        <v>#N/A</v>
      </c>
      <c r="X334" s="55" t="e">
        <f t="shared" ca="1" si="89"/>
        <v>#N/A</v>
      </c>
      <c r="Y334" s="55" t="e">
        <f t="shared" ca="1" si="90"/>
        <v>#N/A</v>
      </c>
      <c r="Z334" t="e">
        <f t="shared" ca="1" si="84"/>
        <v>#N/A</v>
      </c>
      <c r="AA334" t="e">
        <f t="shared" ca="1" si="91"/>
        <v>#N/A</v>
      </c>
      <c r="AB334" t="e">
        <f t="shared" ca="1" si="85"/>
        <v>#N/A</v>
      </c>
      <c r="AC334" t="e">
        <f t="shared" ca="1" si="86"/>
        <v>#N/A</v>
      </c>
      <c r="AD334" s="83" t="e">
        <f ca="1"/>
        <v>#N/A</v>
      </c>
      <c r="AE334" s="55" t="e">
        <f t="shared" ca="1" si="95"/>
        <v>#N/A</v>
      </c>
      <c r="AF334" s="55" t="e">
        <f t="shared" ca="1" si="96"/>
        <v>#N/A</v>
      </c>
      <c r="AG334" s="55" t="e">
        <f t="shared" ca="1" si="97"/>
        <v>#N/A</v>
      </c>
      <c r="AH334" s="55" t="e">
        <f t="shared" ca="1" si="98"/>
        <v>#N/A</v>
      </c>
      <c r="AI334" s="55" t="e">
        <f t="shared" ca="1" si="92"/>
        <v>#N/A</v>
      </c>
      <c r="AJ334" s="55" t="e">
        <f t="shared" ca="1" si="93"/>
        <v>#N/A</v>
      </c>
      <c r="AK334" s="55" t="e">
        <f t="shared" ca="1" si="94"/>
        <v>#N/A</v>
      </c>
    </row>
    <row r="335" spans="18:37">
      <c r="R335" s="83" t="e">
        <f ca="1"/>
        <v>#N/A</v>
      </c>
      <c r="S335" s="55" t="e">
        <f t="shared" ca="1" si="87"/>
        <v>#N/A</v>
      </c>
      <c r="T335" s="55" t="e">
        <f t="shared" ca="1" si="81"/>
        <v>#N/A</v>
      </c>
      <c r="U335" s="55" t="e">
        <f t="shared" ca="1" si="82"/>
        <v>#N/A</v>
      </c>
      <c r="V335" s="55" t="e">
        <f t="shared" ca="1" si="83"/>
        <v>#N/A</v>
      </c>
      <c r="W335" s="55" t="e">
        <f t="shared" ca="1" si="88"/>
        <v>#N/A</v>
      </c>
      <c r="X335" s="55" t="e">
        <f t="shared" ca="1" si="89"/>
        <v>#N/A</v>
      </c>
      <c r="Y335" s="55" t="e">
        <f t="shared" ca="1" si="90"/>
        <v>#N/A</v>
      </c>
      <c r="Z335" t="e">
        <f t="shared" ca="1" si="84"/>
        <v>#N/A</v>
      </c>
      <c r="AA335" t="e">
        <f t="shared" ca="1" si="91"/>
        <v>#N/A</v>
      </c>
      <c r="AB335" t="e">
        <f t="shared" ca="1" si="85"/>
        <v>#N/A</v>
      </c>
      <c r="AC335" t="e">
        <f t="shared" ca="1" si="86"/>
        <v>#N/A</v>
      </c>
      <c r="AD335" s="83" t="e">
        <f ca="1"/>
        <v>#N/A</v>
      </c>
      <c r="AE335" s="55" t="e">
        <f t="shared" ca="1" si="95"/>
        <v>#N/A</v>
      </c>
      <c r="AF335" s="55" t="e">
        <f t="shared" ca="1" si="96"/>
        <v>#N/A</v>
      </c>
      <c r="AG335" s="55" t="e">
        <f t="shared" ca="1" si="97"/>
        <v>#N/A</v>
      </c>
      <c r="AH335" s="55" t="e">
        <f t="shared" ca="1" si="98"/>
        <v>#N/A</v>
      </c>
      <c r="AI335" s="55" t="e">
        <f t="shared" ca="1" si="92"/>
        <v>#N/A</v>
      </c>
      <c r="AJ335" s="55" t="e">
        <f t="shared" ca="1" si="93"/>
        <v>#N/A</v>
      </c>
      <c r="AK335" s="55" t="e">
        <f t="shared" ca="1" si="94"/>
        <v>#N/A</v>
      </c>
    </row>
    <row r="336" spans="18:37">
      <c r="R336" s="83" t="e">
        <f ca="1"/>
        <v>#N/A</v>
      </c>
      <c r="S336" s="55" t="e">
        <f t="shared" ca="1" si="87"/>
        <v>#N/A</v>
      </c>
      <c r="T336" s="55" t="e">
        <f t="shared" ca="1" si="81"/>
        <v>#N/A</v>
      </c>
      <c r="U336" s="55" t="e">
        <f t="shared" ca="1" si="82"/>
        <v>#N/A</v>
      </c>
      <c r="V336" s="55" t="e">
        <f t="shared" ca="1" si="83"/>
        <v>#N/A</v>
      </c>
      <c r="W336" s="55" t="e">
        <f t="shared" ca="1" si="88"/>
        <v>#N/A</v>
      </c>
      <c r="X336" s="55" t="e">
        <f t="shared" ca="1" si="89"/>
        <v>#N/A</v>
      </c>
      <c r="Y336" s="55" t="e">
        <f t="shared" ca="1" si="90"/>
        <v>#N/A</v>
      </c>
      <c r="Z336" t="e">
        <f t="shared" ca="1" si="84"/>
        <v>#N/A</v>
      </c>
      <c r="AA336" t="e">
        <f t="shared" ca="1" si="91"/>
        <v>#N/A</v>
      </c>
      <c r="AB336" t="e">
        <f t="shared" ca="1" si="85"/>
        <v>#N/A</v>
      </c>
      <c r="AC336" t="e">
        <f t="shared" ca="1" si="86"/>
        <v>#N/A</v>
      </c>
      <c r="AD336" s="83" t="e">
        <f ca="1"/>
        <v>#N/A</v>
      </c>
      <c r="AE336" s="55" t="e">
        <f t="shared" ca="1" si="95"/>
        <v>#N/A</v>
      </c>
      <c r="AF336" s="55" t="e">
        <f t="shared" ca="1" si="96"/>
        <v>#N/A</v>
      </c>
      <c r="AG336" s="55" t="e">
        <f t="shared" ca="1" si="97"/>
        <v>#N/A</v>
      </c>
      <c r="AH336" s="55" t="e">
        <f t="shared" ca="1" si="98"/>
        <v>#N/A</v>
      </c>
      <c r="AI336" s="55" t="e">
        <f t="shared" ca="1" si="92"/>
        <v>#N/A</v>
      </c>
      <c r="AJ336" s="55" t="e">
        <f t="shared" ca="1" si="93"/>
        <v>#N/A</v>
      </c>
      <c r="AK336" s="55" t="e">
        <f t="shared" ca="1" si="94"/>
        <v>#N/A</v>
      </c>
    </row>
    <row r="337" spans="18:37">
      <c r="R337" s="83" t="e">
        <f ca="1"/>
        <v>#N/A</v>
      </c>
      <c r="S337" s="55" t="e">
        <f t="shared" ca="1" si="87"/>
        <v>#N/A</v>
      </c>
      <c r="T337" s="55" t="e">
        <f t="shared" ca="1" si="81"/>
        <v>#N/A</v>
      </c>
      <c r="U337" s="55" t="e">
        <f t="shared" ca="1" si="82"/>
        <v>#N/A</v>
      </c>
      <c r="V337" s="55" t="e">
        <f t="shared" ca="1" si="83"/>
        <v>#N/A</v>
      </c>
      <c r="W337" s="55" t="e">
        <f t="shared" ca="1" si="88"/>
        <v>#N/A</v>
      </c>
      <c r="X337" s="55" t="e">
        <f t="shared" ca="1" si="89"/>
        <v>#N/A</v>
      </c>
      <c r="Y337" s="55" t="e">
        <f t="shared" ca="1" si="90"/>
        <v>#N/A</v>
      </c>
      <c r="Z337" t="e">
        <f t="shared" ca="1" si="84"/>
        <v>#N/A</v>
      </c>
      <c r="AA337" t="e">
        <f t="shared" ca="1" si="91"/>
        <v>#N/A</v>
      </c>
      <c r="AB337" t="e">
        <f t="shared" ca="1" si="85"/>
        <v>#N/A</v>
      </c>
      <c r="AC337" t="e">
        <f t="shared" ca="1" si="86"/>
        <v>#N/A</v>
      </c>
      <c r="AD337" s="83" t="e">
        <f ca="1"/>
        <v>#N/A</v>
      </c>
      <c r="AE337" s="55" t="e">
        <f t="shared" ca="1" si="95"/>
        <v>#N/A</v>
      </c>
      <c r="AF337" s="55" t="e">
        <f t="shared" ca="1" si="96"/>
        <v>#N/A</v>
      </c>
      <c r="AG337" s="55" t="e">
        <f t="shared" ca="1" si="97"/>
        <v>#N/A</v>
      </c>
      <c r="AH337" s="55" t="e">
        <f t="shared" ca="1" si="98"/>
        <v>#N/A</v>
      </c>
      <c r="AI337" s="55" t="e">
        <f t="shared" ca="1" si="92"/>
        <v>#N/A</v>
      </c>
      <c r="AJ337" s="55" t="e">
        <f t="shared" ca="1" si="93"/>
        <v>#N/A</v>
      </c>
      <c r="AK337" s="55" t="e">
        <f t="shared" ca="1" si="94"/>
        <v>#N/A</v>
      </c>
    </row>
    <row r="338" spans="18:37">
      <c r="R338" s="83" t="e">
        <f ca="1"/>
        <v>#N/A</v>
      </c>
      <c r="S338" s="55" t="e">
        <f t="shared" ca="1" si="87"/>
        <v>#N/A</v>
      </c>
      <c r="T338" s="55" t="e">
        <f t="shared" ref="T338:T395" ca="1" si="99">VLOOKUP(S338,ModelOutputs,2,FALSE)</f>
        <v>#N/A</v>
      </c>
      <c r="U338" s="55" t="e">
        <f t="shared" ref="U338:U395" ca="1" si="100">VLOOKUP(S338,ModelOutputs,7,FALSE)</f>
        <v>#N/A</v>
      </c>
      <c r="V338" s="55" t="e">
        <f t="shared" ref="V338:V395" ca="1" si="101">VLOOKUP(S338,ModelOutputs,6,FALSE)</f>
        <v>#N/A</v>
      </c>
      <c r="W338" s="55" t="e">
        <f t="shared" ca="1" si="88"/>
        <v>#N/A</v>
      </c>
      <c r="X338" s="55" t="e">
        <f t="shared" ca="1" si="89"/>
        <v>#N/A</v>
      </c>
      <c r="Y338" s="55" t="e">
        <f t="shared" ca="1" si="90"/>
        <v>#N/A</v>
      </c>
      <c r="Z338" t="e">
        <f t="shared" ref="Z338:Z401" ca="1" si="102">VLOOKUP(S338,ModelOutputs,10,FALSE)*AWC</f>
        <v>#N/A</v>
      </c>
      <c r="AA338" t="e">
        <f t="shared" ca="1" si="91"/>
        <v>#N/A</v>
      </c>
      <c r="AB338" t="e">
        <f t="shared" ref="AB338:AB395" ca="1" si="103">VLOOKUP(S338,ModelOutputs,12,FALSE)</f>
        <v>#N/A</v>
      </c>
      <c r="AC338" t="e">
        <f t="shared" ref="AC338:AC395" ca="1" si="104">VLOOKUP(S338,ModelOutputs,13,FALSE)</f>
        <v>#N/A</v>
      </c>
      <c r="AD338" s="83" t="e">
        <f ca="1"/>
        <v>#N/A</v>
      </c>
      <c r="AE338" s="55" t="e">
        <f t="shared" ca="1" si="95"/>
        <v>#N/A</v>
      </c>
      <c r="AF338" s="55" t="e">
        <f t="shared" ca="1" si="96"/>
        <v>#N/A</v>
      </c>
      <c r="AG338" s="55" t="e">
        <f t="shared" ca="1" si="97"/>
        <v>#N/A</v>
      </c>
      <c r="AH338" s="55" t="e">
        <f t="shared" ca="1" si="98"/>
        <v>#N/A</v>
      </c>
      <c r="AI338" s="55" t="e">
        <f t="shared" ca="1" si="92"/>
        <v>#N/A</v>
      </c>
      <c r="AJ338" s="55" t="e">
        <f t="shared" ca="1" si="93"/>
        <v>#N/A</v>
      </c>
      <c r="AK338" s="55" t="e">
        <f t="shared" ca="1" si="94"/>
        <v>#N/A</v>
      </c>
    </row>
    <row r="339" spans="18:37">
      <c r="R339" s="83" t="e">
        <f ca="1"/>
        <v>#N/A</v>
      </c>
      <c r="S339" s="55" t="e">
        <f t="shared" ref="S339:S395" ca="1" si="105">IF(R339&gt;1,R339,"")</f>
        <v>#N/A</v>
      </c>
      <c r="T339" s="55" t="e">
        <f t="shared" ca="1" si="99"/>
        <v>#N/A</v>
      </c>
      <c r="U339" s="55" t="e">
        <f t="shared" ca="1" si="100"/>
        <v>#N/A</v>
      </c>
      <c r="V339" s="55" t="e">
        <f t="shared" ca="1" si="101"/>
        <v>#N/A</v>
      </c>
      <c r="W339" s="55" t="e">
        <f t="shared" ref="W339:W402" ca="1" si="106">-VLOOKUP(S339,ModelOutputs,9,FALSE)+W338</f>
        <v>#N/A</v>
      </c>
      <c r="X339" s="55" t="e">
        <f t="shared" ref="X339:X402" ca="1" si="107">VLOOKUP(S339,ModelOutputs,5,FALSE)+X338</f>
        <v>#N/A</v>
      </c>
      <c r="Y339" s="55" t="e">
        <f t="shared" ref="Y339:Y402" ca="1" si="108">VLOOKUP(S339,ModelOutputs,4,FALSE)+Y338</f>
        <v>#N/A</v>
      </c>
      <c r="Z339" t="e">
        <f t="shared" ca="1" si="102"/>
        <v>#N/A</v>
      </c>
      <c r="AA339" t="e">
        <f t="shared" ref="AA339:AA395" ca="1" si="109">VLOOKUP(S339,ModelOutputs,11,FALSE)+AA338</f>
        <v>#N/A</v>
      </c>
      <c r="AB339" t="e">
        <f t="shared" ca="1" si="103"/>
        <v>#N/A</v>
      </c>
      <c r="AC339" t="e">
        <f t="shared" ca="1" si="104"/>
        <v>#N/A</v>
      </c>
      <c r="AD339" s="83" t="e">
        <f ca="1"/>
        <v>#N/A</v>
      </c>
      <c r="AE339" s="55" t="e">
        <f t="shared" ca="1" si="95"/>
        <v>#N/A</v>
      </c>
      <c r="AF339" s="55" t="e">
        <f t="shared" ca="1" si="96"/>
        <v>#N/A</v>
      </c>
      <c r="AG339" s="55" t="e">
        <f t="shared" ca="1" si="97"/>
        <v>#N/A</v>
      </c>
      <c r="AH339" s="55" t="e">
        <f t="shared" ca="1" si="98"/>
        <v>#N/A</v>
      </c>
      <c r="AI339" s="55" t="e">
        <f t="shared" ref="AI339:AI402" ca="1" si="110">-VLOOKUP(AE339,ModelOutputs,9,FALSE)+AI338</f>
        <v>#N/A</v>
      </c>
      <c r="AJ339" s="55" t="e">
        <f t="shared" ref="AJ339:AJ402" ca="1" si="111">VLOOKUP(AE339,ModelOutputs,5,FALSE)+AJ338</f>
        <v>#N/A</v>
      </c>
      <c r="AK339" s="55" t="e">
        <f t="shared" ref="AK339:AK402" ca="1" si="112">VLOOKUP(AE339,ModelOutputs,4,FALSE)+AK338</f>
        <v>#N/A</v>
      </c>
    </row>
    <row r="340" spans="18:37">
      <c r="R340" s="83" t="e">
        <f ca="1"/>
        <v>#N/A</v>
      </c>
      <c r="S340" s="55" t="e">
        <f t="shared" ca="1" si="105"/>
        <v>#N/A</v>
      </c>
      <c r="T340" s="55" t="e">
        <f t="shared" ca="1" si="99"/>
        <v>#N/A</v>
      </c>
      <c r="U340" s="55" t="e">
        <f t="shared" ca="1" si="100"/>
        <v>#N/A</v>
      </c>
      <c r="V340" s="55" t="e">
        <f t="shared" ca="1" si="101"/>
        <v>#N/A</v>
      </c>
      <c r="W340" s="55" t="e">
        <f t="shared" ca="1" si="106"/>
        <v>#N/A</v>
      </c>
      <c r="X340" s="55" t="e">
        <f t="shared" ca="1" si="107"/>
        <v>#N/A</v>
      </c>
      <c r="Y340" s="55" t="e">
        <f t="shared" ca="1" si="108"/>
        <v>#N/A</v>
      </c>
      <c r="Z340" t="e">
        <f t="shared" ca="1" si="102"/>
        <v>#N/A</v>
      </c>
      <c r="AA340" t="e">
        <f t="shared" ca="1" si="109"/>
        <v>#N/A</v>
      </c>
      <c r="AB340" t="e">
        <f t="shared" ca="1" si="103"/>
        <v>#N/A</v>
      </c>
      <c r="AC340" t="e">
        <f t="shared" ca="1" si="104"/>
        <v>#N/A</v>
      </c>
      <c r="AD340" s="83" t="e">
        <f ca="1"/>
        <v>#N/A</v>
      </c>
      <c r="AE340" s="55" t="e">
        <f t="shared" ca="1" si="95"/>
        <v>#N/A</v>
      </c>
      <c r="AF340" s="55" t="e">
        <f t="shared" ca="1" si="96"/>
        <v>#N/A</v>
      </c>
      <c r="AG340" s="55" t="e">
        <f t="shared" ca="1" si="97"/>
        <v>#N/A</v>
      </c>
      <c r="AH340" s="55" t="e">
        <f t="shared" ca="1" si="98"/>
        <v>#N/A</v>
      </c>
      <c r="AI340" s="55" t="e">
        <f t="shared" ca="1" si="110"/>
        <v>#N/A</v>
      </c>
      <c r="AJ340" s="55" t="e">
        <f t="shared" ca="1" si="111"/>
        <v>#N/A</v>
      </c>
      <c r="AK340" s="55" t="e">
        <f t="shared" ca="1" si="112"/>
        <v>#N/A</v>
      </c>
    </row>
    <row r="341" spans="18:37">
      <c r="R341" s="83" t="e">
        <f ca="1"/>
        <v>#N/A</v>
      </c>
      <c r="S341" s="55" t="e">
        <f t="shared" ca="1" si="105"/>
        <v>#N/A</v>
      </c>
      <c r="T341" s="55" t="e">
        <f t="shared" ca="1" si="99"/>
        <v>#N/A</v>
      </c>
      <c r="U341" s="55" t="e">
        <f t="shared" ca="1" si="100"/>
        <v>#N/A</v>
      </c>
      <c r="V341" s="55" t="e">
        <f t="shared" ca="1" si="101"/>
        <v>#N/A</v>
      </c>
      <c r="W341" s="55" t="e">
        <f t="shared" ca="1" si="106"/>
        <v>#N/A</v>
      </c>
      <c r="X341" s="55" t="e">
        <f t="shared" ca="1" si="107"/>
        <v>#N/A</v>
      </c>
      <c r="Y341" s="55" t="e">
        <f t="shared" ca="1" si="108"/>
        <v>#N/A</v>
      </c>
      <c r="Z341" t="e">
        <f t="shared" ca="1" si="102"/>
        <v>#N/A</v>
      </c>
      <c r="AA341" t="e">
        <f t="shared" ca="1" si="109"/>
        <v>#N/A</v>
      </c>
      <c r="AB341" t="e">
        <f t="shared" ca="1" si="103"/>
        <v>#N/A</v>
      </c>
      <c r="AC341" t="e">
        <f t="shared" ca="1" si="104"/>
        <v>#N/A</v>
      </c>
      <c r="AD341" s="83" t="e">
        <f ca="1"/>
        <v>#N/A</v>
      </c>
      <c r="AE341" s="55" t="e">
        <f t="shared" ref="AE341:AE395" ca="1" si="113">IF(AD341&gt;1,AD341,"")</f>
        <v>#N/A</v>
      </c>
      <c r="AF341" s="55" t="e">
        <f t="shared" ref="AF341:AF395" ca="1" si="114">VLOOKUP(AE341,ModelOutputs,2,FALSE)</f>
        <v>#N/A</v>
      </c>
      <c r="AG341" s="55" t="e">
        <f t="shared" ref="AG341:AG395" ca="1" si="115">VLOOKUP(AE341,ModelOutputs,7,FALSE)</f>
        <v>#N/A</v>
      </c>
      <c r="AH341" s="55" t="e">
        <f t="shared" ref="AH341:AH395" ca="1" si="116">VLOOKUP(AE341,ModelOutputs,6,FALSE)</f>
        <v>#N/A</v>
      </c>
      <c r="AI341" s="55" t="e">
        <f t="shared" ca="1" si="110"/>
        <v>#N/A</v>
      </c>
      <c r="AJ341" s="55" t="e">
        <f t="shared" ca="1" si="111"/>
        <v>#N/A</v>
      </c>
      <c r="AK341" s="55" t="e">
        <f t="shared" ca="1" si="112"/>
        <v>#N/A</v>
      </c>
    </row>
    <row r="342" spans="18:37">
      <c r="R342" s="83" t="e">
        <f ca="1"/>
        <v>#N/A</v>
      </c>
      <c r="S342" s="55" t="e">
        <f t="shared" ca="1" si="105"/>
        <v>#N/A</v>
      </c>
      <c r="T342" s="55" t="e">
        <f t="shared" ca="1" si="99"/>
        <v>#N/A</v>
      </c>
      <c r="U342" s="55" t="e">
        <f t="shared" ca="1" si="100"/>
        <v>#N/A</v>
      </c>
      <c r="V342" s="55" t="e">
        <f t="shared" ca="1" si="101"/>
        <v>#N/A</v>
      </c>
      <c r="W342" s="55" t="e">
        <f t="shared" ca="1" si="106"/>
        <v>#N/A</v>
      </c>
      <c r="X342" s="55" t="e">
        <f t="shared" ca="1" si="107"/>
        <v>#N/A</v>
      </c>
      <c r="Y342" s="55" t="e">
        <f t="shared" ca="1" si="108"/>
        <v>#N/A</v>
      </c>
      <c r="Z342" t="e">
        <f t="shared" ca="1" si="102"/>
        <v>#N/A</v>
      </c>
      <c r="AA342" t="e">
        <f t="shared" ca="1" si="109"/>
        <v>#N/A</v>
      </c>
      <c r="AB342" t="e">
        <f t="shared" ca="1" si="103"/>
        <v>#N/A</v>
      </c>
      <c r="AC342" t="e">
        <f t="shared" ca="1" si="104"/>
        <v>#N/A</v>
      </c>
      <c r="AD342" s="83" t="e">
        <f ca="1"/>
        <v>#N/A</v>
      </c>
      <c r="AE342" s="55" t="e">
        <f t="shared" ca="1" si="113"/>
        <v>#N/A</v>
      </c>
      <c r="AF342" s="55" t="e">
        <f t="shared" ca="1" si="114"/>
        <v>#N/A</v>
      </c>
      <c r="AG342" s="55" t="e">
        <f t="shared" ca="1" si="115"/>
        <v>#N/A</v>
      </c>
      <c r="AH342" s="55" t="e">
        <f t="shared" ca="1" si="116"/>
        <v>#N/A</v>
      </c>
      <c r="AI342" s="55" t="e">
        <f t="shared" ca="1" si="110"/>
        <v>#N/A</v>
      </c>
      <c r="AJ342" s="55" t="e">
        <f t="shared" ca="1" si="111"/>
        <v>#N/A</v>
      </c>
      <c r="AK342" s="55" t="e">
        <f t="shared" ca="1" si="112"/>
        <v>#N/A</v>
      </c>
    </row>
    <row r="343" spans="18:37">
      <c r="R343" s="83" t="e">
        <f ca="1"/>
        <v>#N/A</v>
      </c>
      <c r="S343" s="55" t="e">
        <f t="shared" ca="1" si="105"/>
        <v>#N/A</v>
      </c>
      <c r="T343" s="55" t="e">
        <f t="shared" ca="1" si="99"/>
        <v>#N/A</v>
      </c>
      <c r="U343" s="55" t="e">
        <f t="shared" ca="1" si="100"/>
        <v>#N/A</v>
      </c>
      <c r="V343" s="55" t="e">
        <f t="shared" ca="1" si="101"/>
        <v>#N/A</v>
      </c>
      <c r="W343" s="55" t="e">
        <f t="shared" ca="1" si="106"/>
        <v>#N/A</v>
      </c>
      <c r="X343" s="55" t="e">
        <f t="shared" ca="1" si="107"/>
        <v>#N/A</v>
      </c>
      <c r="Y343" s="55" t="e">
        <f t="shared" ca="1" si="108"/>
        <v>#N/A</v>
      </c>
      <c r="Z343" t="e">
        <f t="shared" ca="1" si="102"/>
        <v>#N/A</v>
      </c>
      <c r="AA343" t="e">
        <f t="shared" ca="1" si="109"/>
        <v>#N/A</v>
      </c>
      <c r="AB343" t="e">
        <f t="shared" ca="1" si="103"/>
        <v>#N/A</v>
      </c>
      <c r="AC343" t="e">
        <f t="shared" ca="1" si="104"/>
        <v>#N/A</v>
      </c>
      <c r="AD343" s="83" t="e">
        <f ca="1"/>
        <v>#N/A</v>
      </c>
      <c r="AE343" s="55" t="e">
        <f t="shared" ca="1" si="113"/>
        <v>#N/A</v>
      </c>
      <c r="AF343" s="55" t="e">
        <f t="shared" ca="1" si="114"/>
        <v>#N/A</v>
      </c>
      <c r="AG343" s="55" t="e">
        <f t="shared" ca="1" si="115"/>
        <v>#N/A</v>
      </c>
      <c r="AH343" s="55" t="e">
        <f t="shared" ca="1" si="116"/>
        <v>#N/A</v>
      </c>
      <c r="AI343" s="55" t="e">
        <f t="shared" ca="1" si="110"/>
        <v>#N/A</v>
      </c>
      <c r="AJ343" s="55" t="e">
        <f t="shared" ca="1" si="111"/>
        <v>#N/A</v>
      </c>
      <c r="AK343" s="55" t="e">
        <f t="shared" ca="1" si="112"/>
        <v>#N/A</v>
      </c>
    </row>
    <row r="344" spans="18:37">
      <c r="R344" s="83" t="e">
        <f ca="1"/>
        <v>#N/A</v>
      </c>
      <c r="S344" s="55" t="e">
        <f t="shared" ca="1" si="105"/>
        <v>#N/A</v>
      </c>
      <c r="T344" s="55" t="e">
        <f t="shared" ca="1" si="99"/>
        <v>#N/A</v>
      </c>
      <c r="U344" s="55" t="e">
        <f t="shared" ca="1" si="100"/>
        <v>#N/A</v>
      </c>
      <c r="V344" s="55" t="e">
        <f t="shared" ca="1" si="101"/>
        <v>#N/A</v>
      </c>
      <c r="W344" s="55" t="e">
        <f t="shared" ca="1" si="106"/>
        <v>#N/A</v>
      </c>
      <c r="X344" s="55" t="e">
        <f t="shared" ca="1" si="107"/>
        <v>#N/A</v>
      </c>
      <c r="Y344" s="55" t="e">
        <f t="shared" ca="1" si="108"/>
        <v>#N/A</v>
      </c>
      <c r="Z344" t="e">
        <f t="shared" ca="1" si="102"/>
        <v>#N/A</v>
      </c>
      <c r="AA344" t="e">
        <f t="shared" ca="1" si="109"/>
        <v>#N/A</v>
      </c>
      <c r="AB344" t="e">
        <f t="shared" ca="1" si="103"/>
        <v>#N/A</v>
      </c>
      <c r="AC344" t="e">
        <f t="shared" ca="1" si="104"/>
        <v>#N/A</v>
      </c>
      <c r="AD344" s="83" t="e">
        <f ca="1"/>
        <v>#N/A</v>
      </c>
      <c r="AE344" s="55" t="e">
        <f t="shared" ca="1" si="113"/>
        <v>#N/A</v>
      </c>
      <c r="AF344" s="55" t="e">
        <f t="shared" ca="1" si="114"/>
        <v>#N/A</v>
      </c>
      <c r="AG344" s="55" t="e">
        <f t="shared" ca="1" si="115"/>
        <v>#N/A</v>
      </c>
      <c r="AH344" s="55" t="e">
        <f t="shared" ca="1" si="116"/>
        <v>#N/A</v>
      </c>
      <c r="AI344" s="55" t="e">
        <f t="shared" ca="1" si="110"/>
        <v>#N/A</v>
      </c>
      <c r="AJ344" s="55" t="e">
        <f t="shared" ca="1" si="111"/>
        <v>#N/A</v>
      </c>
      <c r="AK344" s="55" t="e">
        <f t="shared" ca="1" si="112"/>
        <v>#N/A</v>
      </c>
    </row>
    <row r="345" spans="18:37">
      <c r="R345" s="83" t="e">
        <f ca="1"/>
        <v>#N/A</v>
      </c>
      <c r="S345" s="55" t="e">
        <f t="shared" ca="1" si="105"/>
        <v>#N/A</v>
      </c>
      <c r="T345" s="55" t="e">
        <f t="shared" ca="1" si="99"/>
        <v>#N/A</v>
      </c>
      <c r="U345" s="55" t="e">
        <f t="shared" ca="1" si="100"/>
        <v>#N/A</v>
      </c>
      <c r="V345" s="55" t="e">
        <f t="shared" ca="1" si="101"/>
        <v>#N/A</v>
      </c>
      <c r="W345" s="55" t="e">
        <f t="shared" ca="1" si="106"/>
        <v>#N/A</v>
      </c>
      <c r="X345" s="55" t="e">
        <f t="shared" ca="1" si="107"/>
        <v>#N/A</v>
      </c>
      <c r="Y345" s="55" t="e">
        <f t="shared" ca="1" si="108"/>
        <v>#N/A</v>
      </c>
      <c r="Z345" t="e">
        <f t="shared" ca="1" si="102"/>
        <v>#N/A</v>
      </c>
      <c r="AA345" t="e">
        <f t="shared" ca="1" si="109"/>
        <v>#N/A</v>
      </c>
      <c r="AB345" t="e">
        <f t="shared" ca="1" si="103"/>
        <v>#N/A</v>
      </c>
      <c r="AC345" t="e">
        <f t="shared" ca="1" si="104"/>
        <v>#N/A</v>
      </c>
      <c r="AD345" s="83" t="e">
        <f ca="1"/>
        <v>#N/A</v>
      </c>
      <c r="AE345" s="55" t="e">
        <f t="shared" ca="1" si="113"/>
        <v>#N/A</v>
      </c>
      <c r="AF345" s="55" t="e">
        <f t="shared" ca="1" si="114"/>
        <v>#N/A</v>
      </c>
      <c r="AG345" s="55" t="e">
        <f t="shared" ca="1" si="115"/>
        <v>#N/A</v>
      </c>
      <c r="AH345" s="55" t="e">
        <f t="shared" ca="1" si="116"/>
        <v>#N/A</v>
      </c>
      <c r="AI345" s="55" t="e">
        <f t="shared" ca="1" si="110"/>
        <v>#N/A</v>
      </c>
      <c r="AJ345" s="55" t="e">
        <f t="shared" ca="1" si="111"/>
        <v>#N/A</v>
      </c>
      <c r="AK345" s="55" t="e">
        <f t="shared" ca="1" si="112"/>
        <v>#N/A</v>
      </c>
    </row>
    <row r="346" spans="18:37">
      <c r="R346" s="83" t="e">
        <f ca="1"/>
        <v>#N/A</v>
      </c>
      <c r="S346" s="55" t="e">
        <f t="shared" ca="1" si="105"/>
        <v>#N/A</v>
      </c>
      <c r="T346" s="55" t="e">
        <f t="shared" ca="1" si="99"/>
        <v>#N/A</v>
      </c>
      <c r="U346" s="55" t="e">
        <f t="shared" ca="1" si="100"/>
        <v>#N/A</v>
      </c>
      <c r="V346" s="55" t="e">
        <f t="shared" ca="1" si="101"/>
        <v>#N/A</v>
      </c>
      <c r="W346" s="55" t="e">
        <f t="shared" ca="1" si="106"/>
        <v>#N/A</v>
      </c>
      <c r="X346" s="55" t="e">
        <f t="shared" ca="1" si="107"/>
        <v>#N/A</v>
      </c>
      <c r="Y346" s="55" t="e">
        <f t="shared" ca="1" si="108"/>
        <v>#N/A</v>
      </c>
      <c r="Z346" t="e">
        <f t="shared" ca="1" si="102"/>
        <v>#N/A</v>
      </c>
      <c r="AA346" t="e">
        <f t="shared" ca="1" si="109"/>
        <v>#N/A</v>
      </c>
      <c r="AB346" t="e">
        <f t="shared" ca="1" si="103"/>
        <v>#N/A</v>
      </c>
      <c r="AC346" t="e">
        <f t="shared" ca="1" si="104"/>
        <v>#N/A</v>
      </c>
      <c r="AD346" s="83" t="e">
        <f ca="1"/>
        <v>#N/A</v>
      </c>
      <c r="AE346" s="55" t="e">
        <f t="shared" ca="1" si="113"/>
        <v>#N/A</v>
      </c>
      <c r="AF346" s="55" t="e">
        <f t="shared" ca="1" si="114"/>
        <v>#N/A</v>
      </c>
      <c r="AG346" s="55" t="e">
        <f t="shared" ca="1" si="115"/>
        <v>#N/A</v>
      </c>
      <c r="AH346" s="55" t="e">
        <f t="shared" ca="1" si="116"/>
        <v>#N/A</v>
      </c>
      <c r="AI346" s="55" t="e">
        <f t="shared" ca="1" si="110"/>
        <v>#N/A</v>
      </c>
      <c r="AJ346" s="55" t="e">
        <f t="shared" ca="1" si="111"/>
        <v>#N/A</v>
      </c>
      <c r="AK346" s="55" t="e">
        <f t="shared" ca="1" si="112"/>
        <v>#N/A</v>
      </c>
    </row>
    <row r="347" spans="18:37">
      <c r="R347" s="83" t="e">
        <f ca="1"/>
        <v>#N/A</v>
      </c>
      <c r="S347" s="55" t="e">
        <f t="shared" ca="1" si="105"/>
        <v>#N/A</v>
      </c>
      <c r="T347" s="55" t="e">
        <f t="shared" ca="1" si="99"/>
        <v>#N/A</v>
      </c>
      <c r="U347" s="55" t="e">
        <f t="shared" ca="1" si="100"/>
        <v>#N/A</v>
      </c>
      <c r="V347" s="55" t="e">
        <f t="shared" ca="1" si="101"/>
        <v>#N/A</v>
      </c>
      <c r="W347" s="55" t="e">
        <f t="shared" ca="1" si="106"/>
        <v>#N/A</v>
      </c>
      <c r="X347" s="55" t="e">
        <f t="shared" ca="1" si="107"/>
        <v>#N/A</v>
      </c>
      <c r="Y347" s="55" t="e">
        <f t="shared" ca="1" si="108"/>
        <v>#N/A</v>
      </c>
      <c r="Z347" t="e">
        <f t="shared" ca="1" si="102"/>
        <v>#N/A</v>
      </c>
      <c r="AA347" t="e">
        <f t="shared" ca="1" si="109"/>
        <v>#N/A</v>
      </c>
      <c r="AB347" t="e">
        <f t="shared" ca="1" si="103"/>
        <v>#N/A</v>
      </c>
      <c r="AC347" t="e">
        <f t="shared" ca="1" si="104"/>
        <v>#N/A</v>
      </c>
      <c r="AD347" s="83" t="e">
        <f ca="1"/>
        <v>#N/A</v>
      </c>
      <c r="AE347" s="55" t="e">
        <f t="shared" ca="1" si="113"/>
        <v>#N/A</v>
      </c>
      <c r="AF347" s="55" t="e">
        <f t="shared" ca="1" si="114"/>
        <v>#N/A</v>
      </c>
      <c r="AG347" s="55" t="e">
        <f t="shared" ca="1" si="115"/>
        <v>#N/A</v>
      </c>
      <c r="AH347" s="55" t="e">
        <f t="shared" ca="1" si="116"/>
        <v>#N/A</v>
      </c>
      <c r="AI347" s="55" t="e">
        <f t="shared" ca="1" si="110"/>
        <v>#N/A</v>
      </c>
      <c r="AJ347" s="55" t="e">
        <f t="shared" ca="1" si="111"/>
        <v>#N/A</v>
      </c>
      <c r="AK347" s="55" t="e">
        <f t="shared" ca="1" si="112"/>
        <v>#N/A</v>
      </c>
    </row>
    <row r="348" spans="18:37">
      <c r="R348" s="83" t="e">
        <f ca="1"/>
        <v>#N/A</v>
      </c>
      <c r="S348" s="55" t="e">
        <f t="shared" ca="1" si="105"/>
        <v>#N/A</v>
      </c>
      <c r="T348" s="55" t="e">
        <f t="shared" ca="1" si="99"/>
        <v>#N/A</v>
      </c>
      <c r="U348" s="55" t="e">
        <f t="shared" ca="1" si="100"/>
        <v>#N/A</v>
      </c>
      <c r="V348" s="55" t="e">
        <f t="shared" ca="1" si="101"/>
        <v>#N/A</v>
      </c>
      <c r="W348" s="55" t="e">
        <f t="shared" ca="1" si="106"/>
        <v>#N/A</v>
      </c>
      <c r="X348" s="55" t="e">
        <f t="shared" ca="1" si="107"/>
        <v>#N/A</v>
      </c>
      <c r="Y348" s="55" t="e">
        <f t="shared" ca="1" si="108"/>
        <v>#N/A</v>
      </c>
      <c r="Z348" t="e">
        <f t="shared" ca="1" si="102"/>
        <v>#N/A</v>
      </c>
      <c r="AA348" t="e">
        <f t="shared" ca="1" si="109"/>
        <v>#N/A</v>
      </c>
      <c r="AB348" t="e">
        <f t="shared" ca="1" si="103"/>
        <v>#N/A</v>
      </c>
      <c r="AC348" t="e">
        <f t="shared" ca="1" si="104"/>
        <v>#N/A</v>
      </c>
      <c r="AD348" s="83" t="e">
        <f ca="1"/>
        <v>#N/A</v>
      </c>
      <c r="AE348" s="55" t="e">
        <f t="shared" ca="1" si="113"/>
        <v>#N/A</v>
      </c>
      <c r="AF348" s="55" t="e">
        <f t="shared" ca="1" si="114"/>
        <v>#N/A</v>
      </c>
      <c r="AG348" s="55" t="e">
        <f t="shared" ca="1" si="115"/>
        <v>#N/A</v>
      </c>
      <c r="AH348" s="55" t="e">
        <f t="shared" ca="1" si="116"/>
        <v>#N/A</v>
      </c>
      <c r="AI348" s="55" t="e">
        <f t="shared" ca="1" si="110"/>
        <v>#N/A</v>
      </c>
      <c r="AJ348" s="55" t="e">
        <f t="shared" ca="1" si="111"/>
        <v>#N/A</v>
      </c>
      <c r="AK348" s="55" t="e">
        <f t="shared" ca="1" si="112"/>
        <v>#N/A</v>
      </c>
    </row>
    <row r="349" spans="18:37">
      <c r="R349" s="83" t="e">
        <f ca="1"/>
        <v>#N/A</v>
      </c>
      <c r="S349" s="55" t="e">
        <f t="shared" ca="1" si="105"/>
        <v>#N/A</v>
      </c>
      <c r="T349" s="55" t="e">
        <f t="shared" ca="1" si="99"/>
        <v>#N/A</v>
      </c>
      <c r="U349" s="55" t="e">
        <f t="shared" ca="1" si="100"/>
        <v>#N/A</v>
      </c>
      <c r="V349" s="55" t="e">
        <f t="shared" ca="1" si="101"/>
        <v>#N/A</v>
      </c>
      <c r="W349" s="55" t="e">
        <f t="shared" ca="1" si="106"/>
        <v>#N/A</v>
      </c>
      <c r="X349" s="55" t="e">
        <f t="shared" ca="1" si="107"/>
        <v>#N/A</v>
      </c>
      <c r="Y349" s="55" t="e">
        <f t="shared" ca="1" si="108"/>
        <v>#N/A</v>
      </c>
      <c r="Z349" t="e">
        <f t="shared" ca="1" si="102"/>
        <v>#N/A</v>
      </c>
      <c r="AA349" t="e">
        <f t="shared" ca="1" si="109"/>
        <v>#N/A</v>
      </c>
      <c r="AB349" t="e">
        <f t="shared" ca="1" si="103"/>
        <v>#N/A</v>
      </c>
      <c r="AC349" t="e">
        <f t="shared" ca="1" si="104"/>
        <v>#N/A</v>
      </c>
      <c r="AD349" s="83" t="e">
        <f ca="1"/>
        <v>#N/A</v>
      </c>
      <c r="AE349" s="55" t="e">
        <f t="shared" ca="1" si="113"/>
        <v>#N/A</v>
      </c>
      <c r="AF349" s="55" t="e">
        <f t="shared" ca="1" si="114"/>
        <v>#N/A</v>
      </c>
      <c r="AG349" s="55" t="e">
        <f t="shared" ca="1" si="115"/>
        <v>#N/A</v>
      </c>
      <c r="AH349" s="55" t="e">
        <f t="shared" ca="1" si="116"/>
        <v>#N/A</v>
      </c>
      <c r="AI349" s="55" t="e">
        <f t="shared" ca="1" si="110"/>
        <v>#N/A</v>
      </c>
      <c r="AJ349" s="55" t="e">
        <f t="shared" ca="1" si="111"/>
        <v>#N/A</v>
      </c>
      <c r="AK349" s="55" t="e">
        <f t="shared" ca="1" si="112"/>
        <v>#N/A</v>
      </c>
    </row>
    <row r="350" spans="18:37">
      <c r="R350" s="83" t="e">
        <f ca="1"/>
        <v>#N/A</v>
      </c>
      <c r="S350" s="55" t="e">
        <f t="shared" ca="1" si="105"/>
        <v>#N/A</v>
      </c>
      <c r="T350" s="55" t="e">
        <f t="shared" ca="1" si="99"/>
        <v>#N/A</v>
      </c>
      <c r="U350" s="55" t="e">
        <f t="shared" ca="1" si="100"/>
        <v>#N/A</v>
      </c>
      <c r="V350" s="55" t="e">
        <f t="shared" ca="1" si="101"/>
        <v>#N/A</v>
      </c>
      <c r="W350" s="55" t="e">
        <f t="shared" ca="1" si="106"/>
        <v>#N/A</v>
      </c>
      <c r="X350" s="55" t="e">
        <f t="shared" ca="1" si="107"/>
        <v>#N/A</v>
      </c>
      <c r="Y350" s="55" t="e">
        <f t="shared" ca="1" si="108"/>
        <v>#N/A</v>
      </c>
      <c r="Z350" t="e">
        <f t="shared" ca="1" si="102"/>
        <v>#N/A</v>
      </c>
      <c r="AA350" t="e">
        <f t="shared" ca="1" si="109"/>
        <v>#N/A</v>
      </c>
      <c r="AB350" t="e">
        <f t="shared" ca="1" si="103"/>
        <v>#N/A</v>
      </c>
      <c r="AC350" t="e">
        <f t="shared" ca="1" si="104"/>
        <v>#N/A</v>
      </c>
      <c r="AD350" s="83" t="e">
        <f ca="1"/>
        <v>#N/A</v>
      </c>
      <c r="AE350" s="55" t="e">
        <f t="shared" ca="1" si="113"/>
        <v>#N/A</v>
      </c>
      <c r="AF350" s="55" t="e">
        <f t="shared" ca="1" si="114"/>
        <v>#N/A</v>
      </c>
      <c r="AG350" s="55" t="e">
        <f t="shared" ca="1" si="115"/>
        <v>#N/A</v>
      </c>
      <c r="AH350" s="55" t="e">
        <f t="shared" ca="1" si="116"/>
        <v>#N/A</v>
      </c>
      <c r="AI350" s="55" t="e">
        <f t="shared" ca="1" si="110"/>
        <v>#N/A</v>
      </c>
      <c r="AJ350" s="55" t="e">
        <f t="shared" ca="1" si="111"/>
        <v>#N/A</v>
      </c>
      <c r="AK350" s="55" t="e">
        <f t="shared" ca="1" si="112"/>
        <v>#N/A</v>
      </c>
    </row>
    <row r="351" spans="18:37">
      <c r="R351" s="83" t="e">
        <f ca="1"/>
        <v>#N/A</v>
      </c>
      <c r="S351" s="55" t="e">
        <f t="shared" ca="1" si="105"/>
        <v>#N/A</v>
      </c>
      <c r="T351" s="55" t="e">
        <f t="shared" ca="1" si="99"/>
        <v>#N/A</v>
      </c>
      <c r="U351" s="55" t="e">
        <f t="shared" ca="1" si="100"/>
        <v>#N/A</v>
      </c>
      <c r="V351" s="55" t="e">
        <f t="shared" ca="1" si="101"/>
        <v>#N/A</v>
      </c>
      <c r="W351" s="55" t="e">
        <f t="shared" ca="1" si="106"/>
        <v>#N/A</v>
      </c>
      <c r="X351" s="55" t="e">
        <f t="shared" ca="1" si="107"/>
        <v>#N/A</v>
      </c>
      <c r="Y351" s="55" t="e">
        <f t="shared" ca="1" si="108"/>
        <v>#N/A</v>
      </c>
      <c r="Z351" t="e">
        <f t="shared" ca="1" si="102"/>
        <v>#N/A</v>
      </c>
      <c r="AA351" t="e">
        <f t="shared" ca="1" si="109"/>
        <v>#N/A</v>
      </c>
      <c r="AB351" t="e">
        <f t="shared" ca="1" si="103"/>
        <v>#N/A</v>
      </c>
      <c r="AC351" t="e">
        <f t="shared" ca="1" si="104"/>
        <v>#N/A</v>
      </c>
      <c r="AD351" s="83" t="e">
        <f ca="1"/>
        <v>#N/A</v>
      </c>
      <c r="AE351" s="55" t="e">
        <f t="shared" ca="1" si="113"/>
        <v>#N/A</v>
      </c>
      <c r="AF351" s="55" t="e">
        <f t="shared" ca="1" si="114"/>
        <v>#N/A</v>
      </c>
      <c r="AG351" s="55" t="e">
        <f t="shared" ca="1" si="115"/>
        <v>#N/A</v>
      </c>
      <c r="AH351" s="55" t="e">
        <f t="shared" ca="1" si="116"/>
        <v>#N/A</v>
      </c>
      <c r="AI351" s="55" t="e">
        <f t="shared" ca="1" si="110"/>
        <v>#N/A</v>
      </c>
      <c r="AJ351" s="55" t="e">
        <f t="shared" ca="1" si="111"/>
        <v>#N/A</v>
      </c>
      <c r="AK351" s="55" t="e">
        <f t="shared" ca="1" si="112"/>
        <v>#N/A</v>
      </c>
    </row>
    <row r="352" spans="18:37">
      <c r="R352" s="83" t="e">
        <f ca="1"/>
        <v>#N/A</v>
      </c>
      <c r="S352" s="55" t="e">
        <f t="shared" ca="1" si="105"/>
        <v>#N/A</v>
      </c>
      <c r="T352" s="55" t="e">
        <f t="shared" ca="1" si="99"/>
        <v>#N/A</v>
      </c>
      <c r="U352" s="55" t="e">
        <f t="shared" ca="1" si="100"/>
        <v>#N/A</v>
      </c>
      <c r="V352" s="55" t="e">
        <f t="shared" ca="1" si="101"/>
        <v>#N/A</v>
      </c>
      <c r="W352" s="55" t="e">
        <f t="shared" ca="1" si="106"/>
        <v>#N/A</v>
      </c>
      <c r="X352" s="55" t="e">
        <f t="shared" ca="1" si="107"/>
        <v>#N/A</v>
      </c>
      <c r="Y352" s="55" t="e">
        <f t="shared" ca="1" si="108"/>
        <v>#N/A</v>
      </c>
      <c r="Z352" t="e">
        <f t="shared" ca="1" si="102"/>
        <v>#N/A</v>
      </c>
      <c r="AA352" t="e">
        <f t="shared" ca="1" si="109"/>
        <v>#N/A</v>
      </c>
      <c r="AB352" t="e">
        <f t="shared" ca="1" si="103"/>
        <v>#N/A</v>
      </c>
      <c r="AC352" t="e">
        <f t="shared" ca="1" si="104"/>
        <v>#N/A</v>
      </c>
      <c r="AD352" s="83" t="e">
        <f ca="1"/>
        <v>#N/A</v>
      </c>
      <c r="AE352" s="55" t="e">
        <f t="shared" ca="1" si="113"/>
        <v>#N/A</v>
      </c>
      <c r="AF352" s="55" t="e">
        <f t="shared" ca="1" si="114"/>
        <v>#N/A</v>
      </c>
      <c r="AG352" s="55" t="e">
        <f t="shared" ca="1" si="115"/>
        <v>#N/A</v>
      </c>
      <c r="AH352" s="55" t="e">
        <f t="shared" ca="1" si="116"/>
        <v>#N/A</v>
      </c>
      <c r="AI352" s="55" t="e">
        <f t="shared" ca="1" si="110"/>
        <v>#N/A</v>
      </c>
      <c r="AJ352" s="55" t="e">
        <f t="shared" ca="1" si="111"/>
        <v>#N/A</v>
      </c>
      <c r="AK352" s="55" t="e">
        <f t="shared" ca="1" si="112"/>
        <v>#N/A</v>
      </c>
    </row>
    <row r="353" spans="18:37">
      <c r="R353" s="83" t="e">
        <f ca="1"/>
        <v>#N/A</v>
      </c>
      <c r="S353" s="55" t="e">
        <f t="shared" ca="1" si="105"/>
        <v>#N/A</v>
      </c>
      <c r="T353" s="55" t="e">
        <f t="shared" ca="1" si="99"/>
        <v>#N/A</v>
      </c>
      <c r="U353" s="55" t="e">
        <f t="shared" ca="1" si="100"/>
        <v>#N/A</v>
      </c>
      <c r="V353" s="55" t="e">
        <f t="shared" ca="1" si="101"/>
        <v>#N/A</v>
      </c>
      <c r="W353" s="55" t="e">
        <f t="shared" ca="1" si="106"/>
        <v>#N/A</v>
      </c>
      <c r="X353" s="55" t="e">
        <f t="shared" ca="1" si="107"/>
        <v>#N/A</v>
      </c>
      <c r="Y353" s="55" t="e">
        <f t="shared" ca="1" si="108"/>
        <v>#N/A</v>
      </c>
      <c r="Z353" t="e">
        <f t="shared" ca="1" si="102"/>
        <v>#N/A</v>
      </c>
      <c r="AA353" t="e">
        <f t="shared" ca="1" si="109"/>
        <v>#N/A</v>
      </c>
      <c r="AB353" t="e">
        <f t="shared" ca="1" si="103"/>
        <v>#N/A</v>
      </c>
      <c r="AC353" t="e">
        <f t="shared" ca="1" si="104"/>
        <v>#N/A</v>
      </c>
      <c r="AD353" s="83" t="e">
        <f ca="1"/>
        <v>#N/A</v>
      </c>
      <c r="AE353" s="55" t="e">
        <f t="shared" ca="1" si="113"/>
        <v>#N/A</v>
      </c>
      <c r="AF353" s="55" t="e">
        <f t="shared" ca="1" si="114"/>
        <v>#N/A</v>
      </c>
      <c r="AG353" s="55" t="e">
        <f t="shared" ca="1" si="115"/>
        <v>#N/A</v>
      </c>
      <c r="AH353" s="55" t="e">
        <f t="shared" ca="1" si="116"/>
        <v>#N/A</v>
      </c>
      <c r="AI353" s="55" t="e">
        <f t="shared" ca="1" si="110"/>
        <v>#N/A</v>
      </c>
      <c r="AJ353" s="55" t="e">
        <f t="shared" ca="1" si="111"/>
        <v>#N/A</v>
      </c>
      <c r="AK353" s="55" t="e">
        <f t="shared" ca="1" si="112"/>
        <v>#N/A</v>
      </c>
    </row>
    <row r="354" spans="18:37">
      <c r="R354" s="83" t="e">
        <f ca="1"/>
        <v>#N/A</v>
      </c>
      <c r="S354" s="55" t="e">
        <f t="shared" ca="1" si="105"/>
        <v>#N/A</v>
      </c>
      <c r="T354" s="55" t="e">
        <f t="shared" ca="1" si="99"/>
        <v>#N/A</v>
      </c>
      <c r="U354" s="55" t="e">
        <f t="shared" ca="1" si="100"/>
        <v>#N/A</v>
      </c>
      <c r="V354" s="55" t="e">
        <f t="shared" ca="1" si="101"/>
        <v>#N/A</v>
      </c>
      <c r="W354" s="55" t="e">
        <f t="shared" ca="1" si="106"/>
        <v>#N/A</v>
      </c>
      <c r="X354" s="55" t="e">
        <f t="shared" ca="1" si="107"/>
        <v>#N/A</v>
      </c>
      <c r="Y354" s="55" t="e">
        <f t="shared" ca="1" si="108"/>
        <v>#N/A</v>
      </c>
      <c r="Z354" t="e">
        <f t="shared" ca="1" si="102"/>
        <v>#N/A</v>
      </c>
      <c r="AA354" t="e">
        <f t="shared" ca="1" si="109"/>
        <v>#N/A</v>
      </c>
      <c r="AB354" t="e">
        <f t="shared" ca="1" si="103"/>
        <v>#N/A</v>
      </c>
      <c r="AC354" t="e">
        <f t="shared" ca="1" si="104"/>
        <v>#N/A</v>
      </c>
      <c r="AD354" s="83" t="e">
        <f ca="1"/>
        <v>#N/A</v>
      </c>
      <c r="AE354" s="55" t="e">
        <f t="shared" ca="1" si="113"/>
        <v>#N/A</v>
      </c>
      <c r="AF354" s="55" t="e">
        <f t="shared" ca="1" si="114"/>
        <v>#N/A</v>
      </c>
      <c r="AG354" s="55" t="e">
        <f t="shared" ca="1" si="115"/>
        <v>#N/A</v>
      </c>
      <c r="AH354" s="55" t="e">
        <f t="shared" ca="1" si="116"/>
        <v>#N/A</v>
      </c>
      <c r="AI354" s="55" t="e">
        <f t="shared" ca="1" si="110"/>
        <v>#N/A</v>
      </c>
      <c r="AJ354" s="55" t="e">
        <f t="shared" ca="1" si="111"/>
        <v>#N/A</v>
      </c>
      <c r="AK354" s="55" t="e">
        <f t="shared" ca="1" si="112"/>
        <v>#N/A</v>
      </c>
    </row>
    <row r="355" spans="18:37">
      <c r="R355" s="83" t="e">
        <f ca="1"/>
        <v>#N/A</v>
      </c>
      <c r="S355" s="55" t="e">
        <f t="shared" ca="1" si="105"/>
        <v>#N/A</v>
      </c>
      <c r="T355" s="55" t="e">
        <f t="shared" ca="1" si="99"/>
        <v>#N/A</v>
      </c>
      <c r="U355" s="55" t="e">
        <f t="shared" ca="1" si="100"/>
        <v>#N/A</v>
      </c>
      <c r="V355" s="55" t="e">
        <f t="shared" ca="1" si="101"/>
        <v>#N/A</v>
      </c>
      <c r="W355" s="55" t="e">
        <f t="shared" ca="1" si="106"/>
        <v>#N/A</v>
      </c>
      <c r="X355" s="55" t="e">
        <f t="shared" ca="1" si="107"/>
        <v>#N/A</v>
      </c>
      <c r="Y355" s="55" t="e">
        <f t="shared" ca="1" si="108"/>
        <v>#N/A</v>
      </c>
      <c r="Z355" t="e">
        <f t="shared" ca="1" si="102"/>
        <v>#N/A</v>
      </c>
      <c r="AA355" t="e">
        <f t="shared" ca="1" si="109"/>
        <v>#N/A</v>
      </c>
      <c r="AB355" t="e">
        <f t="shared" ca="1" si="103"/>
        <v>#N/A</v>
      </c>
      <c r="AC355" t="e">
        <f t="shared" ca="1" si="104"/>
        <v>#N/A</v>
      </c>
      <c r="AD355" s="83" t="e">
        <f ca="1"/>
        <v>#N/A</v>
      </c>
      <c r="AE355" s="55" t="e">
        <f t="shared" ca="1" si="113"/>
        <v>#N/A</v>
      </c>
      <c r="AF355" s="55" t="e">
        <f t="shared" ca="1" si="114"/>
        <v>#N/A</v>
      </c>
      <c r="AG355" s="55" t="e">
        <f t="shared" ca="1" si="115"/>
        <v>#N/A</v>
      </c>
      <c r="AH355" s="55" t="e">
        <f t="shared" ca="1" si="116"/>
        <v>#N/A</v>
      </c>
      <c r="AI355" s="55" t="e">
        <f t="shared" ca="1" si="110"/>
        <v>#N/A</v>
      </c>
      <c r="AJ355" s="55" t="e">
        <f t="shared" ca="1" si="111"/>
        <v>#N/A</v>
      </c>
      <c r="AK355" s="55" t="e">
        <f t="shared" ca="1" si="112"/>
        <v>#N/A</v>
      </c>
    </row>
    <row r="356" spans="18:37">
      <c r="R356" s="83" t="e">
        <f ca="1"/>
        <v>#N/A</v>
      </c>
      <c r="S356" s="55" t="e">
        <f t="shared" ca="1" si="105"/>
        <v>#N/A</v>
      </c>
      <c r="T356" s="55" t="e">
        <f t="shared" ca="1" si="99"/>
        <v>#N/A</v>
      </c>
      <c r="U356" s="55" t="e">
        <f t="shared" ca="1" si="100"/>
        <v>#N/A</v>
      </c>
      <c r="V356" s="55" t="e">
        <f t="shared" ca="1" si="101"/>
        <v>#N/A</v>
      </c>
      <c r="W356" s="55" t="e">
        <f t="shared" ca="1" si="106"/>
        <v>#N/A</v>
      </c>
      <c r="X356" s="55" t="e">
        <f t="shared" ca="1" si="107"/>
        <v>#N/A</v>
      </c>
      <c r="Y356" s="55" t="e">
        <f t="shared" ca="1" si="108"/>
        <v>#N/A</v>
      </c>
      <c r="Z356" t="e">
        <f t="shared" ca="1" si="102"/>
        <v>#N/A</v>
      </c>
      <c r="AA356" t="e">
        <f t="shared" ca="1" si="109"/>
        <v>#N/A</v>
      </c>
      <c r="AB356" t="e">
        <f t="shared" ca="1" si="103"/>
        <v>#N/A</v>
      </c>
      <c r="AC356" t="e">
        <f t="shared" ca="1" si="104"/>
        <v>#N/A</v>
      </c>
      <c r="AD356" s="83" t="e">
        <f ca="1"/>
        <v>#N/A</v>
      </c>
      <c r="AE356" s="55" t="e">
        <f t="shared" ca="1" si="113"/>
        <v>#N/A</v>
      </c>
      <c r="AF356" s="55" t="e">
        <f t="shared" ca="1" si="114"/>
        <v>#N/A</v>
      </c>
      <c r="AG356" s="55" t="e">
        <f t="shared" ca="1" si="115"/>
        <v>#N/A</v>
      </c>
      <c r="AH356" s="55" t="e">
        <f t="shared" ca="1" si="116"/>
        <v>#N/A</v>
      </c>
      <c r="AI356" s="55" t="e">
        <f t="shared" ca="1" si="110"/>
        <v>#N/A</v>
      </c>
      <c r="AJ356" s="55" t="e">
        <f t="shared" ca="1" si="111"/>
        <v>#N/A</v>
      </c>
      <c r="AK356" s="55" t="e">
        <f t="shared" ca="1" si="112"/>
        <v>#N/A</v>
      </c>
    </row>
    <row r="357" spans="18:37">
      <c r="R357" s="83" t="e">
        <f ca="1"/>
        <v>#N/A</v>
      </c>
      <c r="S357" s="55" t="e">
        <f t="shared" ca="1" si="105"/>
        <v>#N/A</v>
      </c>
      <c r="T357" s="55" t="e">
        <f t="shared" ca="1" si="99"/>
        <v>#N/A</v>
      </c>
      <c r="U357" s="55" t="e">
        <f t="shared" ca="1" si="100"/>
        <v>#N/A</v>
      </c>
      <c r="V357" s="55" t="e">
        <f t="shared" ca="1" si="101"/>
        <v>#N/A</v>
      </c>
      <c r="W357" s="55" t="e">
        <f t="shared" ca="1" si="106"/>
        <v>#N/A</v>
      </c>
      <c r="X357" s="55" t="e">
        <f t="shared" ca="1" si="107"/>
        <v>#N/A</v>
      </c>
      <c r="Y357" s="55" t="e">
        <f t="shared" ca="1" si="108"/>
        <v>#N/A</v>
      </c>
      <c r="Z357" t="e">
        <f t="shared" ca="1" si="102"/>
        <v>#N/A</v>
      </c>
      <c r="AA357" t="e">
        <f t="shared" ca="1" si="109"/>
        <v>#N/A</v>
      </c>
      <c r="AB357" t="e">
        <f t="shared" ca="1" si="103"/>
        <v>#N/A</v>
      </c>
      <c r="AC357" t="e">
        <f t="shared" ca="1" si="104"/>
        <v>#N/A</v>
      </c>
      <c r="AD357" s="83" t="e">
        <f ca="1"/>
        <v>#N/A</v>
      </c>
      <c r="AE357" s="55" t="e">
        <f t="shared" ca="1" si="113"/>
        <v>#N/A</v>
      </c>
      <c r="AF357" s="55" t="e">
        <f t="shared" ca="1" si="114"/>
        <v>#N/A</v>
      </c>
      <c r="AG357" s="55" t="e">
        <f t="shared" ca="1" si="115"/>
        <v>#N/A</v>
      </c>
      <c r="AH357" s="55" t="e">
        <f t="shared" ca="1" si="116"/>
        <v>#N/A</v>
      </c>
      <c r="AI357" s="55" t="e">
        <f t="shared" ca="1" si="110"/>
        <v>#N/A</v>
      </c>
      <c r="AJ357" s="55" t="e">
        <f t="shared" ca="1" si="111"/>
        <v>#N/A</v>
      </c>
      <c r="AK357" s="55" t="e">
        <f t="shared" ca="1" si="112"/>
        <v>#N/A</v>
      </c>
    </row>
    <row r="358" spans="18:37">
      <c r="R358" s="83" t="e">
        <f ca="1"/>
        <v>#N/A</v>
      </c>
      <c r="S358" s="55" t="e">
        <f t="shared" ca="1" si="105"/>
        <v>#N/A</v>
      </c>
      <c r="T358" s="55" t="e">
        <f t="shared" ca="1" si="99"/>
        <v>#N/A</v>
      </c>
      <c r="U358" s="55" t="e">
        <f t="shared" ca="1" si="100"/>
        <v>#N/A</v>
      </c>
      <c r="V358" s="55" t="e">
        <f t="shared" ca="1" si="101"/>
        <v>#N/A</v>
      </c>
      <c r="W358" s="55" t="e">
        <f t="shared" ca="1" si="106"/>
        <v>#N/A</v>
      </c>
      <c r="X358" s="55" t="e">
        <f t="shared" ca="1" si="107"/>
        <v>#N/A</v>
      </c>
      <c r="Y358" s="55" t="e">
        <f t="shared" ca="1" si="108"/>
        <v>#N/A</v>
      </c>
      <c r="Z358" t="e">
        <f t="shared" ca="1" si="102"/>
        <v>#N/A</v>
      </c>
      <c r="AA358" t="e">
        <f t="shared" ca="1" si="109"/>
        <v>#N/A</v>
      </c>
      <c r="AB358" t="e">
        <f t="shared" ca="1" si="103"/>
        <v>#N/A</v>
      </c>
      <c r="AC358" t="e">
        <f t="shared" ca="1" si="104"/>
        <v>#N/A</v>
      </c>
      <c r="AD358" s="83" t="e">
        <f ca="1"/>
        <v>#N/A</v>
      </c>
      <c r="AE358" s="55" t="e">
        <f t="shared" ca="1" si="113"/>
        <v>#N/A</v>
      </c>
      <c r="AF358" s="55" t="e">
        <f t="shared" ca="1" si="114"/>
        <v>#N/A</v>
      </c>
      <c r="AG358" s="55" t="e">
        <f t="shared" ca="1" si="115"/>
        <v>#N/A</v>
      </c>
      <c r="AH358" s="55" t="e">
        <f t="shared" ca="1" si="116"/>
        <v>#N/A</v>
      </c>
      <c r="AI358" s="55" t="e">
        <f t="shared" ca="1" si="110"/>
        <v>#N/A</v>
      </c>
      <c r="AJ358" s="55" t="e">
        <f t="shared" ca="1" si="111"/>
        <v>#N/A</v>
      </c>
      <c r="AK358" s="55" t="e">
        <f t="shared" ca="1" si="112"/>
        <v>#N/A</v>
      </c>
    </row>
    <row r="359" spans="18:37">
      <c r="R359" s="83" t="e">
        <f ca="1"/>
        <v>#N/A</v>
      </c>
      <c r="S359" s="55" t="e">
        <f t="shared" ca="1" si="105"/>
        <v>#N/A</v>
      </c>
      <c r="T359" s="55" t="e">
        <f t="shared" ca="1" si="99"/>
        <v>#N/A</v>
      </c>
      <c r="U359" s="55" t="e">
        <f t="shared" ca="1" si="100"/>
        <v>#N/A</v>
      </c>
      <c r="V359" s="55" t="e">
        <f t="shared" ca="1" si="101"/>
        <v>#N/A</v>
      </c>
      <c r="W359" s="55" t="e">
        <f t="shared" ca="1" si="106"/>
        <v>#N/A</v>
      </c>
      <c r="X359" s="55" t="e">
        <f t="shared" ca="1" si="107"/>
        <v>#N/A</v>
      </c>
      <c r="Y359" s="55" t="e">
        <f t="shared" ca="1" si="108"/>
        <v>#N/A</v>
      </c>
      <c r="Z359" t="e">
        <f t="shared" ca="1" si="102"/>
        <v>#N/A</v>
      </c>
      <c r="AA359" t="e">
        <f t="shared" ca="1" si="109"/>
        <v>#N/A</v>
      </c>
      <c r="AB359" t="e">
        <f t="shared" ca="1" si="103"/>
        <v>#N/A</v>
      </c>
      <c r="AC359" t="e">
        <f t="shared" ca="1" si="104"/>
        <v>#N/A</v>
      </c>
      <c r="AD359" s="83" t="e">
        <f ca="1"/>
        <v>#N/A</v>
      </c>
      <c r="AE359" s="55" t="e">
        <f t="shared" ca="1" si="113"/>
        <v>#N/A</v>
      </c>
      <c r="AF359" s="55" t="e">
        <f t="shared" ca="1" si="114"/>
        <v>#N/A</v>
      </c>
      <c r="AG359" s="55" t="e">
        <f t="shared" ca="1" si="115"/>
        <v>#N/A</v>
      </c>
      <c r="AH359" s="55" t="e">
        <f t="shared" ca="1" si="116"/>
        <v>#N/A</v>
      </c>
      <c r="AI359" s="55" t="e">
        <f t="shared" ca="1" si="110"/>
        <v>#N/A</v>
      </c>
      <c r="AJ359" s="55" t="e">
        <f t="shared" ca="1" si="111"/>
        <v>#N/A</v>
      </c>
      <c r="AK359" s="55" t="e">
        <f t="shared" ca="1" si="112"/>
        <v>#N/A</v>
      </c>
    </row>
    <row r="360" spans="18:37">
      <c r="R360" s="83" t="e">
        <f ca="1"/>
        <v>#N/A</v>
      </c>
      <c r="S360" s="55" t="e">
        <f t="shared" ca="1" si="105"/>
        <v>#N/A</v>
      </c>
      <c r="T360" s="55" t="e">
        <f t="shared" ca="1" si="99"/>
        <v>#N/A</v>
      </c>
      <c r="U360" s="55" t="e">
        <f t="shared" ca="1" si="100"/>
        <v>#N/A</v>
      </c>
      <c r="V360" s="55" t="e">
        <f t="shared" ca="1" si="101"/>
        <v>#N/A</v>
      </c>
      <c r="W360" s="55" t="e">
        <f t="shared" ca="1" si="106"/>
        <v>#N/A</v>
      </c>
      <c r="X360" s="55" t="e">
        <f t="shared" ca="1" si="107"/>
        <v>#N/A</v>
      </c>
      <c r="Y360" s="55" t="e">
        <f t="shared" ca="1" si="108"/>
        <v>#N/A</v>
      </c>
      <c r="Z360" t="e">
        <f t="shared" ca="1" si="102"/>
        <v>#N/A</v>
      </c>
      <c r="AA360" t="e">
        <f t="shared" ca="1" si="109"/>
        <v>#N/A</v>
      </c>
      <c r="AB360" t="e">
        <f t="shared" ca="1" si="103"/>
        <v>#N/A</v>
      </c>
      <c r="AC360" t="e">
        <f t="shared" ca="1" si="104"/>
        <v>#N/A</v>
      </c>
      <c r="AD360" s="83" t="e">
        <f ca="1"/>
        <v>#N/A</v>
      </c>
      <c r="AE360" s="55" t="e">
        <f t="shared" ca="1" si="113"/>
        <v>#N/A</v>
      </c>
      <c r="AF360" s="55" t="e">
        <f t="shared" ca="1" si="114"/>
        <v>#N/A</v>
      </c>
      <c r="AG360" s="55" t="e">
        <f t="shared" ca="1" si="115"/>
        <v>#N/A</v>
      </c>
      <c r="AH360" s="55" t="e">
        <f t="shared" ca="1" si="116"/>
        <v>#N/A</v>
      </c>
      <c r="AI360" s="55" t="e">
        <f t="shared" ca="1" si="110"/>
        <v>#N/A</v>
      </c>
      <c r="AJ360" s="55" t="e">
        <f t="shared" ca="1" si="111"/>
        <v>#N/A</v>
      </c>
      <c r="AK360" s="55" t="e">
        <f t="shared" ca="1" si="112"/>
        <v>#N/A</v>
      </c>
    </row>
    <row r="361" spans="18:37">
      <c r="R361" s="83" t="e">
        <f ca="1"/>
        <v>#N/A</v>
      </c>
      <c r="S361" s="55" t="e">
        <f t="shared" ca="1" si="105"/>
        <v>#N/A</v>
      </c>
      <c r="T361" s="55" t="e">
        <f t="shared" ca="1" si="99"/>
        <v>#N/A</v>
      </c>
      <c r="U361" s="55" t="e">
        <f t="shared" ca="1" si="100"/>
        <v>#N/A</v>
      </c>
      <c r="V361" s="55" t="e">
        <f t="shared" ca="1" si="101"/>
        <v>#N/A</v>
      </c>
      <c r="W361" s="55" t="e">
        <f t="shared" ca="1" si="106"/>
        <v>#N/A</v>
      </c>
      <c r="X361" s="55" t="e">
        <f t="shared" ca="1" si="107"/>
        <v>#N/A</v>
      </c>
      <c r="Y361" s="55" t="e">
        <f t="shared" ca="1" si="108"/>
        <v>#N/A</v>
      </c>
      <c r="Z361" t="e">
        <f t="shared" ca="1" si="102"/>
        <v>#N/A</v>
      </c>
      <c r="AA361" t="e">
        <f t="shared" ca="1" si="109"/>
        <v>#N/A</v>
      </c>
      <c r="AB361" t="e">
        <f t="shared" ca="1" si="103"/>
        <v>#N/A</v>
      </c>
      <c r="AC361" t="e">
        <f t="shared" ca="1" si="104"/>
        <v>#N/A</v>
      </c>
      <c r="AD361" s="83" t="e">
        <f ca="1"/>
        <v>#N/A</v>
      </c>
      <c r="AE361" s="55" t="e">
        <f t="shared" ca="1" si="113"/>
        <v>#N/A</v>
      </c>
      <c r="AF361" s="55" t="e">
        <f t="shared" ca="1" si="114"/>
        <v>#N/A</v>
      </c>
      <c r="AG361" s="55" t="e">
        <f t="shared" ca="1" si="115"/>
        <v>#N/A</v>
      </c>
      <c r="AH361" s="55" t="e">
        <f t="shared" ca="1" si="116"/>
        <v>#N/A</v>
      </c>
      <c r="AI361" s="55" t="e">
        <f t="shared" ca="1" si="110"/>
        <v>#N/A</v>
      </c>
      <c r="AJ361" s="55" t="e">
        <f t="shared" ca="1" si="111"/>
        <v>#N/A</v>
      </c>
      <c r="AK361" s="55" t="e">
        <f t="shared" ca="1" si="112"/>
        <v>#N/A</v>
      </c>
    </row>
    <row r="362" spans="18:37">
      <c r="R362" s="83" t="e">
        <f ca="1"/>
        <v>#N/A</v>
      </c>
      <c r="S362" s="55" t="e">
        <f t="shared" ca="1" si="105"/>
        <v>#N/A</v>
      </c>
      <c r="T362" s="55" t="e">
        <f t="shared" ca="1" si="99"/>
        <v>#N/A</v>
      </c>
      <c r="U362" s="55" t="e">
        <f t="shared" ca="1" si="100"/>
        <v>#N/A</v>
      </c>
      <c r="V362" s="55" t="e">
        <f t="shared" ca="1" si="101"/>
        <v>#N/A</v>
      </c>
      <c r="W362" s="55" t="e">
        <f t="shared" ca="1" si="106"/>
        <v>#N/A</v>
      </c>
      <c r="X362" s="55" t="e">
        <f t="shared" ca="1" si="107"/>
        <v>#N/A</v>
      </c>
      <c r="Y362" s="55" t="e">
        <f t="shared" ca="1" si="108"/>
        <v>#N/A</v>
      </c>
      <c r="Z362" t="e">
        <f t="shared" ca="1" si="102"/>
        <v>#N/A</v>
      </c>
      <c r="AA362" t="e">
        <f t="shared" ca="1" si="109"/>
        <v>#N/A</v>
      </c>
      <c r="AB362" t="e">
        <f t="shared" ca="1" si="103"/>
        <v>#N/A</v>
      </c>
      <c r="AC362" t="e">
        <f t="shared" ca="1" si="104"/>
        <v>#N/A</v>
      </c>
      <c r="AD362" s="83" t="e">
        <f ca="1"/>
        <v>#N/A</v>
      </c>
      <c r="AE362" s="55" t="e">
        <f t="shared" ca="1" si="113"/>
        <v>#N/A</v>
      </c>
      <c r="AF362" s="55" t="e">
        <f t="shared" ca="1" si="114"/>
        <v>#N/A</v>
      </c>
      <c r="AG362" s="55" t="e">
        <f t="shared" ca="1" si="115"/>
        <v>#N/A</v>
      </c>
      <c r="AH362" s="55" t="e">
        <f t="shared" ca="1" si="116"/>
        <v>#N/A</v>
      </c>
      <c r="AI362" s="55" t="e">
        <f t="shared" ca="1" si="110"/>
        <v>#N/A</v>
      </c>
      <c r="AJ362" s="55" t="e">
        <f t="shared" ca="1" si="111"/>
        <v>#N/A</v>
      </c>
      <c r="AK362" s="55" t="e">
        <f t="shared" ca="1" si="112"/>
        <v>#N/A</v>
      </c>
    </row>
    <row r="363" spans="18:37">
      <c r="R363" s="83" t="e">
        <f ca="1"/>
        <v>#N/A</v>
      </c>
      <c r="S363" s="55" t="e">
        <f t="shared" ca="1" si="105"/>
        <v>#N/A</v>
      </c>
      <c r="T363" s="55" t="e">
        <f t="shared" ca="1" si="99"/>
        <v>#N/A</v>
      </c>
      <c r="U363" s="55" t="e">
        <f t="shared" ca="1" si="100"/>
        <v>#N/A</v>
      </c>
      <c r="V363" s="55" t="e">
        <f t="shared" ca="1" si="101"/>
        <v>#N/A</v>
      </c>
      <c r="W363" s="55" t="e">
        <f t="shared" ca="1" si="106"/>
        <v>#N/A</v>
      </c>
      <c r="X363" s="55" t="e">
        <f t="shared" ca="1" si="107"/>
        <v>#N/A</v>
      </c>
      <c r="Y363" s="55" t="e">
        <f t="shared" ca="1" si="108"/>
        <v>#N/A</v>
      </c>
      <c r="Z363" t="e">
        <f t="shared" ca="1" si="102"/>
        <v>#N/A</v>
      </c>
      <c r="AA363" t="e">
        <f t="shared" ca="1" si="109"/>
        <v>#N/A</v>
      </c>
      <c r="AB363" t="e">
        <f t="shared" ca="1" si="103"/>
        <v>#N/A</v>
      </c>
      <c r="AC363" t="e">
        <f t="shared" ca="1" si="104"/>
        <v>#N/A</v>
      </c>
      <c r="AD363" s="83" t="e">
        <f ca="1"/>
        <v>#N/A</v>
      </c>
      <c r="AE363" s="55" t="e">
        <f t="shared" ca="1" si="113"/>
        <v>#N/A</v>
      </c>
      <c r="AF363" s="55" t="e">
        <f t="shared" ca="1" si="114"/>
        <v>#N/A</v>
      </c>
      <c r="AG363" s="55" t="e">
        <f t="shared" ca="1" si="115"/>
        <v>#N/A</v>
      </c>
      <c r="AH363" s="55" t="e">
        <f t="shared" ca="1" si="116"/>
        <v>#N/A</v>
      </c>
      <c r="AI363" s="55" t="e">
        <f t="shared" ca="1" si="110"/>
        <v>#N/A</v>
      </c>
      <c r="AJ363" s="55" t="e">
        <f t="shared" ca="1" si="111"/>
        <v>#N/A</v>
      </c>
      <c r="AK363" s="55" t="e">
        <f t="shared" ca="1" si="112"/>
        <v>#N/A</v>
      </c>
    </row>
    <row r="364" spans="18:37">
      <c r="R364" s="83" t="e">
        <f ca="1"/>
        <v>#N/A</v>
      </c>
      <c r="S364" s="55" t="e">
        <f t="shared" ca="1" si="105"/>
        <v>#N/A</v>
      </c>
      <c r="T364" s="55" t="e">
        <f t="shared" ca="1" si="99"/>
        <v>#N/A</v>
      </c>
      <c r="U364" s="55" t="e">
        <f t="shared" ca="1" si="100"/>
        <v>#N/A</v>
      </c>
      <c r="V364" s="55" t="e">
        <f t="shared" ca="1" si="101"/>
        <v>#N/A</v>
      </c>
      <c r="W364" s="55" t="e">
        <f t="shared" ca="1" si="106"/>
        <v>#N/A</v>
      </c>
      <c r="X364" s="55" t="e">
        <f t="shared" ca="1" si="107"/>
        <v>#N/A</v>
      </c>
      <c r="Y364" s="55" t="e">
        <f t="shared" ca="1" si="108"/>
        <v>#N/A</v>
      </c>
      <c r="Z364" t="e">
        <f t="shared" ca="1" si="102"/>
        <v>#N/A</v>
      </c>
      <c r="AA364" t="e">
        <f t="shared" ca="1" si="109"/>
        <v>#N/A</v>
      </c>
      <c r="AB364" t="e">
        <f t="shared" ca="1" si="103"/>
        <v>#N/A</v>
      </c>
      <c r="AC364" t="e">
        <f t="shared" ca="1" si="104"/>
        <v>#N/A</v>
      </c>
      <c r="AD364" s="83" t="e">
        <f ca="1"/>
        <v>#N/A</v>
      </c>
      <c r="AE364" s="55" t="e">
        <f t="shared" ca="1" si="113"/>
        <v>#N/A</v>
      </c>
      <c r="AF364" s="55" t="e">
        <f t="shared" ca="1" si="114"/>
        <v>#N/A</v>
      </c>
      <c r="AG364" s="55" t="e">
        <f t="shared" ca="1" si="115"/>
        <v>#N/A</v>
      </c>
      <c r="AH364" s="55" t="e">
        <f t="shared" ca="1" si="116"/>
        <v>#N/A</v>
      </c>
      <c r="AI364" s="55" t="e">
        <f t="shared" ca="1" si="110"/>
        <v>#N/A</v>
      </c>
      <c r="AJ364" s="55" t="e">
        <f t="shared" ca="1" si="111"/>
        <v>#N/A</v>
      </c>
      <c r="AK364" s="55" t="e">
        <f t="shared" ca="1" si="112"/>
        <v>#N/A</v>
      </c>
    </row>
    <row r="365" spans="18:37">
      <c r="R365" s="83" t="e">
        <f ca="1"/>
        <v>#N/A</v>
      </c>
      <c r="S365" s="55" t="e">
        <f t="shared" ca="1" si="105"/>
        <v>#N/A</v>
      </c>
      <c r="T365" s="55" t="e">
        <f t="shared" ca="1" si="99"/>
        <v>#N/A</v>
      </c>
      <c r="U365" s="55" t="e">
        <f t="shared" ca="1" si="100"/>
        <v>#N/A</v>
      </c>
      <c r="V365" s="55" t="e">
        <f t="shared" ca="1" si="101"/>
        <v>#N/A</v>
      </c>
      <c r="W365" s="55" t="e">
        <f t="shared" ca="1" si="106"/>
        <v>#N/A</v>
      </c>
      <c r="X365" s="55" t="e">
        <f t="shared" ca="1" si="107"/>
        <v>#N/A</v>
      </c>
      <c r="Y365" s="55" t="e">
        <f t="shared" ca="1" si="108"/>
        <v>#N/A</v>
      </c>
      <c r="Z365" t="e">
        <f t="shared" ca="1" si="102"/>
        <v>#N/A</v>
      </c>
      <c r="AA365" t="e">
        <f t="shared" ca="1" si="109"/>
        <v>#N/A</v>
      </c>
      <c r="AB365" t="e">
        <f t="shared" ca="1" si="103"/>
        <v>#N/A</v>
      </c>
      <c r="AC365" t="e">
        <f t="shared" ca="1" si="104"/>
        <v>#N/A</v>
      </c>
      <c r="AD365" s="83" t="e">
        <f ca="1"/>
        <v>#N/A</v>
      </c>
      <c r="AE365" s="55" t="e">
        <f t="shared" ca="1" si="113"/>
        <v>#N/A</v>
      </c>
      <c r="AF365" s="55" t="e">
        <f t="shared" ca="1" si="114"/>
        <v>#N/A</v>
      </c>
      <c r="AG365" s="55" t="e">
        <f t="shared" ca="1" si="115"/>
        <v>#N/A</v>
      </c>
      <c r="AH365" s="55" t="e">
        <f t="shared" ca="1" si="116"/>
        <v>#N/A</v>
      </c>
      <c r="AI365" s="55" t="e">
        <f t="shared" ca="1" si="110"/>
        <v>#N/A</v>
      </c>
      <c r="AJ365" s="55" t="e">
        <f t="shared" ca="1" si="111"/>
        <v>#N/A</v>
      </c>
      <c r="AK365" s="55" t="e">
        <f t="shared" ca="1" si="112"/>
        <v>#N/A</v>
      </c>
    </row>
    <row r="366" spans="18:37">
      <c r="R366" s="83" t="e">
        <f ca="1"/>
        <v>#N/A</v>
      </c>
      <c r="S366" s="55" t="e">
        <f t="shared" ca="1" si="105"/>
        <v>#N/A</v>
      </c>
      <c r="T366" s="55" t="e">
        <f t="shared" ca="1" si="99"/>
        <v>#N/A</v>
      </c>
      <c r="U366" s="55" t="e">
        <f t="shared" ca="1" si="100"/>
        <v>#N/A</v>
      </c>
      <c r="V366" s="55" t="e">
        <f t="shared" ca="1" si="101"/>
        <v>#N/A</v>
      </c>
      <c r="W366" s="55" t="e">
        <f t="shared" ca="1" si="106"/>
        <v>#N/A</v>
      </c>
      <c r="X366" s="55" t="e">
        <f t="shared" ca="1" si="107"/>
        <v>#N/A</v>
      </c>
      <c r="Y366" s="55" t="e">
        <f t="shared" ca="1" si="108"/>
        <v>#N/A</v>
      </c>
      <c r="Z366" t="e">
        <f t="shared" ca="1" si="102"/>
        <v>#N/A</v>
      </c>
      <c r="AA366" t="e">
        <f t="shared" ca="1" si="109"/>
        <v>#N/A</v>
      </c>
      <c r="AB366" t="e">
        <f t="shared" ca="1" si="103"/>
        <v>#N/A</v>
      </c>
      <c r="AC366" t="e">
        <f t="shared" ca="1" si="104"/>
        <v>#N/A</v>
      </c>
      <c r="AD366" s="83" t="e">
        <f ca="1"/>
        <v>#N/A</v>
      </c>
      <c r="AE366" s="55" t="e">
        <f t="shared" ca="1" si="113"/>
        <v>#N/A</v>
      </c>
      <c r="AF366" s="55" t="e">
        <f t="shared" ca="1" si="114"/>
        <v>#N/A</v>
      </c>
      <c r="AG366" s="55" t="e">
        <f t="shared" ca="1" si="115"/>
        <v>#N/A</v>
      </c>
      <c r="AH366" s="55" t="e">
        <f t="shared" ca="1" si="116"/>
        <v>#N/A</v>
      </c>
      <c r="AI366" s="55" t="e">
        <f t="shared" ca="1" si="110"/>
        <v>#N/A</v>
      </c>
      <c r="AJ366" s="55" t="e">
        <f t="shared" ca="1" si="111"/>
        <v>#N/A</v>
      </c>
      <c r="AK366" s="55" t="e">
        <f t="shared" ca="1" si="112"/>
        <v>#N/A</v>
      </c>
    </row>
    <row r="367" spans="18:37">
      <c r="R367" s="83" t="e">
        <f ca="1"/>
        <v>#N/A</v>
      </c>
      <c r="S367" s="55" t="e">
        <f t="shared" ca="1" si="105"/>
        <v>#N/A</v>
      </c>
      <c r="T367" s="55" t="e">
        <f t="shared" ca="1" si="99"/>
        <v>#N/A</v>
      </c>
      <c r="U367" s="55" t="e">
        <f t="shared" ca="1" si="100"/>
        <v>#N/A</v>
      </c>
      <c r="V367" s="55" t="e">
        <f t="shared" ca="1" si="101"/>
        <v>#N/A</v>
      </c>
      <c r="W367" s="55" t="e">
        <f t="shared" ca="1" si="106"/>
        <v>#N/A</v>
      </c>
      <c r="X367" s="55" t="e">
        <f t="shared" ca="1" si="107"/>
        <v>#N/A</v>
      </c>
      <c r="Y367" s="55" t="e">
        <f t="shared" ca="1" si="108"/>
        <v>#N/A</v>
      </c>
      <c r="Z367" t="e">
        <f t="shared" ca="1" si="102"/>
        <v>#N/A</v>
      </c>
      <c r="AA367" t="e">
        <f t="shared" ca="1" si="109"/>
        <v>#N/A</v>
      </c>
      <c r="AB367" t="e">
        <f t="shared" ca="1" si="103"/>
        <v>#N/A</v>
      </c>
      <c r="AC367" t="e">
        <f t="shared" ca="1" si="104"/>
        <v>#N/A</v>
      </c>
      <c r="AD367" s="83" t="e">
        <f ca="1"/>
        <v>#N/A</v>
      </c>
      <c r="AE367" s="55" t="e">
        <f t="shared" ca="1" si="113"/>
        <v>#N/A</v>
      </c>
      <c r="AF367" s="55" t="e">
        <f t="shared" ca="1" si="114"/>
        <v>#N/A</v>
      </c>
      <c r="AG367" s="55" t="e">
        <f t="shared" ca="1" si="115"/>
        <v>#N/A</v>
      </c>
      <c r="AH367" s="55" t="e">
        <f t="shared" ca="1" si="116"/>
        <v>#N/A</v>
      </c>
      <c r="AI367" s="55" t="e">
        <f t="shared" ca="1" si="110"/>
        <v>#N/A</v>
      </c>
      <c r="AJ367" s="55" t="e">
        <f t="shared" ca="1" si="111"/>
        <v>#N/A</v>
      </c>
      <c r="AK367" s="55" t="e">
        <f t="shared" ca="1" si="112"/>
        <v>#N/A</v>
      </c>
    </row>
    <row r="368" spans="18:37">
      <c r="R368" s="83" t="e">
        <f ca="1"/>
        <v>#N/A</v>
      </c>
      <c r="S368" s="55" t="e">
        <f t="shared" ca="1" si="105"/>
        <v>#N/A</v>
      </c>
      <c r="T368" s="55" t="e">
        <f t="shared" ca="1" si="99"/>
        <v>#N/A</v>
      </c>
      <c r="U368" s="55" t="e">
        <f t="shared" ca="1" si="100"/>
        <v>#N/A</v>
      </c>
      <c r="V368" s="55" t="e">
        <f t="shared" ca="1" si="101"/>
        <v>#N/A</v>
      </c>
      <c r="W368" s="55" t="e">
        <f t="shared" ca="1" si="106"/>
        <v>#N/A</v>
      </c>
      <c r="X368" s="55" t="e">
        <f t="shared" ca="1" si="107"/>
        <v>#N/A</v>
      </c>
      <c r="Y368" s="55" t="e">
        <f t="shared" ca="1" si="108"/>
        <v>#N/A</v>
      </c>
      <c r="Z368" t="e">
        <f t="shared" ca="1" si="102"/>
        <v>#N/A</v>
      </c>
      <c r="AA368" t="e">
        <f t="shared" ca="1" si="109"/>
        <v>#N/A</v>
      </c>
      <c r="AB368" t="e">
        <f t="shared" ca="1" si="103"/>
        <v>#N/A</v>
      </c>
      <c r="AC368" t="e">
        <f t="shared" ca="1" si="104"/>
        <v>#N/A</v>
      </c>
      <c r="AD368" s="83" t="e">
        <f ca="1"/>
        <v>#N/A</v>
      </c>
      <c r="AE368" s="55" t="e">
        <f t="shared" ca="1" si="113"/>
        <v>#N/A</v>
      </c>
      <c r="AF368" s="55" t="e">
        <f t="shared" ca="1" si="114"/>
        <v>#N/A</v>
      </c>
      <c r="AG368" s="55" t="e">
        <f t="shared" ca="1" si="115"/>
        <v>#N/A</v>
      </c>
      <c r="AH368" s="55" t="e">
        <f t="shared" ca="1" si="116"/>
        <v>#N/A</v>
      </c>
      <c r="AI368" s="55" t="e">
        <f t="shared" ca="1" si="110"/>
        <v>#N/A</v>
      </c>
      <c r="AJ368" s="55" t="e">
        <f t="shared" ca="1" si="111"/>
        <v>#N/A</v>
      </c>
      <c r="AK368" s="55" t="e">
        <f t="shared" ca="1" si="112"/>
        <v>#N/A</v>
      </c>
    </row>
    <row r="369" spans="18:37">
      <c r="R369" s="83" t="e">
        <f ca="1"/>
        <v>#N/A</v>
      </c>
      <c r="S369" s="55" t="e">
        <f t="shared" ca="1" si="105"/>
        <v>#N/A</v>
      </c>
      <c r="T369" s="55" t="e">
        <f t="shared" ca="1" si="99"/>
        <v>#N/A</v>
      </c>
      <c r="U369" s="55" t="e">
        <f t="shared" ca="1" si="100"/>
        <v>#N/A</v>
      </c>
      <c r="V369" s="55" t="e">
        <f t="shared" ca="1" si="101"/>
        <v>#N/A</v>
      </c>
      <c r="W369" s="55" t="e">
        <f t="shared" ca="1" si="106"/>
        <v>#N/A</v>
      </c>
      <c r="X369" s="55" t="e">
        <f t="shared" ca="1" si="107"/>
        <v>#N/A</v>
      </c>
      <c r="Y369" s="55" t="e">
        <f t="shared" ca="1" si="108"/>
        <v>#N/A</v>
      </c>
      <c r="Z369" t="e">
        <f t="shared" ca="1" si="102"/>
        <v>#N/A</v>
      </c>
      <c r="AA369" t="e">
        <f t="shared" ca="1" si="109"/>
        <v>#N/A</v>
      </c>
      <c r="AB369" t="e">
        <f t="shared" ca="1" si="103"/>
        <v>#N/A</v>
      </c>
      <c r="AC369" t="e">
        <f t="shared" ca="1" si="104"/>
        <v>#N/A</v>
      </c>
      <c r="AD369" s="83" t="e">
        <f ca="1"/>
        <v>#N/A</v>
      </c>
      <c r="AE369" s="55" t="e">
        <f t="shared" ca="1" si="113"/>
        <v>#N/A</v>
      </c>
      <c r="AF369" s="55" t="e">
        <f t="shared" ca="1" si="114"/>
        <v>#N/A</v>
      </c>
      <c r="AG369" s="55" t="e">
        <f t="shared" ca="1" si="115"/>
        <v>#N/A</v>
      </c>
      <c r="AH369" s="55" t="e">
        <f t="shared" ca="1" si="116"/>
        <v>#N/A</v>
      </c>
      <c r="AI369" s="55" t="e">
        <f t="shared" ca="1" si="110"/>
        <v>#N/A</v>
      </c>
      <c r="AJ369" s="55" t="e">
        <f t="shared" ca="1" si="111"/>
        <v>#N/A</v>
      </c>
      <c r="AK369" s="55" t="e">
        <f t="shared" ca="1" si="112"/>
        <v>#N/A</v>
      </c>
    </row>
    <row r="370" spans="18:37">
      <c r="R370" s="83" t="e">
        <f ca="1"/>
        <v>#N/A</v>
      </c>
      <c r="S370" s="55" t="e">
        <f t="shared" ca="1" si="105"/>
        <v>#N/A</v>
      </c>
      <c r="T370" s="55" t="e">
        <f t="shared" ca="1" si="99"/>
        <v>#N/A</v>
      </c>
      <c r="U370" s="55" t="e">
        <f t="shared" ca="1" si="100"/>
        <v>#N/A</v>
      </c>
      <c r="V370" s="55" t="e">
        <f t="shared" ca="1" si="101"/>
        <v>#N/A</v>
      </c>
      <c r="W370" s="55" t="e">
        <f t="shared" ca="1" si="106"/>
        <v>#N/A</v>
      </c>
      <c r="X370" s="55" t="e">
        <f t="shared" ca="1" si="107"/>
        <v>#N/A</v>
      </c>
      <c r="Y370" s="55" t="e">
        <f t="shared" ca="1" si="108"/>
        <v>#N/A</v>
      </c>
      <c r="Z370" t="e">
        <f t="shared" ca="1" si="102"/>
        <v>#N/A</v>
      </c>
      <c r="AA370" t="e">
        <f t="shared" ca="1" si="109"/>
        <v>#N/A</v>
      </c>
      <c r="AB370" t="e">
        <f t="shared" ca="1" si="103"/>
        <v>#N/A</v>
      </c>
      <c r="AC370" t="e">
        <f t="shared" ca="1" si="104"/>
        <v>#N/A</v>
      </c>
      <c r="AD370" s="83" t="e">
        <f ca="1"/>
        <v>#N/A</v>
      </c>
      <c r="AE370" s="55" t="e">
        <f t="shared" ca="1" si="113"/>
        <v>#N/A</v>
      </c>
      <c r="AF370" s="55" t="e">
        <f t="shared" ca="1" si="114"/>
        <v>#N/A</v>
      </c>
      <c r="AG370" s="55" t="e">
        <f t="shared" ca="1" si="115"/>
        <v>#N/A</v>
      </c>
      <c r="AH370" s="55" t="e">
        <f t="shared" ca="1" si="116"/>
        <v>#N/A</v>
      </c>
      <c r="AI370" s="55" t="e">
        <f t="shared" ca="1" si="110"/>
        <v>#N/A</v>
      </c>
      <c r="AJ370" s="55" t="e">
        <f t="shared" ca="1" si="111"/>
        <v>#N/A</v>
      </c>
      <c r="AK370" s="55" t="e">
        <f t="shared" ca="1" si="112"/>
        <v>#N/A</v>
      </c>
    </row>
    <row r="371" spans="18:37">
      <c r="R371" s="83" t="e">
        <f ca="1"/>
        <v>#N/A</v>
      </c>
      <c r="S371" s="55" t="e">
        <f t="shared" ca="1" si="105"/>
        <v>#N/A</v>
      </c>
      <c r="T371" s="55" t="e">
        <f t="shared" ca="1" si="99"/>
        <v>#N/A</v>
      </c>
      <c r="U371" s="55" t="e">
        <f t="shared" ca="1" si="100"/>
        <v>#N/A</v>
      </c>
      <c r="V371" s="55" t="e">
        <f t="shared" ca="1" si="101"/>
        <v>#N/A</v>
      </c>
      <c r="W371" s="55" t="e">
        <f t="shared" ca="1" si="106"/>
        <v>#N/A</v>
      </c>
      <c r="X371" s="55" t="e">
        <f t="shared" ca="1" si="107"/>
        <v>#N/A</v>
      </c>
      <c r="Y371" s="55" t="e">
        <f t="shared" ca="1" si="108"/>
        <v>#N/A</v>
      </c>
      <c r="Z371" t="e">
        <f t="shared" ca="1" si="102"/>
        <v>#N/A</v>
      </c>
      <c r="AA371" t="e">
        <f t="shared" ca="1" si="109"/>
        <v>#N/A</v>
      </c>
      <c r="AB371" t="e">
        <f t="shared" ca="1" si="103"/>
        <v>#N/A</v>
      </c>
      <c r="AC371" t="e">
        <f t="shared" ca="1" si="104"/>
        <v>#N/A</v>
      </c>
      <c r="AD371" s="83" t="e">
        <f ca="1"/>
        <v>#N/A</v>
      </c>
      <c r="AE371" s="55" t="e">
        <f t="shared" ca="1" si="113"/>
        <v>#N/A</v>
      </c>
      <c r="AF371" s="55" t="e">
        <f t="shared" ca="1" si="114"/>
        <v>#N/A</v>
      </c>
      <c r="AG371" s="55" t="e">
        <f t="shared" ca="1" si="115"/>
        <v>#N/A</v>
      </c>
      <c r="AH371" s="55" t="e">
        <f t="shared" ca="1" si="116"/>
        <v>#N/A</v>
      </c>
      <c r="AI371" s="55" t="e">
        <f t="shared" ca="1" si="110"/>
        <v>#N/A</v>
      </c>
      <c r="AJ371" s="55" t="e">
        <f t="shared" ca="1" si="111"/>
        <v>#N/A</v>
      </c>
      <c r="AK371" s="55" t="e">
        <f t="shared" ca="1" si="112"/>
        <v>#N/A</v>
      </c>
    </row>
    <row r="372" spans="18:37">
      <c r="R372" s="83" t="e">
        <f ca="1"/>
        <v>#N/A</v>
      </c>
      <c r="S372" s="55" t="e">
        <f t="shared" ca="1" si="105"/>
        <v>#N/A</v>
      </c>
      <c r="T372" s="55" t="e">
        <f t="shared" ca="1" si="99"/>
        <v>#N/A</v>
      </c>
      <c r="U372" s="55" t="e">
        <f t="shared" ca="1" si="100"/>
        <v>#N/A</v>
      </c>
      <c r="V372" s="55" t="e">
        <f t="shared" ca="1" si="101"/>
        <v>#N/A</v>
      </c>
      <c r="W372" s="55" t="e">
        <f t="shared" ca="1" si="106"/>
        <v>#N/A</v>
      </c>
      <c r="X372" s="55" t="e">
        <f t="shared" ca="1" si="107"/>
        <v>#N/A</v>
      </c>
      <c r="Y372" s="55" t="e">
        <f t="shared" ca="1" si="108"/>
        <v>#N/A</v>
      </c>
      <c r="Z372" t="e">
        <f t="shared" ca="1" si="102"/>
        <v>#N/A</v>
      </c>
      <c r="AA372" t="e">
        <f t="shared" ca="1" si="109"/>
        <v>#N/A</v>
      </c>
      <c r="AB372" t="e">
        <f t="shared" ca="1" si="103"/>
        <v>#N/A</v>
      </c>
      <c r="AC372" t="e">
        <f t="shared" ca="1" si="104"/>
        <v>#N/A</v>
      </c>
      <c r="AD372" s="83" t="e">
        <f ca="1"/>
        <v>#N/A</v>
      </c>
      <c r="AE372" s="55" t="e">
        <f t="shared" ca="1" si="113"/>
        <v>#N/A</v>
      </c>
      <c r="AF372" s="55" t="e">
        <f t="shared" ca="1" si="114"/>
        <v>#N/A</v>
      </c>
      <c r="AG372" s="55" t="e">
        <f t="shared" ca="1" si="115"/>
        <v>#N/A</v>
      </c>
      <c r="AH372" s="55" t="e">
        <f t="shared" ca="1" si="116"/>
        <v>#N/A</v>
      </c>
      <c r="AI372" s="55" t="e">
        <f t="shared" ca="1" si="110"/>
        <v>#N/A</v>
      </c>
      <c r="AJ372" s="55" t="e">
        <f t="shared" ca="1" si="111"/>
        <v>#N/A</v>
      </c>
      <c r="AK372" s="55" t="e">
        <f t="shared" ca="1" si="112"/>
        <v>#N/A</v>
      </c>
    </row>
    <row r="373" spans="18:37">
      <c r="R373" s="83" t="e">
        <f ca="1"/>
        <v>#N/A</v>
      </c>
      <c r="S373" s="55" t="e">
        <f t="shared" ca="1" si="105"/>
        <v>#N/A</v>
      </c>
      <c r="T373" s="55" t="e">
        <f t="shared" ca="1" si="99"/>
        <v>#N/A</v>
      </c>
      <c r="U373" s="55" t="e">
        <f t="shared" ca="1" si="100"/>
        <v>#N/A</v>
      </c>
      <c r="V373" s="55" t="e">
        <f t="shared" ca="1" si="101"/>
        <v>#N/A</v>
      </c>
      <c r="W373" s="55" t="e">
        <f t="shared" ca="1" si="106"/>
        <v>#N/A</v>
      </c>
      <c r="X373" s="55" t="e">
        <f t="shared" ca="1" si="107"/>
        <v>#N/A</v>
      </c>
      <c r="Y373" s="55" t="e">
        <f t="shared" ca="1" si="108"/>
        <v>#N/A</v>
      </c>
      <c r="Z373" t="e">
        <f t="shared" ca="1" si="102"/>
        <v>#N/A</v>
      </c>
      <c r="AA373" t="e">
        <f t="shared" ca="1" si="109"/>
        <v>#N/A</v>
      </c>
      <c r="AB373" t="e">
        <f t="shared" ca="1" si="103"/>
        <v>#N/A</v>
      </c>
      <c r="AC373" t="e">
        <f t="shared" ca="1" si="104"/>
        <v>#N/A</v>
      </c>
      <c r="AD373" s="83" t="e">
        <f ca="1"/>
        <v>#N/A</v>
      </c>
      <c r="AE373" s="55" t="e">
        <f t="shared" ca="1" si="113"/>
        <v>#N/A</v>
      </c>
      <c r="AF373" s="55" t="e">
        <f t="shared" ca="1" si="114"/>
        <v>#N/A</v>
      </c>
      <c r="AG373" s="55" t="e">
        <f t="shared" ca="1" si="115"/>
        <v>#N/A</v>
      </c>
      <c r="AH373" s="55" t="e">
        <f t="shared" ca="1" si="116"/>
        <v>#N/A</v>
      </c>
      <c r="AI373" s="55" t="e">
        <f t="shared" ca="1" si="110"/>
        <v>#N/A</v>
      </c>
      <c r="AJ373" s="55" t="e">
        <f t="shared" ca="1" si="111"/>
        <v>#N/A</v>
      </c>
      <c r="AK373" s="55" t="e">
        <f t="shared" ca="1" si="112"/>
        <v>#N/A</v>
      </c>
    </row>
    <row r="374" spans="18:37">
      <c r="R374" s="83" t="e">
        <f ca="1"/>
        <v>#N/A</v>
      </c>
      <c r="S374" s="55" t="e">
        <f t="shared" ca="1" si="105"/>
        <v>#N/A</v>
      </c>
      <c r="T374" s="55" t="e">
        <f t="shared" ca="1" si="99"/>
        <v>#N/A</v>
      </c>
      <c r="U374" s="55" t="e">
        <f t="shared" ca="1" si="100"/>
        <v>#N/A</v>
      </c>
      <c r="V374" s="55" t="e">
        <f t="shared" ca="1" si="101"/>
        <v>#N/A</v>
      </c>
      <c r="W374" s="55" t="e">
        <f t="shared" ca="1" si="106"/>
        <v>#N/A</v>
      </c>
      <c r="X374" s="55" t="e">
        <f t="shared" ca="1" si="107"/>
        <v>#N/A</v>
      </c>
      <c r="Y374" s="55" t="e">
        <f t="shared" ca="1" si="108"/>
        <v>#N/A</v>
      </c>
      <c r="Z374" t="e">
        <f t="shared" ca="1" si="102"/>
        <v>#N/A</v>
      </c>
      <c r="AA374" t="e">
        <f t="shared" ca="1" si="109"/>
        <v>#N/A</v>
      </c>
      <c r="AB374" t="e">
        <f t="shared" ca="1" si="103"/>
        <v>#N/A</v>
      </c>
      <c r="AC374" t="e">
        <f t="shared" ca="1" si="104"/>
        <v>#N/A</v>
      </c>
      <c r="AD374" s="83" t="e">
        <f ca="1"/>
        <v>#N/A</v>
      </c>
      <c r="AE374" s="55" t="e">
        <f t="shared" ca="1" si="113"/>
        <v>#N/A</v>
      </c>
      <c r="AF374" s="55" t="e">
        <f t="shared" ca="1" si="114"/>
        <v>#N/A</v>
      </c>
      <c r="AG374" s="55" t="e">
        <f t="shared" ca="1" si="115"/>
        <v>#N/A</v>
      </c>
      <c r="AH374" s="55" t="e">
        <f t="shared" ca="1" si="116"/>
        <v>#N/A</v>
      </c>
      <c r="AI374" s="55" t="e">
        <f t="shared" ca="1" si="110"/>
        <v>#N/A</v>
      </c>
      <c r="AJ374" s="55" t="e">
        <f t="shared" ca="1" si="111"/>
        <v>#N/A</v>
      </c>
      <c r="AK374" s="55" t="e">
        <f t="shared" ca="1" si="112"/>
        <v>#N/A</v>
      </c>
    </row>
    <row r="375" spans="18:37">
      <c r="R375" s="83" t="e">
        <f ca="1"/>
        <v>#N/A</v>
      </c>
      <c r="S375" s="55" t="e">
        <f t="shared" ca="1" si="105"/>
        <v>#N/A</v>
      </c>
      <c r="T375" s="55" t="e">
        <f t="shared" ca="1" si="99"/>
        <v>#N/A</v>
      </c>
      <c r="U375" s="55" t="e">
        <f t="shared" ca="1" si="100"/>
        <v>#N/A</v>
      </c>
      <c r="V375" s="55" t="e">
        <f t="shared" ca="1" si="101"/>
        <v>#N/A</v>
      </c>
      <c r="W375" s="55" t="e">
        <f t="shared" ca="1" si="106"/>
        <v>#N/A</v>
      </c>
      <c r="X375" s="55" t="e">
        <f t="shared" ca="1" si="107"/>
        <v>#N/A</v>
      </c>
      <c r="Y375" s="55" t="e">
        <f t="shared" ca="1" si="108"/>
        <v>#N/A</v>
      </c>
      <c r="Z375" t="e">
        <f t="shared" ca="1" si="102"/>
        <v>#N/A</v>
      </c>
      <c r="AA375" t="e">
        <f t="shared" ca="1" si="109"/>
        <v>#N/A</v>
      </c>
      <c r="AB375" t="e">
        <f t="shared" ca="1" si="103"/>
        <v>#N/A</v>
      </c>
      <c r="AC375" t="e">
        <f t="shared" ca="1" si="104"/>
        <v>#N/A</v>
      </c>
      <c r="AD375" s="83" t="e">
        <f ca="1"/>
        <v>#N/A</v>
      </c>
      <c r="AE375" s="55" t="e">
        <f t="shared" ca="1" si="113"/>
        <v>#N/A</v>
      </c>
      <c r="AF375" s="55" t="e">
        <f t="shared" ca="1" si="114"/>
        <v>#N/A</v>
      </c>
      <c r="AG375" s="55" t="e">
        <f t="shared" ca="1" si="115"/>
        <v>#N/A</v>
      </c>
      <c r="AH375" s="55" t="e">
        <f t="shared" ca="1" si="116"/>
        <v>#N/A</v>
      </c>
      <c r="AI375" s="55" t="e">
        <f t="shared" ca="1" si="110"/>
        <v>#N/A</v>
      </c>
      <c r="AJ375" s="55" t="e">
        <f t="shared" ca="1" si="111"/>
        <v>#N/A</v>
      </c>
      <c r="AK375" s="55" t="e">
        <f t="shared" ca="1" si="112"/>
        <v>#N/A</v>
      </c>
    </row>
    <row r="376" spans="18:37">
      <c r="R376" s="83" t="e">
        <f ca="1"/>
        <v>#N/A</v>
      </c>
      <c r="S376" s="55" t="e">
        <f t="shared" ca="1" si="105"/>
        <v>#N/A</v>
      </c>
      <c r="T376" s="55" t="e">
        <f t="shared" ca="1" si="99"/>
        <v>#N/A</v>
      </c>
      <c r="U376" s="55" t="e">
        <f t="shared" ca="1" si="100"/>
        <v>#N/A</v>
      </c>
      <c r="V376" s="55" t="e">
        <f t="shared" ca="1" si="101"/>
        <v>#N/A</v>
      </c>
      <c r="W376" s="55" t="e">
        <f t="shared" ca="1" si="106"/>
        <v>#N/A</v>
      </c>
      <c r="X376" s="55" t="e">
        <f t="shared" ca="1" si="107"/>
        <v>#N/A</v>
      </c>
      <c r="Y376" s="55" t="e">
        <f t="shared" ca="1" si="108"/>
        <v>#N/A</v>
      </c>
      <c r="Z376" t="e">
        <f t="shared" ca="1" si="102"/>
        <v>#N/A</v>
      </c>
      <c r="AA376" t="e">
        <f t="shared" ca="1" si="109"/>
        <v>#N/A</v>
      </c>
      <c r="AB376" t="e">
        <f t="shared" ca="1" si="103"/>
        <v>#N/A</v>
      </c>
      <c r="AC376" t="e">
        <f t="shared" ca="1" si="104"/>
        <v>#N/A</v>
      </c>
      <c r="AD376" s="83" t="e">
        <f ca="1"/>
        <v>#N/A</v>
      </c>
      <c r="AE376" s="55" t="e">
        <f t="shared" ca="1" si="113"/>
        <v>#N/A</v>
      </c>
      <c r="AF376" s="55" t="e">
        <f t="shared" ca="1" si="114"/>
        <v>#N/A</v>
      </c>
      <c r="AG376" s="55" t="e">
        <f t="shared" ca="1" si="115"/>
        <v>#N/A</v>
      </c>
      <c r="AH376" s="55" t="e">
        <f t="shared" ca="1" si="116"/>
        <v>#N/A</v>
      </c>
      <c r="AI376" s="55" t="e">
        <f t="shared" ca="1" si="110"/>
        <v>#N/A</v>
      </c>
      <c r="AJ376" s="55" t="e">
        <f t="shared" ca="1" si="111"/>
        <v>#N/A</v>
      </c>
      <c r="AK376" s="55" t="e">
        <f t="shared" ca="1" si="112"/>
        <v>#N/A</v>
      </c>
    </row>
    <row r="377" spans="18:37">
      <c r="R377" s="83" t="e">
        <f ca="1"/>
        <v>#N/A</v>
      </c>
      <c r="S377" s="55" t="e">
        <f t="shared" ca="1" si="105"/>
        <v>#N/A</v>
      </c>
      <c r="T377" s="55" t="e">
        <f t="shared" ca="1" si="99"/>
        <v>#N/A</v>
      </c>
      <c r="U377" s="55" t="e">
        <f t="shared" ca="1" si="100"/>
        <v>#N/A</v>
      </c>
      <c r="V377" s="55" t="e">
        <f t="shared" ca="1" si="101"/>
        <v>#N/A</v>
      </c>
      <c r="W377" s="55" t="e">
        <f t="shared" ca="1" si="106"/>
        <v>#N/A</v>
      </c>
      <c r="X377" s="55" t="e">
        <f t="shared" ca="1" si="107"/>
        <v>#N/A</v>
      </c>
      <c r="Y377" s="55" t="e">
        <f t="shared" ca="1" si="108"/>
        <v>#N/A</v>
      </c>
      <c r="Z377" t="e">
        <f t="shared" ca="1" si="102"/>
        <v>#N/A</v>
      </c>
      <c r="AA377" t="e">
        <f t="shared" ca="1" si="109"/>
        <v>#N/A</v>
      </c>
      <c r="AB377" t="e">
        <f t="shared" ca="1" si="103"/>
        <v>#N/A</v>
      </c>
      <c r="AC377" t="e">
        <f t="shared" ca="1" si="104"/>
        <v>#N/A</v>
      </c>
      <c r="AD377" s="83" t="e">
        <f ca="1"/>
        <v>#N/A</v>
      </c>
      <c r="AE377" s="55" t="e">
        <f t="shared" ca="1" si="113"/>
        <v>#N/A</v>
      </c>
      <c r="AF377" s="55" t="e">
        <f t="shared" ca="1" si="114"/>
        <v>#N/A</v>
      </c>
      <c r="AG377" s="55" t="e">
        <f t="shared" ca="1" si="115"/>
        <v>#N/A</v>
      </c>
      <c r="AH377" s="55" t="e">
        <f t="shared" ca="1" si="116"/>
        <v>#N/A</v>
      </c>
      <c r="AI377" s="55" t="e">
        <f t="shared" ca="1" si="110"/>
        <v>#N/A</v>
      </c>
      <c r="AJ377" s="55" t="e">
        <f t="shared" ca="1" si="111"/>
        <v>#N/A</v>
      </c>
      <c r="AK377" s="55" t="e">
        <f t="shared" ca="1" si="112"/>
        <v>#N/A</v>
      </c>
    </row>
    <row r="378" spans="18:37">
      <c r="R378" s="83" t="e">
        <f ca="1"/>
        <v>#N/A</v>
      </c>
      <c r="S378" s="55" t="e">
        <f t="shared" ca="1" si="105"/>
        <v>#N/A</v>
      </c>
      <c r="T378" s="55" t="e">
        <f t="shared" ca="1" si="99"/>
        <v>#N/A</v>
      </c>
      <c r="U378" s="55" t="e">
        <f t="shared" ca="1" si="100"/>
        <v>#N/A</v>
      </c>
      <c r="V378" s="55" t="e">
        <f t="shared" ca="1" si="101"/>
        <v>#N/A</v>
      </c>
      <c r="W378" s="55" t="e">
        <f t="shared" ca="1" si="106"/>
        <v>#N/A</v>
      </c>
      <c r="X378" s="55" t="e">
        <f t="shared" ca="1" si="107"/>
        <v>#N/A</v>
      </c>
      <c r="Y378" s="55" t="e">
        <f t="shared" ca="1" si="108"/>
        <v>#N/A</v>
      </c>
      <c r="Z378" t="e">
        <f t="shared" ca="1" si="102"/>
        <v>#N/A</v>
      </c>
      <c r="AA378" t="e">
        <f t="shared" ca="1" si="109"/>
        <v>#N/A</v>
      </c>
      <c r="AB378" t="e">
        <f t="shared" ca="1" si="103"/>
        <v>#N/A</v>
      </c>
      <c r="AC378" t="e">
        <f t="shared" ca="1" si="104"/>
        <v>#N/A</v>
      </c>
      <c r="AD378" s="83" t="e">
        <f ca="1"/>
        <v>#N/A</v>
      </c>
      <c r="AE378" s="55" t="e">
        <f t="shared" ca="1" si="113"/>
        <v>#N/A</v>
      </c>
      <c r="AF378" s="55" t="e">
        <f t="shared" ca="1" si="114"/>
        <v>#N/A</v>
      </c>
      <c r="AG378" s="55" t="e">
        <f t="shared" ca="1" si="115"/>
        <v>#N/A</v>
      </c>
      <c r="AH378" s="55" t="e">
        <f t="shared" ca="1" si="116"/>
        <v>#N/A</v>
      </c>
      <c r="AI378" s="55" t="e">
        <f t="shared" ca="1" si="110"/>
        <v>#N/A</v>
      </c>
      <c r="AJ378" s="55" t="e">
        <f t="shared" ca="1" si="111"/>
        <v>#N/A</v>
      </c>
      <c r="AK378" s="55" t="e">
        <f t="shared" ca="1" si="112"/>
        <v>#N/A</v>
      </c>
    </row>
    <row r="379" spans="18:37">
      <c r="R379" s="83" t="e">
        <f ca="1"/>
        <v>#N/A</v>
      </c>
      <c r="S379" s="55" t="e">
        <f t="shared" ca="1" si="105"/>
        <v>#N/A</v>
      </c>
      <c r="T379" s="55" t="e">
        <f t="shared" ca="1" si="99"/>
        <v>#N/A</v>
      </c>
      <c r="U379" s="55" t="e">
        <f t="shared" ca="1" si="100"/>
        <v>#N/A</v>
      </c>
      <c r="V379" s="55" t="e">
        <f t="shared" ca="1" si="101"/>
        <v>#N/A</v>
      </c>
      <c r="W379" s="55" t="e">
        <f t="shared" ca="1" si="106"/>
        <v>#N/A</v>
      </c>
      <c r="X379" s="55" t="e">
        <f t="shared" ca="1" si="107"/>
        <v>#N/A</v>
      </c>
      <c r="Y379" s="55" t="e">
        <f t="shared" ca="1" si="108"/>
        <v>#N/A</v>
      </c>
      <c r="Z379" t="e">
        <f t="shared" ca="1" si="102"/>
        <v>#N/A</v>
      </c>
      <c r="AA379" t="e">
        <f t="shared" ca="1" si="109"/>
        <v>#N/A</v>
      </c>
      <c r="AB379" t="e">
        <f t="shared" ca="1" si="103"/>
        <v>#N/A</v>
      </c>
      <c r="AC379" t="e">
        <f t="shared" ca="1" si="104"/>
        <v>#N/A</v>
      </c>
      <c r="AD379" s="83" t="e">
        <f ca="1"/>
        <v>#N/A</v>
      </c>
      <c r="AE379" s="55" t="e">
        <f t="shared" ca="1" si="113"/>
        <v>#N/A</v>
      </c>
      <c r="AF379" s="55" t="e">
        <f t="shared" ca="1" si="114"/>
        <v>#N/A</v>
      </c>
      <c r="AG379" s="55" t="e">
        <f t="shared" ca="1" si="115"/>
        <v>#N/A</v>
      </c>
      <c r="AH379" s="55" t="e">
        <f t="shared" ca="1" si="116"/>
        <v>#N/A</v>
      </c>
      <c r="AI379" s="55" t="e">
        <f t="shared" ca="1" si="110"/>
        <v>#N/A</v>
      </c>
      <c r="AJ379" s="55" t="e">
        <f t="shared" ca="1" si="111"/>
        <v>#N/A</v>
      </c>
      <c r="AK379" s="55" t="e">
        <f t="shared" ca="1" si="112"/>
        <v>#N/A</v>
      </c>
    </row>
    <row r="380" spans="18:37">
      <c r="R380" s="83" t="e">
        <f ca="1"/>
        <v>#N/A</v>
      </c>
      <c r="S380" s="55" t="e">
        <f t="shared" ca="1" si="105"/>
        <v>#N/A</v>
      </c>
      <c r="T380" s="55" t="e">
        <f t="shared" ca="1" si="99"/>
        <v>#N/A</v>
      </c>
      <c r="U380" s="55" t="e">
        <f t="shared" ca="1" si="100"/>
        <v>#N/A</v>
      </c>
      <c r="V380" s="55" t="e">
        <f t="shared" ca="1" si="101"/>
        <v>#N/A</v>
      </c>
      <c r="W380" s="55" t="e">
        <f t="shared" ca="1" si="106"/>
        <v>#N/A</v>
      </c>
      <c r="X380" s="55" t="e">
        <f t="shared" ca="1" si="107"/>
        <v>#N/A</v>
      </c>
      <c r="Y380" s="55" t="e">
        <f t="shared" ca="1" si="108"/>
        <v>#N/A</v>
      </c>
      <c r="Z380" t="e">
        <f t="shared" ca="1" si="102"/>
        <v>#N/A</v>
      </c>
      <c r="AA380" t="e">
        <f t="shared" ca="1" si="109"/>
        <v>#N/A</v>
      </c>
      <c r="AB380" t="e">
        <f t="shared" ca="1" si="103"/>
        <v>#N/A</v>
      </c>
      <c r="AC380" t="e">
        <f t="shared" ca="1" si="104"/>
        <v>#N/A</v>
      </c>
      <c r="AD380" s="83" t="e">
        <f ca="1"/>
        <v>#N/A</v>
      </c>
      <c r="AE380" s="55" t="e">
        <f t="shared" ca="1" si="113"/>
        <v>#N/A</v>
      </c>
      <c r="AF380" s="55" t="e">
        <f t="shared" ca="1" si="114"/>
        <v>#N/A</v>
      </c>
      <c r="AG380" s="55" t="e">
        <f t="shared" ca="1" si="115"/>
        <v>#N/A</v>
      </c>
      <c r="AH380" s="55" t="e">
        <f t="shared" ca="1" si="116"/>
        <v>#N/A</v>
      </c>
      <c r="AI380" s="55" t="e">
        <f t="shared" ca="1" si="110"/>
        <v>#N/A</v>
      </c>
      <c r="AJ380" s="55" t="e">
        <f t="shared" ca="1" si="111"/>
        <v>#N/A</v>
      </c>
      <c r="AK380" s="55" t="e">
        <f t="shared" ca="1" si="112"/>
        <v>#N/A</v>
      </c>
    </row>
    <row r="381" spans="18:37">
      <c r="R381" s="83" t="e">
        <f ca="1"/>
        <v>#N/A</v>
      </c>
      <c r="S381" s="55" t="e">
        <f t="shared" ca="1" si="105"/>
        <v>#N/A</v>
      </c>
      <c r="T381" s="55" t="e">
        <f t="shared" ca="1" si="99"/>
        <v>#N/A</v>
      </c>
      <c r="U381" s="55" t="e">
        <f t="shared" ca="1" si="100"/>
        <v>#N/A</v>
      </c>
      <c r="V381" s="55" t="e">
        <f t="shared" ca="1" si="101"/>
        <v>#N/A</v>
      </c>
      <c r="W381" s="55" t="e">
        <f t="shared" ca="1" si="106"/>
        <v>#N/A</v>
      </c>
      <c r="X381" s="55" t="e">
        <f t="shared" ca="1" si="107"/>
        <v>#N/A</v>
      </c>
      <c r="Y381" s="55" t="e">
        <f t="shared" ca="1" si="108"/>
        <v>#N/A</v>
      </c>
      <c r="Z381" t="e">
        <f t="shared" ca="1" si="102"/>
        <v>#N/A</v>
      </c>
      <c r="AA381" t="e">
        <f t="shared" ca="1" si="109"/>
        <v>#N/A</v>
      </c>
      <c r="AB381" t="e">
        <f t="shared" ca="1" si="103"/>
        <v>#N/A</v>
      </c>
      <c r="AC381" t="e">
        <f t="shared" ca="1" si="104"/>
        <v>#N/A</v>
      </c>
      <c r="AD381" s="83" t="e">
        <f ca="1"/>
        <v>#N/A</v>
      </c>
      <c r="AE381" s="55" t="e">
        <f t="shared" ca="1" si="113"/>
        <v>#N/A</v>
      </c>
      <c r="AF381" s="55" t="e">
        <f t="shared" ca="1" si="114"/>
        <v>#N/A</v>
      </c>
      <c r="AG381" s="55" t="e">
        <f t="shared" ca="1" si="115"/>
        <v>#N/A</v>
      </c>
      <c r="AH381" s="55" t="e">
        <f t="shared" ca="1" si="116"/>
        <v>#N/A</v>
      </c>
      <c r="AI381" s="55" t="e">
        <f t="shared" ca="1" si="110"/>
        <v>#N/A</v>
      </c>
      <c r="AJ381" s="55" t="e">
        <f t="shared" ca="1" si="111"/>
        <v>#N/A</v>
      </c>
      <c r="AK381" s="55" t="e">
        <f t="shared" ca="1" si="112"/>
        <v>#N/A</v>
      </c>
    </row>
    <row r="382" spans="18:37">
      <c r="R382" s="83" t="e">
        <f ca="1"/>
        <v>#N/A</v>
      </c>
      <c r="S382" s="55" t="e">
        <f t="shared" ca="1" si="105"/>
        <v>#N/A</v>
      </c>
      <c r="T382" s="55" t="e">
        <f t="shared" ca="1" si="99"/>
        <v>#N/A</v>
      </c>
      <c r="U382" s="55" t="e">
        <f t="shared" ca="1" si="100"/>
        <v>#N/A</v>
      </c>
      <c r="V382" s="55" t="e">
        <f t="shared" ca="1" si="101"/>
        <v>#N/A</v>
      </c>
      <c r="W382" s="55" t="e">
        <f t="shared" ca="1" si="106"/>
        <v>#N/A</v>
      </c>
      <c r="X382" s="55" t="e">
        <f t="shared" ca="1" si="107"/>
        <v>#N/A</v>
      </c>
      <c r="Y382" s="55" t="e">
        <f t="shared" ca="1" si="108"/>
        <v>#N/A</v>
      </c>
      <c r="Z382" t="e">
        <f t="shared" ca="1" si="102"/>
        <v>#N/A</v>
      </c>
      <c r="AA382" t="e">
        <f t="shared" ca="1" si="109"/>
        <v>#N/A</v>
      </c>
      <c r="AB382" t="e">
        <f t="shared" ca="1" si="103"/>
        <v>#N/A</v>
      </c>
      <c r="AC382" t="e">
        <f t="shared" ca="1" si="104"/>
        <v>#N/A</v>
      </c>
      <c r="AD382" s="83" t="e">
        <f ca="1"/>
        <v>#N/A</v>
      </c>
      <c r="AE382" s="55" t="e">
        <f t="shared" ca="1" si="113"/>
        <v>#N/A</v>
      </c>
      <c r="AF382" s="55" t="e">
        <f t="shared" ca="1" si="114"/>
        <v>#N/A</v>
      </c>
      <c r="AG382" s="55" t="e">
        <f t="shared" ca="1" si="115"/>
        <v>#N/A</v>
      </c>
      <c r="AH382" s="55" t="e">
        <f t="shared" ca="1" si="116"/>
        <v>#N/A</v>
      </c>
      <c r="AI382" s="55" t="e">
        <f t="shared" ca="1" si="110"/>
        <v>#N/A</v>
      </c>
      <c r="AJ382" s="55" t="e">
        <f t="shared" ca="1" si="111"/>
        <v>#N/A</v>
      </c>
      <c r="AK382" s="55" t="e">
        <f t="shared" ca="1" si="112"/>
        <v>#N/A</v>
      </c>
    </row>
    <row r="383" spans="18:37">
      <c r="R383" s="83" t="e">
        <f ca="1"/>
        <v>#N/A</v>
      </c>
      <c r="S383" s="55" t="e">
        <f t="shared" ca="1" si="105"/>
        <v>#N/A</v>
      </c>
      <c r="T383" s="55" t="e">
        <f t="shared" ca="1" si="99"/>
        <v>#N/A</v>
      </c>
      <c r="U383" s="55" t="e">
        <f t="shared" ca="1" si="100"/>
        <v>#N/A</v>
      </c>
      <c r="V383" s="55" t="e">
        <f t="shared" ca="1" si="101"/>
        <v>#N/A</v>
      </c>
      <c r="W383" s="55" t="e">
        <f t="shared" ca="1" si="106"/>
        <v>#N/A</v>
      </c>
      <c r="X383" s="55" t="e">
        <f t="shared" ca="1" si="107"/>
        <v>#N/A</v>
      </c>
      <c r="Y383" s="55" t="e">
        <f t="shared" ca="1" si="108"/>
        <v>#N/A</v>
      </c>
      <c r="Z383" t="e">
        <f t="shared" ca="1" si="102"/>
        <v>#N/A</v>
      </c>
      <c r="AA383" t="e">
        <f t="shared" ca="1" si="109"/>
        <v>#N/A</v>
      </c>
      <c r="AB383" t="e">
        <f t="shared" ca="1" si="103"/>
        <v>#N/A</v>
      </c>
      <c r="AC383" t="e">
        <f t="shared" ca="1" si="104"/>
        <v>#N/A</v>
      </c>
      <c r="AD383" s="83" t="e">
        <f ca="1"/>
        <v>#N/A</v>
      </c>
      <c r="AE383" s="55" t="e">
        <f t="shared" ca="1" si="113"/>
        <v>#N/A</v>
      </c>
      <c r="AF383" s="55" t="e">
        <f t="shared" ca="1" si="114"/>
        <v>#N/A</v>
      </c>
      <c r="AG383" s="55" t="e">
        <f t="shared" ca="1" si="115"/>
        <v>#N/A</v>
      </c>
      <c r="AH383" s="55" t="e">
        <f t="shared" ca="1" si="116"/>
        <v>#N/A</v>
      </c>
      <c r="AI383" s="55" t="e">
        <f t="shared" ca="1" si="110"/>
        <v>#N/A</v>
      </c>
      <c r="AJ383" s="55" t="e">
        <f t="shared" ca="1" si="111"/>
        <v>#N/A</v>
      </c>
      <c r="AK383" s="55" t="e">
        <f t="shared" ca="1" si="112"/>
        <v>#N/A</v>
      </c>
    </row>
    <row r="384" spans="18:37">
      <c r="R384" s="83" t="e">
        <f ca="1"/>
        <v>#N/A</v>
      </c>
      <c r="S384" s="55" t="e">
        <f t="shared" ca="1" si="105"/>
        <v>#N/A</v>
      </c>
      <c r="T384" s="55" t="e">
        <f t="shared" ca="1" si="99"/>
        <v>#N/A</v>
      </c>
      <c r="U384" s="55" t="e">
        <f t="shared" ca="1" si="100"/>
        <v>#N/A</v>
      </c>
      <c r="V384" s="55" t="e">
        <f t="shared" ca="1" si="101"/>
        <v>#N/A</v>
      </c>
      <c r="W384" s="55" t="e">
        <f t="shared" ca="1" si="106"/>
        <v>#N/A</v>
      </c>
      <c r="X384" s="55" t="e">
        <f t="shared" ca="1" si="107"/>
        <v>#N/A</v>
      </c>
      <c r="Y384" s="55" t="e">
        <f t="shared" ca="1" si="108"/>
        <v>#N/A</v>
      </c>
      <c r="Z384" t="e">
        <f t="shared" ca="1" si="102"/>
        <v>#N/A</v>
      </c>
      <c r="AA384" t="e">
        <f t="shared" ca="1" si="109"/>
        <v>#N/A</v>
      </c>
      <c r="AB384" t="e">
        <f t="shared" ca="1" si="103"/>
        <v>#N/A</v>
      </c>
      <c r="AC384" t="e">
        <f t="shared" ca="1" si="104"/>
        <v>#N/A</v>
      </c>
      <c r="AD384" s="83" t="e">
        <f ca="1"/>
        <v>#N/A</v>
      </c>
      <c r="AE384" s="55" t="e">
        <f t="shared" ca="1" si="113"/>
        <v>#N/A</v>
      </c>
      <c r="AF384" s="55" t="e">
        <f t="shared" ca="1" si="114"/>
        <v>#N/A</v>
      </c>
      <c r="AG384" s="55" t="e">
        <f t="shared" ca="1" si="115"/>
        <v>#N/A</v>
      </c>
      <c r="AH384" s="55" t="e">
        <f t="shared" ca="1" si="116"/>
        <v>#N/A</v>
      </c>
      <c r="AI384" s="55" t="e">
        <f t="shared" ca="1" si="110"/>
        <v>#N/A</v>
      </c>
      <c r="AJ384" s="55" t="e">
        <f t="shared" ca="1" si="111"/>
        <v>#N/A</v>
      </c>
      <c r="AK384" s="55" t="e">
        <f t="shared" ca="1" si="112"/>
        <v>#N/A</v>
      </c>
    </row>
    <row r="385" spans="18:37">
      <c r="R385" s="83" t="e">
        <f ca="1"/>
        <v>#N/A</v>
      </c>
      <c r="S385" s="55" t="e">
        <f t="shared" ca="1" si="105"/>
        <v>#N/A</v>
      </c>
      <c r="T385" s="55" t="e">
        <f t="shared" ca="1" si="99"/>
        <v>#N/A</v>
      </c>
      <c r="U385" s="55" t="e">
        <f t="shared" ca="1" si="100"/>
        <v>#N/A</v>
      </c>
      <c r="V385" s="55" t="e">
        <f t="shared" ca="1" si="101"/>
        <v>#N/A</v>
      </c>
      <c r="W385" s="55" t="e">
        <f t="shared" ca="1" si="106"/>
        <v>#N/A</v>
      </c>
      <c r="X385" s="55" t="e">
        <f t="shared" ca="1" si="107"/>
        <v>#N/A</v>
      </c>
      <c r="Y385" s="55" t="e">
        <f t="shared" ca="1" si="108"/>
        <v>#N/A</v>
      </c>
      <c r="Z385" t="e">
        <f t="shared" ca="1" si="102"/>
        <v>#N/A</v>
      </c>
      <c r="AA385" t="e">
        <f t="shared" ca="1" si="109"/>
        <v>#N/A</v>
      </c>
      <c r="AB385" t="e">
        <f t="shared" ca="1" si="103"/>
        <v>#N/A</v>
      </c>
      <c r="AC385" t="e">
        <f t="shared" ca="1" si="104"/>
        <v>#N/A</v>
      </c>
      <c r="AD385" s="83" t="e">
        <f ca="1"/>
        <v>#N/A</v>
      </c>
      <c r="AE385" s="55" t="e">
        <f t="shared" ca="1" si="113"/>
        <v>#N/A</v>
      </c>
      <c r="AF385" s="55" t="e">
        <f t="shared" ca="1" si="114"/>
        <v>#N/A</v>
      </c>
      <c r="AG385" s="55" t="e">
        <f t="shared" ca="1" si="115"/>
        <v>#N/A</v>
      </c>
      <c r="AH385" s="55" t="e">
        <f t="shared" ca="1" si="116"/>
        <v>#N/A</v>
      </c>
      <c r="AI385" s="55" t="e">
        <f t="shared" ca="1" si="110"/>
        <v>#N/A</v>
      </c>
      <c r="AJ385" s="55" t="e">
        <f t="shared" ca="1" si="111"/>
        <v>#N/A</v>
      </c>
      <c r="AK385" s="55" t="e">
        <f t="shared" ca="1" si="112"/>
        <v>#N/A</v>
      </c>
    </row>
    <row r="386" spans="18:37">
      <c r="R386" s="83" t="e">
        <f ca="1"/>
        <v>#N/A</v>
      </c>
      <c r="S386" s="55" t="e">
        <f t="shared" ca="1" si="105"/>
        <v>#N/A</v>
      </c>
      <c r="T386" s="55" t="e">
        <f t="shared" ca="1" si="99"/>
        <v>#N/A</v>
      </c>
      <c r="U386" s="55" t="e">
        <f t="shared" ca="1" si="100"/>
        <v>#N/A</v>
      </c>
      <c r="V386" s="55" t="e">
        <f t="shared" ca="1" si="101"/>
        <v>#N/A</v>
      </c>
      <c r="W386" s="55" t="e">
        <f t="shared" ca="1" si="106"/>
        <v>#N/A</v>
      </c>
      <c r="X386" s="55" t="e">
        <f t="shared" ca="1" si="107"/>
        <v>#N/A</v>
      </c>
      <c r="Y386" s="55" t="e">
        <f t="shared" ca="1" si="108"/>
        <v>#N/A</v>
      </c>
      <c r="Z386" t="e">
        <f t="shared" ca="1" si="102"/>
        <v>#N/A</v>
      </c>
      <c r="AA386" t="e">
        <f t="shared" ca="1" si="109"/>
        <v>#N/A</v>
      </c>
      <c r="AB386" t="e">
        <f t="shared" ca="1" si="103"/>
        <v>#N/A</v>
      </c>
      <c r="AC386" t="e">
        <f t="shared" ca="1" si="104"/>
        <v>#N/A</v>
      </c>
      <c r="AD386" s="83" t="e">
        <f ca="1"/>
        <v>#N/A</v>
      </c>
      <c r="AE386" s="55" t="e">
        <f t="shared" ca="1" si="113"/>
        <v>#N/A</v>
      </c>
      <c r="AF386" s="55" t="e">
        <f t="shared" ca="1" si="114"/>
        <v>#N/A</v>
      </c>
      <c r="AG386" s="55" t="e">
        <f t="shared" ca="1" si="115"/>
        <v>#N/A</v>
      </c>
      <c r="AH386" s="55" t="e">
        <f t="shared" ca="1" si="116"/>
        <v>#N/A</v>
      </c>
      <c r="AI386" s="55" t="e">
        <f t="shared" ca="1" si="110"/>
        <v>#N/A</v>
      </c>
      <c r="AJ386" s="55" t="e">
        <f t="shared" ca="1" si="111"/>
        <v>#N/A</v>
      </c>
      <c r="AK386" s="55" t="e">
        <f t="shared" ca="1" si="112"/>
        <v>#N/A</v>
      </c>
    </row>
    <row r="387" spans="18:37">
      <c r="R387" s="83" t="e">
        <f ca="1"/>
        <v>#N/A</v>
      </c>
      <c r="S387" s="55" t="e">
        <f t="shared" ca="1" si="105"/>
        <v>#N/A</v>
      </c>
      <c r="T387" s="55" t="e">
        <f t="shared" ca="1" si="99"/>
        <v>#N/A</v>
      </c>
      <c r="U387" s="55" t="e">
        <f t="shared" ca="1" si="100"/>
        <v>#N/A</v>
      </c>
      <c r="V387" s="55" t="e">
        <f t="shared" ca="1" si="101"/>
        <v>#N/A</v>
      </c>
      <c r="W387" s="55" t="e">
        <f t="shared" ca="1" si="106"/>
        <v>#N/A</v>
      </c>
      <c r="X387" s="55" t="e">
        <f t="shared" ca="1" si="107"/>
        <v>#N/A</v>
      </c>
      <c r="Y387" s="55" t="e">
        <f t="shared" ca="1" si="108"/>
        <v>#N/A</v>
      </c>
      <c r="Z387" t="e">
        <f t="shared" ca="1" si="102"/>
        <v>#N/A</v>
      </c>
      <c r="AA387" t="e">
        <f t="shared" ca="1" si="109"/>
        <v>#N/A</v>
      </c>
      <c r="AB387" t="e">
        <f t="shared" ca="1" si="103"/>
        <v>#N/A</v>
      </c>
      <c r="AC387" t="e">
        <f t="shared" ca="1" si="104"/>
        <v>#N/A</v>
      </c>
      <c r="AD387" s="83" t="e">
        <f ca="1"/>
        <v>#N/A</v>
      </c>
      <c r="AE387" s="55" t="e">
        <f t="shared" ca="1" si="113"/>
        <v>#N/A</v>
      </c>
      <c r="AF387" s="55" t="e">
        <f t="shared" ca="1" si="114"/>
        <v>#N/A</v>
      </c>
      <c r="AG387" s="55" t="e">
        <f t="shared" ca="1" si="115"/>
        <v>#N/A</v>
      </c>
      <c r="AH387" s="55" t="e">
        <f t="shared" ca="1" si="116"/>
        <v>#N/A</v>
      </c>
      <c r="AI387" s="55" t="e">
        <f t="shared" ca="1" si="110"/>
        <v>#N/A</v>
      </c>
      <c r="AJ387" s="55" t="e">
        <f t="shared" ca="1" si="111"/>
        <v>#N/A</v>
      </c>
      <c r="AK387" s="55" t="e">
        <f t="shared" ca="1" si="112"/>
        <v>#N/A</v>
      </c>
    </row>
    <row r="388" spans="18:37">
      <c r="R388" s="83" t="e">
        <f ca="1"/>
        <v>#N/A</v>
      </c>
      <c r="S388" s="55" t="e">
        <f t="shared" ca="1" si="105"/>
        <v>#N/A</v>
      </c>
      <c r="T388" s="55" t="e">
        <f t="shared" ca="1" si="99"/>
        <v>#N/A</v>
      </c>
      <c r="U388" s="55" t="e">
        <f t="shared" ca="1" si="100"/>
        <v>#N/A</v>
      </c>
      <c r="V388" s="55" t="e">
        <f t="shared" ca="1" si="101"/>
        <v>#N/A</v>
      </c>
      <c r="W388" s="55" t="e">
        <f t="shared" ca="1" si="106"/>
        <v>#N/A</v>
      </c>
      <c r="X388" s="55" t="e">
        <f t="shared" ca="1" si="107"/>
        <v>#N/A</v>
      </c>
      <c r="Y388" s="55" t="e">
        <f t="shared" ca="1" si="108"/>
        <v>#N/A</v>
      </c>
      <c r="Z388" t="e">
        <f t="shared" ca="1" si="102"/>
        <v>#N/A</v>
      </c>
      <c r="AA388" t="e">
        <f t="shared" ca="1" si="109"/>
        <v>#N/A</v>
      </c>
      <c r="AB388" t="e">
        <f t="shared" ca="1" si="103"/>
        <v>#N/A</v>
      </c>
      <c r="AC388" t="e">
        <f t="shared" ca="1" si="104"/>
        <v>#N/A</v>
      </c>
      <c r="AD388" s="83" t="e">
        <f ca="1"/>
        <v>#N/A</v>
      </c>
      <c r="AE388" s="55" t="e">
        <f t="shared" ca="1" si="113"/>
        <v>#N/A</v>
      </c>
      <c r="AF388" s="55" t="e">
        <f t="shared" ca="1" si="114"/>
        <v>#N/A</v>
      </c>
      <c r="AG388" s="55" t="e">
        <f t="shared" ca="1" si="115"/>
        <v>#N/A</v>
      </c>
      <c r="AH388" s="55" t="e">
        <f t="shared" ca="1" si="116"/>
        <v>#N/A</v>
      </c>
      <c r="AI388" s="55" t="e">
        <f t="shared" ca="1" si="110"/>
        <v>#N/A</v>
      </c>
      <c r="AJ388" s="55" t="e">
        <f t="shared" ca="1" si="111"/>
        <v>#N/A</v>
      </c>
      <c r="AK388" s="55" t="e">
        <f t="shared" ca="1" si="112"/>
        <v>#N/A</v>
      </c>
    </row>
    <row r="389" spans="18:37">
      <c r="R389" s="83" t="e">
        <f ca="1"/>
        <v>#N/A</v>
      </c>
      <c r="S389" s="55" t="e">
        <f t="shared" ca="1" si="105"/>
        <v>#N/A</v>
      </c>
      <c r="T389" s="55" t="e">
        <f t="shared" ca="1" si="99"/>
        <v>#N/A</v>
      </c>
      <c r="U389" s="55" t="e">
        <f t="shared" ca="1" si="100"/>
        <v>#N/A</v>
      </c>
      <c r="V389" s="55" t="e">
        <f t="shared" ca="1" si="101"/>
        <v>#N/A</v>
      </c>
      <c r="W389" s="55" t="e">
        <f t="shared" ca="1" si="106"/>
        <v>#N/A</v>
      </c>
      <c r="X389" s="55" t="e">
        <f t="shared" ca="1" si="107"/>
        <v>#N/A</v>
      </c>
      <c r="Y389" s="55" t="e">
        <f t="shared" ca="1" si="108"/>
        <v>#N/A</v>
      </c>
      <c r="Z389" t="e">
        <f t="shared" ca="1" si="102"/>
        <v>#N/A</v>
      </c>
      <c r="AA389" t="e">
        <f t="shared" ca="1" si="109"/>
        <v>#N/A</v>
      </c>
      <c r="AB389" t="e">
        <f t="shared" ca="1" si="103"/>
        <v>#N/A</v>
      </c>
      <c r="AC389" t="e">
        <f t="shared" ca="1" si="104"/>
        <v>#N/A</v>
      </c>
      <c r="AD389" s="83" t="e">
        <f ca="1"/>
        <v>#N/A</v>
      </c>
      <c r="AE389" s="55" t="e">
        <f t="shared" ca="1" si="113"/>
        <v>#N/A</v>
      </c>
      <c r="AF389" s="55" t="e">
        <f t="shared" ca="1" si="114"/>
        <v>#N/A</v>
      </c>
      <c r="AG389" s="55" t="e">
        <f t="shared" ca="1" si="115"/>
        <v>#N/A</v>
      </c>
      <c r="AH389" s="55" t="e">
        <f t="shared" ca="1" si="116"/>
        <v>#N/A</v>
      </c>
      <c r="AI389" s="55" t="e">
        <f t="shared" ca="1" si="110"/>
        <v>#N/A</v>
      </c>
      <c r="AJ389" s="55" t="e">
        <f t="shared" ca="1" si="111"/>
        <v>#N/A</v>
      </c>
      <c r="AK389" s="55" t="e">
        <f t="shared" ca="1" si="112"/>
        <v>#N/A</v>
      </c>
    </row>
    <row r="390" spans="18:37">
      <c r="R390" s="83" t="e">
        <f ca="1"/>
        <v>#N/A</v>
      </c>
      <c r="S390" s="55" t="e">
        <f t="shared" ca="1" si="105"/>
        <v>#N/A</v>
      </c>
      <c r="T390" s="55" t="e">
        <f t="shared" ca="1" si="99"/>
        <v>#N/A</v>
      </c>
      <c r="U390" s="55" t="e">
        <f t="shared" ca="1" si="100"/>
        <v>#N/A</v>
      </c>
      <c r="V390" s="55" t="e">
        <f t="shared" ca="1" si="101"/>
        <v>#N/A</v>
      </c>
      <c r="W390" s="55" t="e">
        <f t="shared" ca="1" si="106"/>
        <v>#N/A</v>
      </c>
      <c r="X390" s="55" t="e">
        <f t="shared" ca="1" si="107"/>
        <v>#N/A</v>
      </c>
      <c r="Y390" s="55" t="e">
        <f t="shared" ca="1" si="108"/>
        <v>#N/A</v>
      </c>
      <c r="Z390" t="e">
        <f t="shared" ca="1" si="102"/>
        <v>#N/A</v>
      </c>
      <c r="AA390" t="e">
        <f t="shared" ca="1" si="109"/>
        <v>#N/A</v>
      </c>
      <c r="AB390" t="e">
        <f t="shared" ca="1" si="103"/>
        <v>#N/A</v>
      </c>
      <c r="AC390" t="e">
        <f t="shared" ca="1" si="104"/>
        <v>#N/A</v>
      </c>
      <c r="AD390" s="83" t="e">
        <f ca="1"/>
        <v>#N/A</v>
      </c>
      <c r="AE390" s="55" t="e">
        <f t="shared" ca="1" si="113"/>
        <v>#N/A</v>
      </c>
      <c r="AF390" s="55" t="e">
        <f t="shared" ca="1" si="114"/>
        <v>#N/A</v>
      </c>
      <c r="AG390" s="55" t="e">
        <f t="shared" ca="1" si="115"/>
        <v>#N/A</v>
      </c>
      <c r="AH390" s="55" t="e">
        <f t="shared" ca="1" si="116"/>
        <v>#N/A</v>
      </c>
      <c r="AI390" s="55" t="e">
        <f t="shared" ca="1" si="110"/>
        <v>#N/A</v>
      </c>
      <c r="AJ390" s="55" t="e">
        <f t="shared" ca="1" si="111"/>
        <v>#N/A</v>
      </c>
      <c r="AK390" s="55" t="e">
        <f t="shared" ca="1" si="112"/>
        <v>#N/A</v>
      </c>
    </row>
    <row r="391" spans="18:37">
      <c r="R391" s="83" t="e">
        <f ca="1"/>
        <v>#N/A</v>
      </c>
      <c r="S391" s="55" t="e">
        <f t="shared" ca="1" si="105"/>
        <v>#N/A</v>
      </c>
      <c r="T391" s="55" t="e">
        <f t="shared" ca="1" si="99"/>
        <v>#N/A</v>
      </c>
      <c r="U391" s="55" t="e">
        <f t="shared" ca="1" si="100"/>
        <v>#N/A</v>
      </c>
      <c r="V391" s="55" t="e">
        <f t="shared" ca="1" si="101"/>
        <v>#N/A</v>
      </c>
      <c r="W391" s="55" t="e">
        <f t="shared" ca="1" si="106"/>
        <v>#N/A</v>
      </c>
      <c r="X391" s="55" t="e">
        <f t="shared" ca="1" si="107"/>
        <v>#N/A</v>
      </c>
      <c r="Y391" s="55" t="e">
        <f t="shared" ca="1" si="108"/>
        <v>#N/A</v>
      </c>
      <c r="Z391" t="e">
        <f t="shared" ca="1" si="102"/>
        <v>#N/A</v>
      </c>
      <c r="AA391" t="e">
        <f t="shared" ca="1" si="109"/>
        <v>#N/A</v>
      </c>
      <c r="AB391" t="e">
        <f t="shared" ca="1" si="103"/>
        <v>#N/A</v>
      </c>
      <c r="AC391" t="e">
        <f t="shared" ca="1" si="104"/>
        <v>#N/A</v>
      </c>
      <c r="AD391" s="83" t="e">
        <f ca="1"/>
        <v>#N/A</v>
      </c>
      <c r="AE391" s="55" t="e">
        <f t="shared" ca="1" si="113"/>
        <v>#N/A</v>
      </c>
      <c r="AF391" s="55" t="e">
        <f t="shared" ca="1" si="114"/>
        <v>#N/A</v>
      </c>
      <c r="AG391" s="55" t="e">
        <f t="shared" ca="1" si="115"/>
        <v>#N/A</v>
      </c>
      <c r="AH391" s="55" t="e">
        <f t="shared" ca="1" si="116"/>
        <v>#N/A</v>
      </c>
      <c r="AI391" s="55" t="e">
        <f t="shared" ca="1" si="110"/>
        <v>#N/A</v>
      </c>
      <c r="AJ391" s="55" t="e">
        <f t="shared" ca="1" si="111"/>
        <v>#N/A</v>
      </c>
      <c r="AK391" s="55" t="e">
        <f t="shared" ca="1" si="112"/>
        <v>#N/A</v>
      </c>
    </row>
    <row r="392" spans="18:37">
      <c r="R392" s="83" t="e">
        <f ca="1"/>
        <v>#N/A</v>
      </c>
      <c r="S392" s="55" t="e">
        <f t="shared" ca="1" si="105"/>
        <v>#N/A</v>
      </c>
      <c r="T392" s="55" t="e">
        <f t="shared" ca="1" si="99"/>
        <v>#N/A</v>
      </c>
      <c r="U392" s="55" t="e">
        <f t="shared" ca="1" si="100"/>
        <v>#N/A</v>
      </c>
      <c r="V392" s="55" t="e">
        <f t="shared" ca="1" si="101"/>
        <v>#N/A</v>
      </c>
      <c r="W392" s="55" t="e">
        <f t="shared" ca="1" si="106"/>
        <v>#N/A</v>
      </c>
      <c r="X392" s="55" t="e">
        <f t="shared" ca="1" si="107"/>
        <v>#N/A</v>
      </c>
      <c r="Y392" s="55" t="e">
        <f t="shared" ca="1" si="108"/>
        <v>#N/A</v>
      </c>
      <c r="Z392" t="e">
        <f t="shared" ca="1" si="102"/>
        <v>#N/A</v>
      </c>
      <c r="AA392" t="e">
        <f t="shared" ca="1" si="109"/>
        <v>#N/A</v>
      </c>
      <c r="AB392" t="e">
        <f t="shared" ca="1" si="103"/>
        <v>#N/A</v>
      </c>
      <c r="AC392" t="e">
        <f t="shared" ca="1" si="104"/>
        <v>#N/A</v>
      </c>
      <c r="AD392" s="83" t="e">
        <f ca="1"/>
        <v>#N/A</v>
      </c>
      <c r="AE392" s="55" t="e">
        <f t="shared" ca="1" si="113"/>
        <v>#N/A</v>
      </c>
      <c r="AF392" s="55" t="e">
        <f t="shared" ca="1" si="114"/>
        <v>#N/A</v>
      </c>
      <c r="AG392" s="55" t="e">
        <f t="shared" ca="1" si="115"/>
        <v>#N/A</v>
      </c>
      <c r="AH392" s="55" t="e">
        <f t="shared" ca="1" si="116"/>
        <v>#N/A</v>
      </c>
      <c r="AI392" s="55" t="e">
        <f t="shared" ca="1" si="110"/>
        <v>#N/A</v>
      </c>
      <c r="AJ392" s="55" t="e">
        <f t="shared" ca="1" si="111"/>
        <v>#N/A</v>
      </c>
      <c r="AK392" s="55" t="e">
        <f t="shared" ca="1" si="112"/>
        <v>#N/A</v>
      </c>
    </row>
    <row r="393" spans="18:37">
      <c r="R393" s="83" t="e">
        <f ca="1"/>
        <v>#N/A</v>
      </c>
      <c r="S393" s="55" t="e">
        <f t="shared" ca="1" si="105"/>
        <v>#N/A</v>
      </c>
      <c r="T393" s="55" t="e">
        <f t="shared" ca="1" si="99"/>
        <v>#N/A</v>
      </c>
      <c r="U393" s="55" t="e">
        <f t="shared" ca="1" si="100"/>
        <v>#N/A</v>
      </c>
      <c r="V393" s="55" t="e">
        <f t="shared" ca="1" si="101"/>
        <v>#N/A</v>
      </c>
      <c r="W393" s="55" t="e">
        <f t="shared" ca="1" si="106"/>
        <v>#N/A</v>
      </c>
      <c r="X393" s="55" t="e">
        <f t="shared" ca="1" si="107"/>
        <v>#N/A</v>
      </c>
      <c r="Y393" s="55" t="e">
        <f t="shared" ca="1" si="108"/>
        <v>#N/A</v>
      </c>
      <c r="Z393" t="e">
        <f t="shared" ca="1" si="102"/>
        <v>#N/A</v>
      </c>
      <c r="AA393" t="e">
        <f t="shared" ca="1" si="109"/>
        <v>#N/A</v>
      </c>
      <c r="AB393" t="e">
        <f t="shared" ca="1" si="103"/>
        <v>#N/A</v>
      </c>
      <c r="AC393" t="e">
        <f t="shared" ca="1" si="104"/>
        <v>#N/A</v>
      </c>
      <c r="AD393" s="83" t="e">
        <f ca="1"/>
        <v>#N/A</v>
      </c>
      <c r="AE393" s="55" t="e">
        <f t="shared" ca="1" si="113"/>
        <v>#N/A</v>
      </c>
      <c r="AF393" s="55" t="e">
        <f t="shared" ca="1" si="114"/>
        <v>#N/A</v>
      </c>
      <c r="AG393" s="55" t="e">
        <f t="shared" ca="1" si="115"/>
        <v>#N/A</v>
      </c>
      <c r="AH393" s="55" t="e">
        <f t="shared" ca="1" si="116"/>
        <v>#N/A</v>
      </c>
      <c r="AI393" s="55" t="e">
        <f t="shared" ca="1" si="110"/>
        <v>#N/A</v>
      </c>
      <c r="AJ393" s="55" t="e">
        <f t="shared" ca="1" si="111"/>
        <v>#N/A</v>
      </c>
      <c r="AK393" s="55" t="e">
        <f t="shared" ca="1" si="112"/>
        <v>#N/A</v>
      </c>
    </row>
    <row r="394" spans="18:37">
      <c r="R394" s="83" t="e">
        <f ca="1"/>
        <v>#N/A</v>
      </c>
      <c r="S394" s="55" t="e">
        <f t="shared" ca="1" si="105"/>
        <v>#N/A</v>
      </c>
      <c r="T394" s="55" t="e">
        <f t="shared" ca="1" si="99"/>
        <v>#N/A</v>
      </c>
      <c r="U394" s="55" t="e">
        <f t="shared" ca="1" si="100"/>
        <v>#N/A</v>
      </c>
      <c r="V394" s="55" t="e">
        <f t="shared" ca="1" si="101"/>
        <v>#N/A</v>
      </c>
      <c r="W394" s="55" t="e">
        <f t="shared" ca="1" si="106"/>
        <v>#N/A</v>
      </c>
      <c r="X394" s="55" t="e">
        <f t="shared" ca="1" si="107"/>
        <v>#N/A</v>
      </c>
      <c r="Y394" s="55" t="e">
        <f t="shared" ca="1" si="108"/>
        <v>#N/A</v>
      </c>
      <c r="Z394" t="e">
        <f t="shared" ca="1" si="102"/>
        <v>#N/A</v>
      </c>
      <c r="AA394" t="e">
        <f t="shared" ca="1" si="109"/>
        <v>#N/A</v>
      </c>
      <c r="AB394" t="e">
        <f t="shared" ca="1" si="103"/>
        <v>#N/A</v>
      </c>
      <c r="AC394" t="e">
        <f t="shared" ca="1" si="104"/>
        <v>#N/A</v>
      </c>
      <c r="AD394" s="83" t="e">
        <f ca="1"/>
        <v>#N/A</v>
      </c>
      <c r="AE394" s="55" t="e">
        <f t="shared" ca="1" si="113"/>
        <v>#N/A</v>
      </c>
      <c r="AF394" s="55" t="e">
        <f t="shared" ca="1" si="114"/>
        <v>#N/A</v>
      </c>
      <c r="AG394" s="55" t="e">
        <f t="shared" ca="1" si="115"/>
        <v>#N/A</v>
      </c>
      <c r="AH394" s="55" t="e">
        <f t="shared" ca="1" si="116"/>
        <v>#N/A</v>
      </c>
      <c r="AI394" s="55" t="e">
        <f t="shared" ca="1" si="110"/>
        <v>#N/A</v>
      </c>
      <c r="AJ394" s="55" t="e">
        <f t="shared" ca="1" si="111"/>
        <v>#N/A</v>
      </c>
      <c r="AK394" s="55" t="e">
        <f t="shared" ca="1" si="112"/>
        <v>#N/A</v>
      </c>
    </row>
    <row r="395" spans="18:37">
      <c r="R395" s="83" t="e">
        <f ca="1"/>
        <v>#N/A</v>
      </c>
      <c r="S395" s="55" t="e">
        <f t="shared" ca="1" si="105"/>
        <v>#N/A</v>
      </c>
      <c r="T395" s="55" t="e">
        <f t="shared" ca="1" si="99"/>
        <v>#N/A</v>
      </c>
      <c r="U395" s="55" t="e">
        <f t="shared" ca="1" si="100"/>
        <v>#N/A</v>
      </c>
      <c r="V395" s="55" t="e">
        <f t="shared" ca="1" si="101"/>
        <v>#N/A</v>
      </c>
      <c r="W395" s="55" t="e">
        <f t="shared" ca="1" si="106"/>
        <v>#N/A</v>
      </c>
      <c r="X395" s="55" t="e">
        <f t="shared" ca="1" si="107"/>
        <v>#N/A</v>
      </c>
      <c r="Y395" s="55" t="e">
        <f t="shared" ca="1" si="108"/>
        <v>#N/A</v>
      </c>
      <c r="Z395" t="e">
        <f t="shared" ca="1" si="102"/>
        <v>#N/A</v>
      </c>
      <c r="AA395" t="e">
        <f t="shared" ca="1" si="109"/>
        <v>#N/A</v>
      </c>
      <c r="AB395" t="e">
        <f t="shared" ca="1" si="103"/>
        <v>#N/A</v>
      </c>
      <c r="AC395" t="e">
        <f t="shared" ca="1" si="104"/>
        <v>#N/A</v>
      </c>
      <c r="AD395" s="83" t="e">
        <f ca="1"/>
        <v>#N/A</v>
      </c>
      <c r="AE395" s="55" t="e">
        <f t="shared" ca="1" si="113"/>
        <v>#N/A</v>
      </c>
      <c r="AF395" s="55" t="e">
        <f t="shared" ca="1" si="114"/>
        <v>#N/A</v>
      </c>
      <c r="AG395" s="55" t="e">
        <f t="shared" ca="1" si="115"/>
        <v>#N/A</v>
      </c>
      <c r="AH395" s="55" t="e">
        <f t="shared" ca="1" si="116"/>
        <v>#N/A</v>
      </c>
      <c r="AI395" s="55" t="e">
        <f t="shared" ca="1" si="110"/>
        <v>#N/A</v>
      </c>
      <c r="AJ395" s="55" t="e">
        <f t="shared" ca="1" si="111"/>
        <v>#N/A</v>
      </c>
      <c r="AK395" s="55" t="e">
        <f t="shared" ca="1" si="112"/>
        <v>#N/A</v>
      </c>
    </row>
    <row r="396" spans="18:37">
      <c r="R396" s="55" t="e">
        <f ca="1"/>
        <v>#N/A</v>
      </c>
      <c r="S396" s="55" t="e">
        <f t="shared" ref="S396:S459" ca="1" si="117">IF(R396&gt;1,R396,"")</f>
        <v>#N/A</v>
      </c>
      <c r="T396" s="55" t="e">
        <f t="shared" ref="T396:T459" ca="1" si="118">VLOOKUP(S396,ModelOutputs,2,FALSE)</f>
        <v>#N/A</v>
      </c>
      <c r="U396" s="55" t="e">
        <f t="shared" ref="U396:U459" ca="1" si="119">VLOOKUP(S396,ModelOutputs,7,FALSE)</f>
        <v>#N/A</v>
      </c>
      <c r="V396" s="55" t="e">
        <f t="shared" ref="V396:V459" ca="1" si="120">VLOOKUP(S396,ModelOutputs,6,FALSE)</f>
        <v>#N/A</v>
      </c>
      <c r="W396" s="55" t="e">
        <f t="shared" ca="1" si="106"/>
        <v>#N/A</v>
      </c>
      <c r="X396" s="55" t="e">
        <f t="shared" ca="1" si="107"/>
        <v>#N/A</v>
      </c>
      <c r="Y396" s="55" t="e">
        <f t="shared" ca="1" si="108"/>
        <v>#N/A</v>
      </c>
      <c r="Z396" t="e">
        <f t="shared" ca="1" si="102"/>
        <v>#N/A</v>
      </c>
      <c r="AA396" t="e">
        <f t="shared" ref="AA396:AA459" ca="1" si="121">VLOOKUP(S396,ModelOutputs,11,FALSE)+AA395</f>
        <v>#N/A</v>
      </c>
      <c r="AB396" t="e">
        <f t="shared" ref="AB396:AB459" ca="1" si="122">VLOOKUP(S396,ModelOutputs,12,FALSE)</f>
        <v>#N/A</v>
      </c>
      <c r="AC396" t="e">
        <f t="shared" ref="AC396:AC459" ca="1" si="123">VLOOKUP(S396,ModelOutputs,13,FALSE)</f>
        <v>#N/A</v>
      </c>
      <c r="AD396" s="83" t="e">
        <f ca="1"/>
        <v>#N/A</v>
      </c>
      <c r="AE396" s="55" t="e">
        <f t="shared" ref="AE396:AE459" ca="1" si="124">IF(AD396&gt;1,AD396,"")</f>
        <v>#N/A</v>
      </c>
      <c r="AF396" s="55" t="e">
        <f t="shared" ref="AF396:AF459" ca="1" si="125">VLOOKUP(AE396,ModelOutputs,2,FALSE)</f>
        <v>#N/A</v>
      </c>
      <c r="AG396" s="55" t="e">
        <f t="shared" ref="AG396:AG459" ca="1" si="126">VLOOKUP(AE396,ModelOutputs,7,FALSE)</f>
        <v>#N/A</v>
      </c>
      <c r="AH396" s="55" t="e">
        <f t="shared" ref="AH396:AH459" ca="1" si="127">VLOOKUP(AE396,ModelOutputs,6,FALSE)</f>
        <v>#N/A</v>
      </c>
      <c r="AI396" s="55" t="e">
        <f t="shared" ca="1" si="110"/>
        <v>#N/A</v>
      </c>
      <c r="AJ396" s="55" t="e">
        <f t="shared" ca="1" si="111"/>
        <v>#N/A</v>
      </c>
      <c r="AK396" s="55" t="e">
        <f t="shared" ca="1" si="112"/>
        <v>#N/A</v>
      </c>
    </row>
    <row r="397" spans="18:37">
      <c r="R397" s="55" t="e">
        <f ca="1"/>
        <v>#N/A</v>
      </c>
      <c r="S397" s="55" t="e">
        <f t="shared" ca="1" si="117"/>
        <v>#N/A</v>
      </c>
      <c r="T397" s="55" t="e">
        <f t="shared" ca="1" si="118"/>
        <v>#N/A</v>
      </c>
      <c r="U397" s="55" t="e">
        <f t="shared" ca="1" si="119"/>
        <v>#N/A</v>
      </c>
      <c r="V397" s="55" t="e">
        <f t="shared" ca="1" si="120"/>
        <v>#N/A</v>
      </c>
      <c r="W397" s="55" t="e">
        <f t="shared" ca="1" si="106"/>
        <v>#N/A</v>
      </c>
      <c r="X397" s="55" t="e">
        <f t="shared" ca="1" si="107"/>
        <v>#N/A</v>
      </c>
      <c r="Y397" s="55" t="e">
        <f t="shared" ca="1" si="108"/>
        <v>#N/A</v>
      </c>
      <c r="Z397" t="e">
        <f t="shared" ca="1" si="102"/>
        <v>#N/A</v>
      </c>
      <c r="AA397" t="e">
        <f t="shared" ca="1" si="121"/>
        <v>#N/A</v>
      </c>
      <c r="AB397" t="e">
        <f t="shared" ca="1" si="122"/>
        <v>#N/A</v>
      </c>
      <c r="AC397" t="e">
        <f t="shared" ca="1" si="123"/>
        <v>#N/A</v>
      </c>
      <c r="AD397" s="83" t="e">
        <f ca="1"/>
        <v>#N/A</v>
      </c>
      <c r="AE397" s="55" t="e">
        <f t="shared" ca="1" si="124"/>
        <v>#N/A</v>
      </c>
      <c r="AF397" s="55" t="e">
        <f t="shared" ca="1" si="125"/>
        <v>#N/A</v>
      </c>
      <c r="AG397" s="55" t="e">
        <f t="shared" ca="1" si="126"/>
        <v>#N/A</v>
      </c>
      <c r="AH397" s="55" t="e">
        <f t="shared" ca="1" si="127"/>
        <v>#N/A</v>
      </c>
      <c r="AI397" s="55" t="e">
        <f t="shared" ca="1" si="110"/>
        <v>#N/A</v>
      </c>
      <c r="AJ397" s="55" t="e">
        <f t="shared" ca="1" si="111"/>
        <v>#N/A</v>
      </c>
      <c r="AK397" s="55" t="e">
        <f t="shared" ca="1" si="112"/>
        <v>#N/A</v>
      </c>
    </row>
    <row r="398" spans="18:37">
      <c r="R398" s="55" t="e">
        <f ca="1"/>
        <v>#N/A</v>
      </c>
      <c r="S398" s="55" t="e">
        <f t="shared" ca="1" si="117"/>
        <v>#N/A</v>
      </c>
      <c r="T398" s="55" t="e">
        <f t="shared" ca="1" si="118"/>
        <v>#N/A</v>
      </c>
      <c r="U398" s="55" t="e">
        <f t="shared" ca="1" si="119"/>
        <v>#N/A</v>
      </c>
      <c r="V398" s="55" t="e">
        <f t="shared" ca="1" si="120"/>
        <v>#N/A</v>
      </c>
      <c r="W398" s="55" t="e">
        <f t="shared" ca="1" si="106"/>
        <v>#N/A</v>
      </c>
      <c r="X398" s="55" t="e">
        <f t="shared" ca="1" si="107"/>
        <v>#N/A</v>
      </c>
      <c r="Y398" s="55" t="e">
        <f t="shared" ca="1" si="108"/>
        <v>#N/A</v>
      </c>
      <c r="Z398" t="e">
        <f t="shared" ca="1" si="102"/>
        <v>#N/A</v>
      </c>
      <c r="AA398" t="e">
        <f t="shared" ca="1" si="121"/>
        <v>#N/A</v>
      </c>
      <c r="AB398" t="e">
        <f t="shared" ca="1" si="122"/>
        <v>#N/A</v>
      </c>
      <c r="AC398" t="e">
        <f t="shared" ca="1" si="123"/>
        <v>#N/A</v>
      </c>
      <c r="AD398" s="83" t="e">
        <f ca="1"/>
        <v>#N/A</v>
      </c>
      <c r="AE398" s="55" t="e">
        <f t="shared" ca="1" si="124"/>
        <v>#N/A</v>
      </c>
      <c r="AF398" s="55" t="e">
        <f t="shared" ca="1" si="125"/>
        <v>#N/A</v>
      </c>
      <c r="AG398" s="55" t="e">
        <f t="shared" ca="1" si="126"/>
        <v>#N/A</v>
      </c>
      <c r="AH398" s="55" t="e">
        <f t="shared" ca="1" si="127"/>
        <v>#N/A</v>
      </c>
      <c r="AI398" s="55" t="e">
        <f t="shared" ca="1" si="110"/>
        <v>#N/A</v>
      </c>
      <c r="AJ398" s="55" t="e">
        <f t="shared" ca="1" si="111"/>
        <v>#N/A</v>
      </c>
      <c r="AK398" s="55" t="e">
        <f t="shared" ca="1" si="112"/>
        <v>#N/A</v>
      </c>
    </row>
    <row r="399" spans="18:37">
      <c r="R399" s="55" t="e">
        <f ca="1"/>
        <v>#N/A</v>
      </c>
      <c r="S399" s="55" t="e">
        <f t="shared" ca="1" si="117"/>
        <v>#N/A</v>
      </c>
      <c r="T399" s="55" t="e">
        <f t="shared" ca="1" si="118"/>
        <v>#N/A</v>
      </c>
      <c r="U399" s="55" t="e">
        <f t="shared" ca="1" si="119"/>
        <v>#N/A</v>
      </c>
      <c r="V399" s="55" t="e">
        <f t="shared" ca="1" si="120"/>
        <v>#N/A</v>
      </c>
      <c r="W399" s="55" t="e">
        <f t="shared" ca="1" si="106"/>
        <v>#N/A</v>
      </c>
      <c r="X399" s="55" t="e">
        <f t="shared" ca="1" si="107"/>
        <v>#N/A</v>
      </c>
      <c r="Y399" s="55" t="e">
        <f t="shared" ca="1" si="108"/>
        <v>#N/A</v>
      </c>
      <c r="Z399" t="e">
        <f t="shared" ca="1" si="102"/>
        <v>#N/A</v>
      </c>
      <c r="AA399" t="e">
        <f t="shared" ca="1" si="121"/>
        <v>#N/A</v>
      </c>
      <c r="AB399" t="e">
        <f t="shared" ca="1" si="122"/>
        <v>#N/A</v>
      </c>
      <c r="AC399" t="e">
        <f t="shared" ca="1" si="123"/>
        <v>#N/A</v>
      </c>
      <c r="AD399" s="83" t="e">
        <f ca="1"/>
        <v>#N/A</v>
      </c>
      <c r="AE399" s="55" t="e">
        <f t="shared" ca="1" si="124"/>
        <v>#N/A</v>
      </c>
      <c r="AF399" s="55" t="e">
        <f t="shared" ca="1" si="125"/>
        <v>#N/A</v>
      </c>
      <c r="AG399" s="55" t="e">
        <f t="shared" ca="1" si="126"/>
        <v>#N/A</v>
      </c>
      <c r="AH399" s="55" t="e">
        <f t="shared" ca="1" si="127"/>
        <v>#N/A</v>
      </c>
      <c r="AI399" s="55" t="e">
        <f t="shared" ca="1" si="110"/>
        <v>#N/A</v>
      </c>
      <c r="AJ399" s="55" t="e">
        <f t="shared" ca="1" si="111"/>
        <v>#N/A</v>
      </c>
      <c r="AK399" s="55" t="e">
        <f t="shared" ca="1" si="112"/>
        <v>#N/A</v>
      </c>
    </row>
    <row r="400" spans="18:37">
      <c r="R400" s="55" t="e">
        <f ca="1"/>
        <v>#N/A</v>
      </c>
      <c r="S400" s="55" t="e">
        <f t="shared" ca="1" si="117"/>
        <v>#N/A</v>
      </c>
      <c r="T400" s="55" t="e">
        <f t="shared" ca="1" si="118"/>
        <v>#N/A</v>
      </c>
      <c r="U400" s="55" t="e">
        <f t="shared" ca="1" si="119"/>
        <v>#N/A</v>
      </c>
      <c r="V400" s="55" t="e">
        <f t="shared" ca="1" si="120"/>
        <v>#N/A</v>
      </c>
      <c r="W400" s="55" t="e">
        <f t="shared" ca="1" si="106"/>
        <v>#N/A</v>
      </c>
      <c r="X400" s="55" t="e">
        <f t="shared" ca="1" si="107"/>
        <v>#N/A</v>
      </c>
      <c r="Y400" s="55" t="e">
        <f t="shared" ca="1" si="108"/>
        <v>#N/A</v>
      </c>
      <c r="Z400" t="e">
        <f t="shared" ca="1" si="102"/>
        <v>#N/A</v>
      </c>
      <c r="AA400" t="e">
        <f t="shared" ca="1" si="121"/>
        <v>#N/A</v>
      </c>
      <c r="AB400" t="e">
        <f t="shared" ca="1" si="122"/>
        <v>#N/A</v>
      </c>
      <c r="AC400" t="e">
        <f t="shared" ca="1" si="123"/>
        <v>#N/A</v>
      </c>
      <c r="AD400" s="83" t="e">
        <f ca="1"/>
        <v>#N/A</v>
      </c>
      <c r="AE400" s="55" t="e">
        <f t="shared" ca="1" si="124"/>
        <v>#N/A</v>
      </c>
      <c r="AF400" s="55" t="e">
        <f t="shared" ca="1" si="125"/>
        <v>#N/A</v>
      </c>
      <c r="AG400" s="55" t="e">
        <f t="shared" ca="1" si="126"/>
        <v>#N/A</v>
      </c>
      <c r="AH400" s="55" t="e">
        <f t="shared" ca="1" si="127"/>
        <v>#N/A</v>
      </c>
      <c r="AI400" s="55" t="e">
        <f t="shared" ca="1" si="110"/>
        <v>#N/A</v>
      </c>
      <c r="AJ400" s="55" t="e">
        <f t="shared" ca="1" si="111"/>
        <v>#N/A</v>
      </c>
      <c r="AK400" s="55" t="e">
        <f t="shared" ca="1" si="112"/>
        <v>#N/A</v>
      </c>
    </row>
    <row r="401" spans="18:37">
      <c r="R401" s="55" t="e">
        <f ca="1"/>
        <v>#N/A</v>
      </c>
      <c r="S401" s="55" t="e">
        <f t="shared" ca="1" si="117"/>
        <v>#N/A</v>
      </c>
      <c r="T401" s="55" t="e">
        <f t="shared" ca="1" si="118"/>
        <v>#N/A</v>
      </c>
      <c r="U401" s="55" t="e">
        <f t="shared" ca="1" si="119"/>
        <v>#N/A</v>
      </c>
      <c r="V401" s="55" t="e">
        <f t="shared" ca="1" si="120"/>
        <v>#N/A</v>
      </c>
      <c r="W401" s="55" t="e">
        <f t="shared" ca="1" si="106"/>
        <v>#N/A</v>
      </c>
      <c r="X401" s="55" t="e">
        <f t="shared" ca="1" si="107"/>
        <v>#N/A</v>
      </c>
      <c r="Y401" s="55" t="e">
        <f t="shared" ca="1" si="108"/>
        <v>#N/A</v>
      </c>
      <c r="Z401" t="e">
        <f t="shared" ca="1" si="102"/>
        <v>#N/A</v>
      </c>
      <c r="AA401" t="e">
        <f t="shared" ca="1" si="121"/>
        <v>#N/A</v>
      </c>
      <c r="AB401" t="e">
        <f t="shared" ca="1" si="122"/>
        <v>#N/A</v>
      </c>
      <c r="AC401" t="e">
        <f t="shared" ca="1" si="123"/>
        <v>#N/A</v>
      </c>
      <c r="AD401" s="83" t="e">
        <f ca="1"/>
        <v>#N/A</v>
      </c>
      <c r="AE401" s="55" t="e">
        <f t="shared" ca="1" si="124"/>
        <v>#N/A</v>
      </c>
      <c r="AF401" s="55" t="e">
        <f t="shared" ca="1" si="125"/>
        <v>#N/A</v>
      </c>
      <c r="AG401" s="55" t="e">
        <f t="shared" ca="1" si="126"/>
        <v>#N/A</v>
      </c>
      <c r="AH401" s="55" t="e">
        <f t="shared" ca="1" si="127"/>
        <v>#N/A</v>
      </c>
      <c r="AI401" s="55" t="e">
        <f t="shared" ca="1" si="110"/>
        <v>#N/A</v>
      </c>
      <c r="AJ401" s="55" t="e">
        <f t="shared" ca="1" si="111"/>
        <v>#N/A</v>
      </c>
      <c r="AK401" s="55" t="e">
        <f t="shared" ca="1" si="112"/>
        <v>#N/A</v>
      </c>
    </row>
    <row r="402" spans="18:37">
      <c r="R402" s="55" t="e">
        <f ca="1"/>
        <v>#N/A</v>
      </c>
      <c r="S402" s="55" t="e">
        <f t="shared" ca="1" si="117"/>
        <v>#N/A</v>
      </c>
      <c r="T402" s="55" t="e">
        <f t="shared" ca="1" si="118"/>
        <v>#N/A</v>
      </c>
      <c r="U402" s="55" t="e">
        <f t="shared" ca="1" si="119"/>
        <v>#N/A</v>
      </c>
      <c r="V402" s="55" t="e">
        <f t="shared" ca="1" si="120"/>
        <v>#N/A</v>
      </c>
      <c r="W402" s="55" t="e">
        <f t="shared" ca="1" si="106"/>
        <v>#N/A</v>
      </c>
      <c r="X402" s="55" t="e">
        <f t="shared" ca="1" si="107"/>
        <v>#N/A</v>
      </c>
      <c r="Y402" s="55" t="e">
        <f t="shared" ca="1" si="108"/>
        <v>#N/A</v>
      </c>
      <c r="Z402" t="e">
        <f t="shared" ref="Z402:Z465" ca="1" si="128">VLOOKUP(S402,ModelOutputs,10,FALSE)*AWC</f>
        <v>#N/A</v>
      </c>
      <c r="AA402" t="e">
        <f t="shared" ca="1" si="121"/>
        <v>#N/A</v>
      </c>
      <c r="AB402" t="e">
        <f t="shared" ca="1" si="122"/>
        <v>#N/A</v>
      </c>
      <c r="AC402" t="e">
        <f t="shared" ca="1" si="123"/>
        <v>#N/A</v>
      </c>
      <c r="AD402" s="83" t="e">
        <f ca="1"/>
        <v>#N/A</v>
      </c>
      <c r="AE402" s="55" t="e">
        <f t="shared" ca="1" si="124"/>
        <v>#N/A</v>
      </c>
      <c r="AF402" s="55" t="e">
        <f t="shared" ca="1" si="125"/>
        <v>#N/A</v>
      </c>
      <c r="AG402" s="55" t="e">
        <f t="shared" ca="1" si="126"/>
        <v>#N/A</v>
      </c>
      <c r="AH402" s="55" t="e">
        <f t="shared" ca="1" si="127"/>
        <v>#N/A</v>
      </c>
      <c r="AI402" s="55" t="e">
        <f t="shared" ca="1" si="110"/>
        <v>#N/A</v>
      </c>
      <c r="AJ402" s="55" t="e">
        <f t="shared" ca="1" si="111"/>
        <v>#N/A</v>
      </c>
      <c r="AK402" s="55" t="e">
        <f t="shared" ca="1" si="112"/>
        <v>#N/A</v>
      </c>
    </row>
    <row r="403" spans="18:37">
      <c r="R403" s="55" t="e">
        <f ca="1"/>
        <v>#N/A</v>
      </c>
      <c r="S403" s="55" t="e">
        <f t="shared" ca="1" si="117"/>
        <v>#N/A</v>
      </c>
      <c r="T403" s="55" t="e">
        <f t="shared" ca="1" si="118"/>
        <v>#N/A</v>
      </c>
      <c r="U403" s="55" t="e">
        <f t="shared" ca="1" si="119"/>
        <v>#N/A</v>
      </c>
      <c r="V403" s="55" t="e">
        <f t="shared" ca="1" si="120"/>
        <v>#N/A</v>
      </c>
      <c r="W403" s="55" t="e">
        <f t="shared" ref="W403:W466" ca="1" si="129">-VLOOKUP(S403,ModelOutputs,9,FALSE)+W402</f>
        <v>#N/A</v>
      </c>
      <c r="X403" s="55" t="e">
        <f t="shared" ref="X403:X466" ca="1" si="130">VLOOKUP(S403,ModelOutputs,5,FALSE)+X402</f>
        <v>#N/A</v>
      </c>
      <c r="Y403" s="55" t="e">
        <f t="shared" ref="Y403:Y466" ca="1" si="131">VLOOKUP(S403,ModelOutputs,4,FALSE)+Y402</f>
        <v>#N/A</v>
      </c>
      <c r="Z403" t="e">
        <f t="shared" ca="1" si="128"/>
        <v>#N/A</v>
      </c>
      <c r="AA403" t="e">
        <f t="shared" ca="1" si="121"/>
        <v>#N/A</v>
      </c>
      <c r="AB403" t="e">
        <f t="shared" ca="1" si="122"/>
        <v>#N/A</v>
      </c>
      <c r="AC403" t="e">
        <f t="shared" ca="1" si="123"/>
        <v>#N/A</v>
      </c>
      <c r="AD403" s="83" t="e">
        <f ca="1"/>
        <v>#N/A</v>
      </c>
      <c r="AE403" s="55" t="e">
        <f t="shared" ca="1" si="124"/>
        <v>#N/A</v>
      </c>
      <c r="AF403" s="55" t="e">
        <f t="shared" ca="1" si="125"/>
        <v>#N/A</v>
      </c>
      <c r="AG403" s="55" t="e">
        <f t="shared" ca="1" si="126"/>
        <v>#N/A</v>
      </c>
      <c r="AH403" s="55" t="e">
        <f t="shared" ca="1" si="127"/>
        <v>#N/A</v>
      </c>
      <c r="AI403" s="55" t="e">
        <f t="shared" ref="AI403:AI466" ca="1" si="132">-VLOOKUP(AE403,ModelOutputs,9,FALSE)+AI402</f>
        <v>#N/A</v>
      </c>
      <c r="AJ403" s="55" t="e">
        <f t="shared" ref="AJ403:AJ466" ca="1" si="133">VLOOKUP(AE403,ModelOutputs,5,FALSE)+AJ402</f>
        <v>#N/A</v>
      </c>
      <c r="AK403" s="55" t="e">
        <f t="shared" ref="AK403:AK466" ca="1" si="134">VLOOKUP(AE403,ModelOutputs,4,FALSE)+AK402</f>
        <v>#N/A</v>
      </c>
    </row>
    <row r="404" spans="18:37">
      <c r="R404" s="55" t="e">
        <f ca="1"/>
        <v>#N/A</v>
      </c>
      <c r="S404" s="55" t="e">
        <f t="shared" ca="1" si="117"/>
        <v>#N/A</v>
      </c>
      <c r="T404" s="55" t="e">
        <f t="shared" ca="1" si="118"/>
        <v>#N/A</v>
      </c>
      <c r="U404" s="55" t="e">
        <f t="shared" ca="1" si="119"/>
        <v>#N/A</v>
      </c>
      <c r="V404" s="55" t="e">
        <f t="shared" ca="1" si="120"/>
        <v>#N/A</v>
      </c>
      <c r="W404" s="55" t="e">
        <f t="shared" ca="1" si="129"/>
        <v>#N/A</v>
      </c>
      <c r="X404" s="55" t="e">
        <f t="shared" ca="1" si="130"/>
        <v>#N/A</v>
      </c>
      <c r="Y404" s="55" t="e">
        <f t="shared" ca="1" si="131"/>
        <v>#N/A</v>
      </c>
      <c r="Z404" t="e">
        <f t="shared" ca="1" si="128"/>
        <v>#N/A</v>
      </c>
      <c r="AA404" t="e">
        <f t="shared" ca="1" si="121"/>
        <v>#N/A</v>
      </c>
      <c r="AB404" t="e">
        <f t="shared" ca="1" si="122"/>
        <v>#N/A</v>
      </c>
      <c r="AC404" t="e">
        <f t="shared" ca="1" si="123"/>
        <v>#N/A</v>
      </c>
      <c r="AD404" s="83" t="e">
        <f ca="1"/>
        <v>#N/A</v>
      </c>
      <c r="AE404" s="55" t="e">
        <f t="shared" ca="1" si="124"/>
        <v>#N/A</v>
      </c>
      <c r="AF404" s="55" t="e">
        <f t="shared" ca="1" si="125"/>
        <v>#N/A</v>
      </c>
      <c r="AG404" s="55" t="e">
        <f t="shared" ca="1" si="126"/>
        <v>#N/A</v>
      </c>
      <c r="AH404" s="55" t="e">
        <f t="shared" ca="1" si="127"/>
        <v>#N/A</v>
      </c>
      <c r="AI404" s="55" t="e">
        <f t="shared" ca="1" si="132"/>
        <v>#N/A</v>
      </c>
      <c r="AJ404" s="55" t="e">
        <f t="shared" ca="1" si="133"/>
        <v>#N/A</v>
      </c>
      <c r="AK404" s="55" t="e">
        <f t="shared" ca="1" si="134"/>
        <v>#N/A</v>
      </c>
    </row>
    <row r="405" spans="18:37">
      <c r="R405" s="55" t="e">
        <f ca="1"/>
        <v>#N/A</v>
      </c>
      <c r="S405" s="55" t="e">
        <f t="shared" ca="1" si="117"/>
        <v>#N/A</v>
      </c>
      <c r="T405" s="55" t="e">
        <f t="shared" ca="1" si="118"/>
        <v>#N/A</v>
      </c>
      <c r="U405" s="55" t="e">
        <f t="shared" ca="1" si="119"/>
        <v>#N/A</v>
      </c>
      <c r="V405" s="55" t="e">
        <f t="shared" ca="1" si="120"/>
        <v>#N/A</v>
      </c>
      <c r="W405" s="55" t="e">
        <f t="shared" ca="1" si="129"/>
        <v>#N/A</v>
      </c>
      <c r="X405" s="55" t="e">
        <f t="shared" ca="1" si="130"/>
        <v>#N/A</v>
      </c>
      <c r="Y405" s="55" t="e">
        <f t="shared" ca="1" si="131"/>
        <v>#N/A</v>
      </c>
      <c r="Z405" t="e">
        <f t="shared" ca="1" si="128"/>
        <v>#N/A</v>
      </c>
      <c r="AA405" t="e">
        <f t="shared" ca="1" si="121"/>
        <v>#N/A</v>
      </c>
      <c r="AB405" t="e">
        <f t="shared" ca="1" si="122"/>
        <v>#N/A</v>
      </c>
      <c r="AC405" t="e">
        <f t="shared" ca="1" si="123"/>
        <v>#N/A</v>
      </c>
      <c r="AD405" s="83" t="e">
        <f ca="1"/>
        <v>#N/A</v>
      </c>
      <c r="AE405" s="55" t="e">
        <f t="shared" ca="1" si="124"/>
        <v>#N/A</v>
      </c>
      <c r="AF405" s="55" t="e">
        <f t="shared" ca="1" si="125"/>
        <v>#N/A</v>
      </c>
      <c r="AG405" s="55" t="e">
        <f t="shared" ca="1" si="126"/>
        <v>#N/A</v>
      </c>
      <c r="AH405" s="55" t="e">
        <f t="shared" ca="1" si="127"/>
        <v>#N/A</v>
      </c>
      <c r="AI405" s="55" t="e">
        <f t="shared" ca="1" si="132"/>
        <v>#N/A</v>
      </c>
      <c r="AJ405" s="55" t="e">
        <f t="shared" ca="1" si="133"/>
        <v>#N/A</v>
      </c>
      <c r="AK405" s="55" t="e">
        <f t="shared" ca="1" si="134"/>
        <v>#N/A</v>
      </c>
    </row>
    <row r="406" spans="18:37">
      <c r="R406" s="55" t="e">
        <f ca="1"/>
        <v>#N/A</v>
      </c>
      <c r="S406" s="55" t="e">
        <f t="shared" ca="1" si="117"/>
        <v>#N/A</v>
      </c>
      <c r="T406" s="55" t="e">
        <f t="shared" ca="1" si="118"/>
        <v>#N/A</v>
      </c>
      <c r="U406" s="55" t="e">
        <f t="shared" ca="1" si="119"/>
        <v>#N/A</v>
      </c>
      <c r="V406" s="55" t="e">
        <f t="shared" ca="1" si="120"/>
        <v>#N/A</v>
      </c>
      <c r="W406" s="55" t="e">
        <f t="shared" ca="1" si="129"/>
        <v>#N/A</v>
      </c>
      <c r="X406" s="55" t="e">
        <f t="shared" ca="1" si="130"/>
        <v>#N/A</v>
      </c>
      <c r="Y406" s="55" t="e">
        <f t="shared" ca="1" si="131"/>
        <v>#N/A</v>
      </c>
      <c r="Z406" t="e">
        <f t="shared" ca="1" si="128"/>
        <v>#N/A</v>
      </c>
      <c r="AA406" t="e">
        <f t="shared" ca="1" si="121"/>
        <v>#N/A</v>
      </c>
      <c r="AB406" t="e">
        <f t="shared" ca="1" si="122"/>
        <v>#N/A</v>
      </c>
      <c r="AC406" t="e">
        <f t="shared" ca="1" si="123"/>
        <v>#N/A</v>
      </c>
      <c r="AD406" s="83" t="e">
        <f ca="1"/>
        <v>#N/A</v>
      </c>
      <c r="AE406" s="55" t="e">
        <f t="shared" ca="1" si="124"/>
        <v>#N/A</v>
      </c>
      <c r="AF406" s="55" t="e">
        <f t="shared" ca="1" si="125"/>
        <v>#N/A</v>
      </c>
      <c r="AG406" s="55" t="e">
        <f t="shared" ca="1" si="126"/>
        <v>#N/A</v>
      </c>
      <c r="AH406" s="55" t="e">
        <f t="shared" ca="1" si="127"/>
        <v>#N/A</v>
      </c>
      <c r="AI406" s="55" t="e">
        <f t="shared" ca="1" si="132"/>
        <v>#N/A</v>
      </c>
      <c r="AJ406" s="55" t="e">
        <f t="shared" ca="1" si="133"/>
        <v>#N/A</v>
      </c>
      <c r="AK406" s="55" t="e">
        <f t="shared" ca="1" si="134"/>
        <v>#N/A</v>
      </c>
    </row>
    <row r="407" spans="18:37">
      <c r="R407" s="55" t="e">
        <f ca="1"/>
        <v>#N/A</v>
      </c>
      <c r="S407" s="55" t="e">
        <f t="shared" ca="1" si="117"/>
        <v>#N/A</v>
      </c>
      <c r="T407" s="55" t="e">
        <f t="shared" ca="1" si="118"/>
        <v>#N/A</v>
      </c>
      <c r="U407" s="55" t="e">
        <f t="shared" ca="1" si="119"/>
        <v>#N/A</v>
      </c>
      <c r="V407" s="55" t="e">
        <f t="shared" ca="1" si="120"/>
        <v>#N/A</v>
      </c>
      <c r="W407" s="55" t="e">
        <f t="shared" ca="1" si="129"/>
        <v>#N/A</v>
      </c>
      <c r="X407" s="55" t="e">
        <f t="shared" ca="1" si="130"/>
        <v>#N/A</v>
      </c>
      <c r="Y407" s="55" t="e">
        <f t="shared" ca="1" si="131"/>
        <v>#N/A</v>
      </c>
      <c r="Z407" t="e">
        <f t="shared" ca="1" si="128"/>
        <v>#N/A</v>
      </c>
      <c r="AA407" t="e">
        <f t="shared" ca="1" si="121"/>
        <v>#N/A</v>
      </c>
      <c r="AB407" t="e">
        <f t="shared" ca="1" si="122"/>
        <v>#N/A</v>
      </c>
      <c r="AC407" t="e">
        <f t="shared" ca="1" si="123"/>
        <v>#N/A</v>
      </c>
      <c r="AD407" s="83" t="e">
        <f ca="1"/>
        <v>#N/A</v>
      </c>
      <c r="AE407" s="55" t="e">
        <f t="shared" ca="1" si="124"/>
        <v>#N/A</v>
      </c>
      <c r="AF407" s="55" t="e">
        <f t="shared" ca="1" si="125"/>
        <v>#N/A</v>
      </c>
      <c r="AG407" s="55" t="e">
        <f t="shared" ca="1" si="126"/>
        <v>#N/A</v>
      </c>
      <c r="AH407" s="55" t="e">
        <f t="shared" ca="1" si="127"/>
        <v>#N/A</v>
      </c>
      <c r="AI407" s="55" t="e">
        <f t="shared" ca="1" si="132"/>
        <v>#N/A</v>
      </c>
      <c r="AJ407" s="55" t="e">
        <f t="shared" ca="1" si="133"/>
        <v>#N/A</v>
      </c>
      <c r="AK407" s="55" t="e">
        <f t="shared" ca="1" si="134"/>
        <v>#N/A</v>
      </c>
    </row>
    <row r="408" spans="18:37">
      <c r="R408" s="55" t="e">
        <f ca="1"/>
        <v>#N/A</v>
      </c>
      <c r="S408" s="55" t="e">
        <f t="shared" ca="1" si="117"/>
        <v>#N/A</v>
      </c>
      <c r="T408" s="55" t="e">
        <f t="shared" ca="1" si="118"/>
        <v>#N/A</v>
      </c>
      <c r="U408" s="55" t="e">
        <f t="shared" ca="1" si="119"/>
        <v>#N/A</v>
      </c>
      <c r="V408" s="55" t="e">
        <f t="shared" ca="1" si="120"/>
        <v>#N/A</v>
      </c>
      <c r="W408" s="55" t="e">
        <f t="shared" ca="1" si="129"/>
        <v>#N/A</v>
      </c>
      <c r="X408" s="55" t="e">
        <f t="shared" ca="1" si="130"/>
        <v>#N/A</v>
      </c>
      <c r="Y408" s="55" t="e">
        <f t="shared" ca="1" si="131"/>
        <v>#N/A</v>
      </c>
      <c r="Z408" t="e">
        <f t="shared" ca="1" si="128"/>
        <v>#N/A</v>
      </c>
      <c r="AA408" t="e">
        <f t="shared" ca="1" si="121"/>
        <v>#N/A</v>
      </c>
      <c r="AB408" t="e">
        <f t="shared" ca="1" si="122"/>
        <v>#N/A</v>
      </c>
      <c r="AC408" t="e">
        <f t="shared" ca="1" si="123"/>
        <v>#N/A</v>
      </c>
      <c r="AD408" s="83" t="e">
        <f ca="1"/>
        <v>#N/A</v>
      </c>
      <c r="AE408" s="55" t="e">
        <f t="shared" ca="1" si="124"/>
        <v>#N/A</v>
      </c>
      <c r="AF408" s="55" t="e">
        <f t="shared" ca="1" si="125"/>
        <v>#N/A</v>
      </c>
      <c r="AG408" s="55" t="e">
        <f t="shared" ca="1" si="126"/>
        <v>#N/A</v>
      </c>
      <c r="AH408" s="55" t="e">
        <f t="shared" ca="1" si="127"/>
        <v>#N/A</v>
      </c>
      <c r="AI408" s="55" t="e">
        <f t="shared" ca="1" si="132"/>
        <v>#N/A</v>
      </c>
      <c r="AJ408" s="55" t="e">
        <f t="shared" ca="1" si="133"/>
        <v>#N/A</v>
      </c>
      <c r="AK408" s="55" t="e">
        <f t="shared" ca="1" si="134"/>
        <v>#N/A</v>
      </c>
    </row>
    <row r="409" spans="18:37">
      <c r="R409" s="55" t="e">
        <f ca="1"/>
        <v>#N/A</v>
      </c>
      <c r="S409" s="55" t="e">
        <f t="shared" ca="1" si="117"/>
        <v>#N/A</v>
      </c>
      <c r="T409" s="55" t="e">
        <f t="shared" ca="1" si="118"/>
        <v>#N/A</v>
      </c>
      <c r="U409" s="55" t="e">
        <f t="shared" ca="1" si="119"/>
        <v>#N/A</v>
      </c>
      <c r="V409" s="55" t="e">
        <f t="shared" ca="1" si="120"/>
        <v>#N/A</v>
      </c>
      <c r="W409" s="55" t="e">
        <f t="shared" ca="1" si="129"/>
        <v>#N/A</v>
      </c>
      <c r="X409" s="55" t="e">
        <f t="shared" ca="1" si="130"/>
        <v>#N/A</v>
      </c>
      <c r="Y409" s="55" t="e">
        <f t="shared" ca="1" si="131"/>
        <v>#N/A</v>
      </c>
      <c r="Z409" t="e">
        <f t="shared" ca="1" si="128"/>
        <v>#N/A</v>
      </c>
      <c r="AA409" t="e">
        <f t="shared" ca="1" si="121"/>
        <v>#N/A</v>
      </c>
      <c r="AB409" t="e">
        <f t="shared" ca="1" si="122"/>
        <v>#N/A</v>
      </c>
      <c r="AC409" t="e">
        <f t="shared" ca="1" si="123"/>
        <v>#N/A</v>
      </c>
      <c r="AD409" s="83" t="e">
        <f ca="1"/>
        <v>#N/A</v>
      </c>
      <c r="AE409" s="55" t="e">
        <f t="shared" ca="1" si="124"/>
        <v>#N/A</v>
      </c>
      <c r="AF409" s="55" t="e">
        <f t="shared" ca="1" si="125"/>
        <v>#N/A</v>
      </c>
      <c r="AG409" s="55" t="e">
        <f t="shared" ca="1" si="126"/>
        <v>#N/A</v>
      </c>
      <c r="AH409" s="55" t="e">
        <f t="shared" ca="1" si="127"/>
        <v>#N/A</v>
      </c>
      <c r="AI409" s="55" t="e">
        <f t="shared" ca="1" si="132"/>
        <v>#N/A</v>
      </c>
      <c r="AJ409" s="55" t="e">
        <f t="shared" ca="1" si="133"/>
        <v>#N/A</v>
      </c>
      <c r="AK409" s="55" t="e">
        <f t="shared" ca="1" si="134"/>
        <v>#N/A</v>
      </c>
    </row>
    <row r="410" spans="18:37">
      <c r="R410" s="55" t="e">
        <f ca="1"/>
        <v>#N/A</v>
      </c>
      <c r="S410" s="55" t="e">
        <f t="shared" ca="1" si="117"/>
        <v>#N/A</v>
      </c>
      <c r="T410" s="55" t="e">
        <f t="shared" ca="1" si="118"/>
        <v>#N/A</v>
      </c>
      <c r="U410" s="55" t="e">
        <f t="shared" ca="1" si="119"/>
        <v>#N/A</v>
      </c>
      <c r="V410" s="55" t="e">
        <f t="shared" ca="1" si="120"/>
        <v>#N/A</v>
      </c>
      <c r="W410" s="55" t="e">
        <f t="shared" ca="1" si="129"/>
        <v>#N/A</v>
      </c>
      <c r="X410" s="55" t="e">
        <f t="shared" ca="1" si="130"/>
        <v>#N/A</v>
      </c>
      <c r="Y410" s="55" t="e">
        <f t="shared" ca="1" si="131"/>
        <v>#N/A</v>
      </c>
      <c r="Z410" t="e">
        <f t="shared" ca="1" si="128"/>
        <v>#N/A</v>
      </c>
      <c r="AA410" t="e">
        <f t="shared" ca="1" si="121"/>
        <v>#N/A</v>
      </c>
      <c r="AB410" t="e">
        <f t="shared" ca="1" si="122"/>
        <v>#N/A</v>
      </c>
      <c r="AC410" t="e">
        <f t="shared" ca="1" si="123"/>
        <v>#N/A</v>
      </c>
      <c r="AD410" s="83" t="e">
        <f ca="1"/>
        <v>#N/A</v>
      </c>
      <c r="AE410" s="55" t="e">
        <f t="shared" ca="1" si="124"/>
        <v>#N/A</v>
      </c>
      <c r="AF410" s="55" t="e">
        <f t="shared" ca="1" si="125"/>
        <v>#N/A</v>
      </c>
      <c r="AG410" s="55" t="e">
        <f t="shared" ca="1" si="126"/>
        <v>#N/A</v>
      </c>
      <c r="AH410" s="55" t="e">
        <f t="shared" ca="1" si="127"/>
        <v>#N/A</v>
      </c>
      <c r="AI410" s="55" t="e">
        <f t="shared" ca="1" si="132"/>
        <v>#N/A</v>
      </c>
      <c r="AJ410" s="55" t="e">
        <f t="shared" ca="1" si="133"/>
        <v>#N/A</v>
      </c>
      <c r="AK410" s="55" t="e">
        <f t="shared" ca="1" si="134"/>
        <v>#N/A</v>
      </c>
    </row>
    <row r="411" spans="18:37">
      <c r="R411" s="55" t="e">
        <f ca="1"/>
        <v>#N/A</v>
      </c>
      <c r="S411" s="55" t="e">
        <f t="shared" ca="1" si="117"/>
        <v>#N/A</v>
      </c>
      <c r="T411" s="55" t="e">
        <f t="shared" ca="1" si="118"/>
        <v>#N/A</v>
      </c>
      <c r="U411" s="55" t="e">
        <f t="shared" ca="1" si="119"/>
        <v>#N/A</v>
      </c>
      <c r="V411" s="55" t="e">
        <f t="shared" ca="1" si="120"/>
        <v>#N/A</v>
      </c>
      <c r="W411" s="55" t="e">
        <f t="shared" ca="1" si="129"/>
        <v>#N/A</v>
      </c>
      <c r="X411" s="55" t="e">
        <f t="shared" ca="1" si="130"/>
        <v>#N/A</v>
      </c>
      <c r="Y411" s="55" t="e">
        <f t="shared" ca="1" si="131"/>
        <v>#N/A</v>
      </c>
      <c r="Z411" t="e">
        <f t="shared" ca="1" si="128"/>
        <v>#N/A</v>
      </c>
      <c r="AA411" t="e">
        <f t="shared" ca="1" si="121"/>
        <v>#N/A</v>
      </c>
      <c r="AB411" t="e">
        <f t="shared" ca="1" si="122"/>
        <v>#N/A</v>
      </c>
      <c r="AC411" t="e">
        <f t="shared" ca="1" si="123"/>
        <v>#N/A</v>
      </c>
      <c r="AD411" s="83" t="e">
        <f ca="1"/>
        <v>#N/A</v>
      </c>
      <c r="AE411" s="55" t="e">
        <f t="shared" ca="1" si="124"/>
        <v>#N/A</v>
      </c>
      <c r="AF411" s="55" t="e">
        <f t="shared" ca="1" si="125"/>
        <v>#N/A</v>
      </c>
      <c r="AG411" s="55" t="e">
        <f t="shared" ca="1" si="126"/>
        <v>#N/A</v>
      </c>
      <c r="AH411" s="55" t="e">
        <f t="shared" ca="1" si="127"/>
        <v>#N/A</v>
      </c>
      <c r="AI411" s="55" t="e">
        <f t="shared" ca="1" si="132"/>
        <v>#N/A</v>
      </c>
      <c r="AJ411" s="55" t="e">
        <f t="shared" ca="1" si="133"/>
        <v>#N/A</v>
      </c>
      <c r="AK411" s="55" t="e">
        <f t="shared" ca="1" si="134"/>
        <v>#N/A</v>
      </c>
    </row>
    <row r="412" spans="18:37">
      <c r="R412" s="55" t="e">
        <f ca="1"/>
        <v>#N/A</v>
      </c>
      <c r="S412" s="55" t="e">
        <f t="shared" ca="1" si="117"/>
        <v>#N/A</v>
      </c>
      <c r="T412" s="55" t="e">
        <f t="shared" ca="1" si="118"/>
        <v>#N/A</v>
      </c>
      <c r="U412" s="55" t="e">
        <f t="shared" ca="1" si="119"/>
        <v>#N/A</v>
      </c>
      <c r="V412" s="55" t="e">
        <f t="shared" ca="1" si="120"/>
        <v>#N/A</v>
      </c>
      <c r="W412" s="55" t="e">
        <f t="shared" ca="1" si="129"/>
        <v>#N/A</v>
      </c>
      <c r="X412" s="55" t="e">
        <f t="shared" ca="1" si="130"/>
        <v>#N/A</v>
      </c>
      <c r="Y412" s="55" t="e">
        <f t="shared" ca="1" si="131"/>
        <v>#N/A</v>
      </c>
      <c r="Z412" t="e">
        <f t="shared" ca="1" si="128"/>
        <v>#N/A</v>
      </c>
      <c r="AA412" t="e">
        <f t="shared" ca="1" si="121"/>
        <v>#N/A</v>
      </c>
      <c r="AB412" t="e">
        <f t="shared" ca="1" si="122"/>
        <v>#N/A</v>
      </c>
      <c r="AC412" t="e">
        <f t="shared" ca="1" si="123"/>
        <v>#N/A</v>
      </c>
      <c r="AD412" s="83" t="e">
        <f ca="1"/>
        <v>#N/A</v>
      </c>
      <c r="AE412" s="55" t="e">
        <f t="shared" ca="1" si="124"/>
        <v>#N/A</v>
      </c>
      <c r="AF412" s="55" t="e">
        <f t="shared" ca="1" si="125"/>
        <v>#N/A</v>
      </c>
      <c r="AG412" s="55" t="e">
        <f t="shared" ca="1" si="126"/>
        <v>#N/A</v>
      </c>
      <c r="AH412" s="55" t="e">
        <f t="shared" ca="1" si="127"/>
        <v>#N/A</v>
      </c>
      <c r="AI412" s="55" t="e">
        <f t="shared" ca="1" si="132"/>
        <v>#N/A</v>
      </c>
      <c r="AJ412" s="55" t="e">
        <f t="shared" ca="1" si="133"/>
        <v>#N/A</v>
      </c>
      <c r="AK412" s="55" t="e">
        <f t="shared" ca="1" si="134"/>
        <v>#N/A</v>
      </c>
    </row>
    <row r="413" spans="18:37">
      <c r="R413" s="55" t="e">
        <f ca="1"/>
        <v>#N/A</v>
      </c>
      <c r="S413" s="55" t="e">
        <f t="shared" ca="1" si="117"/>
        <v>#N/A</v>
      </c>
      <c r="T413" s="55" t="e">
        <f t="shared" ca="1" si="118"/>
        <v>#N/A</v>
      </c>
      <c r="U413" s="55" t="e">
        <f t="shared" ca="1" si="119"/>
        <v>#N/A</v>
      </c>
      <c r="V413" s="55" t="e">
        <f t="shared" ca="1" si="120"/>
        <v>#N/A</v>
      </c>
      <c r="W413" s="55" t="e">
        <f t="shared" ca="1" si="129"/>
        <v>#N/A</v>
      </c>
      <c r="X413" s="55" t="e">
        <f t="shared" ca="1" si="130"/>
        <v>#N/A</v>
      </c>
      <c r="Y413" s="55" t="e">
        <f t="shared" ca="1" si="131"/>
        <v>#N/A</v>
      </c>
      <c r="Z413" t="e">
        <f t="shared" ca="1" si="128"/>
        <v>#N/A</v>
      </c>
      <c r="AA413" t="e">
        <f t="shared" ca="1" si="121"/>
        <v>#N/A</v>
      </c>
      <c r="AB413" t="e">
        <f t="shared" ca="1" si="122"/>
        <v>#N/A</v>
      </c>
      <c r="AC413" t="e">
        <f t="shared" ca="1" si="123"/>
        <v>#N/A</v>
      </c>
      <c r="AD413" s="83" t="e">
        <f ca="1"/>
        <v>#N/A</v>
      </c>
      <c r="AE413" s="55" t="e">
        <f t="shared" ca="1" si="124"/>
        <v>#N/A</v>
      </c>
      <c r="AF413" s="55" t="e">
        <f t="shared" ca="1" si="125"/>
        <v>#N/A</v>
      </c>
      <c r="AG413" s="55" t="e">
        <f t="shared" ca="1" si="126"/>
        <v>#N/A</v>
      </c>
      <c r="AH413" s="55" t="e">
        <f t="shared" ca="1" si="127"/>
        <v>#N/A</v>
      </c>
      <c r="AI413" s="55" t="e">
        <f t="shared" ca="1" si="132"/>
        <v>#N/A</v>
      </c>
      <c r="AJ413" s="55" t="e">
        <f t="shared" ca="1" si="133"/>
        <v>#N/A</v>
      </c>
      <c r="AK413" s="55" t="e">
        <f t="shared" ca="1" si="134"/>
        <v>#N/A</v>
      </c>
    </row>
    <row r="414" spans="18:37">
      <c r="R414" s="55" t="e">
        <f ca="1"/>
        <v>#N/A</v>
      </c>
      <c r="S414" s="55" t="e">
        <f t="shared" ca="1" si="117"/>
        <v>#N/A</v>
      </c>
      <c r="T414" s="55" t="e">
        <f t="shared" ca="1" si="118"/>
        <v>#N/A</v>
      </c>
      <c r="U414" s="55" t="e">
        <f t="shared" ca="1" si="119"/>
        <v>#N/A</v>
      </c>
      <c r="V414" s="55" t="e">
        <f t="shared" ca="1" si="120"/>
        <v>#N/A</v>
      </c>
      <c r="W414" s="55" t="e">
        <f t="shared" ca="1" si="129"/>
        <v>#N/A</v>
      </c>
      <c r="X414" s="55" t="e">
        <f t="shared" ca="1" si="130"/>
        <v>#N/A</v>
      </c>
      <c r="Y414" s="55" t="e">
        <f t="shared" ca="1" si="131"/>
        <v>#N/A</v>
      </c>
      <c r="Z414" t="e">
        <f t="shared" ca="1" si="128"/>
        <v>#N/A</v>
      </c>
      <c r="AA414" t="e">
        <f t="shared" ca="1" si="121"/>
        <v>#N/A</v>
      </c>
      <c r="AB414" t="e">
        <f t="shared" ca="1" si="122"/>
        <v>#N/A</v>
      </c>
      <c r="AC414" t="e">
        <f t="shared" ca="1" si="123"/>
        <v>#N/A</v>
      </c>
      <c r="AD414" s="83" t="e">
        <f ca="1"/>
        <v>#N/A</v>
      </c>
      <c r="AE414" s="55" t="e">
        <f t="shared" ca="1" si="124"/>
        <v>#N/A</v>
      </c>
      <c r="AF414" s="55" t="e">
        <f t="shared" ca="1" si="125"/>
        <v>#N/A</v>
      </c>
      <c r="AG414" s="55" t="e">
        <f t="shared" ca="1" si="126"/>
        <v>#N/A</v>
      </c>
      <c r="AH414" s="55" t="e">
        <f t="shared" ca="1" si="127"/>
        <v>#N/A</v>
      </c>
      <c r="AI414" s="55" t="e">
        <f t="shared" ca="1" si="132"/>
        <v>#N/A</v>
      </c>
      <c r="AJ414" s="55" t="e">
        <f t="shared" ca="1" si="133"/>
        <v>#N/A</v>
      </c>
      <c r="AK414" s="55" t="e">
        <f t="shared" ca="1" si="134"/>
        <v>#N/A</v>
      </c>
    </row>
    <row r="415" spans="18:37">
      <c r="R415" s="55" t="e">
        <f ca="1"/>
        <v>#N/A</v>
      </c>
      <c r="S415" s="55" t="e">
        <f t="shared" ca="1" si="117"/>
        <v>#N/A</v>
      </c>
      <c r="T415" s="55" t="e">
        <f t="shared" ca="1" si="118"/>
        <v>#N/A</v>
      </c>
      <c r="U415" s="55" t="e">
        <f t="shared" ca="1" si="119"/>
        <v>#N/A</v>
      </c>
      <c r="V415" s="55" t="e">
        <f t="shared" ca="1" si="120"/>
        <v>#N/A</v>
      </c>
      <c r="W415" s="55" t="e">
        <f t="shared" ca="1" si="129"/>
        <v>#N/A</v>
      </c>
      <c r="X415" s="55" t="e">
        <f t="shared" ca="1" si="130"/>
        <v>#N/A</v>
      </c>
      <c r="Y415" s="55" t="e">
        <f t="shared" ca="1" si="131"/>
        <v>#N/A</v>
      </c>
      <c r="Z415" t="e">
        <f t="shared" ca="1" si="128"/>
        <v>#N/A</v>
      </c>
      <c r="AA415" t="e">
        <f t="shared" ca="1" si="121"/>
        <v>#N/A</v>
      </c>
      <c r="AB415" t="e">
        <f t="shared" ca="1" si="122"/>
        <v>#N/A</v>
      </c>
      <c r="AC415" t="e">
        <f t="shared" ca="1" si="123"/>
        <v>#N/A</v>
      </c>
      <c r="AD415" s="83" t="e">
        <f ca="1"/>
        <v>#N/A</v>
      </c>
      <c r="AE415" s="55" t="e">
        <f t="shared" ca="1" si="124"/>
        <v>#N/A</v>
      </c>
      <c r="AF415" s="55" t="e">
        <f t="shared" ca="1" si="125"/>
        <v>#N/A</v>
      </c>
      <c r="AG415" s="55" t="e">
        <f t="shared" ca="1" si="126"/>
        <v>#N/A</v>
      </c>
      <c r="AH415" s="55" t="e">
        <f t="shared" ca="1" si="127"/>
        <v>#N/A</v>
      </c>
      <c r="AI415" s="55" t="e">
        <f t="shared" ca="1" si="132"/>
        <v>#N/A</v>
      </c>
      <c r="AJ415" s="55" t="e">
        <f t="shared" ca="1" si="133"/>
        <v>#N/A</v>
      </c>
      <c r="AK415" s="55" t="e">
        <f t="shared" ca="1" si="134"/>
        <v>#N/A</v>
      </c>
    </row>
    <row r="416" spans="18:37">
      <c r="R416" s="55" t="e">
        <f ca="1"/>
        <v>#N/A</v>
      </c>
      <c r="S416" s="55" t="e">
        <f t="shared" ca="1" si="117"/>
        <v>#N/A</v>
      </c>
      <c r="T416" s="55" t="e">
        <f t="shared" ca="1" si="118"/>
        <v>#N/A</v>
      </c>
      <c r="U416" s="55" t="e">
        <f t="shared" ca="1" si="119"/>
        <v>#N/A</v>
      </c>
      <c r="V416" s="55" t="e">
        <f t="shared" ca="1" si="120"/>
        <v>#N/A</v>
      </c>
      <c r="W416" s="55" t="e">
        <f t="shared" ca="1" si="129"/>
        <v>#N/A</v>
      </c>
      <c r="X416" s="55" t="e">
        <f t="shared" ca="1" si="130"/>
        <v>#N/A</v>
      </c>
      <c r="Y416" s="55" t="e">
        <f t="shared" ca="1" si="131"/>
        <v>#N/A</v>
      </c>
      <c r="Z416" t="e">
        <f t="shared" ca="1" si="128"/>
        <v>#N/A</v>
      </c>
      <c r="AA416" t="e">
        <f t="shared" ca="1" si="121"/>
        <v>#N/A</v>
      </c>
      <c r="AB416" t="e">
        <f t="shared" ca="1" si="122"/>
        <v>#N/A</v>
      </c>
      <c r="AC416" t="e">
        <f t="shared" ca="1" si="123"/>
        <v>#N/A</v>
      </c>
      <c r="AD416" s="83" t="e">
        <f ca="1"/>
        <v>#N/A</v>
      </c>
      <c r="AE416" s="55" t="e">
        <f t="shared" ca="1" si="124"/>
        <v>#N/A</v>
      </c>
      <c r="AF416" s="55" t="e">
        <f t="shared" ca="1" si="125"/>
        <v>#N/A</v>
      </c>
      <c r="AG416" s="55" t="e">
        <f t="shared" ca="1" si="126"/>
        <v>#N/A</v>
      </c>
      <c r="AH416" s="55" t="e">
        <f t="shared" ca="1" si="127"/>
        <v>#N/A</v>
      </c>
      <c r="AI416" s="55" t="e">
        <f t="shared" ca="1" si="132"/>
        <v>#N/A</v>
      </c>
      <c r="AJ416" s="55" t="e">
        <f t="shared" ca="1" si="133"/>
        <v>#N/A</v>
      </c>
      <c r="AK416" s="55" t="e">
        <f t="shared" ca="1" si="134"/>
        <v>#N/A</v>
      </c>
    </row>
    <row r="417" spans="18:37">
      <c r="R417" s="55" t="e">
        <f ca="1"/>
        <v>#N/A</v>
      </c>
      <c r="S417" s="55" t="e">
        <f t="shared" ca="1" si="117"/>
        <v>#N/A</v>
      </c>
      <c r="T417" s="55" t="e">
        <f t="shared" ca="1" si="118"/>
        <v>#N/A</v>
      </c>
      <c r="U417" s="55" t="e">
        <f t="shared" ca="1" si="119"/>
        <v>#N/A</v>
      </c>
      <c r="V417" s="55" t="e">
        <f t="shared" ca="1" si="120"/>
        <v>#N/A</v>
      </c>
      <c r="W417" s="55" t="e">
        <f t="shared" ca="1" si="129"/>
        <v>#N/A</v>
      </c>
      <c r="X417" s="55" t="e">
        <f t="shared" ca="1" si="130"/>
        <v>#N/A</v>
      </c>
      <c r="Y417" s="55" t="e">
        <f t="shared" ca="1" si="131"/>
        <v>#N/A</v>
      </c>
      <c r="Z417" t="e">
        <f t="shared" ca="1" si="128"/>
        <v>#N/A</v>
      </c>
      <c r="AA417" t="e">
        <f t="shared" ca="1" si="121"/>
        <v>#N/A</v>
      </c>
      <c r="AB417" t="e">
        <f t="shared" ca="1" si="122"/>
        <v>#N/A</v>
      </c>
      <c r="AC417" t="e">
        <f t="shared" ca="1" si="123"/>
        <v>#N/A</v>
      </c>
      <c r="AD417" s="83" t="e">
        <f ca="1"/>
        <v>#N/A</v>
      </c>
      <c r="AE417" s="55" t="e">
        <f t="shared" ca="1" si="124"/>
        <v>#N/A</v>
      </c>
      <c r="AF417" s="55" t="e">
        <f t="shared" ca="1" si="125"/>
        <v>#N/A</v>
      </c>
      <c r="AG417" s="55" t="e">
        <f t="shared" ca="1" si="126"/>
        <v>#N/A</v>
      </c>
      <c r="AH417" s="55" t="e">
        <f t="shared" ca="1" si="127"/>
        <v>#N/A</v>
      </c>
      <c r="AI417" s="55" t="e">
        <f t="shared" ca="1" si="132"/>
        <v>#N/A</v>
      </c>
      <c r="AJ417" s="55" t="e">
        <f t="shared" ca="1" si="133"/>
        <v>#N/A</v>
      </c>
      <c r="AK417" s="55" t="e">
        <f t="shared" ca="1" si="134"/>
        <v>#N/A</v>
      </c>
    </row>
    <row r="418" spans="18:37">
      <c r="R418" s="55" t="e">
        <f ca="1"/>
        <v>#N/A</v>
      </c>
      <c r="S418" s="55" t="e">
        <f t="shared" ca="1" si="117"/>
        <v>#N/A</v>
      </c>
      <c r="T418" s="55" t="e">
        <f t="shared" ca="1" si="118"/>
        <v>#N/A</v>
      </c>
      <c r="U418" s="55" t="e">
        <f t="shared" ca="1" si="119"/>
        <v>#N/A</v>
      </c>
      <c r="V418" s="55" t="e">
        <f t="shared" ca="1" si="120"/>
        <v>#N/A</v>
      </c>
      <c r="W418" s="55" t="e">
        <f t="shared" ca="1" si="129"/>
        <v>#N/A</v>
      </c>
      <c r="X418" s="55" t="e">
        <f t="shared" ca="1" si="130"/>
        <v>#N/A</v>
      </c>
      <c r="Y418" s="55" t="e">
        <f t="shared" ca="1" si="131"/>
        <v>#N/A</v>
      </c>
      <c r="Z418" t="e">
        <f t="shared" ca="1" si="128"/>
        <v>#N/A</v>
      </c>
      <c r="AA418" t="e">
        <f t="shared" ca="1" si="121"/>
        <v>#N/A</v>
      </c>
      <c r="AB418" t="e">
        <f t="shared" ca="1" si="122"/>
        <v>#N/A</v>
      </c>
      <c r="AC418" t="e">
        <f t="shared" ca="1" si="123"/>
        <v>#N/A</v>
      </c>
      <c r="AD418" s="83" t="e">
        <f ca="1"/>
        <v>#N/A</v>
      </c>
      <c r="AE418" s="55" t="e">
        <f t="shared" ca="1" si="124"/>
        <v>#N/A</v>
      </c>
      <c r="AF418" s="55" t="e">
        <f t="shared" ca="1" si="125"/>
        <v>#N/A</v>
      </c>
      <c r="AG418" s="55" t="e">
        <f t="shared" ca="1" si="126"/>
        <v>#N/A</v>
      </c>
      <c r="AH418" s="55" t="e">
        <f t="shared" ca="1" si="127"/>
        <v>#N/A</v>
      </c>
      <c r="AI418" s="55" t="e">
        <f t="shared" ca="1" si="132"/>
        <v>#N/A</v>
      </c>
      <c r="AJ418" s="55" t="e">
        <f t="shared" ca="1" si="133"/>
        <v>#N/A</v>
      </c>
      <c r="AK418" s="55" t="e">
        <f t="shared" ca="1" si="134"/>
        <v>#N/A</v>
      </c>
    </row>
    <row r="419" spans="18:37">
      <c r="R419" s="55" t="e">
        <f ca="1"/>
        <v>#N/A</v>
      </c>
      <c r="S419" s="55" t="e">
        <f t="shared" ca="1" si="117"/>
        <v>#N/A</v>
      </c>
      <c r="T419" s="55" t="e">
        <f t="shared" ca="1" si="118"/>
        <v>#N/A</v>
      </c>
      <c r="U419" s="55" t="e">
        <f t="shared" ca="1" si="119"/>
        <v>#N/A</v>
      </c>
      <c r="V419" s="55" t="e">
        <f t="shared" ca="1" si="120"/>
        <v>#N/A</v>
      </c>
      <c r="W419" s="55" t="e">
        <f t="shared" ca="1" si="129"/>
        <v>#N/A</v>
      </c>
      <c r="X419" s="55" t="e">
        <f t="shared" ca="1" si="130"/>
        <v>#N/A</v>
      </c>
      <c r="Y419" s="55" t="e">
        <f t="shared" ca="1" si="131"/>
        <v>#N/A</v>
      </c>
      <c r="Z419" t="e">
        <f t="shared" ca="1" si="128"/>
        <v>#N/A</v>
      </c>
      <c r="AA419" t="e">
        <f t="shared" ca="1" si="121"/>
        <v>#N/A</v>
      </c>
      <c r="AB419" t="e">
        <f t="shared" ca="1" si="122"/>
        <v>#N/A</v>
      </c>
      <c r="AC419" t="e">
        <f t="shared" ca="1" si="123"/>
        <v>#N/A</v>
      </c>
      <c r="AD419" s="83" t="e">
        <f ca="1"/>
        <v>#N/A</v>
      </c>
      <c r="AE419" s="55" t="e">
        <f t="shared" ca="1" si="124"/>
        <v>#N/A</v>
      </c>
      <c r="AF419" s="55" t="e">
        <f t="shared" ca="1" si="125"/>
        <v>#N/A</v>
      </c>
      <c r="AG419" s="55" t="e">
        <f t="shared" ca="1" si="126"/>
        <v>#N/A</v>
      </c>
      <c r="AH419" s="55" t="e">
        <f t="shared" ca="1" si="127"/>
        <v>#N/A</v>
      </c>
      <c r="AI419" s="55" t="e">
        <f t="shared" ca="1" si="132"/>
        <v>#N/A</v>
      </c>
      <c r="AJ419" s="55" t="e">
        <f t="shared" ca="1" si="133"/>
        <v>#N/A</v>
      </c>
      <c r="AK419" s="55" t="e">
        <f t="shared" ca="1" si="134"/>
        <v>#N/A</v>
      </c>
    </row>
    <row r="420" spans="18:37">
      <c r="R420" s="55" t="e">
        <f ca="1"/>
        <v>#N/A</v>
      </c>
      <c r="S420" s="55" t="e">
        <f t="shared" ca="1" si="117"/>
        <v>#N/A</v>
      </c>
      <c r="T420" s="55" t="e">
        <f t="shared" ca="1" si="118"/>
        <v>#N/A</v>
      </c>
      <c r="U420" s="55" t="e">
        <f t="shared" ca="1" si="119"/>
        <v>#N/A</v>
      </c>
      <c r="V420" s="55" t="e">
        <f t="shared" ca="1" si="120"/>
        <v>#N/A</v>
      </c>
      <c r="W420" s="55" t="e">
        <f t="shared" ca="1" si="129"/>
        <v>#N/A</v>
      </c>
      <c r="X420" s="55" t="e">
        <f t="shared" ca="1" si="130"/>
        <v>#N/A</v>
      </c>
      <c r="Y420" s="55" t="e">
        <f t="shared" ca="1" si="131"/>
        <v>#N/A</v>
      </c>
      <c r="Z420" t="e">
        <f t="shared" ca="1" si="128"/>
        <v>#N/A</v>
      </c>
      <c r="AA420" t="e">
        <f t="shared" ca="1" si="121"/>
        <v>#N/A</v>
      </c>
      <c r="AB420" t="e">
        <f t="shared" ca="1" si="122"/>
        <v>#N/A</v>
      </c>
      <c r="AC420" t="e">
        <f t="shared" ca="1" si="123"/>
        <v>#N/A</v>
      </c>
      <c r="AD420" s="83" t="e">
        <f ca="1"/>
        <v>#N/A</v>
      </c>
      <c r="AE420" s="55" t="e">
        <f t="shared" ca="1" si="124"/>
        <v>#N/A</v>
      </c>
      <c r="AF420" s="55" t="e">
        <f t="shared" ca="1" si="125"/>
        <v>#N/A</v>
      </c>
      <c r="AG420" s="55" t="e">
        <f t="shared" ca="1" si="126"/>
        <v>#N/A</v>
      </c>
      <c r="AH420" s="55" t="e">
        <f t="shared" ca="1" si="127"/>
        <v>#N/A</v>
      </c>
      <c r="AI420" s="55" t="e">
        <f t="shared" ca="1" si="132"/>
        <v>#N/A</v>
      </c>
      <c r="AJ420" s="55" t="e">
        <f t="shared" ca="1" si="133"/>
        <v>#N/A</v>
      </c>
      <c r="AK420" s="55" t="e">
        <f t="shared" ca="1" si="134"/>
        <v>#N/A</v>
      </c>
    </row>
    <row r="421" spans="18:37">
      <c r="R421" s="55" t="e">
        <f ca="1"/>
        <v>#N/A</v>
      </c>
      <c r="S421" s="55" t="e">
        <f t="shared" ca="1" si="117"/>
        <v>#N/A</v>
      </c>
      <c r="T421" s="55" t="e">
        <f t="shared" ca="1" si="118"/>
        <v>#N/A</v>
      </c>
      <c r="U421" s="55" t="e">
        <f t="shared" ca="1" si="119"/>
        <v>#N/A</v>
      </c>
      <c r="V421" s="55" t="e">
        <f t="shared" ca="1" si="120"/>
        <v>#N/A</v>
      </c>
      <c r="W421" s="55" t="e">
        <f t="shared" ca="1" si="129"/>
        <v>#N/A</v>
      </c>
      <c r="X421" s="55" t="e">
        <f t="shared" ca="1" si="130"/>
        <v>#N/A</v>
      </c>
      <c r="Y421" s="55" t="e">
        <f t="shared" ca="1" si="131"/>
        <v>#N/A</v>
      </c>
      <c r="Z421" t="e">
        <f t="shared" ca="1" si="128"/>
        <v>#N/A</v>
      </c>
      <c r="AA421" t="e">
        <f t="shared" ca="1" si="121"/>
        <v>#N/A</v>
      </c>
      <c r="AB421" t="e">
        <f t="shared" ca="1" si="122"/>
        <v>#N/A</v>
      </c>
      <c r="AC421" t="e">
        <f t="shared" ca="1" si="123"/>
        <v>#N/A</v>
      </c>
      <c r="AD421" s="83" t="e">
        <f ca="1"/>
        <v>#N/A</v>
      </c>
      <c r="AE421" s="55" t="e">
        <f t="shared" ca="1" si="124"/>
        <v>#N/A</v>
      </c>
      <c r="AF421" s="55" t="e">
        <f t="shared" ca="1" si="125"/>
        <v>#N/A</v>
      </c>
      <c r="AG421" s="55" t="e">
        <f t="shared" ca="1" si="126"/>
        <v>#N/A</v>
      </c>
      <c r="AH421" s="55" t="e">
        <f t="shared" ca="1" si="127"/>
        <v>#N/A</v>
      </c>
      <c r="AI421" s="55" t="e">
        <f t="shared" ca="1" si="132"/>
        <v>#N/A</v>
      </c>
      <c r="AJ421" s="55" t="e">
        <f t="shared" ca="1" si="133"/>
        <v>#N/A</v>
      </c>
      <c r="AK421" s="55" t="e">
        <f t="shared" ca="1" si="134"/>
        <v>#N/A</v>
      </c>
    </row>
    <row r="422" spans="18:37">
      <c r="R422" s="55" t="e">
        <f ca="1"/>
        <v>#N/A</v>
      </c>
      <c r="S422" s="55" t="e">
        <f t="shared" ca="1" si="117"/>
        <v>#N/A</v>
      </c>
      <c r="T422" s="55" t="e">
        <f t="shared" ca="1" si="118"/>
        <v>#N/A</v>
      </c>
      <c r="U422" s="55" t="e">
        <f t="shared" ca="1" si="119"/>
        <v>#N/A</v>
      </c>
      <c r="V422" s="55" t="e">
        <f t="shared" ca="1" si="120"/>
        <v>#N/A</v>
      </c>
      <c r="W422" s="55" t="e">
        <f t="shared" ca="1" si="129"/>
        <v>#N/A</v>
      </c>
      <c r="X422" s="55" t="e">
        <f t="shared" ca="1" si="130"/>
        <v>#N/A</v>
      </c>
      <c r="Y422" s="55" t="e">
        <f t="shared" ca="1" si="131"/>
        <v>#N/A</v>
      </c>
      <c r="Z422" t="e">
        <f t="shared" ca="1" si="128"/>
        <v>#N/A</v>
      </c>
      <c r="AA422" t="e">
        <f t="shared" ca="1" si="121"/>
        <v>#N/A</v>
      </c>
      <c r="AB422" t="e">
        <f t="shared" ca="1" si="122"/>
        <v>#N/A</v>
      </c>
      <c r="AC422" t="e">
        <f t="shared" ca="1" si="123"/>
        <v>#N/A</v>
      </c>
      <c r="AD422" s="83" t="e">
        <f ca="1"/>
        <v>#N/A</v>
      </c>
      <c r="AE422" s="55" t="e">
        <f t="shared" ca="1" si="124"/>
        <v>#N/A</v>
      </c>
      <c r="AF422" s="55" t="e">
        <f t="shared" ca="1" si="125"/>
        <v>#N/A</v>
      </c>
      <c r="AG422" s="55" t="e">
        <f t="shared" ca="1" si="126"/>
        <v>#N/A</v>
      </c>
      <c r="AH422" s="55" t="e">
        <f t="shared" ca="1" si="127"/>
        <v>#N/A</v>
      </c>
      <c r="AI422" s="55" t="e">
        <f t="shared" ca="1" si="132"/>
        <v>#N/A</v>
      </c>
      <c r="AJ422" s="55" t="e">
        <f t="shared" ca="1" si="133"/>
        <v>#N/A</v>
      </c>
      <c r="AK422" s="55" t="e">
        <f t="shared" ca="1" si="134"/>
        <v>#N/A</v>
      </c>
    </row>
    <row r="423" spans="18:37">
      <c r="R423" s="55" t="e">
        <f ca="1"/>
        <v>#N/A</v>
      </c>
      <c r="S423" s="55" t="e">
        <f t="shared" ca="1" si="117"/>
        <v>#N/A</v>
      </c>
      <c r="T423" s="55" t="e">
        <f t="shared" ca="1" si="118"/>
        <v>#N/A</v>
      </c>
      <c r="U423" s="55" t="e">
        <f t="shared" ca="1" si="119"/>
        <v>#N/A</v>
      </c>
      <c r="V423" s="55" t="e">
        <f t="shared" ca="1" si="120"/>
        <v>#N/A</v>
      </c>
      <c r="W423" s="55" t="e">
        <f t="shared" ca="1" si="129"/>
        <v>#N/A</v>
      </c>
      <c r="X423" s="55" t="e">
        <f t="shared" ca="1" si="130"/>
        <v>#N/A</v>
      </c>
      <c r="Y423" s="55" t="e">
        <f t="shared" ca="1" si="131"/>
        <v>#N/A</v>
      </c>
      <c r="Z423" t="e">
        <f t="shared" ca="1" si="128"/>
        <v>#N/A</v>
      </c>
      <c r="AA423" t="e">
        <f t="shared" ca="1" si="121"/>
        <v>#N/A</v>
      </c>
      <c r="AB423" t="e">
        <f t="shared" ca="1" si="122"/>
        <v>#N/A</v>
      </c>
      <c r="AC423" t="e">
        <f t="shared" ca="1" si="123"/>
        <v>#N/A</v>
      </c>
      <c r="AD423" s="83" t="e">
        <f ca="1"/>
        <v>#N/A</v>
      </c>
      <c r="AE423" s="55" t="e">
        <f t="shared" ca="1" si="124"/>
        <v>#N/A</v>
      </c>
      <c r="AF423" s="55" t="e">
        <f t="shared" ca="1" si="125"/>
        <v>#N/A</v>
      </c>
      <c r="AG423" s="55" t="e">
        <f t="shared" ca="1" si="126"/>
        <v>#N/A</v>
      </c>
      <c r="AH423" s="55" t="e">
        <f t="shared" ca="1" si="127"/>
        <v>#N/A</v>
      </c>
      <c r="AI423" s="55" t="e">
        <f t="shared" ca="1" si="132"/>
        <v>#N/A</v>
      </c>
      <c r="AJ423" s="55" t="e">
        <f t="shared" ca="1" si="133"/>
        <v>#N/A</v>
      </c>
      <c r="AK423" s="55" t="e">
        <f t="shared" ca="1" si="134"/>
        <v>#N/A</v>
      </c>
    </row>
    <row r="424" spans="18:37">
      <c r="R424" s="55" t="e">
        <f ca="1"/>
        <v>#N/A</v>
      </c>
      <c r="S424" s="55" t="e">
        <f t="shared" ca="1" si="117"/>
        <v>#N/A</v>
      </c>
      <c r="T424" s="55" t="e">
        <f t="shared" ca="1" si="118"/>
        <v>#N/A</v>
      </c>
      <c r="U424" s="55" t="e">
        <f t="shared" ca="1" si="119"/>
        <v>#N/A</v>
      </c>
      <c r="V424" s="55" t="e">
        <f t="shared" ca="1" si="120"/>
        <v>#N/A</v>
      </c>
      <c r="W424" s="55" t="e">
        <f t="shared" ca="1" si="129"/>
        <v>#N/A</v>
      </c>
      <c r="X424" s="55" t="e">
        <f t="shared" ca="1" si="130"/>
        <v>#N/A</v>
      </c>
      <c r="Y424" s="55" t="e">
        <f t="shared" ca="1" si="131"/>
        <v>#N/A</v>
      </c>
      <c r="Z424" t="e">
        <f t="shared" ca="1" si="128"/>
        <v>#N/A</v>
      </c>
      <c r="AA424" t="e">
        <f t="shared" ca="1" si="121"/>
        <v>#N/A</v>
      </c>
      <c r="AB424" t="e">
        <f t="shared" ca="1" si="122"/>
        <v>#N/A</v>
      </c>
      <c r="AC424" t="e">
        <f t="shared" ca="1" si="123"/>
        <v>#N/A</v>
      </c>
      <c r="AD424" s="83" t="e">
        <f ca="1"/>
        <v>#N/A</v>
      </c>
      <c r="AE424" s="55" t="e">
        <f t="shared" ca="1" si="124"/>
        <v>#N/A</v>
      </c>
      <c r="AF424" s="55" t="e">
        <f t="shared" ca="1" si="125"/>
        <v>#N/A</v>
      </c>
      <c r="AG424" s="55" t="e">
        <f t="shared" ca="1" si="126"/>
        <v>#N/A</v>
      </c>
      <c r="AH424" s="55" t="e">
        <f t="shared" ca="1" si="127"/>
        <v>#N/A</v>
      </c>
      <c r="AI424" s="55" t="e">
        <f t="shared" ca="1" si="132"/>
        <v>#N/A</v>
      </c>
      <c r="AJ424" s="55" t="e">
        <f t="shared" ca="1" si="133"/>
        <v>#N/A</v>
      </c>
      <c r="AK424" s="55" t="e">
        <f t="shared" ca="1" si="134"/>
        <v>#N/A</v>
      </c>
    </row>
    <row r="425" spans="18:37">
      <c r="R425" s="55" t="e">
        <f ca="1"/>
        <v>#N/A</v>
      </c>
      <c r="S425" s="55" t="e">
        <f t="shared" ca="1" si="117"/>
        <v>#N/A</v>
      </c>
      <c r="T425" s="55" t="e">
        <f t="shared" ca="1" si="118"/>
        <v>#N/A</v>
      </c>
      <c r="U425" s="55" t="e">
        <f t="shared" ca="1" si="119"/>
        <v>#N/A</v>
      </c>
      <c r="V425" s="55" t="e">
        <f t="shared" ca="1" si="120"/>
        <v>#N/A</v>
      </c>
      <c r="W425" s="55" t="e">
        <f t="shared" ca="1" si="129"/>
        <v>#N/A</v>
      </c>
      <c r="X425" s="55" t="e">
        <f t="shared" ca="1" si="130"/>
        <v>#N/A</v>
      </c>
      <c r="Y425" s="55" t="e">
        <f t="shared" ca="1" si="131"/>
        <v>#N/A</v>
      </c>
      <c r="Z425" t="e">
        <f t="shared" ca="1" si="128"/>
        <v>#N/A</v>
      </c>
      <c r="AA425" t="e">
        <f t="shared" ca="1" si="121"/>
        <v>#N/A</v>
      </c>
      <c r="AB425" t="e">
        <f t="shared" ca="1" si="122"/>
        <v>#N/A</v>
      </c>
      <c r="AC425" t="e">
        <f t="shared" ca="1" si="123"/>
        <v>#N/A</v>
      </c>
      <c r="AD425" s="83" t="e">
        <f ca="1"/>
        <v>#N/A</v>
      </c>
      <c r="AE425" s="55" t="e">
        <f t="shared" ca="1" si="124"/>
        <v>#N/A</v>
      </c>
      <c r="AF425" s="55" t="e">
        <f t="shared" ca="1" si="125"/>
        <v>#N/A</v>
      </c>
      <c r="AG425" s="55" t="e">
        <f t="shared" ca="1" si="126"/>
        <v>#N/A</v>
      </c>
      <c r="AH425" s="55" t="e">
        <f t="shared" ca="1" si="127"/>
        <v>#N/A</v>
      </c>
      <c r="AI425" s="55" t="e">
        <f t="shared" ca="1" si="132"/>
        <v>#N/A</v>
      </c>
      <c r="AJ425" s="55" t="e">
        <f t="shared" ca="1" si="133"/>
        <v>#N/A</v>
      </c>
      <c r="AK425" s="55" t="e">
        <f t="shared" ca="1" si="134"/>
        <v>#N/A</v>
      </c>
    </row>
    <row r="426" spans="18:37">
      <c r="R426" s="55" t="e">
        <f ca="1"/>
        <v>#N/A</v>
      </c>
      <c r="S426" s="55" t="e">
        <f t="shared" ca="1" si="117"/>
        <v>#N/A</v>
      </c>
      <c r="T426" s="55" t="e">
        <f t="shared" ca="1" si="118"/>
        <v>#N/A</v>
      </c>
      <c r="U426" s="55" t="e">
        <f t="shared" ca="1" si="119"/>
        <v>#N/A</v>
      </c>
      <c r="V426" s="55" t="e">
        <f t="shared" ca="1" si="120"/>
        <v>#N/A</v>
      </c>
      <c r="W426" s="55" t="e">
        <f t="shared" ca="1" si="129"/>
        <v>#N/A</v>
      </c>
      <c r="X426" s="55" t="e">
        <f t="shared" ca="1" si="130"/>
        <v>#N/A</v>
      </c>
      <c r="Y426" s="55" t="e">
        <f t="shared" ca="1" si="131"/>
        <v>#N/A</v>
      </c>
      <c r="Z426" t="e">
        <f t="shared" ca="1" si="128"/>
        <v>#N/A</v>
      </c>
      <c r="AA426" t="e">
        <f t="shared" ca="1" si="121"/>
        <v>#N/A</v>
      </c>
      <c r="AB426" t="e">
        <f t="shared" ca="1" si="122"/>
        <v>#N/A</v>
      </c>
      <c r="AC426" t="e">
        <f t="shared" ca="1" si="123"/>
        <v>#N/A</v>
      </c>
      <c r="AD426" s="83" t="e">
        <f ca="1"/>
        <v>#N/A</v>
      </c>
      <c r="AE426" s="55" t="e">
        <f t="shared" ca="1" si="124"/>
        <v>#N/A</v>
      </c>
      <c r="AF426" s="55" t="e">
        <f t="shared" ca="1" si="125"/>
        <v>#N/A</v>
      </c>
      <c r="AG426" s="55" t="e">
        <f t="shared" ca="1" si="126"/>
        <v>#N/A</v>
      </c>
      <c r="AH426" s="55" t="e">
        <f t="shared" ca="1" si="127"/>
        <v>#N/A</v>
      </c>
      <c r="AI426" s="55" t="e">
        <f t="shared" ca="1" si="132"/>
        <v>#N/A</v>
      </c>
      <c r="AJ426" s="55" t="e">
        <f t="shared" ca="1" si="133"/>
        <v>#N/A</v>
      </c>
      <c r="AK426" s="55" t="e">
        <f t="shared" ca="1" si="134"/>
        <v>#N/A</v>
      </c>
    </row>
    <row r="427" spans="18:37">
      <c r="R427" s="55" t="e">
        <f ca="1"/>
        <v>#N/A</v>
      </c>
      <c r="S427" s="55" t="e">
        <f t="shared" ca="1" si="117"/>
        <v>#N/A</v>
      </c>
      <c r="T427" s="55" t="e">
        <f t="shared" ca="1" si="118"/>
        <v>#N/A</v>
      </c>
      <c r="U427" s="55" t="e">
        <f t="shared" ca="1" si="119"/>
        <v>#N/A</v>
      </c>
      <c r="V427" s="55" t="e">
        <f t="shared" ca="1" si="120"/>
        <v>#N/A</v>
      </c>
      <c r="W427" s="55" t="e">
        <f t="shared" ca="1" si="129"/>
        <v>#N/A</v>
      </c>
      <c r="X427" s="55" t="e">
        <f t="shared" ca="1" si="130"/>
        <v>#N/A</v>
      </c>
      <c r="Y427" s="55" t="e">
        <f t="shared" ca="1" si="131"/>
        <v>#N/A</v>
      </c>
      <c r="Z427" t="e">
        <f t="shared" ca="1" si="128"/>
        <v>#N/A</v>
      </c>
      <c r="AA427" t="e">
        <f t="shared" ca="1" si="121"/>
        <v>#N/A</v>
      </c>
      <c r="AB427" t="e">
        <f t="shared" ca="1" si="122"/>
        <v>#N/A</v>
      </c>
      <c r="AC427" t="e">
        <f t="shared" ca="1" si="123"/>
        <v>#N/A</v>
      </c>
      <c r="AD427" s="83" t="e">
        <f ca="1"/>
        <v>#N/A</v>
      </c>
      <c r="AE427" s="55" t="e">
        <f t="shared" ca="1" si="124"/>
        <v>#N/A</v>
      </c>
      <c r="AF427" s="55" t="e">
        <f t="shared" ca="1" si="125"/>
        <v>#N/A</v>
      </c>
      <c r="AG427" s="55" t="e">
        <f t="shared" ca="1" si="126"/>
        <v>#N/A</v>
      </c>
      <c r="AH427" s="55" t="e">
        <f t="shared" ca="1" si="127"/>
        <v>#N/A</v>
      </c>
      <c r="AI427" s="55" t="e">
        <f t="shared" ca="1" si="132"/>
        <v>#N/A</v>
      </c>
      <c r="AJ427" s="55" t="e">
        <f t="shared" ca="1" si="133"/>
        <v>#N/A</v>
      </c>
      <c r="AK427" s="55" t="e">
        <f t="shared" ca="1" si="134"/>
        <v>#N/A</v>
      </c>
    </row>
    <row r="428" spans="18:37">
      <c r="R428" s="55" t="e">
        <f ca="1"/>
        <v>#N/A</v>
      </c>
      <c r="S428" s="55" t="e">
        <f t="shared" ca="1" si="117"/>
        <v>#N/A</v>
      </c>
      <c r="T428" s="55" t="e">
        <f t="shared" ca="1" si="118"/>
        <v>#N/A</v>
      </c>
      <c r="U428" s="55" t="e">
        <f t="shared" ca="1" si="119"/>
        <v>#N/A</v>
      </c>
      <c r="V428" s="55" t="e">
        <f t="shared" ca="1" si="120"/>
        <v>#N/A</v>
      </c>
      <c r="W428" s="55" t="e">
        <f t="shared" ca="1" si="129"/>
        <v>#N/A</v>
      </c>
      <c r="X428" s="55" t="e">
        <f t="shared" ca="1" si="130"/>
        <v>#N/A</v>
      </c>
      <c r="Y428" s="55" t="e">
        <f t="shared" ca="1" si="131"/>
        <v>#N/A</v>
      </c>
      <c r="Z428" t="e">
        <f t="shared" ca="1" si="128"/>
        <v>#N/A</v>
      </c>
      <c r="AA428" t="e">
        <f t="shared" ca="1" si="121"/>
        <v>#N/A</v>
      </c>
      <c r="AB428" t="e">
        <f t="shared" ca="1" si="122"/>
        <v>#N/A</v>
      </c>
      <c r="AC428" t="e">
        <f t="shared" ca="1" si="123"/>
        <v>#N/A</v>
      </c>
      <c r="AD428" s="83" t="e">
        <f ca="1"/>
        <v>#N/A</v>
      </c>
      <c r="AE428" s="55" t="e">
        <f t="shared" ca="1" si="124"/>
        <v>#N/A</v>
      </c>
      <c r="AF428" s="55" t="e">
        <f t="shared" ca="1" si="125"/>
        <v>#N/A</v>
      </c>
      <c r="AG428" s="55" t="e">
        <f t="shared" ca="1" si="126"/>
        <v>#N/A</v>
      </c>
      <c r="AH428" s="55" t="e">
        <f t="shared" ca="1" si="127"/>
        <v>#N/A</v>
      </c>
      <c r="AI428" s="55" t="e">
        <f t="shared" ca="1" si="132"/>
        <v>#N/A</v>
      </c>
      <c r="AJ428" s="55" t="e">
        <f t="shared" ca="1" si="133"/>
        <v>#N/A</v>
      </c>
      <c r="AK428" s="55" t="e">
        <f t="shared" ca="1" si="134"/>
        <v>#N/A</v>
      </c>
    </row>
    <row r="429" spans="18:37">
      <c r="R429" s="55" t="e">
        <f ca="1"/>
        <v>#N/A</v>
      </c>
      <c r="S429" s="55" t="e">
        <f t="shared" ca="1" si="117"/>
        <v>#N/A</v>
      </c>
      <c r="T429" s="55" t="e">
        <f t="shared" ca="1" si="118"/>
        <v>#N/A</v>
      </c>
      <c r="U429" s="55" t="e">
        <f t="shared" ca="1" si="119"/>
        <v>#N/A</v>
      </c>
      <c r="V429" s="55" t="e">
        <f t="shared" ca="1" si="120"/>
        <v>#N/A</v>
      </c>
      <c r="W429" s="55" t="e">
        <f t="shared" ca="1" si="129"/>
        <v>#N/A</v>
      </c>
      <c r="X429" s="55" t="e">
        <f t="shared" ca="1" si="130"/>
        <v>#N/A</v>
      </c>
      <c r="Y429" s="55" t="e">
        <f t="shared" ca="1" si="131"/>
        <v>#N/A</v>
      </c>
      <c r="Z429" t="e">
        <f t="shared" ca="1" si="128"/>
        <v>#N/A</v>
      </c>
      <c r="AA429" t="e">
        <f t="shared" ca="1" si="121"/>
        <v>#N/A</v>
      </c>
      <c r="AB429" t="e">
        <f t="shared" ca="1" si="122"/>
        <v>#N/A</v>
      </c>
      <c r="AC429" t="e">
        <f t="shared" ca="1" si="123"/>
        <v>#N/A</v>
      </c>
      <c r="AD429" s="83" t="e">
        <f ca="1"/>
        <v>#N/A</v>
      </c>
      <c r="AE429" s="55" t="e">
        <f t="shared" ca="1" si="124"/>
        <v>#N/A</v>
      </c>
      <c r="AF429" s="55" t="e">
        <f t="shared" ca="1" si="125"/>
        <v>#N/A</v>
      </c>
      <c r="AG429" s="55" t="e">
        <f t="shared" ca="1" si="126"/>
        <v>#N/A</v>
      </c>
      <c r="AH429" s="55" t="e">
        <f t="shared" ca="1" si="127"/>
        <v>#N/A</v>
      </c>
      <c r="AI429" s="55" t="e">
        <f t="shared" ca="1" si="132"/>
        <v>#N/A</v>
      </c>
      <c r="AJ429" s="55" t="e">
        <f t="shared" ca="1" si="133"/>
        <v>#N/A</v>
      </c>
      <c r="AK429" s="55" t="e">
        <f t="shared" ca="1" si="134"/>
        <v>#N/A</v>
      </c>
    </row>
    <row r="430" spans="18:37">
      <c r="R430" s="55" t="e">
        <f ca="1"/>
        <v>#N/A</v>
      </c>
      <c r="S430" s="55" t="e">
        <f t="shared" ca="1" si="117"/>
        <v>#N/A</v>
      </c>
      <c r="T430" s="55" t="e">
        <f t="shared" ca="1" si="118"/>
        <v>#N/A</v>
      </c>
      <c r="U430" s="55" t="e">
        <f t="shared" ca="1" si="119"/>
        <v>#N/A</v>
      </c>
      <c r="V430" s="55" t="e">
        <f t="shared" ca="1" si="120"/>
        <v>#N/A</v>
      </c>
      <c r="W430" s="55" t="e">
        <f t="shared" ca="1" si="129"/>
        <v>#N/A</v>
      </c>
      <c r="X430" s="55" t="e">
        <f t="shared" ca="1" si="130"/>
        <v>#N/A</v>
      </c>
      <c r="Y430" s="55" t="e">
        <f t="shared" ca="1" si="131"/>
        <v>#N/A</v>
      </c>
      <c r="Z430" t="e">
        <f t="shared" ca="1" si="128"/>
        <v>#N/A</v>
      </c>
      <c r="AA430" t="e">
        <f t="shared" ca="1" si="121"/>
        <v>#N/A</v>
      </c>
      <c r="AB430" t="e">
        <f t="shared" ca="1" si="122"/>
        <v>#N/A</v>
      </c>
      <c r="AC430" t="e">
        <f t="shared" ca="1" si="123"/>
        <v>#N/A</v>
      </c>
      <c r="AD430" s="83" t="e">
        <f ca="1"/>
        <v>#N/A</v>
      </c>
      <c r="AE430" s="55" t="e">
        <f t="shared" ca="1" si="124"/>
        <v>#N/A</v>
      </c>
      <c r="AF430" s="55" t="e">
        <f t="shared" ca="1" si="125"/>
        <v>#N/A</v>
      </c>
      <c r="AG430" s="55" t="e">
        <f t="shared" ca="1" si="126"/>
        <v>#N/A</v>
      </c>
      <c r="AH430" s="55" t="e">
        <f t="shared" ca="1" si="127"/>
        <v>#N/A</v>
      </c>
      <c r="AI430" s="55" t="e">
        <f t="shared" ca="1" si="132"/>
        <v>#N/A</v>
      </c>
      <c r="AJ430" s="55" t="e">
        <f t="shared" ca="1" si="133"/>
        <v>#N/A</v>
      </c>
      <c r="AK430" s="55" t="e">
        <f t="shared" ca="1" si="134"/>
        <v>#N/A</v>
      </c>
    </row>
    <row r="431" spans="18:37">
      <c r="R431" s="55" t="e">
        <f ca="1"/>
        <v>#N/A</v>
      </c>
      <c r="S431" s="55" t="e">
        <f t="shared" ca="1" si="117"/>
        <v>#N/A</v>
      </c>
      <c r="T431" s="55" t="e">
        <f t="shared" ca="1" si="118"/>
        <v>#N/A</v>
      </c>
      <c r="U431" s="55" t="e">
        <f t="shared" ca="1" si="119"/>
        <v>#N/A</v>
      </c>
      <c r="V431" s="55" t="e">
        <f t="shared" ca="1" si="120"/>
        <v>#N/A</v>
      </c>
      <c r="W431" s="55" t="e">
        <f t="shared" ca="1" si="129"/>
        <v>#N/A</v>
      </c>
      <c r="X431" s="55" t="e">
        <f t="shared" ca="1" si="130"/>
        <v>#N/A</v>
      </c>
      <c r="Y431" s="55" t="e">
        <f t="shared" ca="1" si="131"/>
        <v>#N/A</v>
      </c>
      <c r="Z431" t="e">
        <f t="shared" ca="1" si="128"/>
        <v>#N/A</v>
      </c>
      <c r="AA431" t="e">
        <f t="shared" ca="1" si="121"/>
        <v>#N/A</v>
      </c>
      <c r="AB431" t="e">
        <f t="shared" ca="1" si="122"/>
        <v>#N/A</v>
      </c>
      <c r="AC431" t="e">
        <f t="shared" ca="1" si="123"/>
        <v>#N/A</v>
      </c>
      <c r="AD431" s="83" t="e">
        <f ca="1"/>
        <v>#N/A</v>
      </c>
      <c r="AE431" s="55" t="e">
        <f t="shared" ca="1" si="124"/>
        <v>#N/A</v>
      </c>
      <c r="AF431" s="55" t="e">
        <f t="shared" ca="1" si="125"/>
        <v>#N/A</v>
      </c>
      <c r="AG431" s="55" t="e">
        <f t="shared" ca="1" si="126"/>
        <v>#N/A</v>
      </c>
      <c r="AH431" s="55" t="e">
        <f t="shared" ca="1" si="127"/>
        <v>#N/A</v>
      </c>
      <c r="AI431" s="55" t="e">
        <f t="shared" ca="1" si="132"/>
        <v>#N/A</v>
      </c>
      <c r="AJ431" s="55" t="e">
        <f t="shared" ca="1" si="133"/>
        <v>#N/A</v>
      </c>
      <c r="AK431" s="55" t="e">
        <f t="shared" ca="1" si="134"/>
        <v>#N/A</v>
      </c>
    </row>
    <row r="432" spans="18:37">
      <c r="R432" s="55" t="e">
        <f ca="1"/>
        <v>#N/A</v>
      </c>
      <c r="S432" s="55" t="e">
        <f t="shared" ca="1" si="117"/>
        <v>#N/A</v>
      </c>
      <c r="T432" s="55" t="e">
        <f t="shared" ca="1" si="118"/>
        <v>#N/A</v>
      </c>
      <c r="U432" s="55" t="e">
        <f t="shared" ca="1" si="119"/>
        <v>#N/A</v>
      </c>
      <c r="V432" s="55" t="e">
        <f t="shared" ca="1" si="120"/>
        <v>#N/A</v>
      </c>
      <c r="W432" s="55" t="e">
        <f t="shared" ca="1" si="129"/>
        <v>#N/A</v>
      </c>
      <c r="X432" s="55" t="e">
        <f t="shared" ca="1" si="130"/>
        <v>#N/A</v>
      </c>
      <c r="Y432" s="55" t="e">
        <f t="shared" ca="1" si="131"/>
        <v>#N/A</v>
      </c>
      <c r="Z432" t="e">
        <f t="shared" ca="1" si="128"/>
        <v>#N/A</v>
      </c>
      <c r="AA432" t="e">
        <f t="shared" ca="1" si="121"/>
        <v>#N/A</v>
      </c>
      <c r="AB432" t="e">
        <f t="shared" ca="1" si="122"/>
        <v>#N/A</v>
      </c>
      <c r="AC432" t="e">
        <f t="shared" ca="1" si="123"/>
        <v>#N/A</v>
      </c>
      <c r="AD432" s="83" t="e">
        <f ca="1"/>
        <v>#N/A</v>
      </c>
      <c r="AE432" s="55" t="e">
        <f t="shared" ca="1" si="124"/>
        <v>#N/A</v>
      </c>
      <c r="AF432" s="55" t="e">
        <f t="shared" ca="1" si="125"/>
        <v>#N/A</v>
      </c>
      <c r="AG432" s="55" t="e">
        <f t="shared" ca="1" si="126"/>
        <v>#N/A</v>
      </c>
      <c r="AH432" s="55" t="e">
        <f t="shared" ca="1" si="127"/>
        <v>#N/A</v>
      </c>
      <c r="AI432" s="55" t="e">
        <f t="shared" ca="1" si="132"/>
        <v>#N/A</v>
      </c>
      <c r="AJ432" s="55" t="e">
        <f t="shared" ca="1" si="133"/>
        <v>#N/A</v>
      </c>
      <c r="AK432" s="55" t="e">
        <f t="shared" ca="1" si="134"/>
        <v>#N/A</v>
      </c>
    </row>
    <row r="433" spans="18:37">
      <c r="R433" s="55" t="e">
        <f ca="1"/>
        <v>#N/A</v>
      </c>
      <c r="S433" s="55" t="e">
        <f t="shared" ca="1" si="117"/>
        <v>#N/A</v>
      </c>
      <c r="T433" s="55" t="e">
        <f t="shared" ca="1" si="118"/>
        <v>#N/A</v>
      </c>
      <c r="U433" s="55" t="e">
        <f t="shared" ca="1" si="119"/>
        <v>#N/A</v>
      </c>
      <c r="V433" s="55" t="e">
        <f t="shared" ca="1" si="120"/>
        <v>#N/A</v>
      </c>
      <c r="W433" s="55" t="e">
        <f t="shared" ca="1" si="129"/>
        <v>#N/A</v>
      </c>
      <c r="X433" s="55" t="e">
        <f t="shared" ca="1" si="130"/>
        <v>#N/A</v>
      </c>
      <c r="Y433" s="55" t="e">
        <f t="shared" ca="1" si="131"/>
        <v>#N/A</v>
      </c>
      <c r="Z433" t="e">
        <f t="shared" ca="1" si="128"/>
        <v>#N/A</v>
      </c>
      <c r="AA433" t="e">
        <f t="shared" ca="1" si="121"/>
        <v>#N/A</v>
      </c>
      <c r="AB433" t="e">
        <f t="shared" ca="1" si="122"/>
        <v>#N/A</v>
      </c>
      <c r="AC433" t="e">
        <f t="shared" ca="1" si="123"/>
        <v>#N/A</v>
      </c>
      <c r="AD433" s="83" t="e">
        <f ca="1"/>
        <v>#N/A</v>
      </c>
      <c r="AE433" s="55" t="e">
        <f t="shared" ca="1" si="124"/>
        <v>#N/A</v>
      </c>
      <c r="AF433" s="55" t="e">
        <f t="shared" ca="1" si="125"/>
        <v>#N/A</v>
      </c>
      <c r="AG433" s="55" t="e">
        <f t="shared" ca="1" si="126"/>
        <v>#N/A</v>
      </c>
      <c r="AH433" s="55" t="e">
        <f t="shared" ca="1" si="127"/>
        <v>#N/A</v>
      </c>
      <c r="AI433" s="55" t="e">
        <f t="shared" ca="1" si="132"/>
        <v>#N/A</v>
      </c>
      <c r="AJ433" s="55" t="e">
        <f t="shared" ca="1" si="133"/>
        <v>#N/A</v>
      </c>
      <c r="AK433" s="55" t="e">
        <f t="shared" ca="1" si="134"/>
        <v>#N/A</v>
      </c>
    </row>
    <row r="434" spans="18:37">
      <c r="R434" s="55" t="e">
        <f ca="1"/>
        <v>#N/A</v>
      </c>
      <c r="S434" s="55" t="e">
        <f t="shared" ca="1" si="117"/>
        <v>#N/A</v>
      </c>
      <c r="T434" s="55" t="e">
        <f t="shared" ca="1" si="118"/>
        <v>#N/A</v>
      </c>
      <c r="U434" s="55" t="e">
        <f t="shared" ca="1" si="119"/>
        <v>#N/A</v>
      </c>
      <c r="V434" s="55" t="e">
        <f t="shared" ca="1" si="120"/>
        <v>#N/A</v>
      </c>
      <c r="W434" s="55" t="e">
        <f t="shared" ca="1" si="129"/>
        <v>#N/A</v>
      </c>
      <c r="X434" s="55" t="e">
        <f t="shared" ca="1" si="130"/>
        <v>#N/A</v>
      </c>
      <c r="Y434" s="55" t="e">
        <f t="shared" ca="1" si="131"/>
        <v>#N/A</v>
      </c>
      <c r="Z434" t="e">
        <f t="shared" ca="1" si="128"/>
        <v>#N/A</v>
      </c>
      <c r="AA434" t="e">
        <f t="shared" ca="1" si="121"/>
        <v>#N/A</v>
      </c>
      <c r="AB434" t="e">
        <f t="shared" ca="1" si="122"/>
        <v>#N/A</v>
      </c>
      <c r="AC434" t="e">
        <f t="shared" ca="1" si="123"/>
        <v>#N/A</v>
      </c>
      <c r="AD434" s="83" t="e">
        <f ca="1"/>
        <v>#N/A</v>
      </c>
      <c r="AE434" s="55" t="e">
        <f t="shared" ca="1" si="124"/>
        <v>#N/A</v>
      </c>
      <c r="AF434" s="55" t="e">
        <f t="shared" ca="1" si="125"/>
        <v>#N/A</v>
      </c>
      <c r="AG434" s="55" t="e">
        <f t="shared" ca="1" si="126"/>
        <v>#N/A</v>
      </c>
      <c r="AH434" s="55" t="e">
        <f t="shared" ca="1" si="127"/>
        <v>#N/A</v>
      </c>
      <c r="AI434" s="55" t="e">
        <f t="shared" ca="1" si="132"/>
        <v>#N/A</v>
      </c>
      <c r="AJ434" s="55" t="e">
        <f t="shared" ca="1" si="133"/>
        <v>#N/A</v>
      </c>
      <c r="AK434" s="55" t="e">
        <f t="shared" ca="1" si="134"/>
        <v>#N/A</v>
      </c>
    </row>
    <row r="435" spans="18:37">
      <c r="R435" s="55" t="e">
        <f ca="1"/>
        <v>#N/A</v>
      </c>
      <c r="S435" s="55" t="e">
        <f t="shared" ca="1" si="117"/>
        <v>#N/A</v>
      </c>
      <c r="T435" s="55" t="e">
        <f t="shared" ca="1" si="118"/>
        <v>#N/A</v>
      </c>
      <c r="U435" s="55" t="e">
        <f t="shared" ca="1" si="119"/>
        <v>#N/A</v>
      </c>
      <c r="V435" s="55" t="e">
        <f t="shared" ca="1" si="120"/>
        <v>#N/A</v>
      </c>
      <c r="W435" s="55" t="e">
        <f t="shared" ca="1" si="129"/>
        <v>#N/A</v>
      </c>
      <c r="X435" s="55" t="e">
        <f t="shared" ca="1" si="130"/>
        <v>#N/A</v>
      </c>
      <c r="Y435" s="55" t="e">
        <f t="shared" ca="1" si="131"/>
        <v>#N/A</v>
      </c>
      <c r="Z435" t="e">
        <f t="shared" ca="1" si="128"/>
        <v>#N/A</v>
      </c>
      <c r="AA435" t="e">
        <f t="shared" ca="1" si="121"/>
        <v>#N/A</v>
      </c>
      <c r="AB435" t="e">
        <f t="shared" ca="1" si="122"/>
        <v>#N/A</v>
      </c>
      <c r="AC435" t="e">
        <f t="shared" ca="1" si="123"/>
        <v>#N/A</v>
      </c>
      <c r="AD435" s="83" t="e">
        <f ca="1"/>
        <v>#N/A</v>
      </c>
      <c r="AE435" s="55" t="e">
        <f t="shared" ca="1" si="124"/>
        <v>#N/A</v>
      </c>
      <c r="AF435" s="55" t="e">
        <f t="shared" ca="1" si="125"/>
        <v>#N/A</v>
      </c>
      <c r="AG435" s="55" t="e">
        <f t="shared" ca="1" si="126"/>
        <v>#N/A</v>
      </c>
      <c r="AH435" s="55" t="e">
        <f t="shared" ca="1" si="127"/>
        <v>#N/A</v>
      </c>
      <c r="AI435" s="55" t="e">
        <f t="shared" ca="1" si="132"/>
        <v>#N/A</v>
      </c>
      <c r="AJ435" s="55" t="e">
        <f t="shared" ca="1" si="133"/>
        <v>#N/A</v>
      </c>
      <c r="AK435" s="55" t="e">
        <f t="shared" ca="1" si="134"/>
        <v>#N/A</v>
      </c>
    </row>
    <row r="436" spans="18:37">
      <c r="R436" s="55" t="e">
        <f ca="1"/>
        <v>#N/A</v>
      </c>
      <c r="S436" s="55" t="e">
        <f t="shared" ca="1" si="117"/>
        <v>#N/A</v>
      </c>
      <c r="T436" s="55" t="e">
        <f t="shared" ca="1" si="118"/>
        <v>#N/A</v>
      </c>
      <c r="U436" s="55" t="e">
        <f t="shared" ca="1" si="119"/>
        <v>#N/A</v>
      </c>
      <c r="V436" s="55" t="e">
        <f t="shared" ca="1" si="120"/>
        <v>#N/A</v>
      </c>
      <c r="W436" s="55" t="e">
        <f t="shared" ca="1" si="129"/>
        <v>#N/A</v>
      </c>
      <c r="X436" s="55" t="e">
        <f t="shared" ca="1" si="130"/>
        <v>#N/A</v>
      </c>
      <c r="Y436" s="55" t="e">
        <f t="shared" ca="1" si="131"/>
        <v>#N/A</v>
      </c>
      <c r="Z436" t="e">
        <f t="shared" ca="1" si="128"/>
        <v>#N/A</v>
      </c>
      <c r="AA436" t="e">
        <f t="shared" ca="1" si="121"/>
        <v>#N/A</v>
      </c>
      <c r="AB436" t="e">
        <f t="shared" ca="1" si="122"/>
        <v>#N/A</v>
      </c>
      <c r="AC436" t="e">
        <f t="shared" ca="1" si="123"/>
        <v>#N/A</v>
      </c>
      <c r="AD436" s="83" t="e">
        <f ca="1"/>
        <v>#N/A</v>
      </c>
      <c r="AE436" s="55" t="e">
        <f t="shared" ca="1" si="124"/>
        <v>#N/A</v>
      </c>
      <c r="AF436" s="55" t="e">
        <f t="shared" ca="1" si="125"/>
        <v>#N/A</v>
      </c>
      <c r="AG436" s="55" t="e">
        <f t="shared" ca="1" si="126"/>
        <v>#N/A</v>
      </c>
      <c r="AH436" s="55" t="e">
        <f t="shared" ca="1" si="127"/>
        <v>#N/A</v>
      </c>
      <c r="AI436" s="55" t="e">
        <f t="shared" ca="1" si="132"/>
        <v>#N/A</v>
      </c>
      <c r="AJ436" s="55" t="e">
        <f t="shared" ca="1" si="133"/>
        <v>#N/A</v>
      </c>
      <c r="AK436" s="55" t="e">
        <f t="shared" ca="1" si="134"/>
        <v>#N/A</v>
      </c>
    </row>
    <row r="437" spans="18:37">
      <c r="R437" s="55" t="e">
        <f ca="1"/>
        <v>#N/A</v>
      </c>
      <c r="S437" s="55" t="e">
        <f t="shared" ca="1" si="117"/>
        <v>#N/A</v>
      </c>
      <c r="T437" s="55" t="e">
        <f t="shared" ca="1" si="118"/>
        <v>#N/A</v>
      </c>
      <c r="U437" s="55" t="e">
        <f t="shared" ca="1" si="119"/>
        <v>#N/A</v>
      </c>
      <c r="V437" s="55" t="e">
        <f t="shared" ca="1" si="120"/>
        <v>#N/A</v>
      </c>
      <c r="W437" s="55" t="e">
        <f t="shared" ca="1" si="129"/>
        <v>#N/A</v>
      </c>
      <c r="X437" s="55" t="e">
        <f t="shared" ca="1" si="130"/>
        <v>#N/A</v>
      </c>
      <c r="Y437" s="55" t="e">
        <f t="shared" ca="1" si="131"/>
        <v>#N/A</v>
      </c>
      <c r="Z437" t="e">
        <f t="shared" ca="1" si="128"/>
        <v>#N/A</v>
      </c>
      <c r="AA437" t="e">
        <f t="shared" ca="1" si="121"/>
        <v>#N/A</v>
      </c>
      <c r="AB437" t="e">
        <f t="shared" ca="1" si="122"/>
        <v>#N/A</v>
      </c>
      <c r="AC437" t="e">
        <f t="shared" ca="1" si="123"/>
        <v>#N/A</v>
      </c>
      <c r="AD437" s="83" t="e">
        <f ca="1"/>
        <v>#N/A</v>
      </c>
      <c r="AE437" s="55" t="e">
        <f t="shared" ca="1" si="124"/>
        <v>#N/A</v>
      </c>
      <c r="AF437" s="55" t="e">
        <f t="shared" ca="1" si="125"/>
        <v>#N/A</v>
      </c>
      <c r="AG437" s="55" t="e">
        <f t="shared" ca="1" si="126"/>
        <v>#N/A</v>
      </c>
      <c r="AH437" s="55" t="e">
        <f t="shared" ca="1" si="127"/>
        <v>#N/A</v>
      </c>
      <c r="AI437" s="55" t="e">
        <f t="shared" ca="1" si="132"/>
        <v>#N/A</v>
      </c>
      <c r="AJ437" s="55" t="e">
        <f t="shared" ca="1" si="133"/>
        <v>#N/A</v>
      </c>
      <c r="AK437" s="55" t="e">
        <f t="shared" ca="1" si="134"/>
        <v>#N/A</v>
      </c>
    </row>
    <row r="438" spans="18:37">
      <c r="R438" s="55" t="e">
        <f ca="1"/>
        <v>#N/A</v>
      </c>
      <c r="S438" s="55" t="e">
        <f t="shared" ca="1" si="117"/>
        <v>#N/A</v>
      </c>
      <c r="T438" s="55" t="e">
        <f t="shared" ca="1" si="118"/>
        <v>#N/A</v>
      </c>
      <c r="U438" s="55" t="e">
        <f t="shared" ca="1" si="119"/>
        <v>#N/A</v>
      </c>
      <c r="V438" s="55" t="e">
        <f t="shared" ca="1" si="120"/>
        <v>#N/A</v>
      </c>
      <c r="W438" s="55" t="e">
        <f t="shared" ca="1" si="129"/>
        <v>#N/A</v>
      </c>
      <c r="X438" s="55" t="e">
        <f t="shared" ca="1" si="130"/>
        <v>#N/A</v>
      </c>
      <c r="Y438" s="55" t="e">
        <f t="shared" ca="1" si="131"/>
        <v>#N/A</v>
      </c>
      <c r="Z438" t="e">
        <f t="shared" ca="1" si="128"/>
        <v>#N/A</v>
      </c>
      <c r="AA438" t="e">
        <f t="shared" ca="1" si="121"/>
        <v>#N/A</v>
      </c>
      <c r="AB438" t="e">
        <f t="shared" ca="1" si="122"/>
        <v>#N/A</v>
      </c>
      <c r="AC438" t="e">
        <f t="shared" ca="1" si="123"/>
        <v>#N/A</v>
      </c>
      <c r="AD438" s="83" t="e">
        <f ca="1"/>
        <v>#N/A</v>
      </c>
      <c r="AE438" s="55" t="e">
        <f t="shared" ca="1" si="124"/>
        <v>#N/A</v>
      </c>
      <c r="AF438" s="55" t="e">
        <f t="shared" ca="1" si="125"/>
        <v>#N/A</v>
      </c>
      <c r="AG438" s="55" t="e">
        <f t="shared" ca="1" si="126"/>
        <v>#N/A</v>
      </c>
      <c r="AH438" s="55" t="e">
        <f t="shared" ca="1" si="127"/>
        <v>#N/A</v>
      </c>
      <c r="AI438" s="55" t="e">
        <f t="shared" ca="1" si="132"/>
        <v>#N/A</v>
      </c>
      <c r="AJ438" s="55" t="e">
        <f t="shared" ca="1" si="133"/>
        <v>#N/A</v>
      </c>
      <c r="AK438" s="55" t="e">
        <f t="shared" ca="1" si="134"/>
        <v>#N/A</v>
      </c>
    </row>
    <row r="439" spans="18:37">
      <c r="R439" s="55" t="e">
        <f ca="1"/>
        <v>#N/A</v>
      </c>
      <c r="S439" s="55" t="e">
        <f t="shared" ca="1" si="117"/>
        <v>#N/A</v>
      </c>
      <c r="T439" s="55" t="e">
        <f t="shared" ca="1" si="118"/>
        <v>#N/A</v>
      </c>
      <c r="U439" s="55" t="e">
        <f t="shared" ca="1" si="119"/>
        <v>#N/A</v>
      </c>
      <c r="V439" s="55" t="e">
        <f t="shared" ca="1" si="120"/>
        <v>#N/A</v>
      </c>
      <c r="W439" s="55" t="e">
        <f t="shared" ca="1" si="129"/>
        <v>#N/A</v>
      </c>
      <c r="X439" s="55" t="e">
        <f t="shared" ca="1" si="130"/>
        <v>#N/A</v>
      </c>
      <c r="Y439" s="55" t="e">
        <f t="shared" ca="1" si="131"/>
        <v>#N/A</v>
      </c>
      <c r="Z439" t="e">
        <f t="shared" ca="1" si="128"/>
        <v>#N/A</v>
      </c>
      <c r="AA439" t="e">
        <f t="shared" ca="1" si="121"/>
        <v>#N/A</v>
      </c>
      <c r="AB439" t="e">
        <f t="shared" ca="1" si="122"/>
        <v>#N/A</v>
      </c>
      <c r="AC439" t="e">
        <f t="shared" ca="1" si="123"/>
        <v>#N/A</v>
      </c>
      <c r="AD439" s="83" t="e">
        <f ca="1"/>
        <v>#N/A</v>
      </c>
      <c r="AE439" s="55" t="e">
        <f t="shared" ca="1" si="124"/>
        <v>#N/A</v>
      </c>
      <c r="AF439" s="55" t="e">
        <f t="shared" ca="1" si="125"/>
        <v>#N/A</v>
      </c>
      <c r="AG439" s="55" t="e">
        <f t="shared" ca="1" si="126"/>
        <v>#N/A</v>
      </c>
      <c r="AH439" s="55" t="e">
        <f t="shared" ca="1" si="127"/>
        <v>#N/A</v>
      </c>
      <c r="AI439" s="55" t="e">
        <f t="shared" ca="1" si="132"/>
        <v>#N/A</v>
      </c>
      <c r="AJ439" s="55" t="e">
        <f t="shared" ca="1" si="133"/>
        <v>#N/A</v>
      </c>
      <c r="AK439" s="55" t="e">
        <f t="shared" ca="1" si="134"/>
        <v>#N/A</v>
      </c>
    </row>
    <row r="440" spans="18:37">
      <c r="R440" s="55" t="e">
        <f ca="1"/>
        <v>#N/A</v>
      </c>
      <c r="S440" s="55" t="e">
        <f t="shared" ca="1" si="117"/>
        <v>#N/A</v>
      </c>
      <c r="T440" s="55" t="e">
        <f t="shared" ca="1" si="118"/>
        <v>#N/A</v>
      </c>
      <c r="U440" s="55" t="e">
        <f t="shared" ca="1" si="119"/>
        <v>#N/A</v>
      </c>
      <c r="V440" s="55" t="e">
        <f t="shared" ca="1" si="120"/>
        <v>#N/A</v>
      </c>
      <c r="W440" s="55" t="e">
        <f t="shared" ca="1" si="129"/>
        <v>#N/A</v>
      </c>
      <c r="X440" s="55" t="e">
        <f t="shared" ca="1" si="130"/>
        <v>#N/A</v>
      </c>
      <c r="Y440" s="55" t="e">
        <f t="shared" ca="1" si="131"/>
        <v>#N/A</v>
      </c>
      <c r="Z440" t="e">
        <f t="shared" ca="1" si="128"/>
        <v>#N/A</v>
      </c>
      <c r="AA440" t="e">
        <f t="shared" ca="1" si="121"/>
        <v>#N/A</v>
      </c>
      <c r="AB440" t="e">
        <f t="shared" ca="1" si="122"/>
        <v>#N/A</v>
      </c>
      <c r="AC440" t="e">
        <f t="shared" ca="1" si="123"/>
        <v>#N/A</v>
      </c>
      <c r="AD440" s="83" t="e">
        <f ca="1"/>
        <v>#N/A</v>
      </c>
      <c r="AE440" s="55" t="e">
        <f t="shared" ca="1" si="124"/>
        <v>#N/A</v>
      </c>
      <c r="AF440" s="55" t="e">
        <f t="shared" ca="1" si="125"/>
        <v>#N/A</v>
      </c>
      <c r="AG440" s="55" t="e">
        <f t="shared" ca="1" si="126"/>
        <v>#N/A</v>
      </c>
      <c r="AH440" s="55" t="e">
        <f t="shared" ca="1" si="127"/>
        <v>#N/A</v>
      </c>
      <c r="AI440" s="55" t="e">
        <f t="shared" ca="1" si="132"/>
        <v>#N/A</v>
      </c>
      <c r="AJ440" s="55" t="e">
        <f t="shared" ca="1" si="133"/>
        <v>#N/A</v>
      </c>
      <c r="AK440" s="55" t="e">
        <f t="shared" ca="1" si="134"/>
        <v>#N/A</v>
      </c>
    </row>
    <row r="441" spans="18:37">
      <c r="R441" s="55" t="e">
        <f ca="1"/>
        <v>#N/A</v>
      </c>
      <c r="S441" s="55" t="e">
        <f t="shared" ca="1" si="117"/>
        <v>#N/A</v>
      </c>
      <c r="T441" s="55" t="e">
        <f t="shared" ca="1" si="118"/>
        <v>#N/A</v>
      </c>
      <c r="U441" s="55" t="e">
        <f t="shared" ca="1" si="119"/>
        <v>#N/A</v>
      </c>
      <c r="V441" s="55" t="e">
        <f t="shared" ca="1" si="120"/>
        <v>#N/A</v>
      </c>
      <c r="W441" s="55" t="e">
        <f t="shared" ca="1" si="129"/>
        <v>#N/A</v>
      </c>
      <c r="X441" s="55" t="e">
        <f t="shared" ca="1" si="130"/>
        <v>#N/A</v>
      </c>
      <c r="Y441" s="55" t="e">
        <f t="shared" ca="1" si="131"/>
        <v>#N/A</v>
      </c>
      <c r="Z441" t="e">
        <f t="shared" ca="1" si="128"/>
        <v>#N/A</v>
      </c>
      <c r="AA441" t="e">
        <f t="shared" ca="1" si="121"/>
        <v>#N/A</v>
      </c>
      <c r="AB441" t="e">
        <f t="shared" ca="1" si="122"/>
        <v>#N/A</v>
      </c>
      <c r="AC441" t="e">
        <f t="shared" ca="1" si="123"/>
        <v>#N/A</v>
      </c>
      <c r="AD441" s="83" t="e">
        <f ca="1"/>
        <v>#N/A</v>
      </c>
      <c r="AE441" s="55" t="e">
        <f t="shared" ca="1" si="124"/>
        <v>#N/A</v>
      </c>
      <c r="AF441" s="55" t="e">
        <f t="shared" ca="1" si="125"/>
        <v>#N/A</v>
      </c>
      <c r="AG441" s="55" t="e">
        <f t="shared" ca="1" si="126"/>
        <v>#N/A</v>
      </c>
      <c r="AH441" s="55" t="e">
        <f t="shared" ca="1" si="127"/>
        <v>#N/A</v>
      </c>
      <c r="AI441" s="55" t="e">
        <f t="shared" ca="1" si="132"/>
        <v>#N/A</v>
      </c>
      <c r="AJ441" s="55" t="e">
        <f t="shared" ca="1" si="133"/>
        <v>#N/A</v>
      </c>
      <c r="AK441" s="55" t="e">
        <f t="shared" ca="1" si="134"/>
        <v>#N/A</v>
      </c>
    </row>
    <row r="442" spans="18:37">
      <c r="R442" s="55" t="e">
        <f ca="1"/>
        <v>#N/A</v>
      </c>
      <c r="S442" s="55" t="e">
        <f t="shared" ca="1" si="117"/>
        <v>#N/A</v>
      </c>
      <c r="T442" s="55" t="e">
        <f t="shared" ca="1" si="118"/>
        <v>#N/A</v>
      </c>
      <c r="U442" s="55" t="e">
        <f t="shared" ca="1" si="119"/>
        <v>#N/A</v>
      </c>
      <c r="V442" s="55" t="e">
        <f t="shared" ca="1" si="120"/>
        <v>#N/A</v>
      </c>
      <c r="W442" s="55" t="e">
        <f t="shared" ca="1" si="129"/>
        <v>#N/A</v>
      </c>
      <c r="X442" s="55" t="e">
        <f t="shared" ca="1" si="130"/>
        <v>#N/A</v>
      </c>
      <c r="Y442" s="55" t="e">
        <f t="shared" ca="1" si="131"/>
        <v>#N/A</v>
      </c>
      <c r="Z442" t="e">
        <f t="shared" ca="1" si="128"/>
        <v>#N/A</v>
      </c>
      <c r="AA442" t="e">
        <f t="shared" ca="1" si="121"/>
        <v>#N/A</v>
      </c>
      <c r="AB442" t="e">
        <f t="shared" ca="1" si="122"/>
        <v>#N/A</v>
      </c>
      <c r="AC442" t="e">
        <f t="shared" ca="1" si="123"/>
        <v>#N/A</v>
      </c>
      <c r="AD442" s="83" t="e">
        <f ca="1"/>
        <v>#N/A</v>
      </c>
      <c r="AE442" s="55" t="e">
        <f t="shared" ca="1" si="124"/>
        <v>#N/A</v>
      </c>
      <c r="AF442" s="55" t="e">
        <f t="shared" ca="1" si="125"/>
        <v>#N/A</v>
      </c>
      <c r="AG442" s="55" t="e">
        <f t="shared" ca="1" si="126"/>
        <v>#N/A</v>
      </c>
      <c r="AH442" s="55" t="e">
        <f t="shared" ca="1" si="127"/>
        <v>#N/A</v>
      </c>
      <c r="AI442" s="55" t="e">
        <f t="shared" ca="1" si="132"/>
        <v>#N/A</v>
      </c>
      <c r="AJ442" s="55" t="e">
        <f t="shared" ca="1" si="133"/>
        <v>#N/A</v>
      </c>
      <c r="AK442" s="55" t="e">
        <f t="shared" ca="1" si="134"/>
        <v>#N/A</v>
      </c>
    </row>
    <row r="443" spans="18:37">
      <c r="R443" s="55" t="e">
        <f ca="1"/>
        <v>#N/A</v>
      </c>
      <c r="S443" s="55" t="e">
        <f t="shared" ca="1" si="117"/>
        <v>#N/A</v>
      </c>
      <c r="T443" s="55" t="e">
        <f t="shared" ca="1" si="118"/>
        <v>#N/A</v>
      </c>
      <c r="U443" s="55" t="e">
        <f t="shared" ca="1" si="119"/>
        <v>#N/A</v>
      </c>
      <c r="V443" s="55" t="e">
        <f t="shared" ca="1" si="120"/>
        <v>#N/A</v>
      </c>
      <c r="W443" s="55" t="e">
        <f t="shared" ca="1" si="129"/>
        <v>#N/A</v>
      </c>
      <c r="X443" s="55" t="e">
        <f t="shared" ca="1" si="130"/>
        <v>#N/A</v>
      </c>
      <c r="Y443" s="55" t="e">
        <f t="shared" ca="1" si="131"/>
        <v>#N/A</v>
      </c>
      <c r="Z443" t="e">
        <f t="shared" ca="1" si="128"/>
        <v>#N/A</v>
      </c>
      <c r="AA443" t="e">
        <f t="shared" ca="1" si="121"/>
        <v>#N/A</v>
      </c>
      <c r="AB443" t="e">
        <f t="shared" ca="1" si="122"/>
        <v>#N/A</v>
      </c>
      <c r="AC443" t="e">
        <f t="shared" ca="1" si="123"/>
        <v>#N/A</v>
      </c>
      <c r="AD443" s="83" t="e">
        <f ca="1"/>
        <v>#N/A</v>
      </c>
      <c r="AE443" s="55" t="e">
        <f t="shared" ca="1" si="124"/>
        <v>#N/A</v>
      </c>
      <c r="AF443" s="55" t="e">
        <f t="shared" ca="1" si="125"/>
        <v>#N/A</v>
      </c>
      <c r="AG443" s="55" t="e">
        <f t="shared" ca="1" si="126"/>
        <v>#N/A</v>
      </c>
      <c r="AH443" s="55" t="e">
        <f t="shared" ca="1" si="127"/>
        <v>#N/A</v>
      </c>
      <c r="AI443" s="55" t="e">
        <f t="shared" ca="1" si="132"/>
        <v>#N/A</v>
      </c>
      <c r="AJ443" s="55" t="e">
        <f t="shared" ca="1" si="133"/>
        <v>#N/A</v>
      </c>
      <c r="AK443" s="55" t="e">
        <f t="shared" ca="1" si="134"/>
        <v>#N/A</v>
      </c>
    </row>
    <row r="444" spans="18:37">
      <c r="R444" s="55" t="e">
        <f ca="1"/>
        <v>#N/A</v>
      </c>
      <c r="S444" s="55" t="e">
        <f t="shared" ca="1" si="117"/>
        <v>#N/A</v>
      </c>
      <c r="T444" s="55" t="e">
        <f t="shared" ca="1" si="118"/>
        <v>#N/A</v>
      </c>
      <c r="U444" s="55" t="e">
        <f t="shared" ca="1" si="119"/>
        <v>#N/A</v>
      </c>
      <c r="V444" s="55" t="e">
        <f t="shared" ca="1" si="120"/>
        <v>#N/A</v>
      </c>
      <c r="W444" s="55" t="e">
        <f t="shared" ca="1" si="129"/>
        <v>#N/A</v>
      </c>
      <c r="X444" s="55" t="e">
        <f t="shared" ca="1" si="130"/>
        <v>#N/A</v>
      </c>
      <c r="Y444" s="55" t="e">
        <f t="shared" ca="1" si="131"/>
        <v>#N/A</v>
      </c>
      <c r="Z444" t="e">
        <f t="shared" ca="1" si="128"/>
        <v>#N/A</v>
      </c>
      <c r="AA444" t="e">
        <f t="shared" ca="1" si="121"/>
        <v>#N/A</v>
      </c>
      <c r="AB444" t="e">
        <f t="shared" ca="1" si="122"/>
        <v>#N/A</v>
      </c>
      <c r="AC444" t="e">
        <f t="shared" ca="1" si="123"/>
        <v>#N/A</v>
      </c>
      <c r="AD444" s="83" t="e">
        <f ca="1"/>
        <v>#N/A</v>
      </c>
      <c r="AE444" s="55" t="e">
        <f t="shared" ca="1" si="124"/>
        <v>#N/A</v>
      </c>
      <c r="AF444" s="55" t="e">
        <f t="shared" ca="1" si="125"/>
        <v>#N/A</v>
      </c>
      <c r="AG444" s="55" t="e">
        <f t="shared" ca="1" si="126"/>
        <v>#N/A</v>
      </c>
      <c r="AH444" s="55" t="e">
        <f t="shared" ca="1" si="127"/>
        <v>#N/A</v>
      </c>
      <c r="AI444" s="55" t="e">
        <f t="shared" ca="1" si="132"/>
        <v>#N/A</v>
      </c>
      <c r="AJ444" s="55" t="e">
        <f t="shared" ca="1" si="133"/>
        <v>#N/A</v>
      </c>
      <c r="AK444" s="55" t="e">
        <f t="shared" ca="1" si="134"/>
        <v>#N/A</v>
      </c>
    </row>
    <row r="445" spans="18:37">
      <c r="R445" s="55" t="e">
        <f ca="1"/>
        <v>#N/A</v>
      </c>
      <c r="S445" s="55" t="e">
        <f t="shared" ca="1" si="117"/>
        <v>#N/A</v>
      </c>
      <c r="T445" s="55" t="e">
        <f t="shared" ca="1" si="118"/>
        <v>#N/A</v>
      </c>
      <c r="U445" s="55" t="e">
        <f t="shared" ca="1" si="119"/>
        <v>#N/A</v>
      </c>
      <c r="V445" s="55" t="e">
        <f t="shared" ca="1" si="120"/>
        <v>#N/A</v>
      </c>
      <c r="W445" s="55" t="e">
        <f t="shared" ca="1" si="129"/>
        <v>#N/A</v>
      </c>
      <c r="X445" s="55" t="e">
        <f t="shared" ca="1" si="130"/>
        <v>#N/A</v>
      </c>
      <c r="Y445" s="55" t="e">
        <f t="shared" ca="1" si="131"/>
        <v>#N/A</v>
      </c>
      <c r="Z445" t="e">
        <f t="shared" ca="1" si="128"/>
        <v>#N/A</v>
      </c>
      <c r="AA445" t="e">
        <f t="shared" ca="1" si="121"/>
        <v>#N/A</v>
      </c>
      <c r="AB445" t="e">
        <f t="shared" ca="1" si="122"/>
        <v>#N/A</v>
      </c>
      <c r="AC445" t="e">
        <f t="shared" ca="1" si="123"/>
        <v>#N/A</v>
      </c>
      <c r="AD445" s="83" t="e">
        <f ca="1"/>
        <v>#N/A</v>
      </c>
      <c r="AE445" s="55" t="e">
        <f t="shared" ca="1" si="124"/>
        <v>#N/A</v>
      </c>
      <c r="AF445" s="55" t="e">
        <f t="shared" ca="1" si="125"/>
        <v>#N/A</v>
      </c>
      <c r="AG445" s="55" t="e">
        <f t="shared" ca="1" si="126"/>
        <v>#N/A</v>
      </c>
      <c r="AH445" s="55" t="e">
        <f t="shared" ca="1" si="127"/>
        <v>#N/A</v>
      </c>
      <c r="AI445" s="55" t="e">
        <f t="shared" ca="1" si="132"/>
        <v>#N/A</v>
      </c>
      <c r="AJ445" s="55" t="e">
        <f t="shared" ca="1" si="133"/>
        <v>#N/A</v>
      </c>
      <c r="AK445" s="55" t="e">
        <f t="shared" ca="1" si="134"/>
        <v>#N/A</v>
      </c>
    </row>
    <row r="446" spans="18:37">
      <c r="R446" s="55" t="e">
        <f ca="1"/>
        <v>#N/A</v>
      </c>
      <c r="S446" s="55" t="e">
        <f t="shared" ca="1" si="117"/>
        <v>#N/A</v>
      </c>
      <c r="T446" s="55" t="e">
        <f t="shared" ca="1" si="118"/>
        <v>#N/A</v>
      </c>
      <c r="U446" s="55" t="e">
        <f t="shared" ca="1" si="119"/>
        <v>#N/A</v>
      </c>
      <c r="V446" s="55" t="e">
        <f t="shared" ca="1" si="120"/>
        <v>#N/A</v>
      </c>
      <c r="W446" s="55" t="e">
        <f t="shared" ca="1" si="129"/>
        <v>#N/A</v>
      </c>
      <c r="X446" s="55" t="e">
        <f t="shared" ca="1" si="130"/>
        <v>#N/A</v>
      </c>
      <c r="Y446" s="55" t="e">
        <f t="shared" ca="1" si="131"/>
        <v>#N/A</v>
      </c>
      <c r="Z446" t="e">
        <f t="shared" ca="1" si="128"/>
        <v>#N/A</v>
      </c>
      <c r="AA446" t="e">
        <f t="shared" ca="1" si="121"/>
        <v>#N/A</v>
      </c>
      <c r="AB446" t="e">
        <f t="shared" ca="1" si="122"/>
        <v>#N/A</v>
      </c>
      <c r="AC446" t="e">
        <f t="shared" ca="1" si="123"/>
        <v>#N/A</v>
      </c>
      <c r="AD446" s="83" t="e">
        <f ca="1"/>
        <v>#N/A</v>
      </c>
      <c r="AE446" s="55" t="e">
        <f t="shared" ca="1" si="124"/>
        <v>#N/A</v>
      </c>
      <c r="AF446" s="55" t="e">
        <f t="shared" ca="1" si="125"/>
        <v>#N/A</v>
      </c>
      <c r="AG446" s="55" t="e">
        <f t="shared" ca="1" si="126"/>
        <v>#N/A</v>
      </c>
      <c r="AH446" s="55" t="e">
        <f t="shared" ca="1" si="127"/>
        <v>#N/A</v>
      </c>
      <c r="AI446" s="55" t="e">
        <f t="shared" ca="1" si="132"/>
        <v>#N/A</v>
      </c>
      <c r="AJ446" s="55" t="e">
        <f t="shared" ca="1" si="133"/>
        <v>#N/A</v>
      </c>
      <c r="AK446" s="55" t="e">
        <f t="shared" ca="1" si="134"/>
        <v>#N/A</v>
      </c>
    </row>
    <row r="447" spans="18:37">
      <c r="R447" s="55" t="e">
        <f ca="1"/>
        <v>#N/A</v>
      </c>
      <c r="S447" s="55" t="e">
        <f t="shared" ca="1" si="117"/>
        <v>#N/A</v>
      </c>
      <c r="T447" s="55" t="e">
        <f t="shared" ca="1" si="118"/>
        <v>#N/A</v>
      </c>
      <c r="U447" s="55" t="e">
        <f t="shared" ca="1" si="119"/>
        <v>#N/A</v>
      </c>
      <c r="V447" s="55" t="e">
        <f t="shared" ca="1" si="120"/>
        <v>#N/A</v>
      </c>
      <c r="W447" s="55" t="e">
        <f t="shared" ca="1" si="129"/>
        <v>#N/A</v>
      </c>
      <c r="X447" s="55" t="e">
        <f t="shared" ca="1" si="130"/>
        <v>#N/A</v>
      </c>
      <c r="Y447" s="55" t="e">
        <f t="shared" ca="1" si="131"/>
        <v>#N/A</v>
      </c>
      <c r="Z447" t="e">
        <f t="shared" ca="1" si="128"/>
        <v>#N/A</v>
      </c>
      <c r="AA447" t="e">
        <f t="shared" ca="1" si="121"/>
        <v>#N/A</v>
      </c>
      <c r="AB447" t="e">
        <f t="shared" ca="1" si="122"/>
        <v>#N/A</v>
      </c>
      <c r="AC447" t="e">
        <f t="shared" ca="1" si="123"/>
        <v>#N/A</v>
      </c>
      <c r="AD447" s="83" t="e">
        <f ca="1"/>
        <v>#N/A</v>
      </c>
      <c r="AE447" s="55" t="e">
        <f t="shared" ca="1" si="124"/>
        <v>#N/A</v>
      </c>
      <c r="AF447" s="55" t="e">
        <f t="shared" ca="1" si="125"/>
        <v>#N/A</v>
      </c>
      <c r="AG447" s="55" t="e">
        <f t="shared" ca="1" si="126"/>
        <v>#N/A</v>
      </c>
      <c r="AH447" s="55" t="e">
        <f t="shared" ca="1" si="127"/>
        <v>#N/A</v>
      </c>
      <c r="AI447" s="55" t="e">
        <f t="shared" ca="1" si="132"/>
        <v>#N/A</v>
      </c>
      <c r="AJ447" s="55" t="e">
        <f t="shared" ca="1" si="133"/>
        <v>#N/A</v>
      </c>
      <c r="AK447" s="55" t="e">
        <f t="shared" ca="1" si="134"/>
        <v>#N/A</v>
      </c>
    </row>
    <row r="448" spans="18:37">
      <c r="R448" s="55" t="e">
        <f ca="1"/>
        <v>#N/A</v>
      </c>
      <c r="S448" s="55" t="e">
        <f t="shared" ca="1" si="117"/>
        <v>#N/A</v>
      </c>
      <c r="T448" s="55" t="e">
        <f t="shared" ca="1" si="118"/>
        <v>#N/A</v>
      </c>
      <c r="U448" s="55" t="e">
        <f t="shared" ca="1" si="119"/>
        <v>#N/A</v>
      </c>
      <c r="V448" s="55" t="e">
        <f t="shared" ca="1" si="120"/>
        <v>#N/A</v>
      </c>
      <c r="W448" s="55" t="e">
        <f t="shared" ca="1" si="129"/>
        <v>#N/A</v>
      </c>
      <c r="X448" s="55" t="e">
        <f t="shared" ca="1" si="130"/>
        <v>#N/A</v>
      </c>
      <c r="Y448" s="55" t="e">
        <f t="shared" ca="1" si="131"/>
        <v>#N/A</v>
      </c>
      <c r="Z448" t="e">
        <f t="shared" ca="1" si="128"/>
        <v>#N/A</v>
      </c>
      <c r="AA448" t="e">
        <f t="shared" ca="1" si="121"/>
        <v>#N/A</v>
      </c>
      <c r="AB448" t="e">
        <f t="shared" ca="1" si="122"/>
        <v>#N/A</v>
      </c>
      <c r="AC448" t="e">
        <f t="shared" ca="1" si="123"/>
        <v>#N/A</v>
      </c>
      <c r="AD448" s="83" t="e">
        <f ca="1"/>
        <v>#N/A</v>
      </c>
      <c r="AE448" s="55" t="e">
        <f t="shared" ca="1" si="124"/>
        <v>#N/A</v>
      </c>
      <c r="AF448" s="55" t="e">
        <f t="shared" ca="1" si="125"/>
        <v>#N/A</v>
      </c>
      <c r="AG448" s="55" t="e">
        <f t="shared" ca="1" si="126"/>
        <v>#N/A</v>
      </c>
      <c r="AH448" s="55" t="e">
        <f t="shared" ca="1" si="127"/>
        <v>#N/A</v>
      </c>
      <c r="AI448" s="55" t="e">
        <f t="shared" ca="1" si="132"/>
        <v>#N/A</v>
      </c>
      <c r="AJ448" s="55" t="e">
        <f t="shared" ca="1" si="133"/>
        <v>#N/A</v>
      </c>
      <c r="AK448" s="55" t="e">
        <f t="shared" ca="1" si="134"/>
        <v>#N/A</v>
      </c>
    </row>
    <row r="449" spans="18:37">
      <c r="R449" s="55" t="e">
        <f ca="1"/>
        <v>#N/A</v>
      </c>
      <c r="S449" s="55" t="e">
        <f t="shared" ca="1" si="117"/>
        <v>#N/A</v>
      </c>
      <c r="T449" s="55" t="e">
        <f t="shared" ca="1" si="118"/>
        <v>#N/A</v>
      </c>
      <c r="U449" s="55" t="e">
        <f t="shared" ca="1" si="119"/>
        <v>#N/A</v>
      </c>
      <c r="V449" s="55" t="e">
        <f t="shared" ca="1" si="120"/>
        <v>#N/A</v>
      </c>
      <c r="W449" s="55" t="e">
        <f t="shared" ca="1" si="129"/>
        <v>#N/A</v>
      </c>
      <c r="X449" s="55" t="e">
        <f t="shared" ca="1" si="130"/>
        <v>#N/A</v>
      </c>
      <c r="Y449" s="55" t="e">
        <f t="shared" ca="1" si="131"/>
        <v>#N/A</v>
      </c>
      <c r="Z449" t="e">
        <f t="shared" ca="1" si="128"/>
        <v>#N/A</v>
      </c>
      <c r="AA449" t="e">
        <f t="shared" ca="1" si="121"/>
        <v>#N/A</v>
      </c>
      <c r="AB449" t="e">
        <f t="shared" ca="1" si="122"/>
        <v>#N/A</v>
      </c>
      <c r="AC449" t="e">
        <f t="shared" ca="1" si="123"/>
        <v>#N/A</v>
      </c>
      <c r="AD449" s="83" t="e">
        <f ca="1"/>
        <v>#N/A</v>
      </c>
      <c r="AE449" s="55" t="e">
        <f t="shared" ca="1" si="124"/>
        <v>#N/A</v>
      </c>
      <c r="AF449" s="55" t="e">
        <f t="shared" ca="1" si="125"/>
        <v>#N/A</v>
      </c>
      <c r="AG449" s="55" t="e">
        <f t="shared" ca="1" si="126"/>
        <v>#N/A</v>
      </c>
      <c r="AH449" s="55" t="e">
        <f t="shared" ca="1" si="127"/>
        <v>#N/A</v>
      </c>
      <c r="AI449" s="55" t="e">
        <f t="shared" ca="1" si="132"/>
        <v>#N/A</v>
      </c>
      <c r="AJ449" s="55" t="e">
        <f t="shared" ca="1" si="133"/>
        <v>#N/A</v>
      </c>
      <c r="AK449" s="55" t="e">
        <f t="shared" ca="1" si="134"/>
        <v>#N/A</v>
      </c>
    </row>
    <row r="450" spans="18:37">
      <c r="R450" s="55" t="e">
        <f ca="1"/>
        <v>#N/A</v>
      </c>
      <c r="S450" s="55" t="e">
        <f t="shared" ca="1" si="117"/>
        <v>#N/A</v>
      </c>
      <c r="T450" s="55" t="e">
        <f t="shared" ca="1" si="118"/>
        <v>#N/A</v>
      </c>
      <c r="U450" s="55" t="e">
        <f t="shared" ca="1" si="119"/>
        <v>#N/A</v>
      </c>
      <c r="V450" s="55" t="e">
        <f t="shared" ca="1" si="120"/>
        <v>#N/A</v>
      </c>
      <c r="W450" s="55" t="e">
        <f t="shared" ca="1" si="129"/>
        <v>#N/A</v>
      </c>
      <c r="X450" s="55" t="e">
        <f t="shared" ca="1" si="130"/>
        <v>#N/A</v>
      </c>
      <c r="Y450" s="55" t="e">
        <f t="shared" ca="1" si="131"/>
        <v>#N/A</v>
      </c>
      <c r="Z450" t="e">
        <f t="shared" ca="1" si="128"/>
        <v>#N/A</v>
      </c>
      <c r="AA450" t="e">
        <f t="shared" ca="1" si="121"/>
        <v>#N/A</v>
      </c>
      <c r="AB450" t="e">
        <f t="shared" ca="1" si="122"/>
        <v>#N/A</v>
      </c>
      <c r="AC450" t="e">
        <f t="shared" ca="1" si="123"/>
        <v>#N/A</v>
      </c>
      <c r="AD450" s="83" t="e">
        <f ca="1"/>
        <v>#N/A</v>
      </c>
      <c r="AE450" s="55" t="e">
        <f t="shared" ca="1" si="124"/>
        <v>#N/A</v>
      </c>
      <c r="AF450" s="55" t="e">
        <f t="shared" ca="1" si="125"/>
        <v>#N/A</v>
      </c>
      <c r="AG450" s="55" t="e">
        <f t="shared" ca="1" si="126"/>
        <v>#N/A</v>
      </c>
      <c r="AH450" s="55" t="e">
        <f t="shared" ca="1" si="127"/>
        <v>#N/A</v>
      </c>
      <c r="AI450" s="55" t="e">
        <f t="shared" ca="1" si="132"/>
        <v>#N/A</v>
      </c>
      <c r="AJ450" s="55" t="e">
        <f t="shared" ca="1" si="133"/>
        <v>#N/A</v>
      </c>
      <c r="AK450" s="55" t="e">
        <f t="shared" ca="1" si="134"/>
        <v>#N/A</v>
      </c>
    </row>
    <row r="451" spans="18:37">
      <c r="R451" s="55" t="e">
        <f ca="1"/>
        <v>#N/A</v>
      </c>
      <c r="S451" s="55" t="e">
        <f t="shared" ca="1" si="117"/>
        <v>#N/A</v>
      </c>
      <c r="T451" s="55" t="e">
        <f t="shared" ca="1" si="118"/>
        <v>#N/A</v>
      </c>
      <c r="U451" s="55" t="e">
        <f t="shared" ca="1" si="119"/>
        <v>#N/A</v>
      </c>
      <c r="V451" s="55" t="e">
        <f t="shared" ca="1" si="120"/>
        <v>#N/A</v>
      </c>
      <c r="W451" s="55" t="e">
        <f t="shared" ca="1" si="129"/>
        <v>#N/A</v>
      </c>
      <c r="X451" s="55" t="e">
        <f t="shared" ca="1" si="130"/>
        <v>#N/A</v>
      </c>
      <c r="Y451" s="55" t="e">
        <f t="shared" ca="1" si="131"/>
        <v>#N/A</v>
      </c>
      <c r="Z451" t="e">
        <f t="shared" ca="1" si="128"/>
        <v>#N/A</v>
      </c>
      <c r="AA451" t="e">
        <f t="shared" ca="1" si="121"/>
        <v>#N/A</v>
      </c>
      <c r="AB451" t="e">
        <f t="shared" ca="1" si="122"/>
        <v>#N/A</v>
      </c>
      <c r="AC451" t="e">
        <f t="shared" ca="1" si="123"/>
        <v>#N/A</v>
      </c>
      <c r="AD451" s="83" t="e">
        <f ca="1"/>
        <v>#N/A</v>
      </c>
      <c r="AE451" s="55" t="e">
        <f t="shared" ca="1" si="124"/>
        <v>#N/A</v>
      </c>
      <c r="AF451" s="55" t="e">
        <f t="shared" ca="1" si="125"/>
        <v>#N/A</v>
      </c>
      <c r="AG451" s="55" t="e">
        <f t="shared" ca="1" si="126"/>
        <v>#N/A</v>
      </c>
      <c r="AH451" s="55" t="e">
        <f t="shared" ca="1" si="127"/>
        <v>#N/A</v>
      </c>
      <c r="AI451" s="55" t="e">
        <f t="shared" ca="1" si="132"/>
        <v>#N/A</v>
      </c>
      <c r="AJ451" s="55" t="e">
        <f t="shared" ca="1" si="133"/>
        <v>#N/A</v>
      </c>
      <c r="AK451" s="55" t="e">
        <f t="shared" ca="1" si="134"/>
        <v>#N/A</v>
      </c>
    </row>
    <row r="452" spans="18:37">
      <c r="R452" s="55" t="e">
        <f ca="1"/>
        <v>#N/A</v>
      </c>
      <c r="S452" s="55" t="e">
        <f t="shared" ca="1" si="117"/>
        <v>#N/A</v>
      </c>
      <c r="T452" s="55" t="e">
        <f t="shared" ca="1" si="118"/>
        <v>#N/A</v>
      </c>
      <c r="U452" s="55" t="e">
        <f t="shared" ca="1" si="119"/>
        <v>#N/A</v>
      </c>
      <c r="V452" s="55" t="e">
        <f t="shared" ca="1" si="120"/>
        <v>#N/A</v>
      </c>
      <c r="W452" s="55" t="e">
        <f t="shared" ca="1" si="129"/>
        <v>#N/A</v>
      </c>
      <c r="X452" s="55" t="e">
        <f t="shared" ca="1" si="130"/>
        <v>#N/A</v>
      </c>
      <c r="Y452" s="55" t="e">
        <f t="shared" ca="1" si="131"/>
        <v>#N/A</v>
      </c>
      <c r="Z452" t="e">
        <f t="shared" ca="1" si="128"/>
        <v>#N/A</v>
      </c>
      <c r="AA452" t="e">
        <f t="shared" ca="1" si="121"/>
        <v>#N/A</v>
      </c>
      <c r="AB452" t="e">
        <f t="shared" ca="1" si="122"/>
        <v>#N/A</v>
      </c>
      <c r="AC452" t="e">
        <f t="shared" ca="1" si="123"/>
        <v>#N/A</v>
      </c>
      <c r="AD452" s="83" t="e">
        <f ca="1"/>
        <v>#N/A</v>
      </c>
      <c r="AE452" s="55" t="e">
        <f t="shared" ca="1" si="124"/>
        <v>#N/A</v>
      </c>
      <c r="AF452" s="55" t="e">
        <f t="shared" ca="1" si="125"/>
        <v>#N/A</v>
      </c>
      <c r="AG452" s="55" t="e">
        <f t="shared" ca="1" si="126"/>
        <v>#N/A</v>
      </c>
      <c r="AH452" s="55" t="e">
        <f t="shared" ca="1" si="127"/>
        <v>#N/A</v>
      </c>
      <c r="AI452" s="55" t="e">
        <f t="shared" ca="1" si="132"/>
        <v>#N/A</v>
      </c>
      <c r="AJ452" s="55" t="e">
        <f t="shared" ca="1" si="133"/>
        <v>#N/A</v>
      </c>
      <c r="AK452" s="55" t="e">
        <f t="shared" ca="1" si="134"/>
        <v>#N/A</v>
      </c>
    </row>
    <row r="453" spans="18:37">
      <c r="R453" s="55" t="e">
        <f ca="1"/>
        <v>#N/A</v>
      </c>
      <c r="S453" s="55" t="e">
        <f t="shared" ca="1" si="117"/>
        <v>#N/A</v>
      </c>
      <c r="T453" s="55" t="e">
        <f t="shared" ca="1" si="118"/>
        <v>#N/A</v>
      </c>
      <c r="U453" s="55" t="e">
        <f t="shared" ca="1" si="119"/>
        <v>#N/A</v>
      </c>
      <c r="V453" s="55" t="e">
        <f t="shared" ca="1" si="120"/>
        <v>#N/A</v>
      </c>
      <c r="W453" s="55" t="e">
        <f t="shared" ca="1" si="129"/>
        <v>#N/A</v>
      </c>
      <c r="X453" s="55" t="e">
        <f t="shared" ca="1" si="130"/>
        <v>#N/A</v>
      </c>
      <c r="Y453" s="55" t="e">
        <f t="shared" ca="1" si="131"/>
        <v>#N/A</v>
      </c>
      <c r="Z453" t="e">
        <f t="shared" ca="1" si="128"/>
        <v>#N/A</v>
      </c>
      <c r="AA453" t="e">
        <f t="shared" ca="1" si="121"/>
        <v>#N/A</v>
      </c>
      <c r="AB453" t="e">
        <f t="shared" ca="1" si="122"/>
        <v>#N/A</v>
      </c>
      <c r="AC453" t="e">
        <f t="shared" ca="1" si="123"/>
        <v>#N/A</v>
      </c>
      <c r="AD453" s="83" t="e">
        <f ca="1"/>
        <v>#N/A</v>
      </c>
      <c r="AE453" s="55" t="e">
        <f t="shared" ca="1" si="124"/>
        <v>#N/A</v>
      </c>
      <c r="AF453" s="55" t="e">
        <f t="shared" ca="1" si="125"/>
        <v>#N/A</v>
      </c>
      <c r="AG453" s="55" t="e">
        <f t="shared" ca="1" si="126"/>
        <v>#N/A</v>
      </c>
      <c r="AH453" s="55" t="e">
        <f t="shared" ca="1" si="127"/>
        <v>#N/A</v>
      </c>
      <c r="AI453" s="55" t="e">
        <f t="shared" ca="1" si="132"/>
        <v>#N/A</v>
      </c>
      <c r="AJ453" s="55" t="e">
        <f t="shared" ca="1" si="133"/>
        <v>#N/A</v>
      </c>
      <c r="AK453" s="55" t="e">
        <f t="shared" ca="1" si="134"/>
        <v>#N/A</v>
      </c>
    </row>
    <row r="454" spans="18:37">
      <c r="R454" s="55" t="e">
        <f ca="1"/>
        <v>#N/A</v>
      </c>
      <c r="S454" s="55" t="e">
        <f t="shared" ca="1" si="117"/>
        <v>#N/A</v>
      </c>
      <c r="T454" s="55" t="e">
        <f t="shared" ca="1" si="118"/>
        <v>#N/A</v>
      </c>
      <c r="U454" s="55" t="e">
        <f t="shared" ca="1" si="119"/>
        <v>#N/A</v>
      </c>
      <c r="V454" s="55" t="e">
        <f t="shared" ca="1" si="120"/>
        <v>#N/A</v>
      </c>
      <c r="W454" s="55" t="e">
        <f t="shared" ca="1" si="129"/>
        <v>#N/A</v>
      </c>
      <c r="X454" s="55" t="e">
        <f t="shared" ca="1" si="130"/>
        <v>#N/A</v>
      </c>
      <c r="Y454" s="55" t="e">
        <f t="shared" ca="1" si="131"/>
        <v>#N/A</v>
      </c>
      <c r="Z454" t="e">
        <f t="shared" ca="1" si="128"/>
        <v>#N/A</v>
      </c>
      <c r="AA454" t="e">
        <f t="shared" ca="1" si="121"/>
        <v>#N/A</v>
      </c>
      <c r="AB454" t="e">
        <f t="shared" ca="1" si="122"/>
        <v>#N/A</v>
      </c>
      <c r="AC454" t="e">
        <f t="shared" ca="1" si="123"/>
        <v>#N/A</v>
      </c>
      <c r="AD454" s="83" t="e">
        <f ca="1"/>
        <v>#N/A</v>
      </c>
      <c r="AE454" s="55" t="e">
        <f t="shared" ca="1" si="124"/>
        <v>#N/A</v>
      </c>
      <c r="AF454" s="55" t="e">
        <f t="shared" ca="1" si="125"/>
        <v>#N/A</v>
      </c>
      <c r="AG454" s="55" t="e">
        <f t="shared" ca="1" si="126"/>
        <v>#N/A</v>
      </c>
      <c r="AH454" s="55" t="e">
        <f t="shared" ca="1" si="127"/>
        <v>#N/A</v>
      </c>
      <c r="AI454" s="55" t="e">
        <f t="shared" ca="1" si="132"/>
        <v>#N/A</v>
      </c>
      <c r="AJ454" s="55" t="e">
        <f t="shared" ca="1" si="133"/>
        <v>#N/A</v>
      </c>
      <c r="AK454" s="55" t="e">
        <f t="shared" ca="1" si="134"/>
        <v>#N/A</v>
      </c>
    </row>
    <row r="455" spans="18:37">
      <c r="R455" s="55" t="e">
        <f ca="1"/>
        <v>#N/A</v>
      </c>
      <c r="S455" s="55" t="e">
        <f t="shared" ca="1" si="117"/>
        <v>#N/A</v>
      </c>
      <c r="T455" s="55" t="e">
        <f t="shared" ca="1" si="118"/>
        <v>#N/A</v>
      </c>
      <c r="U455" s="55" t="e">
        <f t="shared" ca="1" si="119"/>
        <v>#N/A</v>
      </c>
      <c r="V455" s="55" t="e">
        <f t="shared" ca="1" si="120"/>
        <v>#N/A</v>
      </c>
      <c r="W455" s="55" t="e">
        <f t="shared" ca="1" si="129"/>
        <v>#N/A</v>
      </c>
      <c r="X455" s="55" t="e">
        <f t="shared" ca="1" si="130"/>
        <v>#N/A</v>
      </c>
      <c r="Y455" s="55" t="e">
        <f t="shared" ca="1" si="131"/>
        <v>#N/A</v>
      </c>
      <c r="Z455" t="e">
        <f t="shared" ca="1" si="128"/>
        <v>#N/A</v>
      </c>
      <c r="AA455" t="e">
        <f t="shared" ca="1" si="121"/>
        <v>#N/A</v>
      </c>
      <c r="AB455" t="e">
        <f t="shared" ca="1" si="122"/>
        <v>#N/A</v>
      </c>
      <c r="AC455" t="e">
        <f t="shared" ca="1" si="123"/>
        <v>#N/A</v>
      </c>
      <c r="AD455" s="83" t="e">
        <f ca="1"/>
        <v>#N/A</v>
      </c>
      <c r="AE455" s="55" t="e">
        <f t="shared" ca="1" si="124"/>
        <v>#N/A</v>
      </c>
      <c r="AF455" s="55" t="e">
        <f t="shared" ca="1" si="125"/>
        <v>#N/A</v>
      </c>
      <c r="AG455" s="55" t="e">
        <f t="shared" ca="1" si="126"/>
        <v>#N/A</v>
      </c>
      <c r="AH455" s="55" t="e">
        <f t="shared" ca="1" si="127"/>
        <v>#N/A</v>
      </c>
      <c r="AI455" s="55" t="e">
        <f t="shared" ca="1" si="132"/>
        <v>#N/A</v>
      </c>
      <c r="AJ455" s="55" t="e">
        <f t="shared" ca="1" si="133"/>
        <v>#N/A</v>
      </c>
      <c r="AK455" s="55" t="e">
        <f t="shared" ca="1" si="134"/>
        <v>#N/A</v>
      </c>
    </row>
    <row r="456" spans="18:37">
      <c r="R456" s="55" t="e">
        <f ca="1"/>
        <v>#N/A</v>
      </c>
      <c r="S456" s="55" t="e">
        <f t="shared" ca="1" si="117"/>
        <v>#N/A</v>
      </c>
      <c r="T456" s="55" t="e">
        <f t="shared" ca="1" si="118"/>
        <v>#N/A</v>
      </c>
      <c r="U456" s="55" t="e">
        <f t="shared" ca="1" si="119"/>
        <v>#N/A</v>
      </c>
      <c r="V456" s="55" t="e">
        <f t="shared" ca="1" si="120"/>
        <v>#N/A</v>
      </c>
      <c r="W456" s="55" t="e">
        <f t="shared" ca="1" si="129"/>
        <v>#N/A</v>
      </c>
      <c r="X456" s="55" t="e">
        <f t="shared" ca="1" si="130"/>
        <v>#N/A</v>
      </c>
      <c r="Y456" s="55" t="e">
        <f t="shared" ca="1" si="131"/>
        <v>#N/A</v>
      </c>
      <c r="Z456" t="e">
        <f t="shared" ca="1" si="128"/>
        <v>#N/A</v>
      </c>
      <c r="AA456" t="e">
        <f t="shared" ca="1" si="121"/>
        <v>#N/A</v>
      </c>
      <c r="AB456" t="e">
        <f t="shared" ca="1" si="122"/>
        <v>#N/A</v>
      </c>
      <c r="AC456" t="e">
        <f t="shared" ca="1" si="123"/>
        <v>#N/A</v>
      </c>
      <c r="AD456" s="83" t="e">
        <f ca="1"/>
        <v>#N/A</v>
      </c>
      <c r="AE456" s="55" t="e">
        <f t="shared" ca="1" si="124"/>
        <v>#N/A</v>
      </c>
      <c r="AF456" s="55" t="e">
        <f t="shared" ca="1" si="125"/>
        <v>#N/A</v>
      </c>
      <c r="AG456" s="55" t="e">
        <f t="shared" ca="1" si="126"/>
        <v>#N/A</v>
      </c>
      <c r="AH456" s="55" t="e">
        <f t="shared" ca="1" si="127"/>
        <v>#N/A</v>
      </c>
      <c r="AI456" s="55" t="e">
        <f t="shared" ca="1" si="132"/>
        <v>#N/A</v>
      </c>
      <c r="AJ456" s="55" t="e">
        <f t="shared" ca="1" si="133"/>
        <v>#N/A</v>
      </c>
      <c r="AK456" s="55" t="e">
        <f t="shared" ca="1" si="134"/>
        <v>#N/A</v>
      </c>
    </row>
    <row r="457" spans="18:37">
      <c r="R457" s="55" t="e">
        <f ca="1"/>
        <v>#N/A</v>
      </c>
      <c r="S457" s="55" t="e">
        <f t="shared" ca="1" si="117"/>
        <v>#N/A</v>
      </c>
      <c r="T457" s="55" t="e">
        <f t="shared" ca="1" si="118"/>
        <v>#N/A</v>
      </c>
      <c r="U457" s="55" t="e">
        <f t="shared" ca="1" si="119"/>
        <v>#N/A</v>
      </c>
      <c r="V457" s="55" t="e">
        <f t="shared" ca="1" si="120"/>
        <v>#N/A</v>
      </c>
      <c r="W457" s="55" t="e">
        <f t="shared" ca="1" si="129"/>
        <v>#N/A</v>
      </c>
      <c r="X457" s="55" t="e">
        <f t="shared" ca="1" si="130"/>
        <v>#N/A</v>
      </c>
      <c r="Y457" s="55" t="e">
        <f t="shared" ca="1" si="131"/>
        <v>#N/A</v>
      </c>
      <c r="Z457" t="e">
        <f t="shared" ca="1" si="128"/>
        <v>#N/A</v>
      </c>
      <c r="AA457" t="e">
        <f t="shared" ca="1" si="121"/>
        <v>#N/A</v>
      </c>
      <c r="AB457" t="e">
        <f t="shared" ca="1" si="122"/>
        <v>#N/A</v>
      </c>
      <c r="AC457" t="e">
        <f t="shared" ca="1" si="123"/>
        <v>#N/A</v>
      </c>
      <c r="AD457" s="83" t="e">
        <f ca="1"/>
        <v>#N/A</v>
      </c>
      <c r="AE457" s="55" t="e">
        <f t="shared" ca="1" si="124"/>
        <v>#N/A</v>
      </c>
      <c r="AF457" s="55" t="e">
        <f t="shared" ca="1" si="125"/>
        <v>#N/A</v>
      </c>
      <c r="AG457" s="55" t="e">
        <f t="shared" ca="1" si="126"/>
        <v>#N/A</v>
      </c>
      <c r="AH457" s="55" t="e">
        <f t="shared" ca="1" si="127"/>
        <v>#N/A</v>
      </c>
      <c r="AI457" s="55" t="e">
        <f t="shared" ca="1" si="132"/>
        <v>#N/A</v>
      </c>
      <c r="AJ457" s="55" t="e">
        <f t="shared" ca="1" si="133"/>
        <v>#N/A</v>
      </c>
      <c r="AK457" s="55" t="e">
        <f t="shared" ca="1" si="134"/>
        <v>#N/A</v>
      </c>
    </row>
    <row r="458" spans="18:37">
      <c r="R458" s="55" t="e">
        <f ca="1"/>
        <v>#N/A</v>
      </c>
      <c r="S458" s="55" t="e">
        <f t="shared" ca="1" si="117"/>
        <v>#N/A</v>
      </c>
      <c r="T458" s="55" t="e">
        <f t="shared" ca="1" si="118"/>
        <v>#N/A</v>
      </c>
      <c r="U458" s="55" t="e">
        <f t="shared" ca="1" si="119"/>
        <v>#N/A</v>
      </c>
      <c r="V458" s="55" t="e">
        <f t="shared" ca="1" si="120"/>
        <v>#N/A</v>
      </c>
      <c r="W458" s="55" t="e">
        <f t="shared" ca="1" si="129"/>
        <v>#N/A</v>
      </c>
      <c r="X458" s="55" t="e">
        <f t="shared" ca="1" si="130"/>
        <v>#N/A</v>
      </c>
      <c r="Y458" s="55" t="e">
        <f t="shared" ca="1" si="131"/>
        <v>#N/A</v>
      </c>
      <c r="Z458" t="e">
        <f t="shared" ca="1" si="128"/>
        <v>#N/A</v>
      </c>
      <c r="AA458" t="e">
        <f t="shared" ca="1" si="121"/>
        <v>#N/A</v>
      </c>
      <c r="AB458" t="e">
        <f t="shared" ca="1" si="122"/>
        <v>#N/A</v>
      </c>
      <c r="AC458" t="e">
        <f t="shared" ca="1" si="123"/>
        <v>#N/A</v>
      </c>
      <c r="AD458" s="83" t="e">
        <f ca="1"/>
        <v>#N/A</v>
      </c>
      <c r="AE458" s="55" t="e">
        <f t="shared" ca="1" si="124"/>
        <v>#N/A</v>
      </c>
      <c r="AF458" s="55" t="e">
        <f t="shared" ca="1" si="125"/>
        <v>#N/A</v>
      </c>
      <c r="AG458" s="55" t="e">
        <f t="shared" ca="1" si="126"/>
        <v>#N/A</v>
      </c>
      <c r="AH458" s="55" t="e">
        <f t="shared" ca="1" si="127"/>
        <v>#N/A</v>
      </c>
      <c r="AI458" s="55" t="e">
        <f t="shared" ca="1" si="132"/>
        <v>#N/A</v>
      </c>
      <c r="AJ458" s="55" t="e">
        <f t="shared" ca="1" si="133"/>
        <v>#N/A</v>
      </c>
      <c r="AK458" s="55" t="e">
        <f t="shared" ca="1" si="134"/>
        <v>#N/A</v>
      </c>
    </row>
    <row r="459" spans="18:37">
      <c r="R459" s="55" t="e">
        <f ca="1"/>
        <v>#N/A</v>
      </c>
      <c r="S459" s="55" t="e">
        <f t="shared" ca="1" si="117"/>
        <v>#N/A</v>
      </c>
      <c r="T459" s="55" t="e">
        <f t="shared" ca="1" si="118"/>
        <v>#N/A</v>
      </c>
      <c r="U459" s="55" t="e">
        <f t="shared" ca="1" si="119"/>
        <v>#N/A</v>
      </c>
      <c r="V459" s="55" t="e">
        <f t="shared" ca="1" si="120"/>
        <v>#N/A</v>
      </c>
      <c r="W459" s="55" t="e">
        <f t="shared" ca="1" si="129"/>
        <v>#N/A</v>
      </c>
      <c r="X459" s="55" t="e">
        <f t="shared" ca="1" si="130"/>
        <v>#N/A</v>
      </c>
      <c r="Y459" s="55" t="e">
        <f t="shared" ca="1" si="131"/>
        <v>#N/A</v>
      </c>
      <c r="Z459" t="e">
        <f t="shared" ca="1" si="128"/>
        <v>#N/A</v>
      </c>
      <c r="AA459" t="e">
        <f t="shared" ca="1" si="121"/>
        <v>#N/A</v>
      </c>
      <c r="AB459" t="e">
        <f t="shared" ca="1" si="122"/>
        <v>#N/A</v>
      </c>
      <c r="AC459" t="e">
        <f t="shared" ca="1" si="123"/>
        <v>#N/A</v>
      </c>
      <c r="AD459" s="83" t="e">
        <f ca="1"/>
        <v>#N/A</v>
      </c>
      <c r="AE459" s="55" t="e">
        <f t="shared" ca="1" si="124"/>
        <v>#N/A</v>
      </c>
      <c r="AF459" s="55" t="e">
        <f t="shared" ca="1" si="125"/>
        <v>#N/A</v>
      </c>
      <c r="AG459" s="55" t="e">
        <f t="shared" ca="1" si="126"/>
        <v>#N/A</v>
      </c>
      <c r="AH459" s="55" t="e">
        <f t="shared" ca="1" si="127"/>
        <v>#N/A</v>
      </c>
      <c r="AI459" s="55" t="e">
        <f t="shared" ca="1" si="132"/>
        <v>#N/A</v>
      </c>
      <c r="AJ459" s="55" t="e">
        <f t="shared" ca="1" si="133"/>
        <v>#N/A</v>
      </c>
      <c r="AK459" s="55" t="e">
        <f t="shared" ca="1" si="134"/>
        <v>#N/A</v>
      </c>
    </row>
    <row r="460" spans="18:37">
      <c r="R460" s="55" t="e">
        <f ca="1"/>
        <v>#N/A</v>
      </c>
      <c r="S460" s="55" t="e">
        <f t="shared" ref="S460:S523" ca="1" si="135">IF(R460&gt;1,R460,"")</f>
        <v>#N/A</v>
      </c>
      <c r="T460" s="55" t="e">
        <f t="shared" ref="T460:T523" ca="1" si="136">VLOOKUP(S460,ModelOutputs,2,FALSE)</f>
        <v>#N/A</v>
      </c>
      <c r="U460" s="55" t="e">
        <f t="shared" ref="U460:U523" ca="1" si="137">VLOOKUP(S460,ModelOutputs,7,FALSE)</f>
        <v>#N/A</v>
      </c>
      <c r="V460" s="55" t="e">
        <f t="shared" ref="V460:V523" ca="1" si="138">VLOOKUP(S460,ModelOutputs,6,FALSE)</f>
        <v>#N/A</v>
      </c>
      <c r="W460" s="55" t="e">
        <f t="shared" ca="1" si="129"/>
        <v>#N/A</v>
      </c>
      <c r="X460" s="55" t="e">
        <f t="shared" ca="1" si="130"/>
        <v>#N/A</v>
      </c>
      <c r="Y460" s="55" t="e">
        <f t="shared" ca="1" si="131"/>
        <v>#N/A</v>
      </c>
      <c r="Z460" t="e">
        <f t="shared" ca="1" si="128"/>
        <v>#N/A</v>
      </c>
      <c r="AA460" t="e">
        <f t="shared" ref="AA460:AA523" ca="1" si="139">VLOOKUP(S460,ModelOutputs,11,FALSE)+AA459</f>
        <v>#N/A</v>
      </c>
      <c r="AB460" t="e">
        <f t="shared" ref="AB460:AB523" ca="1" si="140">VLOOKUP(S460,ModelOutputs,12,FALSE)</f>
        <v>#N/A</v>
      </c>
      <c r="AC460" t="e">
        <f t="shared" ref="AC460:AC523" ca="1" si="141">VLOOKUP(S460,ModelOutputs,13,FALSE)</f>
        <v>#N/A</v>
      </c>
      <c r="AD460" s="83" t="e">
        <f ca="1"/>
        <v>#N/A</v>
      </c>
      <c r="AE460" s="55" t="e">
        <f t="shared" ref="AE460:AE523" ca="1" si="142">IF(AD460&gt;1,AD460,"")</f>
        <v>#N/A</v>
      </c>
      <c r="AF460" s="55" t="e">
        <f t="shared" ref="AF460:AF523" ca="1" si="143">VLOOKUP(AE460,ModelOutputs,2,FALSE)</f>
        <v>#N/A</v>
      </c>
      <c r="AG460" s="55" t="e">
        <f t="shared" ref="AG460:AG523" ca="1" si="144">VLOOKUP(AE460,ModelOutputs,7,FALSE)</f>
        <v>#N/A</v>
      </c>
      <c r="AH460" s="55" t="e">
        <f t="shared" ref="AH460:AH523" ca="1" si="145">VLOOKUP(AE460,ModelOutputs,6,FALSE)</f>
        <v>#N/A</v>
      </c>
      <c r="AI460" s="55" t="e">
        <f t="shared" ca="1" si="132"/>
        <v>#N/A</v>
      </c>
      <c r="AJ460" s="55" t="e">
        <f t="shared" ca="1" si="133"/>
        <v>#N/A</v>
      </c>
      <c r="AK460" s="55" t="e">
        <f t="shared" ca="1" si="134"/>
        <v>#N/A</v>
      </c>
    </row>
    <row r="461" spans="18:37">
      <c r="R461" s="55" t="e">
        <f ca="1"/>
        <v>#N/A</v>
      </c>
      <c r="S461" s="55" t="e">
        <f t="shared" ca="1" si="135"/>
        <v>#N/A</v>
      </c>
      <c r="T461" s="55" t="e">
        <f t="shared" ca="1" si="136"/>
        <v>#N/A</v>
      </c>
      <c r="U461" s="55" t="e">
        <f t="shared" ca="1" si="137"/>
        <v>#N/A</v>
      </c>
      <c r="V461" s="55" t="e">
        <f t="shared" ca="1" si="138"/>
        <v>#N/A</v>
      </c>
      <c r="W461" s="55" t="e">
        <f t="shared" ca="1" si="129"/>
        <v>#N/A</v>
      </c>
      <c r="X461" s="55" t="e">
        <f t="shared" ca="1" si="130"/>
        <v>#N/A</v>
      </c>
      <c r="Y461" s="55" t="e">
        <f t="shared" ca="1" si="131"/>
        <v>#N/A</v>
      </c>
      <c r="Z461" t="e">
        <f t="shared" ca="1" si="128"/>
        <v>#N/A</v>
      </c>
      <c r="AA461" t="e">
        <f t="shared" ca="1" si="139"/>
        <v>#N/A</v>
      </c>
      <c r="AB461" t="e">
        <f t="shared" ca="1" si="140"/>
        <v>#N/A</v>
      </c>
      <c r="AC461" t="e">
        <f t="shared" ca="1" si="141"/>
        <v>#N/A</v>
      </c>
      <c r="AD461" s="83" t="e">
        <f ca="1"/>
        <v>#N/A</v>
      </c>
      <c r="AE461" s="55" t="e">
        <f t="shared" ca="1" si="142"/>
        <v>#N/A</v>
      </c>
      <c r="AF461" s="55" t="e">
        <f t="shared" ca="1" si="143"/>
        <v>#N/A</v>
      </c>
      <c r="AG461" s="55" t="e">
        <f t="shared" ca="1" si="144"/>
        <v>#N/A</v>
      </c>
      <c r="AH461" s="55" t="e">
        <f t="shared" ca="1" si="145"/>
        <v>#N/A</v>
      </c>
      <c r="AI461" s="55" t="e">
        <f t="shared" ca="1" si="132"/>
        <v>#N/A</v>
      </c>
      <c r="AJ461" s="55" t="e">
        <f t="shared" ca="1" si="133"/>
        <v>#N/A</v>
      </c>
      <c r="AK461" s="55" t="e">
        <f t="shared" ca="1" si="134"/>
        <v>#N/A</v>
      </c>
    </row>
    <row r="462" spans="18:37">
      <c r="R462" s="55" t="e">
        <f ca="1"/>
        <v>#N/A</v>
      </c>
      <c r="S462" s="55" t="e">
        <f t="shared" ca="1" si="135"/>
        <v>#N/A</v>
      </c>
      <c r="T462" s="55" t="e">
        <f t="shared" ca="1" si="136"/>
        <v>#N/A</v>
      </c>
      <c r="U462" s="55" t="e">
        <f t="shared" ca="1" si="137"/>
        <v>#N/A</v>
      </c>
      <c r="V462" s="55" t="e">
        <f t="shared" ca="1" si="138"/>
        <v>#N/A</v>
      </c>
      <c r="W462" s="55" t="e">
        <f t="shared" ca="1" si="129"/>
        <v>#N/A</v>
      </c>
      <c r="X462" s="55" t="e">
        <f t="shared" ca="1" si="130"/>
        <v>#N/A</v>
      </c>
      <c r="Y462" s="55" t="e">
        <f t="shared" ca="1" si="131"/>
        <v>#N/A</v>
      </c>
      <c r="Z462" t="e">
        <f t="shared" ca="1" si="128"/>
        <v>#N/A</v>
      </c>
      <c r="AA462" t="e">
        <f t="shared" ca="1" si="139"/>
        <v>#N/A</v>
      </c>
      <c r="AB462" t="e">
        <f t="shared" ca="1" si="140"/>
        <v>#N/A</v>
      </c>
      <c r="AC462" t="e">
        <f t="shared" ca="1" si="141"/>
        <v>#N/A</v>
      </c>
      <c r="AD462" s="83" t="e">
        <f ca="1"/>
        <v>#N/A</v>
      </c>
      <c r="AE462" s="55" t="e">
        <f t="shared" ca="1" si="142"/>
        <v>#N/A</v>
      </c>
      <c r="AF462" s="55" t="e">
        <f t="shared" ca="1" si="143"/>
        <v>#N/A</v>
      </c>
      <c r="AG462" s="55" t="e">
        <f t="shared" ca="1" si="144"/>
        <v>#N/A</v>
      </c>
      <c r="AH462" s="55" t="e">
        <f t="shared" ca="1" si="145"/>
        <v>#N/A</v>
      </c>
      <c r="AI462" s="55" t="e">
        <f t="shared" ca="1" si="132"/>
        <v>#N/A</v>
      </c>
      <c r="AJ462" s="55" t="e">
        <f t="shared" ca="1" si="133"/>
        <v>#N/A</v>
      </c>
      <c r="AK462" s="55" t="e">
        <f t="shared" ca="1" si="134"/>
        <v>#N/A</v>
      </c>
    </row>
    <row r="463" spans="18:37">
      <c r="R463" s="55" t="e">
        <f ca="1"/>
        <v>#N/A</v>
      </c>
      <c r="S463" s="55" t="e">
        <f t="shared" ca="1" si="135"/>
        <v>#N/A</v>
      </c>
      <c r="T463" s="55" t="e">
        <f t="shared" ca="1" si="136"/>
        <v>#N/A</v>
      </c>
      <c r="U463" s="55" t="e">
        <f t="shared" ca="1" si="137"/>
        <v>#N/A</v>
      </c>
      <c r="V463" s="55" t="e">
        <f t="shared" ca="1" si="138"/>
        <v>#N/A</v>
      </c>
      <c r="W463" s="55" t="e">
        <f t="shared" ca="1" si="129"/>
        <v>#N/A</v>
      </c>
      <c r="X463" s="55" t="e">
        <f t="shared" ca="1" si="130"/>
        <v>#N/A</v>
      </c>
      <c r="Y463" s="55" t="e">
        <f t="shared" ca="1" si="131"/>
        <v>#N/A</v>
      </c>
      <c r="Z463" t="e">
        <f t="shared" ca="1" si="128"/>
        <v>#N/A</v>
      </c>
      <c r="AA463" t="e">
        <f t="shared" ca="1" si="139"/>
        <v>#N/A</v>
      </c>
      <c r="AB463" t="e">
        <f t="shared" ca="1" si="140"/>
        <v>#N/A</v>
      </c>
      <c r="AC463" t="e">
        <f t="shared" ca="1" si="141"/>
        <v>#N/A</v>
      </c>
      <c r="AD463" s="83" t="e">
        <f ca="1"/>
        <v>#N/A</v>
      </c>
      <c r="AE463" s="55" t="e">
        <f t="shared" ca="1" si="142"/>
        <v>#N/A</v>
      </c>
      <c r="AF463" s="55" t="e">
        <f t="shared" ca="1" si="143"/>
        <v>#N/A</v>
      </c>
      <c r="AG463" s="55" t="e">
        <f t="shared" ca="1" si="144"/>
        <v>#N/A</v>
      </c>
      <c r="AH463" s="55" t="e">
        <f t="shared" ca="1" si="145"/>
        <v>#N/A</v>
      </c>
      <c r="AI463" s="55" t="e">
        <f t="shared" ca="1" si="132"/>
        <v>#N/A</v>
      </c>
      <c r="AJ463" s="55" t="e">
        <f t="shared" ca="1" si="133"/>
        <v>#N/A</v>
      </c>
      <c r="AK463" s="55" t="e">
        <f t="shared" ca="1" si="134"/>
        <v>#N/A</v>
      </c>
    </row>
    <row r="464" spans="18:37">
      <c r="R464" s="55" t="e">
        <f ca="1"/>
        <v>#N/A</v>
      </c>
      <c r="S464" s="55" t="e">
        <f t="shared" ca="1" si="135"/>
        <v>#N/A</v>
      </c>
      <c r="T464" s="55" t="e">
        <f t="shared" ca="1" si="136"/>
        <v>#N/A</v>
      </c>
      <c r="U464" s="55" t="e">
        <f t="shared" ca="1" si="137"/>
        <v>#N/A</v>
      </c>
      <c r="V464" s="55" t="e">
        <f t="shared" ca="1" si="138"/>
        <v>#N/A</v>
      </c>
      <c r="W464" s="55" t="e">
        <f t="shared" ca="1" si="129"/>
        <v>#N/A</v>
      </c>
      <c r="X464" s="55" t="e">
        <f t="shared" ca="1" si="130"/>
        <v>#N/A</v>
      </c>
      <c r="Y464" s="55" t="e">
        <f t="shared" ca="1" si="131"/>
        <v>#N/A</v>
      </c>
      <c r="Z464" t="e">
        <f t="shared" ca="1" si="128"/>
        <v>#N/A</v>
      </c>
      <c r="AA464" t="e">
        <f t="shared" ca="1" si="139"/>
        <v>#N/A</v>
      </c>
      <c r="AB464" t="e">
        <f t="shared" ca="1" si="140"/>
        <v>#N/A</v>
      </c>
      <c r="AC464" t="e">
        <f t="shared" ca="1" si="141"/>
        <v>#N/A</v>
      </c>
      <c r="AD464" s="83" t="e">
        <f ca="1"/>
        <v>#N/A</v>
      </c>
      <c r="AE464" s="55" t="e">
        <f t="shared" ca="1" si="142"/>
        <v>#N/A</v>
      </c>
      <c r="AF464" s="55" t="e">
        <f t="shared" ca="1" si="143"/>
        <v>#N/A</v>
      </c>
      <c r="AG464" s="55" t="e">
        <f t="shared" ca="1" si="144"/>
        <v>#N/A</v>
      </c>
      <c r="AH464" s="55" t="e">
        <f t="shared" ca="1" si="145"/>
        <v>#N/A</v>
      </c>
      <c r="AI464" s="55" t="e">
        <f t="shared" ca="1" si="132"/>
        <v>#N/A</v>
      </c>
      <c r="AJ464" s="55" t="e">
        <f t="shared" ca="1" si="133"/>
        <v>#N/A</v>
      </c>
      <c r="AK464" s="55" t="e">
        <f t="shared" ca="1" si="134"/>
        <v>#N/A</v>
      </c>
    </row>
    <row r="465" spans="18:37">
      <c r="R465" s="55" t="e">
        <f ca="1"/>
        <v>#N/A</v>
      </c>
      <c r="S465" s="55" t="e">
        <f t="shared" ca="1" si="135"/>
        <v>#N/A</v>
      </c>
      <c r="T465" s="55" t="e">
        <f t="shared" ca="1" si="136"/>
        <v>#N/A</v>
      </c>
      <c r="U465" s="55" t="e">
        <f t="shared" ca="1" si="137"/>
        <v>#N/A</v>
      </c>
      <c r="V465" s="55" t="e">
        <f t="shared" ca="1" si="138"/>
        <v>#N/A</v>
      </c>
      <c r="W465" s="55" t="e">
        <f t="shared" ca="1" si="129"/>
        <v>#N/A</v>
      </c>
      <c r="X465" s="55" t="e">
        <f t="shared" ca="1" si="130"/>
        <v>#N/A</v>
      </c>
      <c r="Y465" s="55" t="e">
        <f t="shared" ca="1" si="131"/>
        <v>#N/A</v>
      </c>
      <c r="Z465" t="e">
        <f t="shared" ca="1" si="128"/>
        <v>#N/A</v>
      </c>
      <c r="AA465" t="e">
        <f t="shared" ca="1" si="139"/>
        <v>#N/A</v>
      </c>
      <c r="AB465" t="e">
        <f t="shared" ca="1" si="140"/>
        <v>#N/A</v>
      </c>
      <c r="AC465" t="e">
        <f t="shared" ca="1" si="141"/>
        <v>#N/A</v>
      </c>
      <c r="AD465" s="83" t="e">
        <f ca="1"/>
        <v>#N/A</v>
      </c>
      <c r="AE465" s="55" t="e">
        <f t="shared" ca="1" si="142"/>
        <v>#N/A</v>
      </c>
      <c r="AF465" s="55" t="e">
        <f t="shared" ca="1" si="143"/>
        <v>#N/A</v>
      </c>
      <c r="AG465" s="55" t="e">
        <f t="shared" ca="1" si="144"/>
        <v>#N/A</v>
      </c>
      <c r="AH465" s="55" t="e">
        <f t="shared" ca="1" si="145"/>
        <v>#N/A</v>
      </c>
      <c r="AI465" s="55" t="e">
        <f t="shared" ca="1" si="132"/>
        <v>#N/A</v>
      </c>
      <c r="AJ465" s="55" t="e">
        <f t="shared" ca="1" si="133"/>
        <v>#N/A</v>
      </c>
      <c r="AK465" s="55" t="e">
        <f t="shared" ca="1" si="134"/>
        <v>#N/A</v>
      </c>
    </row>
    <row r="466" spans="18:37">
      <c r="R466" s="55" t="e">
        <f ca="1"/>
        <v>#N/A</v>
      </c>
      <c r="S466" s="55" t="e">
        <f t="shared" ca="1" si="135"/>
        <v>#N/A</v>
      </c>
      <c r="T466" s="55" t="e">
        <f t="shared" ca="1" si="136"/>
        <v>#N/A</v>
      </c>
      <c r="U466" s="55" t="e">
        <f t="shared" ca="1" si="137"/>
        <v>#N/A</v>
      </c>
      <c r="V466" s="55" t="e">
        <f t="shared" ca="1" si="138"/>
        <v>#N/A</v>
      </c>
      <c r="W466" s="55" t="e">
        <f t="shared" ca="1" si="129"/>
        <v>#N/A</v>
      </c>
      <c r="X466" s="55" t="e">
        <f t="shared" ca="1" si="130"/>
        <v>#N/A</v>
      </c>
      <c r="Y466" s="55" t="e">
        <f t="shared" ca="1" si="131"/>
        <v>#N/A</v>
      </c>
      <c r="Z466" t="e">
        <f t="shared" ref="Z466:Z529" ca="1" si="146">VLOOKUP(S466,ModelOutputs,10,FALSE)*AWC</f>
        <v>#N/A</v>
      </c>
      <c r="AA466" t="e">
        <f t="shared" ca="1" si="139"/>
        <v>#N/A</v>
      </c>
      <c r="AB466" t="e">
        <f t="shared" ca="1" si="140"/>
        <v>#N/A</v>
      </c>
      <c r="AC466" t="e">
        <f t="shared" ca="1" si="141"/>
        <v>#N/A</v>
      </c>
      <c r="AD466" s="83" t="e">
        <f ca="1"/>
        <v>#N/A</v>
      </c>
      <c r="AE466" s="55" t="e">
        <f t="shared" ca="1" si="142"/>
        <v>#N/A</v>
      </c>
      <c r="AF466" s="55" t="e">
        <f t="shared" ca="1" si="143"/>
        <v>#N/A</v>
      </c>
      <c r="AG466" s="55" t="e">
        <f t="shared" ca="1" si="144"/>
        <v>#N/A</v>
      </c>
      <c r="AH466" s="55" t="e">
        <f t="shared" ca="1" si="145"/>
        <v>#N/A</v>
      </c>
      <c r="AI466" s="55" t="e">
        <f t="shared" ca="1" si="132"/>
        <v>#N/A</v>
      </c>
      <c r="AJ466" s="55" t="e">
        <f t="shared" ca="1" si="133"/>
        <v>#N/A</v>
      </c>
      <c r="AK466" s="55" t="e">
        <f t="shared" ca="1" si="134"/>
        <v>#N/A</v>
      </c>
    </row>
    <row r="467" spans="18:37">
      <c r="R467" s="55" t="e">
        <f ca="1"/>
        <v>#N/A</v>
      </c>
      <c r="S467" s="55" t="e">
        <f t="shared" ca="1" si="135"/>
        <v>#N/A</v>
      </c>
      <c r="T467" s="55" t="e">
        <f t="shared" ca="1" si="136"/>
        <v>#N/A</v>
      </c>
      <c r="U467" s="55" t="e">
        <f t="shared" ca="1" si="137"/>
        <v>#N/A</v>
      </c>
      <c r="V467" s="55" t="e">
        <f t="shared" ca="1" si="138"/>
        <v>#N/A</v>
      </c>
      <c r="W467" s="55" t="e">
        <f t="shared" ref="W467:W530" ca="1" si="147">-VLOOKUP(S467,ModelOutputs,9,FALSE)+W466</f>
        <v>#N/A</v>
      </c>
      <c r="X467" s="55" t="e">
        <f t="shared" ref="X467:X530" ca="1" si="148">VLOOKUP(S467,ModelOutputs,5,FALSE)+X466</f>
        <v>#N/A</v>
      </c>
      <c r="Y467" s="55" t="e">
        <f t="shared" ref="Y467:Y530" ca="1" si="149">VLOOKUP(S467,ModelOutputs,4,FALSE)+Y466</f>
        <v>#N/A</v>
      </c>
      <c r="Z467" t="e">
        <f t="shared" ca="1" si="146"/>
        <v>#N/A</v>
      </c>
      <c r="AA467" t="e">
        <f t="shared" ca="1" si="139"/>
        <v>#N/A</v>
      </c>
      <c r="AB467" t="e">
        <f t="shared" ca="1" si="140"/>
        <v>#N/A</v>
      </c>
      <c r="AC467" t="e">
        <f t="shared" ca="1" si="141"/>
        <v>#N/A</v>
      </c>
      <c r="AD467" s="83" t="e">
        <f ca="1"/>
        <v>#N/A</v>
      </c>
      <c r="AE467" s="55" t="e">
        <f t="shared" ca="1" si="142"/>
        <v>#N/A</v>
      </c>
      <c r="AF467" s="55" t="e">
        <f t="shared" ca="1" si="143"/>
        <v>#N/A</v>
      </c>
      <c r="AG467" s="55" t="e">
        <f t="shared" ca="1" si="144"/>
        <v>#N/A</v>
      </c>
      <c r="AH467" s="55" t="e">
        <f t="shared" ca="1" si="145"/>
        <v>#N/A</v>
      </c>
      <c r="AI467" s="55" t="e">
        <f t="shared" ref="AI467:AI530" ca="1" si="150">-VLOOKUP(AE467,ModelOutputs,9,FALSE)+AI466</f>
        <v>#N/A</v>
      </c>
      <c r="AJ467" s="55" t="e">
        <f t="shared" ref="AJ467:AJ530" ca="1" si="151">VLOOKUP(AE467,ModelOutputs,5,FALSE)+AJ466</f>
        <v>#N/A</v>
      </c>
      <c r="AK467" s="55" t="e">
        <f t="shared" ref="AK467:AK530" ca="1" si="152">VLOOKUP(AE467,ModelOutputs,4,FALSE)+AK466</f>
        <v>#N/A</v>
      </c>
    </row>
    <row r="468" spans="18:37">
      <c r="R468" s="55" t="e">
        <f ca="1"/>
        <v>#N/A</v>
      </c>
      <c r="S468" s="55" t="e">
        <f t="shared" ca="1" si="135"/>
        <v>#N/A</v>
      </c>
      <c r="T468" s="55" t="e">
        <f t="shared" ca="1" si="136"/>
        <v>#N/A</v>
      </c>
      <c r="U468" s="55" t="e">
        <f t="shared" ca="1" si="137"/>
        <v>#N/A</v>
      </c>
      <c r="V468" s="55" t="e">
        <f t="shared" ca="1" si="138"/>
        <v>#N/A</v>
      </c>
      <c r="W468" s="55" t="e">
        <f t="shared" ca="1" si="147"/>
        <v>#N/A</v>
      </c>
      <c r="X468" s="55" t="e">
        <f t="shared" ca="1" si="148"/>
        <v>#N/A</v>
      </c>
      <c r="Y468" s="55" t="e">
        <f t="shared" ca="1" si="149"/>
        <v>#N/A</v>
      </c>
      <c r="Z468" t="e">
        <f t="shared" ca="1" si="146"/>
        <v>#N/A</v>
      </c>
      <c r="AA468" t="e">
        <f t="shared" ca="1" si="139"/>
        <v>#N/A</v>
      </c>
      <c r="AB468" t="e">
        <f t="shared" ca="1" si="140"/>
        <v>#N/A</v>
      </c>
      <c r="AC468" t="e">
        <f t="shared" ca="1" si="141"/>
        <v>#N/A</v>
      </c>
      <c r="AD468" s="83" t="e">
        <f ca="1"/>
        <v>#N/A</v>
      </c>
      <c r="AE468" s="55" t="e">
        <f t="shared" ca="1" si="142"/>
        <v>#N/A</v>
      </c>
      <c r="AF468" s="55" t="e">
        <f t="shared" ca="1" si="143"/>
        <v>#N/A</v>
      </c>
      <c r="AG468" s="55" t="e">
        <f t="shared" ca="1" si="144"/>
        <v>#N/A</v>
      </c>
      <c r="AH468" s="55" t="e">
        <f t="shared" ca="1" si="145"/>
        <v>#N/A</v>
      </c>
      <c r="AI468" s="55" t="e">
        <f t="shared" ca="1" si="150"/>
        <v>#N/A</v>
      </c>
      <c r="AJ468" s="55" t="e">
        <f t="shared" ca="1" si="151"/>
        <v>#N/A</v>
      </c>
      <c r="AK468" s="55" t="e">
        <f t="shared" ca="1" si="152"/>
        <v>#N/A</v>
      </c>
    </row>
    <row r="469" spans="18:37">
      <c r="R469" s="55" t="e">
        <f ca="1"/>
        <v>#N/A</v>
      </c>
      <c r="S469" s="55" t="e">
        <f t="shared" ca="1" si="135"/>
        <v>#N/A</v>
      </c>
      <c r="T469" s="55" t="e">
        <f t="shared" ca="1" si="136"/>
        <v>#N/A</v>
      </c>
      <c r="U469" s="55" t="e">
        <f t="shared" ca="1" si="137"/>
        <v>#N/A</v>
      </c>
      <c r="V469" s="55" t="e">
        <f t="shared" ca="1" si="138"/>
        <v>#N/A</v>
      </c>
      <c r="W469" s="55" t="e">
        <f t="shared" ca="1" si="147"/>
        <v>#N/A</v>
      </c>
      <c r="X469" s="55" t="e">
        <f t="shared" ca="1" si="148"/>
        <v>#N/A</v>
      </c>
      <c r="Y469" s="55" t="e">
        <f t="shared" ca="1" si="149"/>
        <v>#N/A</v>
      </c>
      <c r="Z469" t="e">
        <f t="shared" ca="1" si="146"/>
        <v>#N/A</v>
      </c>
      <c r="AA469" t="e">
        <f t="shared" ca="1" si="139"/>
        <v>#N/A</v>
      </c>
      <c r="AB469" t="e">
        <f t="shared" ca="1" si="140"/>
        <v>#N/A</v>
      </c>
      <c r="AC469" t="e">
        <f t="shared" ca="1" si="141"/>
        <v>#N/A</v>
      </c>
      <c r="AD469" s="83" t="e">
        <f ca="1"/>
        <v>#N/A</v>
      </c>
      <c r="AE469" s="55" t="e">
        <f t="shared" ca="1" si="142"/>
        <v>#N/A</v>
      </c>
      <c r="AF469" s="55" t="e">
        <f t="shared" ca="1" si="143"/>
        <v>#N/A</v>
      </c>
      <c r="AG469" s="55" t="e">
        <f t="shared" ca="1" si="144"/>
        <v>#N/A</v>
      </c>
      <c r="AH469" s="55" t="e">
        <f t="shared" ca="1" si="145"/>
        <v>#N/A</v>
      </c>
      <c r="AI469" s="55" t="e">
        <f t="shared" ca="1" si="150"/>
        <v>#N/A</v>
      </c>
      <c r="AJ469" s="55" t="e">
        <f t="shared" ca="1" si="151"/>
        <v>#N/A</v>
      </c>
      <c r="AK469" s="55" t="e">
        <f t="shared" ca="1" si="152"/>
        <v>#N/A</v>
      </c>
    </row>
    <row r="470" spans="18:37">
      <c r="R470" s="55" t="e">
        <f ca="1"/>
        <v>#N/A</v>
      </c>
      <c r="S470" s="55" t="e">
        <f t="shared" ca="1" si="135"/>
        <v>#N/A</v>
      </c>
      <c r="T470" s="55" t="e">
        <f t="shared" ca="1" si="136"/>
        <v>#N/A</v>
      </c>
      <c r="U470" s="55" t="e">
        <f t="shared" ca="1" si="137"/>
        <v>#N/A</v>
      </c>
      <c r="V470" s="55" t="e">
        <f t="shared" ca="1" si="138"/>
        <v>#N/A</v>
      </c>
      <c r="W470" s="55" t="e">
        <f t="shared" ca="1" si="147"/>
        <v>#N/A</v>
      </c>
      <c r="X470" s="55" t="e">
        <f t="shared" ca="1" si="148"/>
        <v>#N/A</v>
      </c>
      <c r="Y470" s="55" t="e">
        <f t="shared" ca="1" si="149"/>
        <v>#N/A</v>
      </c>
      <c r="Z470" t="e">
        <f t="shared" ca="1" si="146"/>
        <v>#N/A</v>
      </c>
      <c r="AA470" t="e">
        <f t="shared" ca="1" si="139"/>
        <v>#N/A</v>
      </c>
      <c r="AB470" t="e">
        <f t="shared" ca="1" si="140"/>
        <v>#N/A</v>
      </c>
      <c r="AC470" t="e">
        <f t="shared" ca="1" si="141"/>
        <v>#N/A</v>
      </c>
      <c r="AD470" s="83" t="e">
        <f ca="1"/>
        <v>#N/A</v>
      </c>
      <c r="AE470" s="55" t="e">
        <f t="shared" ca="1" si="142"/>
        <v>#N/A</v>
      </c>
      <c r="AF470" s="55" t="e">
        <f t="shared" ca="1" si="143"/>
        <v>#N/A</v>
      </c>
      <c r="AG470" s="55" t="e">
        <f t="shared" ca="1" si="144"/>
        <v>#N/A</v>
      </c>
      <c r="AH470" s="55" t="e">
        <f t="shared" ca="1" si="145"/>
        <v>#N/A</v>
      </c>
      <c r="AI470" s="55" t="e">
        <f t="shared" ca="1" si="150"/>
        <v>#N/A</v>
      </c>
      <c r="AJ470" s="55" t="e">
        <f t="shared" ca="1" si="151"/>
        <v>#N/A</v>
      </c>
      <c r="AK470" s="55" t="e">
        <f t="shared" ca="1" si="152"/>
        <v>#N/A</v>
      </c>
    </row>
    <row r="471" spans="18:37">
      <c r="R471" s="55" t="e">
        <f ca="1"/>
        <v>#N/A</v>
      </c>
      <c r="S471" s="55" t="e">
        <f t="shared" ca="1" si="135"/>
        <v>#N/A</v>
      </c>
      <c r="T471" s="55" t="e">
        <f t="shared" ca="1" si="136"/>
        <v>#N/A</v>
      </c>
      <c r="U471" s="55" t="e">
        <f t="shared" ca="1" si="137"/>
        <v>#N/A</v>
      </c>
      <c r="V471" s="55" t="e">
        <f t="shared" ca="1" si="138"/>
        <v>#N/A</v>
      </c>
      <c r="W471" s="55" t="e">
        <f t="shared" ca="1" si="147"/>
        <v>#N/A</v>
      </c>
      <c r="X471" s="55" t="e">
        <f t="shared" ca="1" si="148"/>
        <v>#N/A</v>
      </c>
      <c r="Y471" s="55" t="e">
        <f t="shared" ca="1" si="149"/>
        <v>#N/A</v>
      </c>
      <c r="Z471" t="e">
        <f t="shared" ca="1" si="146"/>
        <v>#N/A</v>
      </c>
      <c r="AA471" t="e">
        <f t="shared" ca="1" si="139"/>
        <v>#N/A</v>
      </c>
      <c r="AB471" t="e">
        <f t="shared" ca="1" si="140"/>
        <v>#N/A</v>
      </c>
      <c r="AC471" t="e">
        <f t="shared" ca="1" si="141"/>
        <v>#N/A</v>
      </c>
      <c r="AD471" s="83" t="e">
        <f ca="1"/>
        <v>#N/A</v>
      </c>
      <c r="AE471" s="55" t="e">
        <f t="shared" ca="1" si="142"/>
        <v>#N/A</v>
      </c>
      <c r="AF471" s="55" t="e">
        <f t="shared" ca="1" si="143"/>
        <v>#N/A</v>
      </c>
      <c r="AG471" s="55" t="e">
        <f t="shared" ca="1" si="144"/>
        <v>#N/A</v>
      </c>
      <c r="AH471" s="55" t="e">
        <f t="shared" ca="1" si="145"/>
        <v>#N/A</v>
      </c>
      <c r="AI471" s="55" t="e">
        <f t="shared" ca="1" si="150"/>
        <v>#N/A</v>
      </c>
      <c r="AJ471" s="55" t="e">
        <f t="shared" ca="1" si="151"/>
        <v>#N/A</v>
      </c>
      <c r="AK471" s="55" t="e">
        <f t="shared" ca="1" si="152"/>
        <v>#N/A</v>
      </c>
    </row>
    <row r="472" spans="18:37">
      <c r="R472" s="55" t="e">
        <f ca="1"/>
        <v>#N/A</v>
      </c>
      <c r="S472" s="55" t="e">
        <f t="shared" ca="1" si="135"/>
        <v>#N/A</v>
      </c>
      <c r="T472" s="55" t="e">
        <f t="shared" ca="1" si="136"/>
        <v>#N/A</v>
      </c>
      <c r="U472" s="55" t="e">
        <f t="shared" ca="1" si="137"/>
        <v>#N/A</v>
      </c>
      <c r="V472" s="55" t="e">
        <f t="shared" ca="1" si="138"/>
        <v>#N/A</v>
      </c>
      <c r="W472" s="55" t="e">
        <f t="shared" ca="1" si="147"/>
        <v>#N/A</v>
      </c>
      <c r="X472" s="55" t="e">
        <f t="shared" ca="1" si="148"/>
        <v>#N/A</v>
      </c>
      <c r="Y472" s="55" t="e">
        <f t="shared" ca="1" si="149"/>
        <v>#N/A</v>
      </c>
      <c r="Z472" t="e">
        <f t="shared" ca="1" si="146"/>
        <v>#N/A</v>
      </c>
      <c r="AA472" t="e">
        <f t="shared" ca="1" si="139"/>
        <v>#N/A</v>
      </c>
      <c r="AB472" t="e">
        <f t="shared" ca="1" si="140"/>
        <v>#N/A</v>
      </c>
      <c r="AC472" t="e">
        <f t="shared" ca="1" si="141"/>
        <v>#N/A</v>
      </c>
      <c r="AD472" s="83" t="e">
        <f ca="1"/>
        <v>#N/A</v>
      </c>
      <c r="AE472" s="55" t="e">
        <f t="shared" ca="1" si="142"/>
        <v>#N/A</v>
      </c>
      <c r="AF472" s="55" t="e">
        <f t="shared" ca="1" si="143"/>
        <v>#N/A</v>
      </c>
      <c r="AG472" s="55" t="e">
        <f t="shared" ca="1" si="144"/>
        <v>#N/A</v>
      </c>
      <c r="AH472" s="55" t="e">
        <f t="shared" ca="1" si="145"/>
        <v>#N/A</v>
      </c>
      <c r="AI472" s="55" t="e">
        <f t="shared" ca="1" si="150"/>
        <v>#N/A</v>
      </c>
      <c r="AJ472" s="55" t="e">
        <f t="shared" ca="1" si="151"/>
        <v>#N/A</v>
      </c>
      <c r="AK472" s="55" t="e">
        <f t="shared" ca="1" si="152"/>
        <v>#N/A</v>
      </c>
    </row>
    <row r="473" spans="18:37">
      <c r="R473" s="55" t="e">
        <f ca="1"/>
        <v>#N/A</v>
      </c>
      <c r="S473" s="55" t="e">
        <f t="shared" ca="1" si="135"/>
        <v>#N/A</v>
      </c>
      <c r="T473" s="55" t="e">
        <f t="shared" ca="1" si="136"/>
        <v>#N/A</v>
      </c>
      <c r="U473" s="55" t="e">
        <f t="shared" ca="1" si="137"/>
        <v>#N/A</v>
      </c>
      <c r="V473" s="55" t="e">
        <f t="shared" ca="1" si="138"/>
        <v>#N/A</v>
      </c>
      <c r="W473" s="55" t="e">
        <f t="shared" ca="1" si="147"/>
        <v>#N/A</v>
      </c>
      <c r="X473" s="55" t="e">
        <f t="shared" ca="1" si="148"/>
        <v>#N/A</v>
      </c>
      <c r="Y473" s="55" t="e">
        <f t="shared" ca="1" si="149"/>
        <v>#N/A</v>
      </c>
      <c r="Z473" t="e">
        <f t="shared" ca="1" si="146"/>
        <v>#N/A</v>
      </c>
      <c r="AA473" t="e">
        <f t="shared" ca="1" si="139"/>
        <v>#N/A</v>
      </c>
      <c r="AB473" t="e">
        <f t="shared" ca="1" si="140"/>
        <v>#N/A</v>
      </c>
      <c r="AC473" t="e">
        <f t="shared" ca="1" si="141"/>
        <v>#N/A</v>
      </c>
      <c r="AD473" s="83" t="e">
        <f ca="1"/>
        <v>#N/A</v>
      </c>
      <c r="AE473" s="55" t="e">
        <f t="shared" ca="1" si="142"/>
        <v>#N/A</v>
      </c>
      <c r="AF473" s="55" t="e">
        <f t="shared" ca="1" si="143"/>
        <v>#N/A</v>
      </c>
      <c r="AG473" s="55" t="e">
        <f t="shared" ca="1" si="144"/>
        <v>#N/A</v>
      </c>
      <c r="AH473" s="55" t="e">
        <f t="shared" ca="1" si="145"/>
        <v>#N/A</v>
      </c>
      <c r="AI473" s="55" t="e">
        <f t="shared" ca="1" si="150"/>
        <v>#N/A</v>
      </c>
      <c r="AJ473" s="55" t="e">
        <f t="shared" ca="1" si="151"/>
        <v>#N/A</v>
      </c>
      <c r="AK473" s="55" t="e">
        <f t="shared" ca="1" si="152"/>
        <v>#N/A</v>
      </c>
    </row>
    <row r="474" spans="18:37">
      <c r="R474" s="55" t="e">
        <f ca="1"/>
        <v>#N/A</v>
      </c>
      <c r="S474" s="55" t="e">
        <f t="shared" ca="1" si="135"/>
        <v>#N/A</v>
      </c>
      <c r="T474" s="55" t="e">
        <f t="shared" ca="1" si="136"/>
        <v>#N/A</v>
      </c>
      <c r="U474" s="55" t="e">
        <f t="shared" ca="1" si="137"/>
        <v>#N/A</v>
      </c>
      <c r="V474" s="55" t="e">
        <f t="shared" ca="1" si="138"/>
        <v>#N/A</v>
      </c>
      <c r="W474" s="55" t="e">
        <f t="shared" ca="1" si="147"/>
        <v>#N/A</v>
      </c>
      <c r="X474" s="55" t="e">
        <f t="shared" ca="1" si="148"/>
        <v>#N/A</v>
      </c>
      <c r="Y474" s="55" t="e">
        <f t="shared" ca="1" si="149"/>
        <v>#N/A</v>
      </c>
      <c r="Z474" t="e">
        <f t="shared" ca="1" si="146"/>
        <v>#N/A</v>
      </c>
      <c r="AA474" t="e">
        <f t="shared" ca="1" si="139"/>
        <v>#N/A</v>
      </c>
      <c r="AB474" t="e">
        <f t="shared" ca="1" si="140"/>
        <v>#N/A</v>
      </c>
      <c r="AC474" t="e">
        <f t="shared" ca="1" si="141"/>
        <v>#N/A</v>
      </c>
      <c r="AD474" s="83" t="e">
        <f ca="1"/>
        <v>#N/A</v>
      </c>
      <c r="AE474" s="55" t="e">
        <f t="shared" ca="1" si="142"/>
        <v>#N/A</v>
      </c>
      <c r="AF474" s="55" t="e">
        <f t="shared" ca="1" si="143"/>
        <v>#N/A</v>
      </c>
      <c r="AG474" s="55" t="e">
        <f t="shared" ca="1" si="144"/>
        <v>#N/A</v>
      </c>
      <c r="AH474" s="55" t="e">
        <f t="shared" ca="1" si="145"/>
        <v>#N/A</v>
      </c>
      <c r="AI474" s="55" t="e">
        <f t="shared" ca="1" si="150"/>
        <v>#N/A</v>
      </c>
      <c r="AJ474" s="55" t="e">
        <f t="shared" ca="1" si="151"/>
        <v>#N/A</v>
      </c>
      <c r="AK474" s="55" t="e">
        <f t="shared" ca="1" si="152"/>
        <v>#N/A</v>
      </c>
    </row>
    <row r="475" spans="18:37">
      <c r="R475" s="55" t="e">
        <f ca="1"/>
        <v>#N/A</v>
      </c>
      <c r="S475" s="55" t="e">
        <f t="shared" ca="1" si="135"/>
        <v>#N/A</v>
      </c>
      <c r="T475" s="55" t="e">
        <f t="shared" ca="1" si="136"/>
        <v>#N/A</v>
      </c>
      <c r="U475" s="55" t="e">
        <f t="shared" ca="1" si="137"/>
        <v>#N/A</v>
      </c>
      <c r="V475" s="55" t="e">
        <f t="shared" ca="1" si="138"/>
        <v>#N/A</v>
      </c>
      <c r="W475" s="55" t="e">
        <f t="shared" ca="1" si="147"/>
        <v>#N/A</v>
      </c>
      <c r="X475" s="55" t="e">
        <f t="shared" ca="1" si="148"/>
        <v>#N/A</v>
      </c>
      <c r="Y475" s="55" t="e">
        <f t="shared" ca="1" si="149"/>
        <v>#N/A</v>
      </c>
      <c r="Z475" t="e">
        <f t="shared" ca="1" si="146"/>
        <v>#N/A</v>
      </c>
      <c r="AA475" t="e">
        <f t="shared" ca="1" si="139"/>
        <v>#N/A</v>
      </c>
      <c r="AB475" t="e">
        <f t="shared" ca="1" si="140"/>
        <v>#N/A</v>
      </c>
      <c r="AC475" t="e">
        <f t="shared" ca="1" si="141"/>
        <v>#N/A</v>
      </c>
      <c r="AD475" s="83" t="e">
        <f ca="1"/>
        <v>#N/A</v>
      </c>
      <c r="AE475" s="55" t="e">
        <f t="shared" ca="1" si="142"/>
        <v>#N/A</v>
      </c>
      <c r="AF475" s="55" t="e">
        <f t="shared" ca="1" si="143"/>
        <v>#N/A</v>
      </c>
      <c r="AG475" s="55" t="e">
        <f t="shared" ca="1" si="144"/>
        <v>#N/A</v>
      </c>
      <c r="AH475" s="55" t="e">
        <f t="shared" ca="1" si="145"/>
        <v>#N/A</v>
      </c>
      <c r="AI475" s="55" t="e">
        <f t="shared" ca="1" si="150"/>
        <v>#N/A</v>
      </c>
      <c r="AJ475" s="55" t="e">
        <f t="shared" ca="1" si="151"/>
        <v>#N/A</v>
      </c>
      <c r="AK475" s="55" t="e">
        <f t="shared" ca="1" si="152"/>
        <v>#N/A</v>
      </c>
    </row>
    <row r="476" spans="18:37">
      <c r="R476" s="55" t="e">
        <f ca="1"/>
        <v>#N/A</v>
      </c>
      <c r="S476" s="55" t="e">
        <f t="shared" ca="1" si="135"/>
        <v>#N/A</v>
      </c>
      <c r="T476" s="55" t="e">
        <f t="shared" ca="1" si="136"/>
        <v>#N/A</v>
      </c>
      <c r="U476" s="55" t="e">
        <f t="shared" ca="1" si="137"/>
        <v>#N/A</v>
      </c>
      <c r="V476" s="55" t="e">
        <f t="shared" ca="1" si="138"/>
        <v>#N/A</v>
      </c>
      <c r="W476" s="55" t="e">
        <f t="shared" ca="1" si="147"/>
        <v>#N/A</v>
      </c>
      <c r="X476" s="55" t="e">
        <f t="shared" ca="1" si="148"/>
        <v>#N/A</v>
      </c>
      <c r="Y476" s="55" t="e">
        <f t="shared" ca="1" si="149"/>
        <v>#N/A</v>
      </c>
      <c r="Z476" t="e">
        <f t="shared" ca="1" si="146"/>
        <v>#N/A</v>
      </c>
      <c r="AA476" t="e">
        <f t="shared" ca="1" si="139"/>
        <v>#N/A</v>
      </c>
      <c r="AB476" t="e">
        <f t="shared" ca="1" si="140"/>
        <v>#N/A</v>
      </c>
      <c r="AC476" t="e">
        <f t="shared" ca="1" si="141"/>
        <v>#N/A</v>
      </c>
      <c r="AD476" s="83" t="e">
        <f ca="1"/>
        <v>#N/A</v>
      </c>
      <c r="AE476" s="55" t="e">
        <f t="shared" ca="1" si="142"/>
        <v>#N/A</v>
      </c>
      <c r="AF476" s="55" t="e">
        <f t="shared" ca="1" si="143"/>
        <v>#N/A</v>
      </c>
      <c r="AG476" s="55" t="e">
        <f t="shared" ca="1" si="144"/>
        <v>#N/A</v>
      </c>
      <c r="AH476" s="55" t="e">
        <f t="shared" ca="1" si="145"/>
        <v>#N/A</v>
      </c>
      <c r="AI476" s="55" t="e">
        <f t="shared" ca="1" si="150"/>
        <v>#N/A</v>
      </c>
      <c r="AJ476" s="55" t="e">
        <f t="shared" ca="1" si="151"/>
        <v>#N/A</v>
      </c>
      <c r="AK476" s="55" t="e">
        <f t="shared" ca="1" si="152"/>
        <v>#N/A</v>
      </c>
    </row>
    <row r="477" spans="18:37">
      <c r="R477" s="55" t="e">
        <f ca="1"/>
        <v>#N/A</v>
      </c>
      <c r="S477" s="55" t="e">
        <f t="shared" ca="1" si="135"/>
        <v>#N/A</v>
      </c>
      <c r="T477" s="55" t="e">
        <f t="shared" ca="1" si="136"/>
        <v>#N/A</v>
      </c>
      <c r="U477" s="55" t="e">
        <f t="shared" ca="1" si="137"/>
        <v>#N/A</v>
      </c>
      <c r="V477" s="55" t="e">
        <f t="shared" ca="1" si="138"/>
        <v>#N/A</v>
      </c>
      <c r="W477" s="55" t="e">
        <f t="shared" ca="1" si="147"/>
        <v>#N/A</v>
      </c>
      <c r="X477" s="55" t="e">
        <f t="shared" ca="1" si="148"/>
        <v>#N/A</v>
      </c>
      <c r="Y477" s="55" t="e">
        <f t="shared" ca="1" si="149"/>
        <v>#N/A</v>
      </c>
      <c r="Z477" t="e">
        <f t="shared" ca="1" si="146"/>
        <v>#N/A</v>
      </c>
      <c r="AA477" t="e">
        <f t="shared" ca="1" si="139"/>
        <v>#N/A</v>
      </c>
      <c r="AB477" t="e">
        <f t="shared" ca="1" si="140"/>
        <v>#N/A</v>
      </c>
      <c r="AC477" t="e">
        <f t="shared" ca="1" si="141"/>
        <v>#N/A</v>
      </c>
      <c r="AD477" s="83" t="e">
        <f ca="1"/>
        <v>#N/A</v>
      </c>
      <c r="AE477" s="55" t="e">
        <f t="shared" ca="1" si="142"/>
        <v>#N/A</v>
      </c>
      <c r="AF477" s="55" t="e">
        <f t="shared" ca="1" si="143"/>
        <v>#N/A</v>
      </c>
      <c r="AG477" s="55" t="e">
        <f t="shared" ca="1" si="144"/>
        <v>#N/A</v>
      </c>
      <c r="AH477" s="55" t="e">
        <f t="shared" ca="1" si="145"/>
        <v>#N/A</v>
      </c>
      <c r="AI477" s="55" t="e">
        <f t="shared" ca="1" si="150"/>
        <v>#N/A</v>
      </c>
      <c r="AJ477" s="55" t="e">
        <f t="shared" ca="1" si="151"/>
        <v>#N/A</v>
      </c>
      <c r="AK477" s="55" t="e">
        <f t="shared" ca="1" si="152"/>
        <v>#N/A</v>
      </c>
    </row>
    <row r="478" spans="18:37">
      <c r="R478" s="55" t="e">
        <f ca="1"/>
        <v>#N/A</v>
      </c>
      <c r="S478" s="55" t="e">
        <f t="shared" ca="1" si="135"/>
        <v>#N/A</v>
      </c>
      <c r="T478" s="55" t="e">
        <f t="shared" ca="1" si="136"/>
        <v>#N/A</v>
      </c>
      <c r="U478" s="55" t="e">
        <f t="shared" ca="1" si="137"/>
        <v>#N/A</v>
      </c>
      <c r="V478" s="55" t="e">
        <f t="shared" ca="1" si="138"/>
        <v>#N/A</v>
      </c>
      <c r="W478" s="55" t="e">
        <f t="shared" ca="1" si="147"/>
        <v>#N/A</v>
      </c>
      <c r="X478" s="55" t="e">
        <f t="shared" ca="1" si="148"/>
        <v>#N/A</v>
      </c>
      <c r="Y478" s="55" t="e">
        <f t="shared" ca="1" si="149"/>
        <v>#N/A</v>
      </c>
      <c r="Z478" t="e">
        <f t="shared" ca="1" si="146"/>
        <v>#N/A</v>
      </c>
      <c r="AA478" t="e">
        <f t="shared" ca="1" si="139"/>
        <v>#N/A</v>
      </c>
      <c r="AB478" t="e">
        <f t="shared" ca="1" si="140"/>
        <v>#N/A</v>
      </c>
      <c r="AC478" t="e">
        <f t="shared" ca="1" si="141"/>
        <v>#N/A</v>
      </c>
      <c r="AD478" s="83" t="e">
        <f ca="1"/>
        <v>#N/A</v>
      </c>
      <c r="AE478" s="55" t="e">
        <f t="shared" ca="1" si="142"/>
        <v>#N/A</v>
      </c>
      <c r="AF478" s="55" t="e">
        <f t="shared" ca="1" si="143"/>
        <v>#N/A</v>
      </c>
      <c r="AG478" s="55" t="e">
        <f t="shared" ca="1" si="144"/>
        <v>#N/A</v>
      </c>
      <c r="AH478" s="55" t="e">
        <f t="shared" ca="1" si="145"/>
        <v>#N/A</v>
      </c>
      <c r="AI478" s="55" t="e">
        <f t="shared" ca="1" si="150"/>
        <v>#N/A</v>
      </c>
      <c r="AJ478" s="55" t="e">
        <f t="shared" ca="1" si="151"/>
        <v>#N/A</v>
      </c>
      <c r="AK478" s="55" t="e">
        <f t="shared" ca="1" si="152"/>
        <v>#N/A</v>
      </c>
    </row>
    <row r="479" spans="18:37">
      <c r="R479" s="55" t="e">
        <f ca="1"/>
        <v>#N/A</v>
      </c>
      <c r="S479" s="55" t="e">
        <f t="shared" ca="1" si="135"/>
        <v>#N/A</v>
      </c>
      <c r="T479" s="55" t="e">
        <f t="shared" ca="1" si="136"/>
        <v>#N/A</v>
      </c>
      <c r="U479" s="55" t="e">
        <f t="shared" ca="1" si="137"/>
        <v>#N/A</v>
      </c>
      <c r="V479" s="55" t="e">
        <f t="shared" ca="1" si="138"/>
        <v>#N/A</v>
      </c>
      <c r="W479" s="55" t="e">
        <f t="shared" ca="1" si="147"/>
        <v>#N/A</v>
      </c>
      <c r="X479" s="55" t="e">
        <f t="shared" ca="1" si="148"/>
        <v>#N/A</v>
      </c>
      <c r="Y479" s="55" t="e">
        <f t="shared" ca="1" si="149"/>
        <v>#N/A</v>
      </c>
      <c r="Z479" t="e">
        <f t="shared" ca="1" si="146"/>
        <v>#N/A</v>
      </c>
      <c r="AA479" t="e">
        <f t="shared" ca="1" si="139"/>
        <v>#N/A</v>
      </c>
      <c r="AB479" t="e">
        <f t="shared" ca="1" si="140"/>
        <v>#N/A</v>
      </c>
      <c r="AC479" t="e">
        <f t="shared" ca="1" si="141"/>
        <v>#N/A</v>
      </c>
      <c r="AD479" s="83" t="e">
        <f ca="1"/>
        <v>#N/A</v>
      </c>
      <c r="AE479" s="55" t="e">
        <f t="shared" ca="1" si="142"/>
        <v>#N/A</v>
      </c>
      <c r="AF479" s="55" t="e">
        <f t="shared" ca="1" si="143"/>
        <v>#N/A</v>
      </c>
      <c r="AG479" s="55" t="e">
        <f t="shared" ca="1" si="144"/>
        <v>#N/A</v>
      </c>
      <c r="AH479" s="55" t="e">
        <f t="shared" ca="1" si="145"/>
        <v>#N/A</v>
      </c>
      <c r="AI479" s="55" t="e">
        <f t="shared" ca="1" si="150"/>
        <v>#N/A</v>
      </c>
      <c r="AJ479" s="55" t="e">
        <f t="shared" ca="1" si="151"/>
        <v>#N/A</v>
      </c>
      <c r="AK479" s="55" t="e">
        <f t="shared" ca="1" si="152"/>
        <v>#N/A</v>
      </c>
    </row>
    <row r="480" spans="18:37">
      <c r="R480" s="55" t="e">
        <f ca="1"/>
        <v>#N/A</v>
      </c>
      <c r="S480" s="55" t="e">
        <f t="shared" ca="1" si="135"/>
        <v>#N/A</v>
      </c>
      <c r="T480" s="55" t="e">
        <f t="shared" ca="1" si="136"/>
        <v>#N/A</v>
      </c>
      <c r="U480" s="55" t="e">
        <f t="shared" ca="1" si="137"/>
        <v>#N/A</v>
      </c>
      <c r="V480" s="55" t="e">
        <f t="shared" ca="1" si="138"/>
        <v>#N/A</v>
      </c>
      <c r="W480" s="55" t="e">
        <f t="shared" ca="1" si="147"/>
        <v>#N/A</v>
      </c>
      <c r="X480" s="55" t="e">
        <f t="shared" ca="1" si="148"/>
        <v>#N/A</v>
      </c>
      <c r="Y480" s="55" t="e">
        <f t="shared" ca="1" si="149"/>
        <v>#N/A</v>
      </c>
      <c r="Z480" t="e">
        <f t="shared" ca="1" si="146"/>
        <v>#N/A</v>
      </c>
      <c r="AA480" t="e">
        <f t="shared" ca="1" si="139"/>
        <v>#N/A</v>
      </c>
      <c r="AB480" t="e">
        <f t="shared" ca="1" si="140"/>
        <v>#N/A</v>
      </c>
      <c r="AC480" t="e">
        <f t="shared" ca="1" si="141"/>
        <v>#N/A</v>
      </c>
      <c r="AD480" s="83" t="e">
        <f ca="1"/>
        <v>#N/A</v>
      </c>
      <c r="AE480" s="55" t="e">
        <f t="shared" ca="1" si="142"/>
        <v>#N/A</v>
      </c>
      <c r="AF480" s="55" t="e">
        <f t="shared" ca="1" si="143"/>
        <v>#N/A</v>
      </c>
      <c r="AG480" s="55" t="e">
        <f t="shared" ca="1" si="144"/>
        <v>#N/A</v>
      </c>
      <c r="AH480" s="55" t="e">
        <f t="shared" ca="1" si="145"/>
        <v>#N/A</v>
      </c>
      <c r="AI480" s="55" t="e">
        <f t="shared" ca="1" si="150"/>
        <v>#N/A</v>
      </c>
      <c r="AJ480" s="55" t="e">
        <f t="shared" ca="1" si="151"/>
        <v>#N/A</v>
      </c>
      <c r="AK480" s="55" t="e">
        <f t="shared" ca="1" si="152"/>
        <v>#N/A</v>
      </c>
    </row>
    <row r="481" spans="18:37">
      <c r="R481" s="55" t="e">
        <f ca="1"/>
        <v>#N/A</v>
      </c>
      <c r="S481" s="55" t="e">
        <f t="shared" ca="1" si="135"/>
        <v>#N/A</v>
      </c>
      <c r="T481" s="55" t="e">
        <f t="shared" ca="1" si="136"/>
        <v>#N/A</v>
      </c>
      <c r="U481" s="55" t="e">
        <f t="shared" ca="1" si="137"/>
        <v>#N/A</v>
      </c>
      <c r="V481" s="55" t="e">
        <f t="shared" ca="1" si="138"/>
        <v>#N/A</v>
      </c>
      <c r="W481" s="55" t="e">
        <f t="shared" ca="1" si="147"/>
        <v>#N/A</v>
      </c>
      <c r="X481" s="55" t="e">
        <f t="shared" ca="1" si="148"/>
        <v>#N/A</v>
      </c>
      <c r="Y481" s="55" t="e">
        <f t="shared" ca="1" si="149"/>
        <v>#N/A</v>
      </c>
      <c r="Z481" t="e">
        <f t="shared" ca="1" si="146"/>
        <v>#N/A</v>
      </c>
      <c r="AA481" t="e">
        <f t="shared" ca="1" si="139"/>
        <v>#N/A</v>
      </c>
      <c r="AB481" t="e">
        <f t="shared" ca="1" si="140"/>
        <v>#N/A</v>
      </c>
      <c r="AC481" t="e">
        <f t="shared" ca="1" si="141"/>
        <v>#N/A</v>
      </c>
      <c r="AD481" s="83" t="e">
        <f ca="1"/>
        <v>#N/A</v>
      </c>
      <c r="AE481" s="55" t="e">
        <f t="shared" ca="1" si="142"/>
        <v>#N/A</v>
      </c>
      <c r="AF481" s="55" t="e">
        <f t="shared" ca="1" si="143"/>
        <v>#N/A</v>
      </c>
      <c r="AG481" s="55" t="e">
        <f t="shared" ca="1" si="144"/>
        <v>#N/A</v>
      </c>
      <c r="AH481" s="55" t="e">
        <f t="shared" ca="1" si="145"/>
        <v>#N/A</v>
      </c>
      <c r="AI481" s="55" t="e">
        <f t="shared" ca="1" si="150"/>
        <v>#N/A</v>
      </c>
      <c r="AJ481" s="55" t="e">
        <f t="shared" ca="1" si="151"/>
        <v>#N/A</v>
      </c>
      <c r="AK481" s="55" t="e">
        <f t="shared" ca="1" si="152"/>
        <v>#N/A</v>
      </c>
    </row>
    <row r="482" spans="18:37">
      <c r="R482" s="55" t="e">
        <f ca="1"/>
        <v>#N/A</v>
      </c>
      <c r="S482" s="55" t="e">
        <f t="shared" ca="1" si="135"/>
        <v>#N/A</v>
      </c>
      <c r="T482" s="55" t="e">
        <f t="shared" ca="1" si="136"/>
        <v>#N/A</v>
      </c>
      <c r="U482" s="55" t="e">
        <f t="shared" ca="1" si="137"/>
        <v>#N/A</v>
      </c>
      <c r="V482" s="55" t="e">
        <f t="shared" ca="1" si="138"/>
        <v>#N/A</v>
      </c>
      <c r="W482" s="55" t="e">
        <f t="shared" ca="1" si="147"/>
        <v>#N/A</v>
      </c>
      <c r="X482" s="55" t="e">
        <f t="shared" ca="1" si="148"/>
        <v>#N/A</v>
      </c>
      <c r="Y482" s="55" t="e">
        <f t="shared" ca="1" si="149"/>
        <v>#N/A</v>
      </c>
      <c r="Z482" t="e">
        <f t="shared" ca="1" si="146"/>
        <v>#N/A</v>
      </c>
      <c r="AA482" t="e">
        <f t="shared" ca="1" si="139"/>
        <v>#N/A</v>
      </c>
      <c r="AB482" t="e">
        <f t="shared" ca="1" si="140"/>
        <v>#N/A</v>
      </c>
      <c r="AC482" t="e">
        <f t="shared" ca="1" si="141"/>
        <v>#N/A</v>
      </c>
      <c r="AD482" s="83" t="e">
        <f ca="1"/>
        <v>#N/A</v>
      </c>
      <c r="AE482" s="55" t="e">
        <f t="shared" ca="1" si="142"/>
        <v>#N/A</v>
      </c>
      <c r="AF482" s="55" t="e">
        <f t="shared" ca="1" si="143"/>
        <v>#N/A</v>
      </c>
      <c r="AG482" s="55" t="e">
        <f t="shared" ca="1" si="144"/>
        <v>#N/A</v>
      </c>
      <c r="AH482" s="55" t="e">
        <f t="shared" ca="1" si="145"/>
        <v>#N/A</v>
      </c>
      <c r="AI482" s="55" t="e">
        <f t="shared" ca="1" si="150"/>
        <v>#N/A</v>
      </c>
      <c r="AJ482" s="55" t="e">
        <f t="shared" ca="1" si="151"/>
        <v>#N/A</v>
      </c>
      <c r="AK482" s="55" t="e">
        <f t="shared" ca="1" si="152"/>
        <v>#N/A</v>
      </c>
    </row>
    <row r="483" spans="18:37">
      <c r="R483" s="55" t="e">
        <f ca="1"/>
        <v>#N/A</v>
      </c>
      <c r="S483" s="55" t="e">
        <f t="shared" ca="1" si="135"/>
        <v>#N/A</v>
      </c>
      <c r="T483" s="55" t="e">
        <f t="shared" ca="1" si="136"/>
        <v>#N/A</v>
      </c>
      <c r="U483" s="55" t="e">
        <f t="shared" ca="1" si="137"/>
        <v>#N/A</v>
      </c>
      <c r="V483" s="55" t="e">
        <f t="shared" ca="1" si="138"/>
        <v>#N/A</v>
      </c>
      <c r="W483" s="55" t="e">
        <f t="shared" ca="1" si="147"/>
        <v>#N/A</v>
      </c>
      <c r="X483" s="55" t="e">
        <f t="shared" ca="1" si="148"/>
        <v>#N/A</v>
      </c>
      <c r="Y483" s="55" t="e">
        <f t="shared" ca="1" si="149"/>
        <v>#N/A</v>
      </c>
      <c r="Z483" t="e">
        <f t="shared" ca="1" si="146"/>
        <v>#N/A</v>
      </c>
      <c r="AA483" t="e">
        <f t="shared" ca="1" si="139"/>
        <v>#N/A</v>
      </c>
      <c r="AB483" t="e">
        <f t="shared" ca="1" si="140"/>
        <v>#N/A</v>
      </c>
      <c r="AC483" t="e">
        <f t="shared" ca="1" si="141"/>
        <v>#N/A</v>
      </c>
      <c r="AD483" s="83" t="e">
        <f ca="1"/>
        <v>#N/A</v>
      </c>
      <c r="AE483" s="55" t="e">
        <f t="shared" ca="1" si="142"/>
        <v>#N/A</v>
      </c>
      <c r="AF483" s="55" t="e">
        <f t="shared" ca="1" si="143"/>
        <v>#N/A</v>
      </c>
      <c r="AG483" s="55" t="e">
        <f t="shared" ca="1" si="144"/>
        <v>#N/A</v>
      </c>
      <c r="AH483" s="55" t="e">
        <f t="shared" ca="1" si="145"/>
        <v>#N/A</v>
      </c>
      <c r="AI483" s="55" t="e">
        <f t="shared" ca="1" si="150"/>
        <v>#N/A</v>
      </c>
      <c r="AJ483" s="55" t="e">
        <f t="shared" ca="1" si="151"/>
        <v>#N/A</v>
      </c>
      <c r="AK483" s="55" t="e">
        <f t="shared" ca="1" si="152"/>
        <v>#N/A</v>
      </c>
    </row>
    <row r="484" spans="18:37">
      <c r="R484" s="55" t="e">
        <f ca="1"/>
        <v>#N/A</v>
      </c>
      <c r="S484" s="55" t="e">
        <f t="shared" ca="1" si="135"/>
        <v>#N/A</v>
      </c>
      <c r="T484" s="55" t="e">
        <f t="shared" ca="1" si="136"/>
        <v>#N/A</v>
      </c>
      <c r="U484" s="55" t="e">
        <f t="shared" ca="1" si="137"/>
        <v>#N/A</v>
      </c>
      <c r="V484" s="55" t="e">
        <f t="shared" ca="1" si="138"/>
        <v>#N/A</v>
      </c>
      <c r="W484" s="55" t="e">
        <f t="shared" ca="1" si="147"/>
        <v>#N/A</v>
      </c>
      <c r="X484" s="55" t="e">
        <f t="shared" ca="1" si="148"/>
        <v>#N/A</v>
      </c>
      <c r="Y484" s="55" t="e">
        <f t="shared" ca="1" si="149"/>
        <v>#N/A</v>
      </c>
      <c r="Z484" t="e">
        <f t="shared" ca="1" si="146"/>
        <v>#N/A</v>
      </c>
      <c r="AA484" t="e">
        <f t="shared" ca="1" si="139"/>
        <v>#N/A</v>
      </c>
      <c r="AB484" t="e">
        <f t="shared" ca="1" si="140"/>
        <v>#N/A</v>
      </c>
      <c r="AC484" t="e">
        <f t="shared" ca="1" si="141"/>
        <v>#N/A</v>
      </c>
      <c r="AD484" s="83" t="e">
        <f ca="1"/>
        <v>#N/A</v>
      </c>
      <c r="AE484" s="55" t="e">
        <f t="shared" ca="1" si="142"/>
        <v>#N/A</v>
      </c>
      <c r="AF484" s="55" t="e">
        <f t="shared" ca="1" si="143"/>
        <v>#N/A</v>
      </c>
      <c r="AG484" s="55" t="e">
        <f t="shared" ca="1" si="144"/>
        <v>#N/A</v>
      </c>
      <c r="AH484" s="55" t="e">
        <f t="shared" ca="1" si="145"/>
        <v>#N/A</v>
      </c>
      <c r="AI484" s="55" t="e">
        <f t="shared" ca="1" si="150"/>
        <v>#N/A</v>
      </c>
      <c r="AJ484" s="55" t="e">
        <f t="shared" ca="1" si="151"/>
        <v>#N/A</v>
      </c>
      <c r="AK484" s="55" t="e">
        <f t="shared" ca="1" si="152"/>
        <v>#N/A</v>
      </c>
    </row>
    <row r="485" spans="18:37">
      <c r="R485" s="55" t="e">
        <f ca="1"/>
        <v>#N/A</v>
      </c>
      <c r="S485" s="55" t="e">
        <f t="shared" ca="1" si="135"/>
        <v>#N/A</v>
      </c>
      <c r="T485" s="55" t="e">
        <f t="shared" ca="1" si="136"/>
        <v>#N/A</v>
      </c>
      <c r="U485" s="55" t="e">
        <f t="shared" ca="1" si="137"/>
        <v>#N/A</v>
      </c>
      <c r="V485" s="55" t="e">
        <f t="shared" ca="1" si="138"/>
        <v>#N/A</v>
      </c>
      <c r="W485" s="55" t="e">
        <f t="shared" ca="1" si="147"/>
        <v>#N/A</v>
      </c>
      <c r="X485" s="55" t="e">
        <f t="shared" ca="1" si="148"/>
        <v>#N/A</v>
      </c>
      <c r="Y485" s="55" t="e">
        <f t="shared" ca="1" si="149"/>
        <v>#N/A</v>
      </c>
      <c r="Z485" t="e">
        <f t="shared" ca="1" si="146"/>
        <v>#N/A</v>
      </c>
      <c r="AA485" t="e">
        <f t="shared" ca="1" si="139"/>
        <v>#N/A</v>
      </c>
      <c r="AB485" t="e">
        <f t="shared" ca="1" si="140"/>
        <v>#N/A</v>
      </c>
      <c r="AC485" t="e">
        <f t="shared" ca="1" si="141"/>
        <v>#N/A</v>
      </c>
      <c r="AD485" s="83" t="e">
        <f ca="1"/>
        <v>#N/A</v>
      </c>
      <c r="AE485" s="55" t="e">
        <f t="shared" ca="1" si="142"/>
        <v>#N/A</v>
      </c>
      <c r="AF485" s="55" t="e">
        <f t="shared" ca="1" si="143"/>
        <v>#N/A</v>
      </c>
      <c r="AG485" s="55" t="e">
        <f t="shared" ca="1" si="144"/>
        <v>#N/A</v>
      </c>
      <c r="AH485" s="55" t="e">
        <f t="shared" ca="1" si="145"/>
        <v>#N/A</v>
      </c>
      <c r="AI485" s="55" t="e">
        <f t="shared" ca="1" si="150"/>
        <v>#N/A</v>
      </c>
      <c r="AJ485" s="55" t="e">
        <f t="shared" ca="1" si="151"/>
        <v>#N/A</v>
      </c>
      <c r="AK485" s="55" t="e">
        <f t="shared" ca="1" si="152"/>
        <v>#N/A</v>
      </c>
    </row>
    <row r="486" spans="18:37">
      <c r="R486" s="55" t="e">
        <f ca="1"/>
        <v>#N/A</v>
      </c>
      <c r="S486" s="55" t="e">
        <f t="shared" ca="1" si="135"/>
        <v>#N/A</v>
      </c>
      <c r="T486" s="55" t="e">
        <f t="shared" ca="1" si="136"/>
        <v>#N/A</v>
      </c>
      <c r="U486" s="55" t="e">
        <f t="shared" ca="1" si="137"/>
        <v>#N/A</v>
      </c>
      <c r="V486" s="55" t="e">
        <f t="shared" ca="1" si="138"/>
        <v>#N/A</v>
      </c>
      <c r="W486" s="55" t="e">
        <f t="shared" ca="1" si="147"/>
        <v>#N/A</v>
      </c>
      <c r="X486" s="55" t="e">
        <f t="shared" ca="1" si="148"/>
        <v>#N/A</v>
      </c>
      <c r="Y486" s="55" t="e">
        <f t="shared" ca="1" si="149"/>
        <v>#N/A</v>
      </c>
      <c r="Z486" t="e">
        <f t="shared" ca="1" si="146"/>
        <v>#N/A</v>
      </c>
      <c r="AA486" t="e">
        <f t="shared" ca="1" si="139"/>
        <v>#N/A</v>
      </c>
      <c r="AB486" t="e">
        <f t="shared" ca="1" si="140"/>
        <v>#N/A</v>
      </c>
      <c r="AC486" t="e">
        <f t="shared" ca="1" si="141"/>
        <v>#N/A</v>
      </c>
      <c r="AD486" s="83" t="e">
        <f ca="1"/>
        <v>#N/A</v>
      </c>
      <c r="AE486" s="55" t="e">
        <f t="shared" ca="1" si="142"/>
        <v>#N/A</v>
      </c>
      <c r="AF486" s="55" t="e">
        <f t="shared" ca="1" si="143"/>
        <v>#N/A</v>
      </c>
      <c r="AG486" s="55" t="e">
        <f t="shared" ca="1" si="144"/>
        <v>#N/A</v>
      </c>
      <c r="AH486" s="55" t="e">
        <f t="shared" ca="1" si="145"/>
        <v>#N/A</v>
      </c>
      <c r="AI486" s="55" t="e">
        <f t="shared" ca="1" si="150"/>
        <v>#N/A</v>
      </c>
      <c r="AJ486" s="55" t="e">
        <f t="shared" ca="1" si="151"/>
        <v>#N/A</v>
      </c>
      <c r="AK486" s="55" t="e">
        <f t="shared" ca="1" si="152"/>
        <v>#N/A</v>
      </c>
    </row>
    <row r="487" spans="18:37">
      <c r="R487" s="55" t="e">
        <f ca="1"/>
        <v>#N/A</v>
      </c>
      <c r="S487" s="55" t="e">
        <f t="shared" ca="1" si="135"/>
        <v>#N/A</v>
      </c>
      <c r="T487" s="55" t="e">
        <f t="shared" ca="1" si="136"/>
        <v>#N/A</v>
      </c>
      <c r="U487" s="55" t="e">
        <f t="shared" ca="1" si="137"/>
        <v>#N/A</v>
      </c>
      <c r="V487" s="55" t="e">
        <f t="shared" ca="1" si="138"/>
        <v>#N/A</v>
      </c>
      <c r="W487" s="55" t="e">
        <f t="shared" ca="1" si="147"/>
        <v>#N/A</v>
      </c>
      <c r="X487" s="55" t="e">
        <f t="shared" ca="1" si="148"/>
        <v>#N/A</v>
      </c>
      <c r="Y487" s="55" t="e">
        <f t="shared" ca="1" si="149"/>
        <v>#N/A</v>
      </c>
      <c r="Z487" t="e">
        <f t="shared" ca="1" si="146"/>
        <v>#N/A</v>
      </c>
      <c r="AA487" t="e">
        <f t="shared" ca="1" si="139"/>
        <v>#N/A</v>
      </c>
      <c r="AB487" t="e">
        <f t="shared" ca="1" si="140"/>
        <v>#N/A</v>
      </c>
      <c r="AC487" t="e">
        <f t="shared" ca="1" si="141"/>
        <v>#N/A</v>
      </c>
      <c r="AD487" s="83" t="e">
        <f ca="1"/>
        <v>#N/A</v>
      </c>
      <c r="AE487" s="55" t="e">
        <f t="shared" ca="1" si="142"/>
        <v>#N/A</v>
      </c>
      <c r="AF487" s="55" t="e">
        <f t="shared" ca="1" si="143"/>
        <v>#N/A</v>
      </c>
      <c r="AG487" s="55" t="e">
        <f t="shared" ca="1" si="144"/>
        <v>#N/A</v>
      </c>
      <c r="AH487" s="55" t="e">
        <f t="shared" ca="1" si="145"/>
        <v>#N/A</v>
      </c>
      <c r="AI487" s="55" t="e">
        <f t="shared" ca="1" si="150"/>
        <v>#N/A</v>
      </c>
      <c r="AJ487" s="55" t="e">
        <f t="shared" ca="1" si="151"/>
        <v>#N/A</v>
      </c>
      <c r="AK487" s="55" t="e">
        <f t="shared" ca="1" si="152"/>
        <v>#N/A</v>
      </c>
    </row>
    <row r="488" spans="18:37">
      <c r="R488" s="55" t="e">
        <f ca="1"/>
        <v>#N/A</v>
      </c>
      <c r="S488" s="55" t="e">
        <f t="shared" ca="1" si="135"/>
        <v>#N/A</v>
      </c>
      <c r="T488" s="55" t="e">
        <f t="shared" ca="1" si="136"/>
        <v>#N/A</v>
      </c>
      <c r="U488" s="55" t="e">
        <f t="shared" ca="1" si="137"/>
        <v>#N/A</v>
      </c>
      <c r="V488" s="55" t="e">
        <f t="shared" ca="1" si="138"/>
        <v>#N/A</v>
      </c>
      <c r="W488" s="55" t="e">
        <f t="shared" ca="1" si="147"/>
        <v>#N/A</v>
      </c>
      <c r="X488" s="55" t="e">
        <f t="shared" ca="1" si="148"/>
        <v>#N/A</v>
      </c>
      <c r="Y488" s="55" t="e">
        <f t="shared" ca="1" si="149"/>
        <v>#N/A</v>
      </c>
      <c r="Z488" t="e">
        <f t="shared" ca="1" si="146"/>
        <v>#N/A</v>
      </c>
      <c r="AA488" t="e">
        <f t="shared" ca="1" si="139"/>
        <v>#N/A</v>
      </c>
      <c r="AB488" t="e">
        <f t="shared" ca="1" si="140"/>
        <v>#N/A</v>
      </c>
      <c r="AC488" t="e">
        <f t="shared" ca="1" si="141"/>
        <v>#N/A</v>
      </c>
      <c r="AD488" s="83" t="e">
        <f ca="1"/>
        <v>#N/A</v>
      </c>
      <c r="AE488" s="55" t="e">
        <f t="shared" ca="1" si="142"/>
        <v>#N/A</v>
      </c>
      <c r="AF488" s="55" t="e">
        <f t="shared" ca="1" si="143"/>
        <v>#N/A</v>
      </c>
      <c r="AG488" s="55" t="e">
        <f t="shared" ca="1" si="144"/>
        <v>#N/A</v>
      </c>
      <c r="AH488" s="55" t="e">
        <f t="shared" ca="1" si="145"/>
        <v>#N/A</v>
      </c>
      <c r="AI488" s="55" t="e">
        <f t="shared" ca="1" si="150"/>
        <v>#N/A</v>
      </c>
      <c r="AJ488" s="55" t="e">
        <f t="shared" ca="1" si="151"/>
        <v>#N/A</v>
      </c>
      <c r="AK488" s="55" t="e">
        <f t="shared" ca="1" si="152"/>
        <v>#N/A</v>
      </c>
    </row>
    <row r="489" spans="18:37">
      <c r="R489" s="55" t="e">
        <f ca="1"/>
        <v>#N/A</v>
      </c>
      <c r="S489" s="55" t="e">
        <f t="shared" ca="1" si="135"/>
        <v>#N/A</v>
      </c>
      <c r="T489" s="55" t="e">
        <f t="shared" ca="1" si="136"/>
        <v>#N/A</v>
      </c>
      <c r="U489" s="55" t="e">
        <f t="shared" ca="1" si="137"/>
        <v>#N/A</v>
      </c>
      <c r="V489" s="55" t="e">
        <f t="shared" ca="1" si="138"/>
        <v>#N/A</v>
      </c>
      <c r="W489" s="55" t="e">
        <f t="shared" ca="1" si="147"/>
        <v>#N/A</v>
      </c>
      <c r="X489" s="55" t="e">
        <f t="shared" ca="1" si="148"/>
        <v>#N/A</v>
      </c>
      <c r="Y489" s="55" t="e">
        <f t="shared" ca="1" si="149"/>
        <v>#N/A</v>
      </c>
      <c r="Z489" t="e">
        <f t="shared" ca="1" si="146"/>
        <v>#N/A</v>
      </c>
      <c r="AA489" t="e">
        <f t="shared" ca="1" si="139"/>
        <v>#N/A</v>
      </c>
      <c r="AB489" t="e">
        <f t="shared" ca="1" si="140"/>
        <v>#N/A</v>
      </c>
      <c r="AC489" t="e">
        <f t="shared" ca="1" si="141"/>
        <v>#N/A</v>
      </c>
      <c r="AD489" s="83" t="e">
        <f ca="1"/>
        <v>#N/A</v>
      </c>
      <c r="AE489" s="55" t="e">
        <f t="shared" ca="1" si="142"/>
        <v>#N/A</v>
      </c>
      <c r="AF489" s="55" t="e">
        <f t="shared" ca="1" si="143"/>
        <v>#N/A</v>
      </c>
      <c r="AG489" s="55" t="e">
        <f t="shared" ca="1" si="144"/>
        <v>#N/A</v>
      </c>
      <c r="AH489" s="55" t="e">
        <f t="shared" ca="1" si="145"/>
        <v>#N/A</v>
      </c>
      <c r="AI489" s="55" t="e">
        <f t="shared" ca="1" si="150"/>
        <v>#N/A</v>
      </c>
      <c r="AJ489" s="55" t="e">
        <f t="shared" ca="1" si="151"/>
        <v>#N/A</v>
      </c>
      <c r="AK489" s="55" t="e">
        <f t="shared" ca="1" si="152"/>
        <v>#N/A</v>
      </c>
    </row>
    <row r="490" spans="18:37">
      <c r="R490" s="55" t="e">
        <f ca="1"/>
        <v>#N/A</v>
      </c>
      <c r="S490" s="55" t="e">
        <f t="shared" ca="1" si="135"/>
        <v>#N/A</v>
      </c>
      <c r="T490" s="55" t="e">
        <f t="shared" ca="1" si="136"/>
        <v>#N/A</v>
      </c>
      <c r="U490" s="55" t="e">
        <f t="shared" ca="1" si="137"/>
        <v>#N/A</v>
      </c>
      <c r="V490" s="55" t="e">
        <f t="shared" ca="1" si="138"/>
        <v>#N/A</v>
      </c>
      <c r="W490" s="55" t="e">
        <f t="shared" ca="1" si="147"/>
        <v>#N/A</v>
      </c>
      <c r="X490" s="55" t="e">
        <f t="shared" ca="1" si="148"/>
        <v>#N/A</v>
      </c>
      <c r="Y490" s="55" t="e">
        <f t="shared" ca="1" si="149"/>
        <v>#N/A</v>
      </c>
      <c r="Z490" t="e">
        <f t="shared" ca="1" si="146"/>
        <v>#N/A</v>
      </c>
      <c r="AA490" t="e">
        <f t="shared" ca="1" si="139"/>
        <v>#N/A</v>
      </c>
      <c r="AB490" t="e">
        <f t="shared" ca="1" si="140"/>
        <v>#N/A</v>
      </c>
      <c r="AC490" t="e">
        <f t="shared" ca="1" si="141"/>
        <v>#N/A</v>
      </c>
      <c r="AD490" s="83" t="e">
        <f ca="1"/>
        <v>#N/A</v>
      </c>
      <c r="AE490" s="55" t="e">
        <f t="shared" ca="1" si="142"/>
        <v>#N/A</v>
      </c>
      <c r="AF490" s="55" t="e">
        <f t="shared" ca="1" si="143"/>
        <v>#N/A</v>
      </c>
      <c r="AG490" s="55" t="e">
        <f t="shared" ca="1" si="144"/>
        <v>#N/A</v>
      </c>
      <c r="AH490" s="55" t="e">
        <f t="shared" ca="1" si="145"/>
        <v>#N/A</v>
      </c>
      <c r="AI490" s="55" t="e">
        <f t="shared" ca="1" si="150"/>
        <v>#N/A</v>
      </c>
      <c r="AJ490" s="55" t="e">
        <f t="shared" ca="1" si="151"/>
        <v>#N/A</v>
      </c>
      <c r="AK490" s="55" t="e">
        <f t="shared" ca="1" si="152"/>
        <v>#N/A</v>
      </c>
    </row>
    <row r="491" spans="18:37">
      <c r="R491" s="55" t="e">
        <f ca="1"/>
        <v>#N/A</v>
      </c>
      <c r="S491" s="55" t="e">
        <f t="shared" ca="1" si="135"/>
        <v>#N/A</v>
      </c>
      <c r="T491" s="55" t="e">
        <f t="shared" ca="1" si="136"/>
        <v>#N/A</v>
      </c>
      <c r="U491" s="55" t="e">
        <f t="shared" ca="1" si="137"/>
        <v>#N/A</v>
      </c>
      <c r="V491" s="55" t="e">
        <f t="shared" ca="1" si="138"/>
        <v>#N/A</v>
      </c>
      <c r="W491" s="55" t="e">
        <f t="shared" ca="1" si="147"/>
        <v>#N/A</v>
      </c>
      <c r="X491" s="55" t="e">
        <f t="shared" ca="1" si="148"/>
        <v>#N/A</v>
      </c>
      <c r="Y491" s="55" t="e">
        <f t="shared" ca="1" si="149"/>
        <v>#N/A</v>
      </c>
      <c r="Z491" t="e">
        <f t="shared" ca="1" si="146"/>
        <v>#N/A</v>
      </c>
      <c r="AA491" t="e">
        <f t="shared" ca="1" si="139"/>
        <v>#N/A</v>
      </c>
      <c r="AB491" t="e">
        <f t="shared" ca="1" si="140"/>
        <v>#N/A</v>
      </c>
      <c r="AC491" t="e">
        <f t="shared" ca="1" si="141"/>
        <v>#N/A</v>
      </c>
      <c r="AD491" s="83" t="e">
        <f ca="1"/>
        <v>#N/A</v>
      </c>
      <c r="AE491" s="55" t="e">
        <f t="shared" ca="1" si="142"/>
        <v>#N/A</v>
      </c>
      <c r="AF491" s="55" t="e">
        <f t="shared" ca="1" si="143"/>
        <v>#N/A</v>
      </c>
      <c r="AG491" s="55" t="e">
        <f t="shared" ca="1" si="144"/>
        <v>#N/A</v>
      </c>
      <c r="AH491" s="55" t="e">
        <f t="shared" ca="1" si="145"/>
        <v>#N/A</v>
      </c>
      <c r="AI491" s="55" t="e">
        <f t="shared" ca="1" si="150"/>
        <v>#N/A</v>
      </c>
      <c r="AJ491" s="55" t="e">
        <f t="shared" ca="1" si="151"/>
        <v>#N/A</v>
      </c>
      <c r="AK491" s="55" t="e">
        <f t="shared" ca="1" si="152"/>
        <v>#N/A</v>
      </c>
    </row>
    <row r="492" spans="18:37">
      <c r="R492" s="55" t="e">
        <f ca="1"/>
        <v>#N/A</v>
      </c>
      <c r="S492" s="55" t="e">
        <f t="shared" ca="1" si="135"/>
        <v>#N/A</v>
      </c>
      <c r="T492" s="55" t="e">
        <f t="shared" ca="1" si="136"/>
        <v>#N/A</v>
      </c>
      <c r="U492" s="55" t="e">
        <f t="shared" ca="1" si="137"/>
        <v>#N/A</v>
      </c>
      <c r="V492" s="55" t="e">
        <f t="shared" ca="1" si="138"/>
        <v>#N/A</v>
      </c>
      <c r="W492" s="55" t="e">
        <f t="shared" ca="1" si="147"/>
        <v>#N/A</v>
      </c>
      <c r="X492" s="55" t="e">
        <f t="shared" ca="1" si="148"/>
        <v>#N/A</v>
      </c>
      <c r="Y492" s="55" t="e">
        <f t="shared" ca="1" si="149"/>
        <v>#N/A</v>
      </c>
      <c r="Z492" t="e">
        <f t="shared" ca="1" si="146"/>
        <v>#N/A</v>
      </c>
      <c r="AA492" t="e">
        <f t="shared" ca="1" si="139"/>
        <v>#N/A</v>
      </c>
      <c r="AB492" t="e">
        <f t="shared" ca="1" si="140"/>
        <v>#N/A</v>
      </c>
      <c r="AC492" t="e">
        <f t="shared" ca="1" si="141"/>
        <v>#N/A</v>
      </c>
      <c r="AD492" s="83" t="e">
        <f ca="1"/>
        <v>#N/A</v>
      </c>
      <c r="AE492" s="55" t="e">
        <f t="shared" ca="1" si="142"/>
        <v>#N/A</v>
      </c>
      <c r="AF492" s="55" t="e">
        <f t="shared" ca="1" si="143"/>
        <v>#N/A</v>
      </c>
      <c r="AG492" s="55" t="e">
        <f t="shared" ca="1" si="144"/>
        <v>#N/A</v>
      </c>
      <c r="AH492" s="55" t="e">
        <f t="shared" ca="1" si="145"/>
        <v>#N/A</v>
      </c>
      <c r="AI492" s="55" t="e">
        <f t="shared" ca="1" si="150"/>
        <v>#N/A</v>
      </c>
      <c r="AJ492" s="55" t="e">
        <f t="shared" ca="1" si="151"/>
        <v>#N/A</v>
      </c>
      <c r="AK492" s="55" t="e">
        <f t="shared" ca="1" si="152"/>
        <v>#N/A</v>
      </c>
    </row>
    <row r="493" spans="18:37">
      <c r="R493" s="55" t="e">
        <f ca="1"/>
        <v>#N/A</v>
      </c>
      <c r="S493" s="55" t="e">
        <f t="shared" ca="1" si="135"/>
        <v>#N/A</v>
      </c>
      <c r="T493" s="55" t="e">
        <f t="shared" ca="1" si="136"/>
        <v>#N/A</v>
      </c>
      <c r="U493" s="55" t="e">
        <f t="shared" ca="1" si="137"/>
        <v>#N/A</v>
      </c>
      <c r="V493" s="55" t="e">
        <f t="shared" ca="1" si="138"/>
        <v>#N/A</v>
      </c>
      <c r="W493" s="55" t="e">
        <f t="shared" ca="1" si="147"/>
        <v>#N/A</v>
      </c>
      <c r="X493" s="55" t="e">
        <f t="shared" ca="1" si="148"/>
        <v>#N/A</v>
      </c>
      <c r="Y493" s="55" t="e">
        <f t="shared" ca="1" si="149"/>
        <v>#N/A</v>
      </c>
      <c r="Z493" t="e">
        <f t="shared" ca="1" si="146"/>
        <v>#N/A</v>
      </c>
      <c r="AA493" t="e">
        <f t="shared" ca="1" si="139"/>
        <v>#N/A</v>
      </c>
      <c r="AB493" t="e">
        <f t="shared" ca="1" si="140"/>
        <v>#N/A</v>
      </c>
      <c r="AC493" t="e">
        <f t="shared" ca="1" si="141"/>
        <v>#N/A</v>
      </c>
      <c r="AD493" s="83" t="e">
        <f ca="1"/>
        <v>#N/A</v>
      </c>
      <c r="AE493" s="55" t="e">
        <f t="shared" ca="1" si="142"/>
        <v>#N/A</v>
      </c>
      <c r="AF493" s="55" t="e">
        <f t="shared" ca="1" si="143"/>
        <v>#N/A</v>
      </c>
      <c r="AG493" s="55" t="e">
        <f t="shared" ca="1" si="144"/>
        <v>#N/A</v>
      </c>
      <c r="AH493" s="55" t="e">
        <f t="shared" ca="1" si="145"/>
        <v>#N/A</v>
      </c>
      <c r="AI493" s="55" t="e">
        <f t="shared" ca="1" si="150"/>
        <v>#N/A</v>
      </c>
      <c r="AJ493" s="55" t="e">
        <f t="shared" ca="1" si="151"/>
        <v>#N/A</v>
      </c>
      <c r="AK493" s="55" t="e">
        <f t="shared" ca="1" si="152"/>
        <v>#N/A</v>
      </c>
    </row>
    <row r="494" spans="18:37">
      <c r="R494" s="55" t="e">
        <f ca="1"/>
        <v>#N/A</v>
      </c>
      <c r="S494" s="55" t="e">
        <f t="shared" ca="1" si="135"/>
        <v>#N/A</v>
      </c>
      <c r="T494" s="55" t="e">
        <f t="shared" ca="1" si="136"/>
        <v>#N/A</v>
      </c>
      <c r="U494" s="55" t="e">
        <f t="shared" ca="1" si="137"/>
        <v>#N/A</v>
      </c>
      <c r="V494" s="55" t="e">
        <f t="shared" ca="1" si="138"/>
        <v>#N/A</v>
      </c>
      <c r="W494" s="55" t="e">
        <f t="shared" ca="1" si="147"/>
        <v>#N/A</v>
      </c>
      <c r="X494" s="55" t="e">
        <f t="shared" ca="1" si="148"/>
        <v>#N/A</v>
      </c>
      <c r="Y494" s="55" t="e">
        <f t="shared" ca="1" si="149"/>
        <v>#N/A</v>
      </c>
      <c r="Z494" t="e">
        <f t="shared" ca="1" si="146"/>
        <v>#N/A</v>
      </c>
      <c r="AA494" t="e">
        <f t="shared" ca="1" si="139"/>
        <v>#N/A</v>
      </c>
      <c r="AB494" t="e">
        <f t="shared" ca="1" si="140"/>
        <v>#N/A</v>
      </c>
      <c r="AC494" t="e">
        <f t="shared" ca="1" si="141"/>
        <v>#N/A</v>
      </c>
      <c r="AD494" s="83" t="e">
        <f ca="1"/>
        <v>#N/A</v>
      </c>
      <c r="AE494" s="55" t="e">
        <f t="shared" ca="1" si="142"/>
        <v>#N/A</v>
      </c>
      <c r="AF494" s="55" t="e">
        <f t="shared" ca="1" si="143"/>
        <v>#N/A</v>
      </c>
      <c r="AG494" s="55" t="e">
        <f t="shared" ca="1" si="144"/>
        <v>#N/A</v>
      </c>
      <c r="AH494" s="55" t="e">
        <f t="shared" ca="1" si="145"/>
        <v>#N/A</v>
      </c>
      <c r="AI494" s="55" t="e">
        <f t="shared" ca="1" si="150"/>
        <v>#N/A</v>
      </c>
      <c r="AJ494" s="55" t="e">
        <f t="shared" ca="1" si="151"/>
        <v>#N/A</v>
      </c>
      <c r="AK494" s="55" t="e">
        <f t="shared" ca="1" si="152"/>
        <v>#N/A</v>
      </c>
    </row>
    <row r="495" spans="18:37">
      <c r="R495" s="55" t="e">
        <f ca="1"/>
        <v>#N/A</v>
      </c>
      <c r="S495" s="55" t="e">
        <f t="shared" ca="1" si="135"/>
        <v>#N/A</v>
      </c>
      <c r="T495" s="55" t="e">
        <f t="shared" ca="1" si="136"/>
        <v>#N/A</v>
      </c>
      <c r="U495" s="55" t="e">
        <f t="shared" ca="1" si="137"/>
        <v>#N/A</v>
      </c>
      <c r="V495" s="55" t="e">
        <f t="shared" ca="1" si="138"/>
        <v>#N/A</v>
      </c>
      <c r="W495" s="55" t="e">
        <f t="shared" ca="1" si="147"/>
        <v>#N/A</v>
      </c>
      <c r="X495" s="55" t="e">
        <f t="shared" ca="1" si="148"/>
        <v>#N/A</v>
      </c>
      <c r="Y495" s="55" t="e">
        <f t="shared" ca="1" si="149"/>
        <v>#N/A</v>
      </c>
      <c r="Z495" t="e">
        <f t="shared" ca="1" si="146"/>
        <v>#N/A</v>
      </c>
      <c r="AA495" t="e">
        <f t="shared" ca="1" si="139"/>
        <v>#N/A</v>
      </c>
      <c r="AB495" t="e">
        <f t="shared" ca="1" si="140"/>
        <v>#N/A</v>
      </c>
      <c r="AC495" t="e">
        <f t="shared" ca="1" si="141"/>
        <v>#N/A</v>
      </c>
      <c r="AD495" s="83" t="e">
        <f ca="1"/>
        <v>#N/A</v>
      </c>
      <c r="AE495" s="55" t="e">
        <f t="shared" ca="1" si="142"/>
        <v>#N/A</v>
      </c>
      <c r="AF495" s="55" t="e">
        <f t="shared" ca="1" si="143"/>
        <v>#N/A</v>
      </c>
      <c r="AG495" s="55" t="e">
        <f t="shared" ca="1" si="144"/>
        <v>#N/A</v>
      </c>
      <c r="AH495" s="55" t="e">
        <f t="shared" ca="1" si="145"/>
        <v>#N/A</v>
      </c>
      <c r="AI495" s="55" t="e">
        <f t="shared" ca="1" si="150"/>
        <v>#N/A</v>
      </c>
      <c r="AJ495" s="55" t="e">
        <f t="shared" ca="1" si="151"/>
        <v>#N/A</v>
      </c>
      <c r="AK495" s="55" t="e">
        <f t="shared" ca="1" si="152"/>
        <v>#N/A</v>
      </c>
    </row>
    <row r="496" spans="18:37">
      <c r="R496" s="55" t="e">
        <f ca="1"/>
        <v>#N/A</v>
      </c>
      <c r="S496" s="55" t="e">
        <f t="shared" ca="1" si="135"/>
        <v>#N/A</v>
      </c>
      <c r="T496" s="55" t="e">
        <f t="shared" ca="1" si="136"/>
        <v>#N/A</v>
      </c>
      <c r="U496" s="55" t="e">
        <f t="shared" ca="1" si="137"/>
        <v>#N/A</v>
      </c>
      <c r="V496" s="55" t="e">
        <f t="shared" ca="1" si="138"/>
        <v>#N/A</v>
      </c>
      <c r="W496" s="55" t="e">
        <f t="shared" ca="1" si="147"/>
        <v>#N/A</v>
      </c>
      <c r="X496" s="55" t="e">
        <f t="shared" ca="1" si="148"/>
        <v>#N/A</v>
      </c>
      <c r="Y496" s="55" t="e">
        <f t="shared" ca="1" si="149"/>
        <v>#N/A</v>
      </c>
      <c r="Z496" t="e">
        <f t="shared" ca="1" si="146"/>
        <v>#N/A</v>
      </c>
      <c r="AA496" t="e">
        <f t="shared" ca="1" si="139"/>
        <v>#N/A</v>
      </c>
      <c r="AB496" t="e">
        <f t="shared" ca="1" si="140"/>
        <v>#N/A</v>
      </c>
      <c r="AC496" t="e">
        <f t="shared" ca="1" si="141"/>
        <v>#N/A</v>
      </c>
      <c r="AD496" s="83" t="e">
        <f ca="1"/>
        <v>#N/A</v>
      </c>
      <c r="AE496" s="55" t="e">
        <f t="shared" ca="1" si="142"/>
        <v>#N/A</v>
      </c>
      <c r="AF496" s="55" t="e">
        <f t="shared" ca="1" si="143"/>
        <v>#N/A</v>
      </c>
      <c r="AG496" s="55" t="e">
        <f t="shared" ca="1" si="144"/>
        <v>#N/A</v>
      </c>
      <c r="AH496" s="55" t="e">
        <f t="shared" ca="1" si="145"/>
        <v>#N/A</v>
      </c>
      <c r="AI496" s="55" t="e">
        <f t="shared" ca="1" si="150"/>
        <v>#N/A</v>
      </c>
      <c r="AJ496" s="55" t="e">
        <f t="shared" ca="1" si="151"/>
        <v>#N/A</v>
      </c>
      <c r="AK496" s="55" t="e">
        <f t="shared" ca="1" si="152"/>
        <v>#N/A</v>
      </c>
    </row>
    <row r="497" spans="18:37">
      <c r="R497" s="55" t="e">
        <f ca="1"/>
        <v>#N/A</v>
      </c>
      <c r="S497" s="55" t="e">
        <f t="shared" ca="1" si="135"/>
        <v>#N/A</v>
      </c>
      <c r="T497" s="55" t="e">
        <f t="shared" ca="1" si="136"/>
        <v>#N/A</v>
      </c>
      <c r="U497" s="55" t="e">
        <f t="shared" ca="1" si="137"/>
        <v>#N/A</v>
      </c>
      <c r="V497" s="55" t="e">
        <f t="shared" ca="1" si="138"/>
        <v>#N/A</v>
      </c>
      <c r="W497" s="55" t="e">
        <f t="shared" ca="1" si="147"/>
        <v>#N/A</v>
      </c>
      <c r="X497" s="55" t="e">
        <f t="shared" ca="1" si="148"/>
        <v>#N/A</v>
      </c>
      <c r="Y497" s="55" t="e">
        <f t="shared" ca="1" si="149"/>
        <v>#N/A</v>
      </c>
      <c r="Z497" t="e">
        <f t="shared" ca="1" si="146"/>
        <v>#N/A</v>
      </c>
      <c r="AA497" t="e">
        <f t="shared" ca="1" si="139"/>
        <v>#N/A</v>
      </c>
      <c r="AB497" t="e">
        <f t="shared" ca="1" si="140"/>
        <v>#N/A</v>
      </c>
      <c r="AC497" t="e">
        <f t="shared" ca="1" si="141"/>
        <v>#N/A</v>
      </c>
      <c r="AD497" s="83" t="e">
        <f ca="1"/>
        <v>#N/A</v>
      </c>
      <c r="AE497" s="55" t="e">
        <f t="shared" ca="1" si="142"/>
        <v>#N/A</v>
      </c>
      <c r="AF497" s="55" t="e">
        <f t="shared" ca="1" si="143"/>
        <v>#N/A</v>
      </c>
      <c r="AG497" s="55" t="e">
        <f t="shared" ca="1" si="144"/>
        <v>#N/A</v>
      </c>
      <c r="AH497" s="55" t="e">
        <f t="shared" ca="1" si="145"/>
        <v>#N/A</v>
      </c>
      <c r="AI497" s="55" t="e">
        <f t="shared" ca="1" si="150"/>
        <v>#N/A</v>
      </c>
      <c r="AJ497" s="55" t="e">
        <f t="shared" ca="1" si="151"/>
        <v>#N/A</v>
      </c>
      <c r="AK497" s="55" t="e">
        <f t="shared" ca="1" si="152"/>
        <v>#N/A</v>
      </c>
    </row>
    <row r="498" spans="18:37">
      <c r="R498" s="55" t="e">
        <f ca="1"/>
        <v>#N/A</v>
      </c>
      <c r="S498" s="55" t="e">
        <f t="shared" ca="1" si="135"/>
        <v>#N/A</v>
      </c>
      <c r="T498" s="55" t="e">
        <f t="shared" ca="1" si="136"/>
        <v>#N/A</v>
      </c>
      <c r="U498" s="55" t="e">
        <f t="shared" ca="1" si="137"/>
        <v>#N/A</v>
      </c>
      <c r="V498" s="55" t="e">
        <f t="shared" ca="1" si="138"/>
        <v>#N/A</v>
      </c>
      <c r="W498" s="55" t="e">
        <f t="shared" ca="1" si="147"/>
        <v>#N/A</v>
      </c>
      <c r="X498" s="55" t="e">
        <f t="shared" ca="1" si="148"/>
        <v>#N/A</v>
      </c>
      <c r="Y498" s="55" t="e">
        <f t="shared" ca="1" si="149"/>
        <v>#N/A</v>
      </c>
      <c r="Z498" t="e">
        <f t="shared" ca="1" si="146"/>
        <v>#N/A</v>
      </c>
      <c r="AA498" t="e">
        <f t="shared" ca="1" si="139"/>
        <v>#N/A</v>
      </c>
      <c r="AB498" t="e">
        <f t="shared" ca="1" si="140"/>
        <v>#N/A</v>
      </c>
      <c r="AC498" t="e">
        <f t="shared" ca="1" si="141"/>
        <v>#N/A</v>
      </c>
      <c r="AD498" s="83" t="e">
        <f ca="1"/>
        <v>#N/A</v>
      </c>
      <c r="AE498" s="55" t="e">
        <f t="shared" ca="1" si="142"/>
        <v>#N/A</v>
      </c>
      <c r="AF498" s="55" t="e">
        <f t="shared" ca="1" si="143"/>
        <v>#N/A</v>
      </c>
      <c r="AG498" s="55" t="e">
        <f t="shared" ca="1" si="144"/>
        <v>#N/A</v>
      </c>
      <c r="AH498" s="55" t="e">
        <f t="shared" ca="1" si="145"/>
        <v>#N/A</v>
      </c>
      <c r="AI498" s="55" t="e">
        <f t="shared" ca="1" si="150"/>
        <v>#N/A</v>
      </c>
      <c r="AJ498" s="55" t="e">
        <f t="shared" ca="1" si="151"/>
        <v>#N/A</v>
      </c>
      <c r="AK498" s="55" t="e">
        <f t="shared" ca="1" si="152"/>
        <v>#N/A</v>
      </c>
    </row>
    <row r="499" spans="18:37">
      <c r="R499" s="55" t="e">
        <f ca="1"/>
        <v>#N/A</v>
      </c>
      <c r="S499" s="55" t="e">
        <f t="shared" ca="1" si="135"/>
        <v>#N/A</v>
      </c>
      <c r="T499" s="55" t="e">
        <f t="shared" ca="1" si="136"/>
        <v>#N/A</v>
      </c>
      <c r="U499" s="55" t="e">
        <f t="shared" ca="1" si="137"/>
        <v>#N/A</v>
      </c>
      <c r="V499" s="55" t="e">
        <f t="shared" ca="1" si="138"/>
        <v>#N/A</v>
      </c>
      <c r="W499" s="55" t="e">
        <f t="shared" ca="1" si="147"/>
        <v>#N/A</v>
      </c>
      <c r="X499" s="55" t="e">
        <f t="shared" ca="1" si="148"/>
        <v>#N/A</v>
      </c>
      <c r="Y499" s="55" t="e">
        <f t="shared" ca="1" si="149"/>
        <v>#N/A</v>
      </c>
      <c r="Z499" t="e">
        <f t="shared" ca="1" si="146"/>
        <v>#N/A</v>
      </c>
      <c r="AA499" t="e">
        <f t="shared" ca="1" si="139"/>
        <v>#N/A</v>
      </c>
      <c r="AB499" t="e">
        <f t="shared" ca="1" si="140"/>
        <v>#N/A</v>
      </c>
      <c r="AC499" t="e">
        <f t="shared" ca="1" si="141"/>
        <v>#N/A</v>
      </c>
      <c r="AD499" s="83" t="e">
        <f ca="1"/>
        <v>#N/A</v>
      </c>
      <c r="AE499" s="55" t="e">
        <f t="shared" ca="1" si="142"/>
        <v>#N/A</v>
      </c>
      <c r="AF499" s="55" t="e">
        <f t="shared" ca="1" si="143"/>
        <v>#N/A</v>
      </c>
      <c r="AG499" s="55" t="e">
        <f t="shared" ca="1" si="144"/>
        <v>#N/A</v>
      </c>
      <c r="AH499" s="55" t="e">
        <f t="shared" ca="1" si="145"/>
        <v>#N/A</v>
      </c>
      <c r="AI499" s="55" t="e">
        <f t="shared" ca="1" si="150"/>
        <v>#N/A</v>
      </c>
      <c r="AJ499" s="55" t="e">
        <f t="shared" ca="1" si="151"/>
        <v>#N/A</v>
      </c>
      <c r="AK499" s="55" t="e">
        <f t="shared" ca="1" si="152"/>
        <v>#N/A</v>
      </c>
    </row>
    <row r="500" spans="18:37">
      <c r="R500" s="55" t="e">
        <f ca="1"/>
        <v>#N/A</v>
      </c>
      <c r="S500" s="55" t="e">
        <f t="shared" ca="1" si="135"/>
        <v>#N/A</v>
      </c>
      <c r="T500" s="55" t="e">
        <f t="shared" ca="1" si="136"/>
        <v>#N/A</v>
      </c>
      <c r="U500" s="55" t="e">
        <f t="shared" ca="1" si="137"/>
        <v>#N/A</v>
      </c>
      <c r="V500" s="55" t="e">
        <f t="shared" ca="1" si="138"/>
        <v>#N/A</v>
      </c>
      <c r="W500" s="55" t="e">
        <f t="shared" ca="1" si="147"/>
        <v>#N/A</v>
      </c>
      <c r="X500" s="55" t="e">
        <f t="shared" ca="1" si="148"/>
        <v>#N/A</v>
      </c>
      <c r="Y500" s="55" t="e">
        <f t="shared" ca="1" si="149"/>
        <v>#N/A</v>
      </c>
      <c r="Z500" t="e">
        <f t="shared" ca="1" si="146"/>
        <v>#N/A</v>
      </c>
      <c r="AA500" t="e">
        <f t="shared" ca="1" si="139"/>
        <v>#N/A</v>
      </c>
      <c r="AB500" t="e">
        <f t="shared" ca="1" si="140"/>
        <v>#N/A</v>
      </c>
      <c r="AC500" t="e">
        <f t="shared" ca="1" si="141"/>
        <v>#N/A</v>
      </c>
      <c r="AD500" s="83" t="e">
        <f ca="1"/>
        <v>#N/A</v>
      </c>
      <c r="AE500" s="55" t="e">
        <f t="shared" ca="1" si="142"/>
        <v>#N/A</v>
      </c>
      <c r="AF500" s="55" t="e">
        <f t="shared" ca="1" si="143"/>
        <v>#N/A</v>
      </c>
      <c r="AG500" s="55" t="e">
        <f t="shared" ca="1" si="144"/>
        <v>#N/A</v>
      </c>
      <c r="AH500" s="55" t="e">
        <f t="shared" ca="1" si="145"/>
        <v>#N/A</v>
      </c>
      <c r="AI500" s="55" t="e">
        <f t="shared" ca="1" si="150"/>
        <v>#N/A</v>
      </c>
      <c r="AJ500" s="55" t="e">
        <f t="shared" ca="1" si="151"/>
        <v>#N/A</v>
      </c>
      <c r="AK500" s="55" t="e">
        <f t="shared" ca="1" si="152"/>
        <v>#N/A</v>
      </c>
    </row>
    <row r="501" spans="18:37">
      <c r="R501" s="55" t="e">
        <f ca="1"/>
        <v>#N/A</v>
      </c>
      <c r="S501" s="55" t="e">
        <f t="shared" ca="1" si="135"/>
        <v>#N/A</v>
      </c>
      <c r="T501" s="55" t="e">
        <f t="shared" ca="1" si="136"/>
        <v>#N/A</v>
      </c>
      <c r="U501" s="55" t="e">
        <f t="shared" ca="1" si="137"/>
        <v>#N/A</v>
      </c>
      <c r="V501" s="55" t="e">
        <f t="shared" ca="1" si="138"/>
        <v>#N/A</v>
      </c>
      <c r="W501" s="55" t="e">
        <f t="shared" ca="1" si="147"/>
        <v>#N/A</v>
      </c>
      <c r="X501" s="55" t="e">
        <f t="shared" ca="1" si="148"/>
        <v>#N/A</v>
      </c>
      <c r="Y501" s="55" t="e">
        <f t="shared" ca="1" si="149"/>
        <v>#N/A</v>
      </c>
      <c r="Z501" t="e">
        <f t="shared" ca="1" si="146"/>
        <v>#N/A</v>
      </c>
      <c r="AA501" t="e">
        <f t="shared" ca="1" si="139"/>
        <v>#N/A</v>
      </c>
      <c r="AB501" t="e">
        <f t="shared" ca="1" si="140"/>
        <v>#N/A</v>
      </c>
      <c r="AC501" t="e">
        <f t="shared" ca="1" si="141"/>
        <v>#N/A</v>
      </c>
      <c r="AD501" s="83" t="e">
        <f ca="1"/>
        <v>#N/A</v>
      </c>
      <c r="AE501" s="55" t="e">
        <f t="shared" ca="1" si="142"/>
        <v>#N/A</v>
      </c>
      <c r="AF501" s="55" t="e">
        <f t="shared" ca="1" si="143"/>
        <v>#N/A</v>
      </c>
      <c r="AG501" s="55" t="e">
        <f t="shared" ca="1" si="144"/>
        <v>#N/A</v>
      </c>
      <c r="AH501" s="55" t="e">
        <f t="shared" ca="1" si="145"/>
        <v>#N/A</v>
      </c>
      <c r="AI501" s="55" t="e">
        <f t="shared" ca="1" si="150"/>
        <v>#N/A</v>
      </c>
      <c r="AJ501" s="55" t="e">
        <f t="shared" ca="1" si="151"/>
        <v>#N/A</v>
      </c>
      <c r="AK501" s="55" t="e">
        <f t="shared" ca="1" si="152"/>
        <v>#N/A</v>
      </c>
    </row>
    <row r="502" spans="18:37">
      <c r="R502" s="55" t="e">
        <f ca="1"/>
        <v>#N/A</v>
      </c>
      <c r="S502" s="55" t="e">
        <f t="shared" ca="1" si="135"/>
        <v>#N/A</v>
      </c>
      <c r="T502" s="55" t="e">
        <f t="shared" ca="1" si="136"/>
        <v>#N/A</v>
      </c>
      <c r="U502" s="55" t="e">
        <f t="shared" ca="1" si="137"/>
        <v>#N/A</v>
      </c>
      <c r="V502" s="55" t="e">
        <f t="shared" ca="1" si="138"/>
        <v>#N/A</v>
      </c>
      <c r="W502" s="55" t="e">
        <f t="shared" ca="1" si="147"/>
        <v>#N/A</v>
      </c>
      <c r="X502" s="55" t="e">
        <f t="shared" ca="1" si="148"/>
        <v>#N/A</v>
      </c>
      <c r="Y502" s="55" t="e">
        <f t="shared" ca="1" si="149"/>
        <v>#N/A</v>
      </c>
      <c r="Z502" t="e">
        <f t="shared" ca="1" si="146"/>
        <v>#N/A</v>
      </c>
      <c r="AA502" t="e">
        <f t="shared" ca="1" si="139"/>
        <v>#N/A</v>
      </c>
      <c r="AB502" t="e">
        <f t="shared" ca="1" si="140"/>
        <v>#N/A</v>
      </c>
      <c r="AC502" t="e">
        <f t="shared" ca="1" si="141"/>
        <v>#N/A</v>
      </c>
      <c r="AD502" s="83" t="e">
        <f ca="1"/>
        <v>#N/A</v>
      </c>
      <c r="AE502" s="55" t="e">
        <f t="shared" ca="1" si="142"/>
        <v>#N/A</v>
      </c>
      <c r="AF502" s="55" t="e">
        <f t="shared" ca="1" si="143"/>
        <v>#N/A</v>
      </c>
      <c r="AG502" s="55" t="e">
        <f t="shared" ca="1" si="144"/>
        <v>#N/A</v>
      </c>
      <c r="AH502" s="55" t="e">
        <f t="shared" ca="1" si="145"/>
        <v>#N/A</v>
      </c>
      <c r="AI502" s="55" t="e">
        <f t="shared" ca="1" si="150"/>
        <v>#N/A</v>
      </c>
      <c r="AJ502" s="55" t="e">
        <f t="shared" ca="1" si="151"/>
        <v>#N/A</v>
      </c>
      <c r="AK502" s="55" t="e">
        <f t="shared" ca="1" si="152"/>
        <v>#N/A</v>
      </c>
    </row>
    <row r="503" spans="18:37">
      <c r="R503" s="55" t="e">
        <f ca="1"/>
        <v>#N/A</v>
      </c>
      <c r="S503" s="55" t="e">
        <f t="shared" ca="1" si="135"/>
        <v>#N/A</v>
      </c>
      <c r="T503" s="55" t="e">
        <f t="shared" ca="1" si="136"/>
        <v>#N/A</v>
      </c>
      <c r="U503" s="55" t="e">
        <f t="shared" ca="1" si="137"/>
        <v>#N/A</v>
      </c>
      <c r="V503" s="55" t="e">
        <f t="shared" ca="1" si="138"/>
        <v>#N/A</v>
      </c>
      <c r="W503" s="55" t="e">
        <f t="shared" ca="1" si="147"/>
        <v>#N/A</v>
      </c>
      <c r="X503" s="55" t="e">
        <f t="shared" ca="1" si="148"/>
        <v>#N/A</v>
      </c>
      <c r="Y503" s="55" t="e">
        <f t="shared" ca="1" si="149"/>
        <v>#N/A</v>
      </c>
      <c r="Z503" t="e">
        <f t="shared" ca="1" si="146"/>
        <v>#N/A</v>
      </c>
      <c r="AA503" t="e">
        <f t="shared" ca="1" si="139"/>
        <v>#N/A</v>
      </c>
      <c r="AB503" t="e">
        <f t="shared" ca="1" si="140"/>
        <v>#N/A</v>
      </c>
      <c r="AC503" t="e">
        <f t="shared" ca="1" si="141"/>
        <v>#N/A</v>
      </c>
      <c r="AD503" s="83" t="e">
        <f ca="1"/>
        <v>#N/A</v>
      </c>
      <c r="AE503" s="55" t="e">
        <f t="shared" ca="1" si="142"/>
        <v>#N/A</v>
      </c>
      <c r="AF503" s="55" t="e">
        <f t="shared" ca="1" si="143"/>
        <v>#N/A</v>
      </c>
      <c r="AG503" s="55" t="e">
        <f t="shared" ca="1" si="144"/>
        <v>#N/A</v>
      </c>
      <c r="AH503" s="55" t="e">
        <f t="shared" ca="1" si="145"/>
        <v>#N/A</v>
      </c>
      <c r="AI503" s="55" t="e">
        <f t="shared" ca="1" si="150"/>
        <v>#N/A</v>
      </c>
      <c r="AJ503" s="55" t="e">
        <f t="shared" ca="1" si="151"/>
        <v>#N/A</v>
      </c>
      <c r="AK503" s="55" t="e">
        <f t="shared" ca="1" si="152"/>
        <v>#N/A</v>
      </c>
    </row>
    <row r="504" spans="18:37">
      <c r="R504" s="55" t="e">
        <f ca="1"/>
        <v>#N/A</v>
      </c>
      <c r="S504" s="55" t="e">
        <f t="shared" ca="1" si="135"/>
        <v>#N/A</v>
      </c>
      <c r="T504" s="55" t="e">
        <f t="shared" ca="1" si="136"/>
        <v>#N/A</v>
      </c>
      <c r="U504" s="55" t="e">
        <f t="shared" ca="1" si="137"/>
        <v>#N/A</v>
      </c>
      <c r="V504" s="55" t="e">
        <f t="shared" ca="1" si="138"/>
        <v>#N/A</v>
      </c>
      <c r="W504" s="55" t="e">
        <f t="shared" ca="1" si="147"/>
        <v>#N/A</v>
      </c>
      <c r="X504" s="55" t="e">
        <f t="shared" ca="1" si="148"/>
        <v>#N/A</v>
      </c>
      <c r="Y504" s="55" t="e">
        <f t="shared" ca="1" si="149"/>
        <v>#N/A</v>
      </c>
      <c r="Z504" t="e">
        <f t="shared" ca="1" si="146"/>
        <v>#N/A</v>
      </c>
      <c r="AA504" t="e">
        <f t="shared" ca="1" si="139"/>
        <v>#N/A</v>
      </c>
      <c r="AB504" t="e">
        <f t="shared" ca="1" si="140"/>
        <v>#N/A</v>
      </c>
      <c r="AC504" t="e">
        <f t="shared" ca="1" si="141"/>
        <v>#N/A</v>
      </c>
      <c r="AD504" s="83" t="e">
        <f ca="1"/>
        <v>#N/A</v>
      </c>
      <c r="AE504" s="55" t="e">
        <f t="shared" ca="1" si="142"/>
        <v>#N/A</v>
      </c>
      <c r="AF504" s="55" t="e">
        <f t="shared" ca="1" si="143"/>
        <v>#N/A</v>
      </c>
      <c r="AG504" s="55" t="e">
        <f t="shared" ca="1" si="144"/>
        <v>#N/A</v>
      </c>
      <c r="AH504" s="55" t="e">
        <f t="shared" ca="1" si="145"/>
        <v>#N/A</v>
      </c>
      <c r="AI504" s="55" t="e">
        <f t="shared" ca="1" si="150"/>
        <v>#N/A</v>
      </c>
      <c r="AJ504" s="55" t="e">
        <f t="shared" ca="1" si="151"/>
        <v>#N/A</v>
      </c>
      <c r="AK504" s="55" t="e">
        <f t="shared" ca="1" si="152"/>
        <v>#N/A</v>
      </c>
    </row>
    <row r="505" spans="18:37">
      <c r="R505" s="55" t="e">
        <f ca="1"/>
        <v>#N/A</v>
      </c>
      <c r="S505" s="55" t="e">
        <f t="shared" ca="1" si="135"/>
        <v>#N/A</v>
      </c>
      <c r="T505" s="55" t="e">
        <f t="shared" ca="1" si="136"/>
        <v>#N/A</v>
      </c>
      <c r="U505" s="55" t="e">
        <f t="shared" ca="1" si="137"/>
        <v>#N/A</v>
      </c>
      <c r="V505" s="55" t="e">
        <f t="shared" ca="1" si="138"/>
        <v>#N/A</v>
      </c>
      <c r="W505" s="55" t="e">
        <f t="shared" ca="1" si="147"/>
        <v>#N/A</v>
      </c>
      <c r="X505" s="55" t="e">
        <f t="shared" ca="1" si="148"/>
        <v>#N/A</v>
      </c>
      <c r="Y505" s="55" t="e">
        <f t="shared" ca="1" si="149"/>
        <v>#N/A</v>
      </c>
      <c r="Z505" t="e">
        <f t="shared" ca="1" si="146"/>
        <v>#N/A</v>
      </c>
      <c r="AA505" t="e">
        <f t="shared" ca="1" si="139"/>
        <v>#N/A</v>
      </c>
      <c r="AB505" t="e">
        <f t="shared" ca="1" si="140"/>
        <v>#N/A</v>
      </c>
      <c r="AC505" t="e">
        <f t="shared" ca="1" si="141"/>
        <v>#N/A</v>
      </c>
      <c r="AD505" s="83" t="e">
        <f ca="1"/>
        <v>#N/A</v>
      </c>
      <c r="AE505" s="55" t="e">
        <f t="shared" ca="1" si="142"/>
        <v>#N/A</v>
      </c>
      <c r="AF505" s="55" t="e">
        <f t="shared" ca="1" si="143"/>
        <v>#N/A</v>
      </c>
      <c r="AG505" s="55" t="e">
        <f t="shared" ca="1" si="144"/>
        <v>#N/A</v>
      </c>
      <c r="AH505" s="55" t="e">
        <f t="shared" ca="1" si="145"/>
        <v>#N/A</v>
      </c>
      <c r="AI505" s="55" t="e">
        <f t="shared" ca="1" si="150"/>
        <v>#N/A</v>
      </c>
      <c r="AJ505" s="55" t="e">
        <f t="shared" ca="1" si="151"/>
        <v>#N/A</v>
      </c>
      <c r="AK505" s="55" t="e">
        <f t="shared" ca="1" si="152"/>
        <v>#N/A</v>
      </c>
    </row>
    <row r="506" spans="18:37">
      <c r="R506" s="55" t="e">
        <f ca="1"/>
        <v>#N/A</v>
      </c>
      <c r="S506" s="55" t="e">
        <f t="shared" ca="1" si="135"/>
        <v>#N/A</v>
      </c>
      <c r="T506" s="55" t="e">
        <f t="shared" ca="1" si="136"/>
        <v>#N/A</v>
      </c>
      <c r="U506" s="55" t="e">
        <f t="shared" ca="1" si="137"/>
        <v>#N/A</v>
      </c>
      <c r="V506" s="55" t="e">
        <f t="shared" ca="1" si="138"/>
        <v>#N/A</v>
      </c>
      <c r="W506" s="55" t="e">
        <f t="shared" ca="1" si="147"/>
        <v>#N/A</v>
      </c>
      <c r="X506" s="55" t="e">
        <f t="shared" ca="1" si="148"/>
        <v>#N/A</v>
      </c>
      <c r="Y506" s="55" t="e">
        <f t="shared" ca="1" si="149"/>
        <v>#N/A</v>
      </c>
      <c r="Z506" t="e">
        <f t="shared" ca="1" si="146"/>
        <v>#N/A</v>
      </c>
      <c r="AA506" t="e">
        <f t="shared" ca="1" si="139"/>
        <v>#N/A</v>
      </c>
      <c r="AB506" t="e">
        <f t="shared" ca="1" si="140"/>
        <v>#N/A</v>
      </c>
      <c r="AC506" t="e">
        <f t="shared" ca="1" si="141"/>
        <v>#N/A</v>
      </c>
      <c r="AD506" s="83" t="e">
        <f ca="1"/>
        <v>#N/A</v>
      </c>
      <c r="AE506" s="55" t="e">
        <f t="shared" ca="1" si="142"/>
        <v>#N/A</v>
      </c>
      <c r="AF506" s="55" t="e">
        <f t="shared" ca="1" si="143"/>
        <v>#N/A</v>
      </c>
      <c r="AG506" s="55" t="e">
        <f t="shared" ca="1" si="144"/>
        <v>#N/A</v>
      </c>
      <c r="AH506" s="55" t="e">
        <f t="shared" ca="1" si="145"/>
        <v>#N/A</v>
      </c>
      <c r="AI506" s="55" t="e">
        <f t="shared" ca="1" si="150"/>
        <v>#N/A</v>
      </c>
      <c r="AJ506" s="55" t="e">
        <f t="shared" ca="1" si="151"/>
        <v>#N/A</v>
      </c>
      <c r="AK506" s="55" t="e">
        <f t="shared" ca="1" si="152"/>
        <v>#N/A</v>
      </c>
    </row>
    <row r="507" spans="18:37">
      <c r="R507" s="55" t="e">
        <f ca="1"/>
        <v>#N/A</v>
      </c>
      <c r="S507" s="55" t="e">
        <f t="shared" ca="1" si="135"/>
        <v>#N/A</v>
      </c>
      <c r="T507" s="55" t="e">
        <f t="shared" ca="1" si="136"/>
        <v>#N/A</v>
      </c>
      <c r="U507" s="55" t="e">
        <f t="shared" ca="1" si="137"/>
        <v>#N/A</v>
      </c>
      <c r="V507" s="55" t="e">
        <f t="shared" ca="1" si="138"/>
        <v>#N/A</v>
      </c>
      <c r="W507" s="55" t="e">
        <f t="shared" ca="1" si="147"/>
        <v>#N/A</v>
      </c>
      <c r="X507" s="55" t="e">
        <f t="shared" ca="1" si="148"/>
        <v>#N/A</v>
      </c>
      <c r="Y507" s="55" t="e">
        <f t="shared" ca="1" si="149"/>
        <v>#N/A</v>
      </c>
      <c r="Z507" t="e">
        <f t="shared" ca="1" si="146"/>
        <v>#N/A</v>
      </c>
      <c r="AA507" t="e">
        <f t="shared" ca="1" si="139"/>
        <v>#N/A</v>
      </c>
      <c r="AB507" t="e">
        <f t="shared" ca="1" si="140"/>
        <v>#N/A</v>
      </c>
      <c r="AC507" t="e">
        <f t="shared" ca="1" si="141"/>
        <v>#N/A</v>
      </c>
      <c r="AD507" s="83" t="e">
        <f ca="1"/>
        <v>#N/A</v>
      </c>
      <c r="AE507" s="55" t="e">
        <f t="shared" ca="1" si="142"/>
        <v>#N/A</v>
      </c>
      <c r="AF507" s="55" t="e">
        <f t="shared" ca="1" si="143"/>
        <v>#N/A</v>
      </c>
      <c r="AG507" s="55" t="e">
        <f t="shared" ca="1" si="144"/>
        <v>#N/A</v>
      </c>
      <c r="AH507" s="55" t="e">
        <f t="shared" ca="1" si="145"/>
        <v>#N/A</v>
      </c>
      <c r="AI507" s="55" t="e">
        <f t="shared" ca="1" si="150"/>
        <v>#N/A</v>
      </c>
      <c r="AJ507" s="55" t="e">
        <f t="shared" ca="1" si="151"/>
        <v>#N/A</v>
      </c>
      <c r="AK507" s="55" t="e">
        <f t="shared" ca="1" si="152"/>
        <v>#N/A</v>
      </c>
    </row>
    <row r="508" spans="18:37">
      <c r="R508" s="55" t="e">
        <f ca="1"/>
        <v>#N/A</v>
      </c>
      <c r="S508" s="55" t="e">
        <f t="shared" ca="1" si="135"/>
        <v>#N/A</v>
      </c>
      <c r="T508" s="55" t="e">
        <f t="shared" ca="1" si="136"/>
        <v>#N/A</v>
      </c>
      <c r="U508" s="55" t="e">
        <f t="shared" ca="1" si="137"/>
        <v>#N/A</v>
      </c>
      <c r="V508" s="55" t="e">
        <f t="shared" ca="1" si="138"/>
        <v>#N/A</v>
      </c>
      <c r="W508" s="55" t="e">
        <f t="shared" ca="1" si="147"/>
        <v>#N/A</v>
      </c>
      <c r="X508" s="55" t="e">
        <f t="shared" ca="1" si="148"/>
        <v>#N/A</v>
      </c>
      <c r="Y508" s="55" t="e">
        <f t="shared" ca="1" si="149"/>
        <v>#N/A</v>
      </c>
      <c r="Z508" t="e">
        <f t="shared" ca="1" si="146"/>
        <v>#N/A</v>
      </c>
      <c r="AA508" t="e">
        <f t="shared" ca="1" si="139"/>
        <v>#N/A</v>
      </c>
      <c r="AB508" t="e">
        <f t="shared" ca="1" si="140"/>
        <v>#N/A</v>
      </c>
      <c r="AC508" t="e">
        <f t="shared" ca="1" si="141"/>
        <v>#N/A</v>
      </c>
      <c r="AD508" s="83" t="e">
        <f ca="1"/>
        <v>#N/A</v>
      </c>
      <c r="AE508" s="55" t="e">
        <f t="shared" ca="1" si="142"/>
        <v>#N/A</v>
      </c>
      <c r="AF508" s="55" t="e">
        <f t="shared" ca="1" si="143"/>
        <v>#N/A</v>
      </c>
      <c r="AG508" s="55" t="e">
        <f t="shared" ca="1" si="144"/>
        <v>#N/A</v>
      </c>
      <c r="AH508" s="55" t="e">
        <f t="shared" ca="1" si="145"/>
        <v>#N/A</v>
      </c>
      <c r="AI508" s="55" t="e">
        <f t="shared" ca="1" si="150"/>
        <v>#N/A</v>
      </c>
      <c r="AJ508" s="55" t="e">
        <f t="shared" ca="1" si="151"/>
        <v>#N/A</v>
      </c>
      <c r="AK508" s="55" t="e">
        <f t="shared" ca="1" si="152"/>
        <v>#N/A</v>
      </c>
    </row>
    <row r="509" spans="18:37">
      <c r="R509" s="55" t="e">
        <f ca="1"/>
        <v>#N/A</v>
      </c>
      <c r="S509" s="55" t="e">
        <f t="shared" ca="1" si="135"/>
        <v>#N/A</v>
      </c>
      <c r="T509" s="55" t="e">
        <f t="shared" ca="1" si="136"/>
        <v>#N/A</v>
      </c>
      <c r="U509" s="55" t="e">
        <f t="shared" ca="1" si="137"/>
        <v>#N/A</v>
      </c>
      <c r="V509" s="55" t="e">
        <f t="shared" ca="1" si="138"/>
        <v>#N/A</v>
      </c>
      <c r="W509" s="55" t="e">
        <f t="shared" ca="1" si="147"/>
        <v>#N/A</v>
      </c>
      <c r="X509" s="55" t="e">
        <f t="shared" ca="1" si="148"/>
        <v>#N/A</v>
      </c>
      <c r="Y509" s="55" t="e">
        <f t="shared" ca="1" si="149"/>
        <v>#N/A</v>
      </c>
      <c r="Z509" t="e">
        <f t="shared" ca="1" si="146"/>
        <v>#N/A</v>
      </c>
      <c r="AA509" t="e">
        <f t="shared" ca="1" si="139"/>
        <v>#N/A</v>
      </c>
      <c r="AB509" t="e">
        <f t="shared" ca="1" si="140"/>
        <v>#N/A</v>
      </c>
      <c r="AC509" t="e">
        <f t="shared" ca="1" si="141"/>
        <v>#N/A</v>
      </c>
      <c r="AD509" s="83" t="e">
        <f ca="1"/>
        <v>#N/A</v>
      </c>
      <c r="AE509" s="55" t="e">
        <f t="shared" ca="1" si="142"/>
        <v>#N/A</v>
      </c>
      <c r="AF509" s="55" t="e">
        <f t="shared" ca="1" si="143"/>
        <v>#N/A</v>
      </c>
      <c r="AG509" s="55" t="e">
        <f t="shared" ca="1" si="144"/>
        <v>#N/A</v>
      </c>
      <c r="AH509" s="55" t="e">
        <f t="shared" ca="1" si="145"/>
        <v>#N/A</v>
      </c>
      <c r="AI509" s="55" t="e">
        <f t="shared" ca="1" si="150"/>
        <v>#N/A</v>
      </c>
      <c r="AJ509" s="55" t="e">
        <f t="shared" ca="1" si="151"/>
        <v>#N/A</v>
      </c>
      <c r="AK509" s="55" t="e">
        <f t="shared" ca="1" si="152"/>
        <v>#N/A</v>
      </c>
    </row>
    <row r="510" spans="18:37">
      <c r="R510" s="55" t="e">
        <f ca="1"/>
        <v>#N/A</v>
      </c>
      <c r="S510" s="55" t="e">
        <f t="shared" ca="1" si="135"/>
        <v>#N/A</v>
      </c>
      <c r="T510" s="55" t="e">
        <f t="shared" ca="1" si="136"/>
        <v>#N/A</v>
      </c>
      <c r="U510" s="55" t="e">
        <f t="shared" ca="1" si="137"/>
        <v>#N/A</v>
      </c>
      <c r="V510" s="55" t="e">
        <f t="shared" ca="1" si="138"/>
        <v>#N/A</v>
      </c>
      <c r="W510" s="55" t="e">
        <f t="shared" ca="1" si="147"/>
        <v>#N/A</v>
      </c>
      <c r="X510" s="55" t="e">
        <f t="shared" ca="1" si="148"/>
        <v>#N/A</v>
      </c>
      <c r="Y510" s="55" t="e">
        <f t="shared" ca="1" si="149"/>
        <v>#N/A</v>
      </c>
      <c r="Z510" t="e">
        <f t="shared" ca="1" si="146"/>
        <v>#N/A</v>
      </c>
      <c r="AA510" t="e">
        <f t="shared" ca="1" si="139"/>
        <v>#N/A</v>
      </c>
      <c r="AB510" t="e">
        <f t="shared" ca="1" si="140"/>
        <v>#N/A</v>
      </c>
      <c r="AC510" t="e">
        <f t="shared" ca="1" si="141"/>
        <v>#N/A</v>
      </c>
      <c r="AD510" s="83" t="e">
        <f ca="1"/>
        <v>#N/A</v>
      </c>
      <c r="AE510" s="55" t="e">
        <f t="shared" ca="1" si="142"/>
        <v>#N/A</v>
      </c>
      <c r="AF510" s="55" t="e">
        <f t="shared" ca="1" si="143"/>
        <v>#N/A</v>
      </c>
      <c r="AG510" s="55" t="e">
        <f t="shared" ca="1" si="144"/>
        <v>#N/A</v>
      </c>
      <c r="AH510" s="55" t="e">
        <f t="shared" ca="1" si="145"/>
        <v>#N/A</v>
      </c>
      <c r="AI510" s="55" t="e">
        <f t="shared" ca="1" si="150"/>
        <v>#N/A</v>
      </c>
      <c r="AJ510" s="55" t="e">
        <f t="shared" ca="1" si="151"/>
        <v>#N/A</v>
      </c>
      <c r="AK510" s="55" t="e">
        <f t="shared" ca="1" si="152"/>
        <v>#N/A</v>
      </c>
    </row>
    <row r="511" spans="18:37">
      <c r="R511" s="55" t="e">
        <f ca="1"/>
        <v>#N/A</v>
      </c>
      <c r="S511" s="55" t="e">
        <f t="shared" ca="1" si="135"/>
        <v>#N/A</v>
      </c>
      <c r="T511" s="55" t="e">
        <f t="shared" ca="1" si="136"/>
        <v>#N/A</v>
      </c>
      <c r="U511" s="55" t="e">
        <f t="shared" ca="1" si="137"/>
        <v>#N/A</v>
      </c>
      <c r="V511" s="55" t="e">
        <f t="shared" ca="1" si="138"/>
        <v>#N/A</v>
      </c>
      <c r="W511" s="55" t="e">
        <f t="shared" ca="1" si="147"/>
        <v>#N/A</v>
      </c>
      <c r="X511" s="55" t="e">
        <f t="shared" ca="1" si="148"/>
        <v>#N/A</v>
      </c>
      <c r="Y511" s="55" t="e">
        <f t="shared" ca="1" si="149"/>
        <v>#N/A</v>
      </c>
      <c r="Z511" t="e">
        <f t="shared" ca="1" si="146"/>
        <v>#N/A</v>
      </c>
      <c r="AA511" t="e">
        <f t="shared" ca="1" si="139"/>
        <v>#N/A</v>
      </c>
      <c r="AB511" t="e">
        <f t="shared" ca="1" si="140"/>
        <v>#N/A</v>
      </c>
      <c r="AC511" t="e">
        <f t="shared" ca="1" si="141"/>
        <v>#N/A</v>
      </c>
      <c r="AD511" s="83" t="e">
        <f ca="1"/>
        <v>#N/A</v>
      </c>
      <c r="AE511" s="55" t="e">
        <f t="shared" ca="1" si="142"/>
        <v>#N/A</v>
      </c>
      <c r="AF511" s="55" t="e">
        <f t="shared" ca="1" si="143"/>
        <v>#N/A</v>
      </c>
      <c r="AG511" s="55" t="e">
        <f t="shared" ca="1" si="144"/>
        <v>#N/A</v>
      </c>
      <c r="AH511" s="55" t="e">
        <f t="shared" ca="1" si="145"/>
        <v>#N/A</v>
      </c>
      <c r="AI511" s="55" t="e">
        <f t="shared" ca="1" si="150"/>
        <v>#N/A</v>
      </c>
      <c r="AJ511" s="55" t="e">
        <f t="shared" ca="1" si="151"/>
        <v>#N/A</v>
      </c>
      <c r="AK511" s="55" t="e">
        <f t="shared" ca="1" si="152"/>
        <v>#N/A</v>
      </c>
    </row>
    <row r="512" spans="18:37">
      <c r="R512" s="55" t="e">
        <f ca="1"/>
        <v>#N/A</v>
      </c>
      <c r="S512" s="55" t="e">
        <f t="shared" ca="1" si="135"/>
        <v>#N/A</v>
      </c>
      <c r="T512" s="55" t="e">
        <f t="shared" ca="1" si="136"/>
        <v>#N/A</v>
      </c>
      <c r="U512" s="55" t="e">
        <f t="shared" ca="1" si="137"/>
        <v>#N/A</v>
      </c>
      <c r="V512" s="55" t="e">
        <f t="shared" ca="1" si="138"/>
        <v>#N/A</v>
      </c>
      <c r="W512" s="55" t="e">
        <f t="shared" ca="1" si="147"/>
        <v>#N/A</v>
      </c>
      <c r="X512" s="55" t="e">
        <f t="shared" ca="1" si="148"/>
        <v>#N/A</v>
      </c>
      <c r="Y512" s="55" t="e">
        <f t="shared" ca="1" si="149"/>
        <v>#N/A</v>
      </c>
      <c r="Z512" t="e">
        <f t="shared" ca="1" si="146"/>
        <v>#N/A</v>
      </c>
      <c r="AA512" t="e">
        <f t="shared" ca="1" si="139"/>
        <v>#N/A</v>
      </c>
      <c r="AB512" t="e">
        <f t="shared" ca="1" si="140"/>
        <v>#N/A</v>
      </c>
      <c r="AC512" t="e">
        <f t="shared" ca="1" si="141"/>
        <v>#N/A</v>
      </c>
      <c r="AD512" s="83" t="e">
        <f ca="1"/>
        <v>#N/A</v>
      </c>
      <c r="AE512" s="55" t="e">
        <f t="shared" ca="1" si="142"/>
        <v>#N/A</v>
      </c>
      <c r="AF512" s="55" t="e">
        <f t="shared" ca="1" si="143"/>
        <v>#N/A</v>
      </c>
      <c r="AG512" s="55" t="e">
        <f t="shared" ca="1" si="144"/>
        <v>#N/A</v>
      </c>
      <c r="AH512" s="55" t="e">
        <f t="shared" ca="1" si="145"/>
        <v>#N/A</v>
      </c>
      <c r="AI512" s="55" t="e">
        <f t="shared" ca="1" si="150"/>
        <v>#N/A</v>
      </c>
      <c r="AJ512" s="55" t="e">
        <f t="shared" ca="1" si="151"/>
        <v>#N/A</v>
      </c>
      <c r="AK512" s="55" t="e">
        <f t="shared" ca="1" si="152"/>
        <v>#N/A</v>
      </c>
    </row>
    <row r="513" spans="18:37">
      <c r="R513" s="55" t="e">
        <f ca="1"/>
        <v>#N/A</v>
      </c>
      <c r="S513" s="55" t="e">
        <f t="shared" ca="1" si="135"/>
        <v>#N/A</v>
      </c>
      <c r="T513" s="55" t="e">
        <f t="shared" ca="1" si="136"/>
        <v>#N/A</v>
      </c>
      <c r="U513" s="55" t="e">
        <f t="shared" ca="1" si="137"/>
        <v>#N/A</v>
      </c>
      <c r="V513" s="55" t="e">
        <f t="shared" ca="1" si="138"/>
        <v>#N/A</v>
      </c>
      <c r="W513" s="55" t="e">
        <f t="shared" ca="1" si="147"/>
        <v>#N/A</v>
      </c>
      <c r="X513" s="55" t="e">
        <f t="shared" ca="1" si="148"/>
        <v>#N/A</v>
      </c>
      <c r="Y513" s="55" t="e">
        <f t="shared" ca="1" si="149"/>
        <v>#N/A</v>
      </c>
      <c r="Z513" t="e">
        <f t="shared" ca="1" si="146"/>
        <v>#N/A</v>
      </c>
      <c r="AA513" t="e">
        <f t="shared" ca="1" si="139"/>
        <v>#N/A</v>
      </c>
      <c r="AB513" t="e">
        <f t="shared" ca="1" si="140"/>
        <v>#N/A</v>
      </c>
      <c r="AC513" t="e">
        <f t="shared" ca="1" si="141"/>
        <v>#N/A</v>
      </c>
      <c r="AD513" s="83" t="e">
        <f ca="1"/>
        <v>#N/A</v>
      </c>
      <c r="AE513" s="55" t="e">
        <f t="shared" ca="1" si="142"/>
        <v>#N/A</v>
      </c>
      <c r="AF513" s="55" t="e">
        <f t="shared" ca="1" si="143"/>
        <v>#N/A</v>
      </c>
      <c r="AG513" s="55" t="e">
        <f t="shared" ca="1" si="144"/>
        <v>#N/A</v>
      </c>
      <c r="AH513" s="55" t="e">
        <f t="shared" ca="1" si="145"/>
        <v>#N/A</v>
      </c>
      <c r="AI513" s="55" t="e">
        <f t="shared" ca="1" si="150"/>
        <v>#N/A</v>
      </c>
      <c r="AJ513" s="55" t="e">
        <f t="shared" ca="1" si="151"/>
        <v>#N/A</v>
      </c>
      <c r="AK513" s="55" t="e">
        <f t="shared" ca="1" si="152"/>
        <v>#N/A</v>
      </c>
    </row>
    <row r="514" spans="18:37">
      <c r="R514" s="55" t="e">
        <f ca="1"/>
        <v>#N/A</v>
      </c>
      <c r="S514" s="55" t="e">
        <f t="shared" ca="1" si="135"/>
        <v>#N/A</v>
      </c>
      <c r="T514" s="55" t="e">
        <f t="shared" ca="1" si="136"/>
        <v>#N/A</v>
      </c>
      <c r="U514" s="55" t="e">
        <f t="shared" ca="1" si="137"/>
        <v>#N/A</v>
      </c>
      <c r="V514" s="55" t="e">
        <f t="shared" ca="1" si="138"/>
        <v>#N/A</v>
      </c>
      <c r="W514" s="55" t="e">
        <f t="shared" ca="1" si="147"/>
        <v>#N/A</v>
      </c>
      <c r="X514" s="55" t="e">
        <f t="shared" ca="1" si="148"/>
        <v>#N/A</v>
      </c>
      <c r="Y514" s="55" t="e">
        <f t="shared" ca="1" si="149"/>
        <v>#N/A</v>
      </c>
      <c r="Z514" t="e">
        <f t="shared" ca="1" si="146"/>
        <v>#N/A</v>
      </c>
      <c r="AA514" t="e">
        <f t="shared" ca="1" si="139"/>
        <v>#N/A</v>
      </c>
      <c r="AB514" t="e">
        <f t="shared" ca="1" si="140"/>
        <v>#N/A</v>
      </c>
      <c r="AC514" t="e">
        <f t="shared" ca="1" si="141"/>
        <v>#N/A</v>
      </c>
      <c r="AD514" s="83" t="e">
        <f ca="1"/>
        <v>#N/A</v>
      </c>
      <c r="AE514" s="55" t="e">
        <f t="shared" ca="1" si="142"/>
        <v>#N/A</v>
      </c>
      <c r="AF514" s="55" t="e">
        <f t="shared" ca="1" si="143"/>
        <v>#N/A</v>
      </c>
      <c r="AG514" s="55" t="e">
        <f t="shared" ca="1" si="144"/>
        <v>#N/A</v>
      </c>
      <c r="AH514" s="55" t="e">
        <f t="shared" ca="1" si="145"/>
        <v>#N/A</v>
      </c>
      <c r="AI514" s="55" t="e">
        <f t="shared" ca="1" si="150"/>
        <v>#N/A</v>
      </c>
      <c r="AJ514" s="55" t="e">
        <f t="shared" ca="1" si="151"/>
        <v>#N/A</v>
      </c>
      <c r="AK514" s="55" t="e">
        <f t="shared" ca="1" si="152"/>
        <v>#N/A</v>
      </c>
    </row>
    <row r="515" spans="18:37">
      <c r="R515" s="55" t="e">
        <f ca="1"/>
        <v>#N/A</v>
      </c>
      <c r="S515" s="55" t="e">
        <f t="shared" ca="1" si="135"/>
        <v>#N/A</v>
      </c>
      <c r="T515" s="55" t="e">
        <f t="shared" ca="1" si="136"/>
        <v>#N/A</v>
      </c>
      <c r="U515" s="55" t="e">
        <f t="shared" ca="1" si="137"/>
        <v>#N/A</v>
      </c>
      <c r="V515" s="55" t="e">
        <f t="shared" ca="1" si="138"/>
        <v>#N/A</v>
      </c>
      <c r="W515" s="55" t="e">
        <f t="shared" ca="1" si="147"/>
        <v>#N/A</v>
      </c>
      <c r="X515" s="55" t="e">
        <f t="shared" ca="1" si="148"/>
        <v>#N/A</v>
      </c>
      <c r="Y515" s="55" t="e">
        <f t="shared" ca="1" si="149"/>
        <v>#N/A</v>
      </c>
      <c r="Z515" t="e">
        <f t="shared" ca="1" si="146"/>
        <v>#N/A</v>
      </c>
      <c r="AA515" t="e">
        <f t="shared" ca="1" si="139"/>
        <v>#N/A</v>
      </c>
      <c r="AB515" t="e">
        <f t="shared" ca="1" si="140"/>
        <v>#N/A</v>
      </c>
      <c r="AC515" t="e">
        <f t="shared" ca="1" si="141"/>
        <v>#N/A</v>
      </c>
      <c r="AD515" s="83" t="e">
        <f ca="1"/>
        <v>#N/A</v>
      </c>
      <c r="AE515" s="55" t="e">
        <f t="shared" ca="1" si="142"/>
        <v>#N/A</v>
      </c>
      <c r="AF515" s="55" t="e">
        <f t="shared" ca="1" si="143"/>
        <v>#N/A</v>
      </c>
      <c r="AG515" s="55" t="e">
        <f t="shared" ca="1" si="144"/>
        <v>#N/A</v>
      </c>
      <c r="AH515" s="55" t="e">
        <f t="shared" ca="1" si="145"/>
        <v>#N/A</v>
      </c>
      <c r="AI515" s="55" t="e">
        <f t="shared" ca="1" si="150"/>
        <v>#N/A</v>
      </c>
      <c r="AJ515" s="55" t="e">
        <f t="shared" ca="1" si="151"/>
        <v>#N/A</v>
      </c>
      <c r="AK515" s="55" t="e">
        <f t="shared" ca="1" si="152"/>
        <v>#N/A</v>
      </c>
    </row>
    <row r="516" spans="18:37">
      <c r="R516" s="55" t="e">
        <f ca="1"/>
        <v>#N/A</v>
      </c>
      <c r="S516" s="55" t="e">
        <f t="shared" ca="1" si="135"/>
        <v>#N/A</v>
      </c>
      <c r="T516" s="55" t="e">
        <f t="shared" ca="1" si="136"/>
        <v>#N/A</v>
      </c>
      <c r="U516" s="55" t="e">
        <f t="shared" ca="1" si="137"/>
        <v>#N/A</v>
      </c>
      <c r="V516" s="55" t="e">
        <f t="shared" ca="1" si="138"/>
        <v>#N/A</v>
      </c>
      <c r="W516" s="55" t="e">
        <f t="shared" ca="1" si="147"/>
        <v>#N/A</v>
      </c>
      <c r="X516" s="55" t="e">
        <f t="shared" ca="1" si="148"/>
        <v>#N/A</v>
      </c>
      <c r="Y516" s="55" t="e">
        <f t="shared" ca="1" si="149"/>
        <v>#N/A</v>
      </c>
      <c r="Z516" t="e">
        <f t="shared" ca="1" si="146"/>
        <v>#N/A</v>
      </c>
      <c r="AA516" t="e">
        <f t="shared" ca="1" si="139"/>
        <v>#N/A</v>
      </c>
      <c r="AB516" t="e">
        <f t="shared" ca="1" si="140"/>
        <v>#N/A</v>
      </c>
      <c r="AC516" t="e">
        <f t="shared" ca="1" si="141"/>
        <v>#N/A</v>
      </c>
      <c r="AD516" s="83" t="e">
        <f ca="1"/>
        <v>#N/A</v>
      </c>
      <c r="AE516" s="55" t="e">
        <f t="shared" ca="1" si="142"/>
        <v>#N/A</v>
      </c>
      <c r="AF516" s="55" t="e">
        <f t="shared" ca="1" si="143"/>
        <v>#N/A</v>
      </c>
      <c r="AG516" s="55" t="e">
        <f t="shared" ca="1" si="144"/>
        <v>#N/A</v>
      </c>
      <c r="AH516" s="55" t="e">
        <f t="shared" ca="1" si="145"/>
        <v>#N/A</v>
      </c>
      <c r="AI516" s="55" t="e">
        <f t="shared" ca="1" si="150"/>
        <v>#N/A</v>
      </c>
      <c r="AJ516" s="55" t="e">
        <f t="shared" ca="1" si="151"/>
        <v>#N/A</v>
      </c>
      <c r="AK516" s="55" t="e">
        <f t="shared" ca="1" si="152"/>
        <v>#N/A</v>
      </c>
    </row>
    <row r="517" spans="18:37">
      <c r="R517" s="55" t="e">
        <f ca="1"/>
        <v>#N/A</v>
      </c>
      <c r="S517" s="55" t="e">
        <f t="shared" ca="1" si="135"/>
        <v>#N/A</v>
      </c>
      <c r="T517" s="55" t="e">
        <f t="shared" ca="1" si="136"/>
        <v>#N/A</v>
      </c>
      <c r="U517" s="55" t="e">
        <f t="shared" ca="1" si="137"/>
        <v>#N/A</v>
      </c>
      <c r="V517" s="55" t="e">
        <f t="shared" ca="1" si="138"/>
        <v>#N/A</v>
      </c>
      <c r="W517" s="55" t="e">
        <f t="shared" ca="1" si="147"/>
        <v>#N/A</v>
      </c>
      <c r="X517" s="55" t="e">
        <f t="shared" ca="1" si="148"/>
        <v>#N/A</v>
      </c>
      <c r="Y517" s="55" t="e">
        <f t="shared" ca="1" si="149"/>
        <v>#N/A</v>
      </c>
      <c r="Z517" t="e">
        <f t="shared" ca="1" si="146"/>
        <v>#N/A</v>
      </c>
      <c r="AA517" t="e">
        <f t="shared" ca="1" si="139"/>
        <v>#N/A</v>
      </c>
      <c r="AB517" t="e">
        <f t="shared" ca="1" si="140"/>
        <v>#N/A</v>
      </c>
      <c r="AC517" t="e">
        <f t="shared" ca="1" si="141"/>
        <v>#N/A</v>
      </c>
      <c r="AD517" s="83" t="e">
        <f ca="1"/>
        <v>#N/A</v>
      </c>
      <c r="AE517" s="55" t="e">
        <f t="shared" ca="1" si="142"/>
        <v>#N/A</v>
      </c>
      <c r="AF517" s="55" t="e">
        <f t="shared" ca="1" si="143"/>
        <v>#N/A</v>
      </c>
      <c r="AG517" s="55" t="e">
        <f t="shared" ca="1" si="144"/>
        <v>#N/A</v>
      </c>
      <c r="AH517" s="55" t="e">
        <f t="shared" ca="1" si="145"/>
        <v>#N/A</v>
      </c>
      <c r="AI517" s="55" t="e">
        <f t="shared" ca="1" si="150"/>
        <v>#N/A</v>
      </c>
      <c r="AJ517" s="55" t="e">
        <f t="shared" ca="1" si="151"/>
        <v>#N/A</v>
      </c>
      <c r="AK517" s="55" t="e">
        <f t="shared" ca="1" si="152"/>
        <v>#N/A</v>
      </c>
    </row>
    <row r="518" spans="18:37">
      <c r="R518" s="55" t="e">
        <f ca="1"/>
        <v>#N/A</v>
      </c>
      <c r="S518" s="55" t="e">
        <f t="shared" ca="1" si="135"/>
        <v>#N/A</v>
      </c>
      <c r="T518" s="55" t="e">
        <f t="shared" ca="1" si="136"/>
        <v>#N/A</v>
      </c>
      <c r="U518" s="55" t="e">
        <f t="shared" ca="1" si="137"/>
        <v>#N/A</v>
      </c>
      <c r="V518" s="55" t="e">
        <f t="shared" ca="1" si="138"/>
        <v>#N/A</v>
      </c>
      <c r="W518" s="55" t="e">
        <f t="shared" ca="1" si="147"/>
        <v>#N/A</v>
      </c>
      <c r="X518" s="55" t="e">
        <f t="shared" ca="1" si="148"/>
        <v>#N/A</v>
      </c>
      <c r="Y518" s="55" t="e">
        <f t="shared" ca="1" si="149"/>
        <v>#N/A</v>
      </c>
      <c r="Z518" t="e">
        <f t="shared" ca="1" si="146"/>
        <v>#N/A</v>
      </c>
      <c r="AA518" t="e">
        <f t="shared" ca="1" si="139"/>
        <v>#N/A</v>
      </c>
      <c r="AB518" t="e">
        <f t="shared" ca="1" si="140"/>
        <v>#N/A</v>
      </c>
      <c r="AC518" t="e">
        <f t="shared" ca="1" si="141"/>
        <v>#N/A</v>
      </c>
      <c r="AD518" s="83" t="e">
        <f ca="1"/>
        <v>#N/A</v>
      </c>
      <c r="AE518" s="55" t="e">
        <f t="shared" ca="1" si="142"/>
        <v>#N/A</v>
      </c>
      <c r="AF518" s="55" t="e">
        <f t="shared" ca="1" si="143"/>
        <v>#N/A</v>
      </c>
      <c r="AG518" s="55" t="e">
        <f t="shared" ca="1" si="144"/>
        <v>#N/A</v>
      </c>
      <c r="AH518" s="55" t="e">
        <f t="shared" ca="1" si="145"/>
        <v>#N/A</v>
      </c>
      <c r="AI518" s="55" t="e">
        <f t="shared" ca="1" si="150"/>
        <v>#N/A</v>
      </c>
      <c r="AJ518" s="55" t="e">
        <f t="shared" ca="1" si="151"/>
        <v>#N/A</v>
      </c>
      <c r="AK518" s="55" t="e">
        <f t="shared" ca="1" si="152"/>
        <v>#N/A</v>
      </c>
    </row>
    <row r="519" spans="18:37">
      <c r="R519" s="55" t="e">
        <f ca="1"/>
        <v>#N/A</v>
      </c>
      <c r="S519" s="55" t="e">
        <f t="shared" ca="1" si="135"/>
        <v>#N/A</v>
      </c>
      <c r="T519" s="55" t="e">
        <f t="shared" ca="1" si="136"/>
        <v>#N/A</v>
      </c>
      <c r="U519" s="55" t="e">
        <f t="shared" ca="1" si="137"/>
        <v>#N/A</v>
      </c>
      <c r="V519" s="55" t="e">
        <f t="shared" ca="1" si="138"/>
        <v>#N/A</v>
      </c>
      <c r="W519" s="55" t="e">
        <f t="shared" ca="1" si="147"/>
        <v>#N/A</v>
      </c>
      <c r="X519" s="55" t="e">
        <f t="shared" ca="1" si="148"/>
        <v>#N/A</v>
      </c>
      <c r="Y519" s="55" t="e">
        <f t="shared" ca="1" si="149"/>
        <v>#N/A</v>
      </c>
      <c r="Z519" t="e">
        <f t="shared" ca="1" si="146"/>
        <v>#N/A</v>
      </c>
      <c r="AA519" t="e">
        <f t="shared" ca="1" si="139"/>
        <v>#N/A</v>
      </c>
      <c r="AB519" t="e">
        <f t="shared" ca="1" si="140"/>
        <v>#N/A</v>
      </c>
      <c r="AC519" t="e">
        <f t="shared" ca="1" si="141"/>
        <v>#N/A</v>
      </c>
      <c r="AD519" s="83" t="e">
        <f ca="1"/>
        <v>#N/A</v>
      </c>
      <c r="AE519" s="55" t="e">
        <f t="shared" ca="1" si="142"/>
        <v>#N/A</v>
      </c>
      <c r="AF519" s="55" t="e">
        <f t="shared" ca="1" si="143"/>
        <v>#N/A</v>
      </c>
      <c r="AG519" s="55" t="e">
        <f t="shared" ca="1" si="144"/>
        <v>#N/A</v>
      </c>
      <c r="AH519" s="55" t="e">
        <f t="shared" ca="1" si="145"/>
        <v>#N/A</v>
      </c>
      <c r="AI519" s="55" t="e">
        <f t="shared" ca="1" si="150"/>
        <v>#N/A</v>
      </c>
      <c r="AJ519" s="55" t="e">
        <f t="shared" ca="1" si="151"/>
        <v>#N/A</v>
      </c>
      <c r="AK519" s="55" t="e">
        <f t="shared" ca="1" si="152"/>
        <v>#N/A</v>
      </c>
    </row>
    <row r="520" spans="18:37">
      <c r="R520" s="55" t="e">
        <f ca="1"/>
        <v>#N/A</v>
      </c>
      <c r="S520" s="55" t="e">
        <f t="shared" ca="1" si="135"/>
        <v>#N/A</v>
      </c>
      <c r="T520" s="55" t="e">
        <f t="shared" ca="1" si="136"/>
        <v>#N/A</v>
      </c>
      <c r="U520" s="55" t="e">
        <f t="shared" ca="1" si="137"/>
        <v>#N/A</v>
      </c>
      <c r="V520" s="55" t="e">
        <f t="shared" ca="1" si="138"/>
        <v>#N/A</v>
      </c>
      <c r="W520" s="55" t="e">
        <f t="shared" ca="1" si="147"/>
        <v>#N/A</v>
      </c>
      <c r="X520" s="55" t="e">
        <f t="shared" ca="1" si="148"/>
        <v>#N/A</v>
      </c>
      <c r="Y520" s="55" t="e">
        <f t="shared" ca="1" si="149"/>
        <v>#N/A</v>
      </c>
      <c r="Z520" t="e">
        <f t="shared" ca="1" si="146"/>
        <v>#N/A</v>
      </c>
      <c r="AA520" t="e">
        <f t="shared" ca="1" si="139"/>
        <v>#N/A</v>
      </c>
      <c r="AB520" t="e">
        <f t="shared" ca="1" si="140"/>
        <v>#N/A</v>
      </c>
      <c r="AC520" t="e">
        <f t="shared" ca="1" si="141"/>
        <v>#N/A</v>
      </c>
      <c r="AD520" s="83" t="e">
        <f ca="1"/>
        <v>#N/A</v>
      </c>
      <c r="AE520" s="55" t="e">
        <f t="shared" ca="1" si="142"/>
        <v>#N/A</v>
      </c>
      <c r="AF520" s="55" t="e">
        <f t="shared" ca="1" si="143"/>
        <v>#N/A</v>
      </c>
      <c r="AG520" s="55" t="e">
        <f t="shared" ca="1" si="144"/>
        <v>#N/A</v>
      </c>
      <c r="AH520" s="55" t="e">
        <f t="shared" ca="1" si="145"/>
        <v>#N/A</v>
      </c>
      <c r="AI520" s="55" t="e">
        <f t="shared" ca="1" si="150"/>
        <v>#N/A</v>
      </c>
      <c r="AJ520" s="55" t="e">
        <f t="shared" ca="1" si="151"/>
        <v>#N/A</v>
      </c>
      <c r="AK520" s="55" t="e">
        <f t="shared" ca="1" si="152"/>
        <v>#N/A</v>
      </c>
    </row>
    <row r="521" spans="18:37">
      <c r="R521" s="55" t="e">
        <f ca="1"/>
        <v>#N/A</v>
      </c>
      <c r="S521" s="55" t="e">
        <f t="shared" ca="1" si="135"/>
        <v>#N/A</v>
      </c>
      <c r="T521" s="55" t="e">
        <f t="shared" ca="1" si="136"/>
        <v>#N/A</v>
      </c>
      <c r="U521" s="55" t="e">
        <f t="shared" ca="1" si="137"/>
        <v>#N/A</v>
      </c>
      <c r="V521" s="55" t="e">
        <f t="shared" ca="1" si="138"/>
        <v>#N/A</v>
      </c>
      <c r="W521" s="55" t="e">
        <f t="shared" ca="1" si="147"/>
        <v>#N/A</v>
      </c>
      <c r="X521" s="55" t="e">
        <f t="shared" ca="1" si="148"/>
        <v>#N/A</v>
      </c>
      <c r="Y521" s="55" t="e">
        <f t="shared" ca="1" si="149"/>
        <v>#N/A</v>
      </c>
      <c r="Z521" t="e">
        <f t="shared" ca="1" si="146"/>
        <v>#N/A</v>
      </c>
      <c r="AA521" t="e">
        <f t="shared" ca="1" si="139"/>
        <v>#N/A</v>
      </c>
      <c r="AB521" t="e">
        <f t="shared" ca="1" si="140"/>
        <v>#N/A</v>
      </c>
      <c r="AC521" t="e">
        <f t="shared" ca="1" si="141"/>
        <v>#N/A</v>
      </c>
      <c r="AD521" s="83" t="e">
        <f ca="1"/>
        <v>#N/A</v>
      </c>
      <c r="AE521" s="55" t="e">
        <f t="shared" ca="1" si="142"/>
        <v>#N/A</v>
      </c>
      <c r="AF521" s="55" t="e">
        <f t="shared" ca="1" si="143"/>
        <v>#N/A</v>
      </c>
      <c r="AG521" s="55" t="e">
        <f t="shared" ca="1" si="144"/>
        <v>#N/A</v>
      </c>
      <c r="AH521" s="55" t="e">
        <f t="shared" ca="1" si="145"/>
        <v>#N/A</v>
      </c>
      <c r="AI521" s="55" t="e">
        <f t="shared" ca="1" si="150"/>
        <v>#N/A</v>
      </c>
      <c r="AJ521" s="55" t="e">
        <f t="shared" ca="1" si="151"/>
        <v>#N/A</v>
      </c>
      <c r="AK521" s="55" t="e">
        <f t="shared" ca="1" si="152"/>
        <v>#N/A</v>
      </c>
    </row>
    <row r="522" spans="18:37">
      <c r="R522" s="55" t="e">
        <f ca="1"/>
        <v>#N/A</v>
      </c>
      <c r="S522" s="55" t="e">
        <f t="shared" ca="1" si="135"/>
        <v>#N/A</v>
      </c>
      <c r="T522" s="55" t="e">
        <f t="shared" ca="1" si="136"/>
        <v>#N/A</v>
      </c>
      <c r="U522" s="55" t="e">
        <f t="shared" ca="1" si="137"/>
        <v>#N/A</v>
      </c>
      <c r="V522" s="55" t="e">
        <f t="shared" ca="1" si="138"/>
        <v>#N/A</v>
      </c>
      <c r="W522" s="55" t="e">
        <f t="shared" ca="1" si="147"/>
        <v>#N/A</v>
      </c>
      <c r="X522" s="55" t="e">
        <f t="shared" ca="1" si="148"/>
        <v>#N/A</v>
      </c>
      <c r="Y522" s="55" t="e">
        <f t="shared" ca="1" si="149"/>
        <v>#N/A</v>
      </c>
      <c r="Z522" t="e">
        <f t="shared" ca="1" si="146"/>
        <v>#N/A</v>
      </c>
      <c r="AA522" t="e">
        <f t="shared" ca="1" si="139"/>
        <v>#N/A</v>
      </c>
      <c r="AB522" t="e">
        <f t="shared" ca="1" si="140"/>
        <v>#N/A</v>
      </c>
      <c r="AC522" t="e">
        <f t="shared" ca="1" si="141"/>
        <v>#N/A</v>
      </c>
      <c r="AD522" s="83" t="e">
        <f ca="1"/>
        <v>#N/A</v>
      </c>
      <c r="AE522" s="55" t="e">
        <f t="shared" ca="1" si="142"/>
        <v>#N/A</v>
      </c>
      <c r="AF522" s="55" t="e">
        <f t="shared" ca="1" si="143"/>
        <v>#N/A</v>
      </c>
      <c r="AG522" s="55" t="e">
        <f t="shared" ca="1" si="144"/>
        <v>#N/A</v>
      </c>
      <c r="AH522" s="55" t="e">
        <f t="shared" ca="1" si="145"/>
        <v>#N/A</v>
      </c>
      <c r="AI522" s="55" t="e">
        <f t="shared" ca="1" si="150"/>
        <v>#N/A</v>
      </c>
      <c r="AJ522" s="55" t="e">
        <f t="shared" ca="1" si="151"/>
        <v>#N/A</v>
      </c>
      <c r="AK522" s="55" t="e">
        <f t="shared" ca="1" si="152"/>
        <v>#N/A</v>
      </c>
    </row>
    <row r="523" spans="18:37">
      <c r="R523" s="55" t="e">
        <f ca="1"/>
        <v>#N/A</v>
      </c>
      <c r="S523" s="55" t="e">
        <f t="shared" ca="1" si="135"/>
        <v>#N/A</v>
      </c>
      <c r="T523" s="55" t="e">
        <f t="shared" ca="1" si="136"/>
        <v>#N/A</v>
      </c>
      <c r="U523" s="55" t="e">
        <f t="shared" ca="1" si="137"/>
        <v>#N/A</v>
      </c>
      <c r="V523" s="55" t="e">
        <f t="shared" ca="1" si="138"/>
        <v>#N/A</v>
      </c>
      <c r="W523" s="55" t="e">
        <f t="shared" ca="1" si="147"/>
        <v>#N/A</v>
      </c>
      <c r="X523" s="55" t="e">
        <f t="shared" ca="1" si="148"/>
        <v>#N/A</v>
      </c>
      <c r="Y523" s="55" t="e">
        <f t="shared" ca="1" si="149"/>
        <v>#N/A</v>
      </c>
      <c r="Z523" t="e">
        <f t="shared" ca="1" si="146"/>
        <v>#N/A</v>
      </c>
      <c r="AA523" t="e">
        <f t="shared" ca="1" si="139"/>
        <v>#N/A</v>
      </c>
      <c r="AB523" t="e">
        <f t="shared" ca="1" si="140"/>
        <v>#N/A</v>
      </c>
      <c r="AC523" t="e">
        <f t="shared" ca="1" si="141"/>
        <v>#N/A</v>
      </c>
      <c r="AD523" s="83" t="e">
        <f ca="1"/>
        <v>#N/A</v>
      </c>
      <c r="AE523" s="55" t="e">
        <f t="shared" ca="1" si="142"/>
        <v>#N/A</v>
      </c>
      <c r="AF523" s="55" t="e">
        <f t="shared" ca="1" si="143"/>
        <v>#N/A</v>
      </c>
      <c r="AG523" s="55" t="e">
        <f t="shared" ca="1" si="144"/>
        <v>#N/A</v>
      </c>
      <c r="AH523" s="55" t="e">
        <f t="shared" ca="1" si="145"/>
        <v>#N/A</v>
      </c>
      <c r="AI523" s="55" t="e">
        <f t="shared" ca="1" si="150"/>
        <v>#N/A</v>
      </c>
      <c r="AJ523" s="55" t="e">
        <f t="shared" ca="1" si="151"/>
        <v>#N/A</v>
      </c>
      <c r="AK523" s="55" t="e">
        <f t="shared" ca="1" si="152"/>
        <v>#N/A</v>
      </c>
    </row>
    <row r="524" spans="18:37">
      <c r="R524" s="55" t="e">
        <f ca="1"/>
        <v>#N/A</v>
      </c>
      <c r="S524" s="55" t="e">
        <f t="shared" ref="S524:S587" ca="1" si="153">IF(R524&gt;1,R524,"")</f>
        <v>#N/A</v>
      </c>
      <c r="T524" s="55" t="e">
        <f t="shared" ref="T524:T587" ca="1" si="154">VLOOKUP(S524,ModelOutputs,2,FALSE)</f>
        <v>#N/A</v>
      </c>
      <c r="U524" s="55" t="e">
        <f t="shared" ref="U524:U587" ca="1" si="155">VLOOKUP(S524,ModelOutputs,7,FALSE)</f>
        <v>#N/A</v>
      </c>
      <c r="V524" s="55" t="e">
        <f t="shared" ref="V524:V587" ca="1" si="156">VLOOKUP(S524,ModelOutputs,6,FALSE)</f>
        <v>#N/A</v>
      </c>
      <c r="W524" s="55" t="e">
        <f t="shared" ca="1" si="147"/>
        <v>#N/A</v>
      </c>
      <c r="X524" s="55" t="e">
        <f t="shared" ca="1" si="148"/>
        <v>#N/A</v>
      </c>
      <c r="Y524" s="55" t="e">
        <f t="shared" ca="1" si="149"/>
        <v>#N/A</v>
      </c>
      <c r="Z524" t="e">
        <f t="shared" ca="1" si="146"/>
        <v>#N/A</v>
      </c>
      <c r="AA524" t="e">
        <f t="shared" ref="AA524:AA587" ca="1" si="157">VLOOKUP(S524,ModelOutputs,11,FALSE)+AA523</f>
        <v>#N/A</v>
      </c>
      <c r="AB524" t="e">
        <f t="shared" ref="AB524:AB587" ca="1" si="158">VLOOKUP(S524,ModelOutputs,12,FALSE)</f>
        <v>#N/A</v>
      </c>
      <c r="AC524" t="e">
        <f t="shared" ref="AC524:AC587" ca="1" si="159">VLOOKUP(S524,ModelOutputs,13,FALSE)</f>
        <v>#N/A</v>
      </c>
      <c r="AD524" s="83" t="e">
        <f ca="1"/>
        <v>#N/A</v>
      </c>
      <c r="AE524" s="55" t="e">
        <f t="shared" ref="AE524:AE587" ca="1" si="160">IF(AD524&gt;1,AD524,"")</f>
        <v>#N/A</v>
      </c>
      <c r="AF524" s="55" t="e">
        <f t="shared" ref="AF524:AF587" ca="1" si="161">VLOOKUP(AE524,ModelOutputs,2,FALSE)</f>
        <v>#N/A</v>
      </c>
      <c r="AG524" s="55" t="e">
        <f t="shared" ref="AG524:AG587" ca="1" si="162">VLOOKUP(AE524,ModelOutputs,7,FALSE)</f>
        <v>#N/A</v>
      </c>
      <c r="AH524" s="55" t="e">
        <f t="shared" ref="AH524:AH587" ca="1" si="163">VLOOKUP(AE524,ModelOutputs,6,FALSE)</f>
        <v>#N/A</v>
      </c>
      <c r="AI524" s="55" t="e">
        <f t="shared" ca="1" si="150"/>
        <v>#N/A</v>
      </c>
      <c r="AJ524" s="55" t="e">
        <f t="shared" ca="1" si="151"/>
        <v>#N/A</v>
      </c>
      <c r="AK524" s="55" t="e">
        <f t="shared" ca="1" si="152"/>
        <v>#N/A</v>
      </c>
    </row>
    <row r="525" spans="18:37">
      <c r="R525" s="55" t="e">
        <f ca="1"/>
        <v>#N/A</v>
      </c>
      <c r="S525" s="55" t="e">
        <f t="shared" ca="1" si="153"/>
        <v>#N/A</v>
      </c>
      <c r="T525" s="55" t="e">
        <f t="shared" ca="1" si="154"/>
        <v>#N/A</v>
      </c>
      <c r="U525" s="55" t="e">
        <f t="shared" ca="1" si="155"/>
        <v>#N/A</v>
      </c>
      <c r="V525" s="55" t="e">
        <f t="shared" ca="1" si="156"/>
        <v>#N/A</v>
      </c>
      <c r="W525" s="55" t="e">
        <f t="shared" ca="1" si="147"/>
        <v>#N/A</v>
      </c>
      <c r="X525" s="55" t="e">
        <f t="shared" ca="1" si="148"/>
        <v>#N/A</v>
      </c>
      <c r="Y525" s="55" t="e">
        <f t="shared" ca="1" si="149"/>
        <v>#N/A</v>
      </c>
      <c r="Z525" t="e">
        <f t="shared" ca="1" si="146"/>
        <v>#N/A</v>
      </c>
      <c r="AA525" t="e">
        <f t="shared" ca="1" si="157"/>
        <v>#N/A</v>
      </c>
      <c r="AB525" t="e">
        <f t="shared" ca="1" si="158"/>
        <v>#N/A</v>
      </c>
      <c r="AC525" t="e">
        <f t="shared" ca="1" si="159"/>
        <v>#N/A</v>
      </c>
      <c r="AD525" s="83" t="e">
        <f ca="1"/>
        <v>#N/A</v>
      </c>
      <c r="AE525" s="55" t="e">
        <f t="shared" ca="1" si="160"/>
        <v>#N/A</v>
      </c>
      <c r="AF525" s="55" t="e">
        <f t="shared" ca="1" si="161"/>
        <v>#N/A</v>
      </c>
      <c r="AG525" s="55" t="e">
        <f t="shared" ca="1" si="162"/>
        <v>#N/A</v>
      </c>
      <c r="AH525" s="55" t="e">
        <f t="shared" ca="1" si="163"/>
        <v>#N/A</v>
      </c>
      <c r="AI525" s="55" t="e">
        <f t="shared" ca="1" si="150"/>
        <v>#N/A</v>
      </c>
      <c r="AJ525" s="55" t="e">
        <f t="shared" ca="1" si="151"/>
        <v>#N/A</v>
      </c>
      <c r="AK525" s="55" t="e">
        <f t="shared" ca="1" si="152"/>
        <v>#N/A</v>
      </c>
    </row>
    <row r="526" spans="18:37">
      <c r="R526" s="55" t="e">
        <f ca="1"/>
        <v>#N/A</v>
      </c>
      <c r="S526" s="55" t="e">
        <f t="shared" ca="1" si="153"/>
        <v>#N/A</v>
      </c>
      <c r="T526" s="55" t="e">
        <f t="shared" ca="1" si="154"/>
        <v>#N/A</v>
      </c>
      <c r="U526" s="55" t="e">
        <f t="shared" ca="1" si="155"/>
        <v>#N/A</v>
      </c>
      <c r="V526" s="55" t="e">
        <f t="shared" ca="1" si="156"/>
        <v>#N/A</v>
      </c>
      <c r="W526" s="55" t="e">
        <f t="shared" ca="1" si="147"/>
        <v>#N/A</v>
      </c>
      <c r="X526" s="55" t="e">
        <f t="shared" ca="1" si="148"/>
        <v>#N/A</v>
      </c>
      <c r="Y526" s="55" t="e">
        <f t="shared" ca="1" si="149"/>
        <v>#N/A</v>
      </c>
      <c r="Z526" t="e">
        <f t="shared" ca="1" si="146"/>
        <v>#N/A</v>
      </c>
      <c r="AA526" t="e">
        <f t="shared" ca="1" si="157"/>
        <v>#N/A</v>
      </c>
      <c r="AB526" t="e">
        <f t="shared" ca="1" si="158"/>
        <v>#N/A</v>
      </c>
      <c r="AC526" t="e">
        <f t="shared" ca="1" si="159"/>
        <v>#N/A</v>
      </c>
      <c r="AD526" s="83" t="e">
        <f ca="1"/>
        <v>#N/A</v>
      </c>
      <c r="AE526" s="55" t="e">
        <f t="shared" ca="1" si="160"/>
        <v>#N/A</v>
      </c>
      <c r="AF526" s="55" t="e">
        <f t="shared" ca="1" si="161"/>
        <v>#N/A</v>
      </c>
      <c r="AG526" s="55" t="e">
        <f t="shared" ca="1" si="162"/>
        <v>#N/A</v>
      </c>
      <c r="AH526" s="55" t="e">
        <f t="shared" ca="1" si="163"/>
        <v>#N/A</v>
      </c>
      <c r="AI526" s="55" t="e">
        <f t="shared" ca="1" si="150"/>
        <v>#N/A</v>
      </c>
      <c r="AJ526" s="55" t="e">
        <f t="shared" ca="1" si="151"/>
        <v>#N/A</v>
      </c>
      <c r="AK526" s="55" t="e">
        <f t="shared" ca="1" si="152"/>
        <v>#N/A</v>
      </c>
    </row>
    <row r="527" spans="18:37">
      <c r="R527" s="55" t="e">
        <f ca="1"/>
        <v>#N/A</v>
      </c>
      <c r="S527" s="55" t="e">
        <f t="shared" ca="1" si="153"/>
        <v>#N/A</v>
      </c>
      <c r="T527" s="55" t="e">
        <f t="shared" ca="1" si="154"/>
        <v>#N/A</v>
      </c>
      <c r="U527" s="55" t="e">
        <f t="shared" ca="1" si="155"/>
        <v>#N/A</v>
      </c>
      <c r="V527" s="55" t="e">
        <f t="shared" ca="1" si="156"/>
        <v>#N/A</v>
      </c>
      <c r="W527" s="55" t="e">
        <f t="shared" ca="1" si="147"/>
        <v>#N/A</v>
      </c>
      <c r="X527" s="55" t="e">
        <f t="shared" ca="1" si="148"/>
        <v>#N/A</v>
      </c>
      <c r="Y527" s="55" t="e">
        <f t="shared" ca="1" si="149"/>
        <v>#N/A</v>
      </c>
      <c r="Z527" t="e">
        <f t="shared" ca="1" si="146"/>
        <v>#N/A</v>
      </c>
      <c r="AA527" t="e">
        <f t="shared" ca="1" si="157"/>
        <v>#N/A</v>
      </c>
      <c r="AB527" t="e">
        <f t="shared" ca="1" si="158"/>
        <v>#N/A</v>
      </c>
      <c r="AC527" t="e">
        <f t="shared" ca="1" si="159"/>
        <v>#N/A</v>
      </c>
      <c r="AD527" s="83" t="e">
        <f ca="1"/>
        <v>#N/A</v>
      </c>
      <c r="AE527" s="55" t="e">
        <f t="shared" ca="1" si="160"/>
        <v>#N/A</v>
      </c>
      <c r="AF527" s="55" t="e">
        <f t="shared" ca="1" si="161"/>
        <v>#N/A</v>
      </c>
      <c r="AG527" s="55" t="e">
        <f t="shared" ca="1" si="162"/>
        <v>#N/A</v>
      </c>
      <c r="AH527" s="55" t="e">
        <f t="shared" ca="1" si="163"/>
        <v>#N/A</v>
      </c>
      <c r="AI527" s="55" t="e">
        <f t="shared" ca="1" si="150"/>
        <v>#N/A</v>
      </c>
      <c r="AJ527" s="55" t="e">
        <f t="shared" ca="1" si="151"/>
        <v>#N/A</v>
      </c>
      <c r="AK527" s="55" t="e">
        <f t="shared" ca="1" si="152"/>
        <v>#N/A</v>
      </c>
    </row>
    <row r="528" spans="18:37">
      <c r="R528" s="55" t="e">
        <f ca="1"/>
        <v>#N/A</v>
      </c>
      <c r="S528" s="55" t="e">
        <f t="shared" ca="1" si="153"/>
        <v>#N/A</v>
      </c>
      <c r="T528" s="55" t="e">
        <f t="shared" ca="1" si="154"/>
        <v>#N/A</v>
      </c>
      <c r="U528" s="55" t="e">
        <f t="shared" ca="1" si="155"/>
        <v>#N/A</v>
      </c>
      <c r="V528" s="55" t="e">
        <f t="shared" ca="1" si="156"/>
        <v>#N/A</v>
      </c>
      <c r="W528" s="55" t="e">
        <f t="shared" ca="1" si="147"/>
        <v>#N/A</v>
      </c>
      <c r="X528" s="55" t="e">
        <f t="shared" ca="1" si="148"/>
        <v>#N/A</v>
      </c>
      <c r="Y528" s="55" t="e">
        <f t="shared" ca="1" si="149"/>
        <v>#N/A</v>
      </c>
      <c r="Z528" t="e">
        <f t="shared" ca="1" si="146"/>
        <v>#N/A</v>
      </c>
      <c r="AA528" t="e">
        <f t="shared" ca="1" si="157"/>
        <v>#N/A</v>
      </c>
      <c r="AB528" t="e">
        <f t="shared" ca="1" si="158"/>
        <v>#N/A</v>
      </c>
      <c r="AC528" t="e">
        <f t="shared" ca="1" si="159"/>
        <v>#N/A</v>
      </c>
      <c r="AD528" s="83" t="e">
        <f ca="1"/>
        <v>#N/A</v>
      </c>
      <c r="AE528" s="55" t="e">
        <f t="shared" ca="1" si="160"/>
        <v>#N/A</v>
      </c>
      <c r="AF528" s="55" t="e">
        <f t="shared" ca="1" si="161"/>
        <v>#N/A</v>
      </c>
      <c r="AG528" s="55" t="e">
        <f t="shared" ca="1" si="162"/>
        <v>#N/A</v>
      </c>
      <c r="AH528" s="55" t="e">
        <f t="shared" ca="1" si="163"/>
        <v>#N/A</v>
      </c>
      <c r="AI528" s="55" t="e">
        <f t="shared" ca="1" si="150"/>
        <v>#N/A</v>
      </c>
      <c r="AJ528" s="55" t="e">
        <f t="shared" ca="1" si="151"/>
        <v>#N/A</v>
      </c>
      <c r="AK528" s="55" t="e">
        <f t="shared" ca="1" si="152"/>
        <v>#N/A</v>
      </c>
    </row>
    <row r="529" spans="18:37">
      <c r="R529" s="55" t="e">
        <f ca="1"/>
        <v>#N/A</v>
      </c>
      <c r="S529" s="55" t="e">
        <f t="shared" ca="1" si="153"/>
        <v>#N/A</v>
      </c>
      <c r="T529" s="55" t="e">
        <f t="shared" ca="1" si="154"/>
        <v>#N/A</v>
      </c>
      <c r="U529" s="55" t="e">
        <f t="shared" ca="1" si="155"/>
        <v>#N/A</v>
      </c>
      <c r="V529" s="55" t="e">
        <f t="shared" ca="1" si="156"/>
        <v>#N/A</v>
      </c>
      <c r="W529" s="55" t="e">
        <f t="shared" ca="1" si="147"/>
        <v>#N/A</v>
      </c>
      <c r="X529" s="55" t="e">
        <f t="shared" ca="1" si="148"/>
        <v>#N/A</v>
      </c>
      <c r="Y529" s="55" t="e">
        <f t="shared" ca="1" si="149"/>
        <v>#N/A</v>
      </c>
      <c r="Z529" t="e">
        <f t="shared" ca="1" si="146"/>
        <v>#N/A</v>
      </c>
      <c r="AA529" t="e">
        <f t="shared" ca="1" si="157"/>
        <v>#N/A</v>
      </c>
      <c r="AB529" t="e">
        <f t="shared" ca="1" si="158"/>
        <v>#N/A</v>
      </c>
      <c r="AC529" t="e">
        <f t="shared" ca="1" si="159"/>
        <v>#N/A</v>
      </c>
      <c r="AD529" s="83" t="e">
        <f ca="1"/>
        <v>#N/A</v>
      </c>
      <c r="AE529" s="55" t="e">
        <f t="shared" ca="1" si="160"/>
        <v>#N/A</v>
      </c>
      <c r="AF529" s="55" t="e">
        <f t="shared" ca="1" si="161"/>
        <v>#N/A</v>
      </c>
      <c r="AG529" s="55" t="e">
        <f t="shared" ca="1" si="162"/>
        <v>#N/A</v>
      </c>
      <c r="AH529" s="55" t="e">
        <f t="shared" ca="1" si="163"/>
        <v>#N/A</v>
      </c>
      <c r="AI529" s="55" t="e">
        <f t="shared" ca="1" si="150"/>
        <v>#N/A</v>
      </c>
      <c r="AJ529" s="55" t="e">
        <f t="shared" ca="1" si="151"/>
        <v>#N/A</v>
      </c>
      <c r="AK529" s="55" t="e">
        <f t="shared" ca="1" si="152"/>
        <v>#N/A</v>
      </c>
    </row>
    <row r="530" spans="18:37">
      <c r="R530" s="55" t="e">
        <f ca="1"/>
        <v>#N/A</v>
      </c>
      <c r="S530" s="55" t="e">
        <f t="shared" ca="1" si="153"/>
        <v>#N/A</v>
      </c>
      <c r="T530" s="55" t="e">
        <f t="shared" ca="1" si="154"/>
        <v>#N/A</v>
      </c>
      <c r="U530" s="55" t="e">
        <f t="shared" ca="1" si="155"/>
        <v>#N/A</v>
      </c>
      <c r="V530" s="55" t="e">
        <f t="shared" ca="1" si="156"/>
        <v>#N/A</v>
      </c>
      <c r="W530" s="55" t="e">
        <f t="shared" ca="1" si="147"/>
        <v>#N/A</v>
      </c>
      <c r="X530" s="55" t="e">
        <f t="shared" ca="1" si="148"/>
        <v>#N/A</v>
      </c>
      <c r="Y530" s="55" t="e">
        <f t="shared" ca="1" si="149"/>
        <v>#N/A</v>
      </c>
      <c r="Z530" t="e">
        <f t="shared" ref="Z530:Z593" ca="1" si="164">VLOOKUP(S530,ModelOutputs,10,FALSE)*AWC</f>
        <v>#N/A</v>
      </c>
      <c r="AA530" t="e">
        <f t="shared" ca="1" si="157"/>
        <v>#N/A</v>
      </c>
      <c r="AB530" t="e">
        <f t="shared" ca="1" si="158"/>
        <v>#N/A</v>
      </c>
      <c r="AC530" t="e">
        <f t="shared" ca="1" si="159"/>
        <v>#N/A</v>
      </c>
      <c r="AD530" s="83" t="e">
        <f ca="1"/>
        <v>#N/A</v>
      </c>
      <c r="AE530" s="55" t="e">
        <f t="shared" ca="1" si="160"/>
        <v>#N/A</v>
      </c>
      <c r="AF530" s="55" t="e">
        <f t="shared" ca="1" si="161"/>
        <v>#N/A</v>
      </c>
      <c r="AG530" s="55" t="e">
        <f t="shared" ca="1" si="162"/>
        <v>#N/A</v>
      </c>
      <c r="AH530" s="55" t="e">
        <f t="shared" ca="1" si="163"/>
        <v>#N/A</v>
      </c>
      <c r="AI530" s="55" t="e">
        <f t="shared" ca="1" si="150"/>
        <v>#N/A</v>
      </c>
      <c r="AJ530" s="55" t="e">
        <f t="shared" ca="1" si="151"/>
        <v>#N/A</v>
      </c>
      <c r="AK530" s="55" t="e">
        <f t="shared" ca="1" si="152"/>
        <v>#N/A</v>
      </c>
    </row>
    <row r="531" spans="18:37">
      <c r="R531" s="55" t="e">
        <f ca="1"/>
        <v>#N/A</v>
      </c>
      <c r="S531" s="55" t="e">
        <f t="shared" ca="1" si="153"/>
        <v>#N/A</v>
      </c>
      <c r="T531" s="55" t="e">
        <f t="shared" ca="1" si="154"/>
        <v>#N/A</v>
      </c>
      <c r="U531" s="55" t="e">
        <f t="shared" ca="1" si="155"/>
        <v>#N/A</v>
      </c>
      <c r="V531" s="55" t="e">
        <f t="shared" ca="1" si="156"/>
        <v>#N/A</v>
      </c>
      <c r="W531" s="55" t="e">
        <f t="shared" ref="W531:W594" ca="1" si="165">-VLOOKUP(S531,ModelOutputs,9,FALSE)+W530</f>
        <v>#N/A</v>
      </c>
      <c r="X531" s="55" t="e">
        <f t="shared" ref="X531:X594" ca="1" si="166">VLOOKUP(S531,ModelOutputs,5,FALSE)+X530</f>
        <v>#N/A</v>
      </c>
      <c r="Y531" s="55" t="e">
        <f t="shared" ref="Y531:Y594" ca="1" si="167">VLOOKUP(S531,ModelOutputs,4,FALSE)+Y530</f>
        <v>#N/A</v>
      </c>
      <c r="Z531" t="e">
        <f t="shared" ca="1" si="164"/>
        <v>#N/A</v>
      </c>
      <c r="AA531" t="e">
        <f t="shared" ca="1" si="157"/>
        <v>#N/A</v>
      </c>
      <c r="AB531" t="e">
        <f t="shared" ca="1" si="158"/>
        <v>#N/A</v>
      </c>
      <c r="AC531" t="e">
        <f t="shared" ca="1" si="159"/>
        <v>#N/A</v>
      </c>
      <c r="AD531" s="83" t="e">
        <f ca="1"/>
        <v>#N/A</v>
      </c>
      <c r="AE531" s="55" t="e">
        <f t="shared" ca="1" si="160"/>
        <v>#N/A</v>
      </c>
      <c r="AF531" s="55" t="e">
        <f t="shared" ca="1" si="161"/>
        <v>#N/A</v>
      </c>
      <c r="AG531" s="55" t="e">
        <f t="shared" ca="1" si="162"/>
        <v>#N/A</v>
      </c>
      <c r="AH531" s="55" t="e">
        <f t="shared" ca="1" si="163"/>
        <v>#N/A</v>
      </c>
      <c r="AI531" s="55" t="e">
        <f t="shared" ref="AI531:AI594" ca="1" si="168">-VLOOKUP(AE531,ModelOutputs,9,FALSE)+AI530</f>
        <v>#N/A</v>
      </c>
      <c r="AJ531" s="55" t="e">
        <f t="shared" ref="AJ531:AJ594" ca="1" si="169">VLOOKUP(AE531,ModelOutputs,5,FALSE)+AJ530</f>
        <v>#N/A</v>
      </c>
      <c r="AK531" s="55" t="e">
        <f t="shared" ref="AK531:AK594" ca="1" si="170">VLOOKUP(AE531,ModelOutputs,4,FALSE)+AK530</f>
        <v>#N/A</v>
      </c>
    </row>
    <row r="532" spans="18:37">
      <c r="R532" s="55" t="e">
        <f ca="1"/>
        <v>#N/A</v>
      </c>
      <c r="S532" s="55" t="e">
        <f t="shared" ca="1" si="153"/>
        <v>#N/A</v>
      </c>
      <c r="T532" s="55" t="e">
        <f t="shared" ca="1" si="154"/>
        <v>#N/A</v>
      </c>
      <c r="U532" s="55" t="e">
        <f t="shared" ca="1" si="155"/>
        <v>#N/A</v>
      </c>
      <c r="V532" s="55" t="e">
        <f t="shared" ca="1" si="156"/>
        <v>#N/A</v>
      </c>
      <c r="W532" s="55" t="e">
        <f t="shared" ca="1" si="165"/>
        <v>#N/A</v>
      </c>
      <c r="X532" s="55" t="e">
        <f t="shared" ca="1" si="166"/>
        <v>#N/A</v>
      </c>
      <c r="Y532" s="55" t="e">
        <f t="shared" ca="1" si="167"/>
        <v>#N/A</v>
      </c>
      <c r="Z532" t="e">
        <f t="shared" ca="1" si="164"/>
        <v>#N/A</v>
      </c>
      <c r="AA532" t="e">
        <f t="shared" ca="1" si="157"/>
        <v>#N/A</v>
      </c>
      <c r="AB532" t="e">
        <f t="shared" ca="1" si="158"/>
        <v>#N/A</v>
      </c>
      <c r="AC532" t="e">
        <f t="shared" ca="1" si="159"/>
        <v>#N/A</v>
      </c>
      <c r="AD532" s="83" t="e">
        <f ca="1"/>
        <v>#N/A</v>
      </c>
      <c r="AE532" s="55" t="e">
        <f t="shared" ca="1" si="160"/>
        <v>#N/A</v>
      </c>
      <c r="AF532" s="55" t="e">
        <f t="shared" ca="1" si="161"/>
        <v>#N/A</v>
      </c>
      <c r="AG532" s="55" t="e">
        <f t="shared" ca="1" si="162"/>
        <v>#N/A</v>
      </c>
      <c r="AH532" s="55" t="e">
        <f t="shared" ca="1" si="163"/>
        <v>#N/A</v>
      </c>
      <c r="AI532" s="55" t="e">
        <f t="shared" ca="1" si="168"/>
        <v>#N/A</v>
      </c>
      <c r="AJ532" s="55" t="e">
        <f t="shared" ca="1" si="169"/>
        <v>#N/A</v>
      </c>
      <c r="AK532" s="55" t="e">
        <f t="shared" ca="1" si="170"/>
        <v>#N/A</v>
      </c>
    </row>
    <row r="533" spans="18:37">
      <c r="R533" s="55" t="e">
        <f ca="1"/>
        <v>#N/A</v>
      </c>
      <c r="S533" s="55" t="e">
        <f t="shared" ca="1" si="153"/>
        <v>#N/A</v>
      </c>
      <c r="T533" s="55" t="e">
        <f t="shared" ca="1" si="154"/>
        <v>#N/A</v>
      </c>
      <c r="U533" s="55" t="e">
        <f t="shared" ca="1" si="155"/>
        <v>#N/A</v>
      </c>
      <c r="V533" s="55" t="e">
        <f t="shared" ca="1" si="156"/>
        <v>#N/A</v>
      </c>
      <c r="W533" s="55" t="e">
        <f t="shared" ca="1" si="165"/>
        <v>#N/A</v>
      </c>
      <c r="X533" s="55" t="e">
        <f t="shared" ca="1" si="166"/>
        <v>#N/A</v>
      </c>
      <c r="Y533" s="55" t="e">
        <f t="shared" ca="1" si="167"/>
        <v>#N/A</v>
      </c>
      <c r="Z533" t="e">
        <f t="shared" ca="1" si="164"/>
        <v>#N/A</v>
      </c>
      <c r="AA533" t="e">
        <f t="shared" ca="1" si="157"/>
        <v>#N/A</v>
      </c>
      <c r="AB533" t="e">
        <f t="shared" ca="1" si="158"/>
        <v>#N/A</v>
      </c>
      <c r="AC533" t="e">
        <f t="shared" ca="1" si="159"/>
        <v>#N/A</v>
      </c>
      <c r="AD533" s="83" t="e">
        <f ca="1"/>
        <v>#N/A</v>
      </c>
      <c r="AE533" s="55" t="e">
        <f t="shared" ca="1" si="160"/>
        <v>#N/A</v>
      </c>
      <c r="AF533" s="55" t="e">
        <f t="shared" ca="1" si="161"/>
        <v>#N/A</v>
      </c>
      <c r="AG533" s="55" t="e">
        <f t="shared" ca="1" si="162"/>
        <v>#N/A</v>
      </c>
      <c r="AH533" s="55" t="e">
        <f t="shared" ca="1" si="163"/>
        <v>#N/A</v>
      </c>
      <c r="AI533" s="55" t="e">
        <f t="shared" ca="1" si="168"/>
        <v>#N/A</v>
      </c>
      <c r="AJ533" s="55" t="e">
        <f t="shared" ca="1" si="169"/>
        <v>#N/A</v>
      </c>
      <c r="AK533" s="55" t="e">
        <f t="shared" ca="1" si="170"/>
        <v>#N/A</v>
      </c>
    </row>
    <row r="534" spans="18:37">
      <c r="R534" s="55" t="e">
        <f ca="1"/>
        <v>#N/A</v>
      </c>
      <c r="S534" s="55" t="e">
        <f t="shared" ca="1" si="153"/>
        <v>#N/A</v>
      </c>
      <c r="T534" s="55" t="e">
        <f t="shared" ca="1" si="154"/>
        <v>#N/A</v>
      </c>
      <c r="U534" s="55" t="e">
        <f t="shared" ca="1" si="155"/>
        <v>#N/A</v>
      </c>
      <c r="V534" s="55" t="e">
        <f t="shared" ca="1" si="156"/>
        <v>#N/A</v>
      </c>
      <c r="W534" s="55" t="e">
        <f t="shared" ca="1" si="165"/>
        <v>#N/A</v>
      </c>
      <c r="X534" s="55" t="e">
        <f t="shared" ca="1" si="166"/>
        <v>#N/A</v>
      </c>
      <c r="Y534" s="55" t="e">
        <f t="shared" ca="1" si="167"/>
        <v>#N/A</v>
      </c>
      <c r="Z534" t="e">
        <f t="shared" ca="1" si="164"/>
        <v>#N/A</v>
      </c>
      <c r="AA534" t="e">
        <f t="shared" ca="1" si="157"/>
        <v>#N/A</v>
      </c>
      <c r="AB534" t="e">
        <f t="shared" ca="1" si="158"/>
        <v>#N/A</v>
      </c>
      <c r="AC534" t="e">
        <f t="shared" ca="1" si="159"/>
        <v>#N/A</v>
      </c>
      <c r="AD534" s="83" t="e">
        <f ca="1"/>
        <v>#N/A</v>
      </c>
      <c r="AE534" s="55" t="e">
        <f t="shared" ca="1" si="160"/>
        <v>#N/A</v>
      </c>
      <c r="AF534" s="55" t="e">
        <f t="shared" ca="1" si="161"/>
        <v>#N/A</v>
      </c>
      <c r="AG534" s="55" t="e">
        <f t="shared" ca="1" si="162"/>
        <v>#N/A</v>
      </c>
      <c r="AH534" s="55" t="e">
        <f t="shared" ca="1" si="163"/>
        <v>#N/A</v>
      </c>
      <c r="AI534" s="55" t="e">
        <f t="shared" ca="1" si="168"/>
        <v>#N/A</v>
      </c>
      <c r="AJ534" s="55" t="e">
        <f t="shared" ca="1" si="169"/>
        <v>#N/A</v>
      </c>
      <c r="AK534" s="55" t="e">
        <f t="shared" ca="1" si="170"/>
        <v>#N/A</v>
      </c>
    </row>
    <row r="535" spans="18:37">
      <c r="R535" s="55" t="e">
        <f ca="1"/>
        <v>#N/A</v>
      </c>
      <c r="S535" s="55" t="e">
        <f t="shared" ca="1" si="153"/>
        <v>#N/A</v>
      </c>
      <c r="T535" s="55" t="e">
        <f t="shared" ca="1" si="154"/>
        <v>#N/A</v>
      </c>
      <c r="U535" s="55" t="e">
        <f t="shared" ca="1" si="155"/>
        <v>#N/A</v>
      </c>
      <c r="V535" s="55" t="e">
        <f t="shared" ca="1" si="156"/>
        <v>#N/A</v>
      </c>
      <c r="W535" s="55" t="e">
        <f t="shared" ca="1" si="165"/>
        <v>#N/A</v>
      </c>
      <c r="X535" s="55" t="e">
        <f t="shared" ca="1" si="166"/>
        <v>#N/A</v>
      </c>
      <c r="Y535" s="55" t="e">
        <f t="shared" ca="1" si="167"/>
        <v>#N/A</v>
      </c>
      <c r="Z535" t="e">
        <f t="shared" ca="1" si="164"/>
        <v>#N/A</v>
      </c>
      <c r="AA535" t="e">
        <f t="shared" ca="1" si="157"/>
        <v>#N/A</v>
      </c>
      <c r="AB535" t="e">
        <f t="shared" ca="1" si="158"/>
        <v>#N/A</v>
      </c>
      <c r="AC535" t="e">
        <f t="shared" ca="1" si="159"/>
        <v>#N/A</v>
      </c>
      <c r="AD535" s="83" t="e">
        <f ca="1"/>
        <v>#N/A</v>
      </c>
      <c r="AE535" s="55" t="e">
        <f t="shared" ca="1" si="160"/>
        <v>#N/A</v>
      </c>
      <c r="AF535" s="55" t="e">
        <f t="shared" ca="1" si="161"/>
        <v>#N/A</v>
      </c>
      <c r="AG535" s="55" t="e">
        <f t="shared" ca="1" si="162"/>
        <v>#N/A</v>
      </c>
      <c r="AH535" s="55" t="e">
        <f t="shared" ca="1" si="163"/>
        <v>#N/A</v>
      </c>
      <c r="AI535" s="55" t="e">
        <f t="shared" ca="1" si="168"/>
        <v>#N/A</v>
      </c>
      <c r="AJ535" s="55" t="e">
        <f t="shared" ca="1" si="169"/>
        <v>#N/A</v>
      </c>
      <c r="AK535" s="55" t="e">
        <f t="shared" ca="1" si="170"/>
        <v>#N/A</v>
      </c>
    </row>
    <row r="536" spans="18:37">
      <c r="R536" s="55" t="e">
        <f ca="1"/>
        <v>#N/A</v>
      </c>
      <c r="S536" s="55" t="e">
        <f t="shared" ca="1" si="153"/>
        <v>#N/A</v>
      </c>
      <c r="T536" s="55" t="e">
        <f t="shared" ca="1" si="154"/>
        <v>#N/A</v>
      </c>
      <c r="U536" s="55" t="e">
        <f t="shared" ca="1" si="155"/>
        <v>#N/A</v>
      </c>
      <c r="V536" s="55" t="e">
        <f t="shared" ca="1" si="156"/>
        <v>#N/A</v>
      </c>
      <c r="W536" s="55" t="e">
        <f t="shared" ca="1" si="165"/>
        <v>#N/A</v>
      </c>
      <c r="X536" s="55" t="e">
        <f t="shared" ca="1" si="166"/>
        <v>#N/A</v>
      </c>
      <c r="Y536" s="55" t="e">
        <f t="shared" ca="1" si="167"/>
        <v>#N/A</v>
      </c>
      <c r="Z536" t="e">
        <f t="shared" ca="1" si="164"/>
        <v>#N/A</v>
      </c>
      <c r="AA536" t="e">
        <f t="shared" ca="1" si="157"/>
        <v>#N/A</v>
      </c>
      <c r="AB536" t="e">
        <f t="shared" ca="1" si="158"/>
        <v>#N/A</v>
      </c>
      <c r="AC536" t="e">
        <f t="shared" ca="1" si="159"/>
        <v>#N/A</v>
      </c>
      <c r="AD536" s="83" t="e">
        <f ca="1"/>
        <v>#N/A</v>
      </c>
      <c r="AE536" s="55" t="e">
        <f t="shared" ca="1" si="160"/>
        <v>#N/A</v>
      </c>
      <c r="AF536" s="55" t="e">
        <f t="shared" ca="1" si="161"/>
        <v>#N/A</v>
      </c>
      <c r="AG536" s="55" t="e">
        <f t="shared" ca="1" si="162"/>
        <v>#N/A</v>
      </c>
      <c r="AH536" s="55" t="e">
        <f t="shared" ca="1" si="163"/>
        <v>#N/A</v>
      </c>
      <c r="AI536" s="55" t="e">
        <f t="shared" ca="1" si="168"/>
        <v>#N/A</v>
      </c>
      <c r="AJ536" s="55" t="e">
        <f t="shared" ca="1" si="169"/>
        <v>#N/A</v>
      </c>
      <c r="AK536" s="55" t="e">
        <f t="shared" ca="1" si="170"/>
        <v>#N/A</v>
      </c>
    </row>
    <row r="537" spans="18:37">
      <c r="R537" s="55" t="e">
        <f ca="1"/>
        <v>#N/A</v>
      </c>
      <c r="S537" s="55" t="e">
        <f t="shared" ca="1" si="153"/>
        <v>#N/A</v>
      </c>
      <c r="T537" s="55" t="e">
        <f t="shared" ca="1" si="154"/>
        <v>#N/A</v>
      </c>
      <c r="U537" s="55" t="e">
        <f t="shared" ca="1" si="155"/>
        <v>#N/A</v>
      </c>
      <c r="V537" s="55" t="e">
        <f t="shared" ca="1" si="156"/>
        <v>#N/A</v>
      </c>
      <c r="W537" s="55" t="e">
        <f t="shared" ca="1" si="165"/>
        <v>#N/A</v>
      </c>
      <c r="X537" s="55" t="e">
        <f t="shared" ca="1" si="166"/>
        <v>#N/A</v>
      </c>
      <c r="Y537" s="55" t="e">
        <f t="shared" ca="1" si="167"/>
        <v>#N/A</v>
      </c>
      <c r="Z537" t="e">
        <f t="shared" ca="1" si="164"/>
        <v>#N/A</v>
      </c>
      <c r="AA537" t="e">
        <f t="shared" ca="1" si="157"/>
        <v>#N/A</v>
      </c>
      <c r="AB537" t="e">
        <f t="shared" ca="1" si="158"/>
        <v>#N/A</v>
      </c>
      <c r="AC537" t="e">
        <f t="shared" ca="1" si="159"/>
        <v>#N/A</v>
      </c>
      <c r="AD537" s="83" t="e">
        <f ca="1"/>
        <v>#N/A</v>
      </c>
      <c r="AE537" s="55" t="e">
        <f t="shared" ca="1" si="160"/>
        <v>#N/A</v>
      </c>
      <c r="AF537" s="55" t="e">
        <f t="shared" ca="1" si="161"/>
        <v>#N/A</v>
      </c>
      <c r="AG537" s="55" t="e">
        <f t="shared" ca="1" si="162"/>
        <v>#N/A</v>
      </c>
      <c r="AH537" s="55" t="e">
        <f t="shared" ca="1" si="163"/>
        <v>#N/A</v>
      </c>
      <c r="AI537" s="55" t="e">
        <f t="shared" ca="1" si="168"/>
        <v>#N/A</v>
      </c>
      <c r="AJ537" s="55" t="e">
        <f t="shared" ca="1" si="169"/>
        <v>#N/A</v>
      </c>
      <c r="AK537" s="55" t="e">
        <f t="shared" ca="1" si="170"/>
        <v>#N/A</v>
      </c>
    </row>
    <row r="538" spans="18:37">
      <c r="R538" s="55" t="e">
        <f ca="1"/>
        <v>#N/A</v>
      </c>
      <c r="S538" s="55" t="e">
        <f t="shared" ca="1" si="153"/>
        <v>#N/A</v>
      </c>
      <c r="T538" s="55" t="e">
        <f t="shared" ca="1" si="154"/>
        <v>#N/A</v>
      </c>
      <c r="U538" s="55" t="e">
        <f t="shared" ca="1" si="155"/>
        <v>#N/A</v>
      </c>
      <c r="V538" s="55" t="e">
        <f t="shared" ca="1" si="156"/>
        <v>#N/A</v>
      </c>
      <c r="W538" s="55" t="e">
        <f t="shared" ca="1" si="165"/>
        <v>#N/A</v>
      </c>
      <c r="X538" s="55" t="e">
        <f t="shared" ca="1" si="166"/>
        <v>#N/A</v>
      </c>
      <c r="Y538" s="55" t="e">
        <f t="shared" ca="1" si="167"/>
        <v>#N/A</v>
      </c>
      <c r="Z538" t="e">
        <f t="shared" ca="1" si="164"/>
        <v>#N/A</v>
      </c>
      <c r="AA538" t="e">
        <f t="shared" ca="1" si="157"/>
        <v>#N/A</v>
      </c>
      <c r="AB538" t="e">
        <f t="shared" ca="1" si="158"/>
        <v>#N/A</v>
      </c>
      <c r="AC538" t="e">
        <f t="shared" ca="1" si="159"/>
        <v>#N/A</v>
      </c>
      <c r="AD538" s="83" t="e">
        <f ca="1"/>
        <v>#N/A</v>
      </c>
      <c r="AE538" s="55" t="e">
        <f t="shared" ca="1" si="160"/>
        <v>#N/A</v>
      </c>
      <c r="AF538" s="55" t="e">
        <f t="shared" ca="1" si="161"/>
        <v>#N/A</v>
      </c>
      <c r="AG538" s="55" t="e">
        <f t="shared" ca="1" si="162"/>
        <v>#N/A</v>
      </c>
      <c r="AH538" s="55" t="e">
        <f t="shared" ca="1" si="163"/>
        <v>#N/A</v>
      </c>
      <c r="AI538" s="55" t="e">
        <f t="shared" ca="1" si="168"/>
        <v>#N/A</v>
      </c>
      <c r="AJ538" s="55" t="e">
        <f t="shared" ca="1" si="169"/>
        <v>#N/A</v>
      </c>
      <c r="AK538" s="55" t="e">
        <f t="shared" ca="1" si="170"/>
        <v>#N/A</v>
      </c>
    </row>
    <row r="539" spans="18:37">
      <c r="R539" s="55" t="e">
        <f ca="1"/>
        <v>#N/A</v>
      </c>
      <c r="S539" s="55" t="e">
        <f t="shared" ca="1" si="153"/>
        <v>#N/A</v>
      </c>
      <c r="T539" s="55" t="e">
        <f t="shared" ca="1" si="154"/>
        <v>#N/A</v>
      </c>
      <c r="U539" s="55" t="e">
        <f t="shared" ca="1" si="155"/>
        <v>#N/A</v>
      </c>
      <c r="V539" s="55" t="e">
        <f t="shared" ca="1" si="156"/>
        <v>#N/A</v>
      </c>
      <c r="W539" s="55" t="e">
        <f t="shared" ca="1" si="165"/>
        <v>#N/A</v>
      </c>
      <c r="X539" s="55" t="e">
        <f t="shared" ca="1" si="166"/>
        <v>#N/A</v>
      </c>
      <c r="Y539" s="55" t="e">
        <f t="shared" ca="1" si="167"/>
        <v>#N/A</v>
      </c>
      <c r="Z539" t="e">
        <f t="shared" ca="1" si="164"/>
        <v>#N/A</v>
      </c>
      <c r="AA539" t="e">
        <f t="shared" ca="1" si="157"/>
        <v>#N/A</v>
      </c>
      <c r="AB539" t="e">
        <f t="shared" ca="1" si="158"/>
        <v>#N/A</v>
      </c>
      <c r="AC539" t="e">
        <f t="shared" ca="1" si="159"/>
        <v>#N/A</v>
      </c>
      <c r="AD539" s="83" t="e">
        <f ca="1"/>
        <v>#N/A</v>
      </c>
      <c r="AE539" s="55" t="e">
        <f t="shared" ca="1" si="160"/>
        <v>#N/A</v>
      </c>
      <c r="AF539" s="55" t="e">
        <f t="shared" ca="1" si="161"/>
        <v>#N/A</v>
      </c>
      <c r="AG539" s="55" t="e">
        <f t="shared" ca="1" si="162"/>
        <v>#N/A</v>
      </c>
      <c r="AH539" s="55" t="e">
        <f t="shared" ca="1" si="163"/>
        <v>#N/A</v>
      </c>
      <c r="AI539" s="55" t="e">
        <f t="shared" ca="1" si="168"/>
        <v>#N/A</v>
      </c>
      <c r="AJ539" s="55" t="e">
        <f t="shared" ca="1" si="169"/>
        <v>#N/A</v>
      </c>
      <c r="AK539" s="55" t="e">
        <f t="shared" ca="1" si="170"/>
        <v>#N/A</v>
      </c>
    </row>
    <row r="540" spans="18:37">
      <c r="R540" s="55" t="e">
        <f ca="1"/>
        <v>#N/A</v>
      </c>
      <c r="S540" s="55" t="e">
        <f t="shared" ca="1" si="153"/>
        <v>#N/A</v>
      </c>
      <c r="T540" s="55" t="e">
        <f t="shared" ca="1" si="154"/>
        <v>#N/A</v>
      </c>
      <c r="U540" s="55" t="e">
        <f t="shared" ca="1" si="155"/>
        <v>#N/A</v>
      </c>
      <c r="V540" s="55" t="e">
        <f t="shared" ca="1" si="156"/>
        <v>#N/A</v>
      </c>
      <c r="W540" s="55" t="e">
        <f t="shared" ca="1" si="165"/>
        <v>#N/A</v>
      </c>
      <c r="X540" s="55" t="e">
        <f t="shared" ca="1" si="166"/>
        <v>#N/A</v>
      </c>
      <c r="Y540" s="55" t="e">
        <f t="shared" ca="1" si="167"/>
        <v>#N/A</v>
      </c>
      <c r="Z540" t="e">
        <f t="shared" ca="1" si="164"/>
        <v>#N/A</v>
      </c>
      <c r="AA540" t="e">
        <f t="shared" ca="1" si="157"/>
        <v>#N/A</v>
      </c>
      <c r="AB540" t="e">
        <f t="shared" ca="1" si="158"/>
        <v>#N/A</v>
      </c>
      <c r="AC540" t="e">
        <f t="shared" ca="1" si="159"/>
        <v>#N/A</v>
      </c>
      <c r="AD540" s="83" t="e">
        <f ca="1"/>
        <v>#N/A</v>
      </c>
      <c r="AE540" s="55" t="e">
        <f t="shared" ca="1" si="160"/>
        <v>#N/A</v>
      </c>
      <c r="AF540" s="55" t="e">
        <f t="shared" ca="1" si="161"/>
        <v>#N/A</v>
      </c>
      <c r="AG540" s="55" t="e">
        <f t="shared" ca="1" si="162"/>
        <v>#N/A</v>
      </c>
      <c r="AH540" s="55" t="e">
        <f t="shared" ca="1" si="163"/>
        <v>#N/A</v>
      </c>
      <c r="AI540" s="55" t="e">
        <f t="shared" ca="1" si="168"/>
        <v>#N/A</v>
      </c>
      <c r="AJ540" s="55" t="e">
        <f t="shared" ca="1" si="169"/>
        <v>#N/A</v>
      </c>
      <c r="AK540" s="55" t="e">
        <f t="shared" ca="1" si="170"/>
        <v>#N/A</v>
      </c>
    </row>
    <row r="541" spans="18:37">
      <c r="R541" s="55" t="e">
        <f ca="1"/>
        <v>#N/A</v>
      </c>
      <c r="S541" s="55" t="e">
        <f t="shared" ca="1" si="153"/>
        <v>#N/A</v>
      </c>
      <c r="T541" s="55" t="e">
        <f t="shared" ca="1" si="154"/>
        <v>#N/A</v>
      </c>
      <c r="U541" s="55" t="e">
        <f t="shared" ca="1" si="155"/>
        <v>#N/A</v>
      </c>
      <c r="V541" s="55" t="e">
        <f t="shared" ca="1" si="156"/>
        <v>#N/A</v>
      </c>
      <c r="W541" s="55" t="e">
        <f t="shared" ca="1" si="165"/>
        <v>#N/A</v>
      </c>
      <c r="X541" s="55" t="e">
        <f t="shared" ca="1" si="166"/>
        <v>#N/A</v>
      </c>
      <c r="Y541" s="55" t="e">
        <f t="shared" ca="1" si="167"/>
        <v>#N/A</v>
      </c>
      <c r="Z541" t="e">
        <f t="shared" ca="1" si="164"/>
        <v>#N/A</v>
      </c>
      <c r="AA541" t="e">
        <f t="shared" ca="1" si="157"/>
        <v>#N/A</v>
      </c>
      <c r="AB541" t="e">
        <f t="shared" ca="1" si="158"/>
        <v>#N/A</v>
      </c>
      <c r="AC541" t="e">
        <f t="shared" ca="1" si="159"/>
        <v>#N/A</v>
      </c>
      <c r="AD541" s="83" t="e">
        <f ca="1"/>
        <v>#N/A</v>
      </c>
      <c r="AE541" s="55" t="e">
        <f t="shared" ca="1" si="160"/>
        <v>#N/A</v>
      </c>
      <c r="AF541" s="55" t="e">
        <f t="shared" ca="1" si="161"/>
        <v>#N/A</v>
      </c>
      <c r="AG541" s="55" t="e">
        <f t="shared" ca="1" si="162"/>
        <v>#N/A</v>
      </c>
      <c r="AH541" s="55" t="e">
        <f t="shared" ca="1" si="163"/>
        <v>#N/A</v>
      </c>
      <c r="AI541" s="55" t="e">
        <f t="shared" ca="1" si="168"/>
        <v>#N/A</v>
      </c>
      <c r="AJ541" s="55" t="e">
        <f t="shared" ca="1" si="169"/>
        <v>#N/A</v>
      </c>
      <c r="AK541" s="55" t="e">
        <f t="shared" ca="1" si="170"/>
        <v>#N/A</v>
      </c>
    </row>
    <row r="542" spans="18:37">
      <c r="R542" s="55" t="e">
        <f ca="1"/>
        <v>#N/A</v>
      </c>
      <c r="S542" s="55" t="e">
        <f t="shared" ca="1" si="153"/>
        <v>#N/A</v>
      </c>
      <c r="T542" s="55" t="e">
        <f t="shared" ca="1" si="154"/>
        <v>#N/A</v>
      </c>
      <c r="U542" s="55" t="e">
        <f t="shared" ca="1" si="155"/>
        <v>#N/A</v>
      </c>
      <c r="V542" s="55" t="e">
        <f t="shared" ca="1" si="156"/>
        <v>#N/A</v>
      </c>
      <c r="W542" s="55" t="e">
        <f t="shared" ca="1" si="165"/>
        <v>#N/A</v>
      </c>
      <c r="X542" s="55" t="e">
        <f t="shared" ca="1" si="166"/>
        <v>#N/A</v>
      </c>
      <c r="Y542" s="55" t="e">
        <f t="shared" ca="1" si="167"/>
        <v>#N/A</v>
      </c>
      <c r="Z542" t="e">
        <f t="shared" ca="1" si="164"/>
        <v>#N/A</v>
      </c>
      <c r="AA542" t="e">
        <f t="shared" ca="1" si="157"/>
        <v>#N/A</v>
      </c>
      <c r="AB542" t="e">
        <f t="shared" ca="1" si="158"/>
        <v>#N/A</v>
      </c>
      <c r="AC542" t="e">
        <f t="shared" ca="1" si="159"/>
        <v>#N/A</v>
      </c>
      <c r="AD542" s="83" t="e">
        <f ca="1"/>
        <v>#N/A</v>
      </c>
      <c r="AE542" s="55" t="e">
        <f t="shared" ca="1" si="160"/>
        <v>#N/A</v>
      </c>
      <c r="AF542" s="55" t="e">
        <f t="shared" ca="1" si="161"/>
        <v>#N/A</v>
      </c>
      <c r="AG542" s="55" t="e">
        <f t="shared" ca="1" si="162"/>
        <v>#N/A</v>
      </c>
      <c r="AH542" s="55" t="e">
        <f t="shared" ca="1" si="163"/>
        <v>#N/A</v>
      </c>
      <c r="AI542" s="55" t="e">
        <f t="shared" ca="1" si="168"/>
        <v>#N/A</v>
      </c>
      <c r="AJ542" s="55" t="e">
        <f t="shared" ca="1" si="169"/>
        <v>#N/A</v>
      </c>
      <c r="AK542" s="55" t="e">
        <f t="shared" ca="1" si="170"/>
        <v>#N/A</v>
      </c>
    </row>
    <row r="543" spans="18:37">
      <c r="R543" s="55" t="e">
        <f ca="1"/>
        <v>#N/A</v>
      </c>
      <c r="S543" s="55" t="e">
        <f t="shared" ca="1" si="153"/>
        <v>#N/A</v>
      </c>
      <c r="T543" s="55" t="e">
        <f t="shared" ca="1" si="154"/>
        <v>#N/A</v>
      </c>
      <c r="U543" s="55" t="e">
        <f t="shared" ca="1" si="155"/>
        <v>#N/A</v>
      </c>
      <c r="V543" s="55" t="e">
        <f t="shared" ca="1" si="156"/>
        <v>#N/A</v>
      </c>
      <c r="W543" s="55" t="e">
        <f t="shared" ca="1" si="165"/>
        <v>#N/A</v>
      </c>
      <c r="X543" s="55" t="e">
        <f t="shared" ca="1" si="166"/>
        <v>#N/A</v>
      </c>
      <c r="Y543" s="55" t="e">
        <f t="shared" ca="1" si="167"/>
        <v>#N/A</v>
      </c>
      <c r="Z543" t="e">
        <f t="shared" ca="1" si="164"/>
        <v>#N/A</v>
      </c>
      <c r="AA543" t="e">
        <f t="shared" ca="1" si="157"/>
        <v>#N/A</v>
      </c>
      <c r="AB543" t="e">
        <f t="shared" ca="1" si="158"/>
        <v>#N/A</v>
      </c>
      <c r="AC543" t="e">
        <f t="shared" ca="1" si="159"/>
        <v>#N/A</v>
      </c>
      <c r="AD543" s="83" t="e">
        <f ca="1"/>
        <v>#N/A</v>
      </c>
      <c r="AE543" s="55" t="e">
        <f t="shared" ca="1" si="160"/>
        <v>#N/A</v>
      </c>
      <c r="AF543" s="55" t="e">
        <f t="shared" ca="1" si="161"/>
        <v>#N/A</v>
      </c>
      <c r="AG543" s="55" t="e">
        <f t="shared" ca="1" si="162"/>
        <v>#N/A</v>
      </c>
      <c r="AH543" s="55" t="e">
        <f t="shared" ca="1" si="163"/>
        <v>#N/A</v>
      </c>
      <c r="AI543" s="55" t="e">
        <f t="shared" ca="1" si="168"/>
        <v>#N/A</v>
      </c>
      <c r="AJ543" s="55" t="e">
        <f t="shared" ca="1" si="169"/>
        <v>#N/A</v>
      </c>
      <c r="AK543" s="55" t="e">
        <f t="shared" ca="1" si="170"/>
        <v>#N/A</v>
      </c>
    </row>
    <row r="544" spans="18:37">
      <c r="R544" s="55" t="e">
        <f ca="1"/>
        <v>#N/A</v>
      </c>
      <c r="S544" s="55" t="e">
        <f t="shared" ca="1" si="153"/>
        <v>#N/A</v>
      </c>
      <c r="T544" s="55" t="e">
        <f t="shared" ca="1" si="154"/>
        <v>#N/A</v>
      </c>
      <c r="U544" s="55" t="e">
        <f t="shared" ca="1" si="155"/>
        <v>#N/A</v>
      </c>
      <c r="V544" s="55" t="e">
        <f t="shared" ca="1" si="156"/>
        <v>#N/A</v>
      </c>
      <c r="W544" s="55" t="e">
        <f t="shared" ca="1" si="165"/>
        <v>#N/A</v>
      </c>
      <c r="X544" s="55" t="e">
        <f t="shared" ca="1" si="166"/>
        <v>#N/A</v>
      </c>
      <c r="Y544" s="55" t="e">
        <f t="shared" ca="1" si="167"/>
        <v>#N/A</v>
      </c>
      <c r="Z544" t="e">
        <f t="shared" ca="1" si="164"/>
        <v>#N/A</v>
      </c>
      <c r="AA544" t="e">
        <f t="shared" ca="1" si="157"/>
        <v>#N/A</v>
      </c>
      <c r="AB544" t="e">
        <f t="shared" ca="1" si="158"/>
        <v>#N/A</v>
      </c>
      <c r="AC544" t="e">
        <f t="shared" ca="1" si="159"/>
        <v>#N/A</v>
      </c>
      <c r="AD544" s="83" t="e">
        <f ca="1"/>
        <v>#N/A</v>
      </c>
      <c r="AE544" s="55" t="e">
        <f t="shared" ca="1" si="160"/>
        <v>#N/A</v>
      </c>
      <c r="AF544" s="55" t="e">
        <f t="shared" ca="1" si="161"/>
        <v>#N/A</v>
      </c>
      <c r="AG544" s="55" t="e">
        <f t="shared" ca="1" si="162"/>
        <v>#N/A</v>
      </c>
      <c r="AH544" s="55" t="e">
        <f t="shared" ca="1" si="163"/>
        <v>#N/A</v>
      </c>
      <c r="AI544" s="55" t="e">
        <f t="shared" ca="1" si="168"/>
        <v>#N/A</v>
      </c>
      <c r="AJ544" s="55" t="e">
        <f t="shared" ca="1" si="169"/>
        <v>#N/A</v>
      </c>
      <c r="AK544" s="55" t="e">
        <f t="shared" ca="1" si="170"/>
        <v>#N/A</v>
      </c>
    </row>
    <row r="545" spans="18:37">
      <c r="R545" s="55" t="e">
        <f ca="1"/>
        <v>#N/A</v>
      </c>
      <c r="S545" s="55" t="e">
        <f t="shared" ca="1" si="153"/>
        <v>#N/A</v>
      </c>
      <c r="T545" s="55" t="e">
        <f t="shared" ca="1" si="154"/>
        <v>#N/A</v>
      </c>
      <c r="U545" s="55" t="e">
        <f t="shared" ca="1" si="155"/>
        <v>#N/A</v>
      </c>
      <c r="V545" s="55" t="e">
        <f t="shared" ca="1" si="156"/>
        <v>#N/A</v>
      </c>
      <c r="W545" s="55" t="e">
        <f t="shared" ca="1" si="165"/>
        <v>#N/A</v>
      </c>
      <c r="X545" s="55" t="e">
        <f t="shared" ca="1" si="166"/>
        <v>#N/A</v>
      </c>
      <c r="Y545" s="55" t="e">
        <f t="shared" ca="1" si="167"/>
        <v>#N/A</v>
      </c>
      <c r="Z545" t="e">
        <f t="shared" ca="1" si="164"/>
        <v>#N/A</v>
      </c>
      <c r="AA545" t="e">
        <f t="shared" ca="1" si="157"/>
        <v>#N/A</v>
      </c>
      <c r="AB545" t="e">
        <f t="shared" ca="1" si="158"/>
        <v>#N/A</v>
      </c>
      <c r="AC545" t="e">
        <f t="shared" ca="1" si="159"/>
        <v>#N/A</v>
      </c>
      <c r="AD545" s="83" t="e">
        <f ca="1"/>
        <v>#N/A</v>
      </c>
      <c r="AE545" s="55" t="e">
        <f t="shared" ca="1" si="160"/>
        <v>#N/A</v>
      </c>
      <c r="AF545" s="55" t="e">
        <f t="shared" ca="1" si="161"/>
        <v>#N/A</v>
      </c>
      <c r="AG545" s="55" t="e">
        <f t="shared" ca="1" si="162"/>
        <v>#N/A</v>
      </c>
      <c r="AH545" s="55" t="e">
        <f t="shared" ca="1" si="163"/>
        <v>#N/A</v>
      </c>
      <c r="AI545" s="55" t="e">
        <f t="shared" ca="1" si="168"/>
        <v>#N/A</v>
      </c>
      <c r="AJ545" s="55" t="e">
        <f t="shared" ca="1" si="169"/>
        <v>#N/A</v>
      </c>
      <c r="AK545" s="55" t="e">
        <f t="shared" ca="1" si="170"/>
        <v>#N/A</v>
      </c>
    </row>
    <row r="546" spans="18:37">
      <c r="R546" s="55" t="e">
        <f ca="1"/>
        <v>#N/A</v>
      </c>
      <c r="S546" s="55" t="e">
        <f t="shared" ca="1" si="153"/>
        <v>#N/A</v>
      </c>
      <c r="T546" s="55" t="e">
        <f t="shared" ca="1" si="154"/>
        <v>#N/A</v>
      </c>
      <c r="U546" s="55" t="e">
        <f t="shared" ca="1" si="155"/>
        <v>#N/A</v>
      </c>
      <c r="V546" s="55" t="e">
        <f t="shared" ca="1" si="156"/>
        <v>#N/A</v>
      </c>
      <c r="W546" s="55" t="e">
        <f t="shared" ca="1" si="165"/>
        <v>#N/A</v>
      </c>
      <c r="X546" s="55" t="e">
        <f t="shared" ca="1" si="166"/>
        <v>#N/A</v>
      </c>
      <c r="Y546" s="55" t="e">
        <f t="shared" ca="1" si="167"/>
        <v>#N/A</v>
      </c>
      <c r="Z546" t="e">
        <f t="shared" ca="1" si="164"/>
        <v>#N/A</v>
      </c>
      <c r="AA546" t="e">
        <f t="shared" ca="1" si="157"/>
        <v>#N/A</v>
      </c>
      <c r="AB546" t="e">
        <f t="shared" ca="1" si="158"/>
        <v>#N/A</v>
      </c>
      <c r="AC546" t="e">
        <f t="shared" ca="1" si="159"/>
        <v>#N/A</v>
      </c>
      <c r="AD546" s="83" t="e">
        <f ca="1"/>
        <v>#N/A</v>
      </c>
      <c r="AE546" s="55" t="e">
        <f t="shared" ca="1" si="160"/>
        <v>#N/A</v>
      </c>
      <c r="AF546" s="55" t="e">
        <f t="shared" ca="1" si="161"/>
        <v>#N/A</v>
      </c>
      <c r="AG546" s="55" t="e">
        <f t="shared" ca="1" si="162"/>
        <v>#N/A</v>
      </c>
      <c r="AH546" s="55" t="e">
        <f t="shared" ca="1" si="163"/>
        <v>#N/A</v>
      </c>
      <c r="AI546" s="55" t="e">
        <f t="shared" ca="1" si="168"/>
        <v>#N/A</v>
      </c>
      <c r="AJ546" s="55" t="e">
        <f t="shared" ca="1" si="169"/>
        <v>#N/A</v>
      </c>
      <c r="AK546" s="55" t="e">
        <f t="shared" ca="1" si="170"/>
        <v>#N/A</v>
      </c>
    </row>
    <row r="547" spans="18:37">
      <c r="R547" s="55" t="e">
        <f ca="1"/>
        <v>#N/A</v>
      </c>
      <c r="S547" s="55" t="e">
        <f t="shared" ca="1" si="153"/>
        <v>#N/A</v>
      </c>
      <c r="T547" s="55" t="e">
        <f t="shared" ca="1" si="154"/>
        <v>#N/A</v>
      </c>
      <c r="U547" s="55" t="e">
        <f t="shared" ca="1" si="155"/>
        <v>#N/A</v>
      </c>
      <c r="V547" s="55" t="e">
        <f t="shared" ca="1" si="156"/>
        <v>#N/A</v>
      </c>
      <c r="W547" s="55" t="e">
        <f t="shared" ca="1" si="165"/>
        <v>#N/A</v>
      </c>
      <c r="X547" s="55" t="e">
        <f t="shared" ca="1" si="166"/>
        <v>#N/A</v>
      </c>
      <c r="Y547" s="55" t="e">
        <f t="shared" ca="1" si="167"/>
        <v>#N/A</v>
      </c>
      <c r="Z547" t="e">
        <f t="shared" ca="1" si="164"/>
        <v>#N/A</v>
      </c>
      <c r="AA547" t="e">
        <f t="shared" ca="1" si="157"/>
        <v>#N/A</v>
      </c>
      <c r="AB547" t="e">
        <f t="shared" ca="1" si="158"/>
        <v>#N/A</v>
      </c>
      <c r="AC547" t="e">
        <f t="shared" ca="1" si="159"/>
        <v>#N/A</v>
      </c>
      <c r="AD547" s="83" t="e">
        <f ca="1"/>
        <v>#N/A</v>
      </c>
      <c r="AE547" s="55" t="e">
        <f t="shared" ca="1" si="160"/>
        <v>#N/A</v>
      </c>
      <c r="AF547" s="55" t="e">
        <f t="shared" ca="1" si="161"/>
        <v>#N/A</v>
      </c>
      <c r="AG547" s="55" t="e">
        <f t="shared" ca="1" si="162"/>
        <v>#N/A</v>
      </c>
      <c r="AH547" s="55" t="e">
        <f t="shared" ca="1" si="163"/>
        <v>#N/A</v>
      </c>
      <c r="AI547" s="55" t="e">
        <f t="shared" ca="1" si="168"/>
        <v>#N/A</v>
      </c>
      <c r="AJ547" s="55" t="e">
        <f t="shared" ca="1" si="169"/>
        <v>#N/A</v>
      </c>
      <c r="AK547" s="55" t="e">
        <f t="shared" ca="1" si="170"/>
        <v>#N/A</v>
      </c>
    </row>
    <row r="548" spans="18:37">
      <c r="R548" s="55" t="e">
        <f ca="1"/>
        <v>#N/A</v>
      </c>
      <c r="S548" s="55" t="e">
        <f t="shared" ca="1" si="153"/>
        <v>#N/A</v>
      </c>
      <c r="T548" s="55" t="e">
        <f t="shared" ca="1" si="154"/>
        <v>#N/A</v>
      </c>
      <c r="U548" s="55" t="e">
        <f t="shared" ca="1" si="155"/>
        <v>#N/A</v>
      </c>
      <c r="V548" s="55" t="e">
        <f t="shared" ca="1" si="156"/>
        <v>#N/A</v>
      </c>
      <c r="W548" s="55" t="e">
        <f t="shared" ca="1" si="165"/>
        <v>#N/A</v>
      </c>
      <c r="X548" s="55" t="e">
        <f t="shared" ca="1" si="166"/>
        <v>#N/A</v>
      </c>
      <c r="Y548" s="55" t="e">
        <f t="shared" ca="1" si="167"/>
        <v>#N/A</v>
      </c>
      <c r="Z548" t="e">
        <f t="shared" ca="1" si="164"/>
        <v>#N/A</v>
      </c>
      <c r="AA548" t="e">
        <f t="shared" ca="1" si="157"/>
        <v>#N/A</v>
      </c>
      <c r="AB548" t="e">
        <f t="shared" ca="1" si="158"/>
        <v>#N/A</v>
      </c>
      <c r="AC548" t="e">
        <f t="shared" ca="1" si="159"/>
        <v>#N/A</v>
      </c>
      <c r="AD548" s="83" t="e">
        <f ca="1"/>
        <v>#N/A</v>
      </c>
      <c r="AE548" s="55" t="e">
        <f t="shared" ca="1" si="160"/>
        <v>#N/A</v>
      </c>
      <c r="AF548" s="55" t="e">
        <f t="shared" ca="1" si="161"/>
        <v>#N/A</v>
      </c>
      <c r="AG548" s="55" t="e">
        <f t="shared" ca="1" si="162"/>
        <v>#N/A</v>
      </c>
      <c r="AH548" s="55" t="e">
        <f t="shared" ca="1" si="163"/>
        <v>#N/A</v>
      </c>
      <c r="AI548" s="55" t="e">
        <f t="shared" ca="1" si="168"/>
        <v>#N/A</v>
      </c>
      <c r="AJ548" s="55" t="e">
        <f t="shared" ca="1" si="169"/>
        <v>#N/A</v>
      </c>
      <c r="AK548" s="55" t="e">
        <f t="shared" ca="1" si="170"/>
        <v>#N/A</v>
      </c>
    </row>
    <row r="549" spans="18:37">
      <c r="R549" s="55" t="e">
        <f ca="1"/>
        <v>#N/A</v>
      </c>
      <c r="S549" s="55" t="e">
        <f t="shared" ca="1" si="153"/>
        <v>#N/A</v>
      </c>
      <c r="T549" s="55" t="e">
        <f t="shared" ca="1" si="154"/>
        <v>#N/A</v>
      </c>
      <c r="U549" s="55" t="e">
        <f t="shared" ca="1" si="155"/>
        <v>#N/A</v>
      </c>
      <c r="V549" s="55" t="e">
        <f t="shared" ca="1" si="156"/>
        <v>#N/A</v>
      </c>
      <c r="W549" s="55" t="e">
        <f t="shared" ca="1" si="165"/>
        <v>#N/A</v>
      </c>
      <c r="X549" s="55" t="e">
        <f t="shared" ca="1" si="166"/>
        <v>#N/A</v>
      </c>
      <c r="Y549" s="55" t="e">
        <f t="shared" ca="1" si="167"/>
        <v>#N/A</v>
      </c>
      <c r="Z549" t="e">
        <f t="shared" ca="1" si="164"/>
        <v>#N/A</v>
      </c>
      <c r="AA549" t="e">
        <f t="shared" ca="1" si="157"/>
        <v>#N/A</v>
      </c>
      <c r="AB549" t="e">
        <f t="shared" ca="1" si="158"/>
        <v>#N/A</v>
      </c>
      <c r="AC549" t="e">
        <f t="shared" ca="1" si="159"/>
        <v>#N/A</v>
      </c>
      <c r="AD549" s="83" t="e">
        <f ca="1"/>
        <v>#N/A</v>
      </c>
      <c r="AE549" s="55" t="e">
        <f t="shared" ca="1" si="160"/>
        <v>#N/A</v>
      </c>
      <c r="AF549" s="55" t="e">
        <f t="shared" ca="1" si="161"/>
        <v>#N/A</v>
      </c>
      <c r="AG549" s="55" t="e">
        <f t="shared" ca="1" si="162"/>
        <v>#N/A</v>
      </c>
      <c r="AH549" s="55" t="e">
        <f t="shared" ca="1" si="163"/>
        <v>#N/A</v>
      </c>
      <c r="AI549" s="55" t="e">
        <f t="shared" ca="1" si="168"/>
        <v>#N/A</v>
      </c>
      <c r="AJ549" s="55" t="e">
        <f t="shared" ca="1" si="169"/>
        <v>#N/A</v>
      </c>
      <c r="AK549" s="55" t="e">
        <f t="shared" ca="1" si="170"/>
        <v>#N/A</v>
      </c>
    </row>
    <row r="550" spans="18:37">
      <c r="R550" s="55" t="e">
        <f ca="1"/>
        <v>#N/A</v>
      </c>
      <c r="S550" s="55" t="e">
        <f t="shared" ca="1" si="153"/>
        <v>#N/A</v>
      </c>
      <c r="T550" s="55" t="e">
        <f t="shared" ca="1" si="154"/>
        <v>#N/A</v>
      </c>
      <c r="U550" s="55" t="e">
        <f t="shared" ca="1" si="155"/>
        <v>#N/A</v>
      </c>
      <c r="V550" s="55" t="e">
        <f t="shared" ca="1" si="156"/>
        <v>#N/A</v>
      </c>
      <c r="W550" s="55" t="e">
        <f t="shared" ca="1" si="165"/>
        <v>#N/A</v>
      </c>
      <c r="X550" s="55" t="e">
        <f t="shared" ca="1" si="166"/>
        <v>#N/A</v>
      </c>
      <c r="Y550" s="55" t="e">
        <f t="shared" ca="1" si="167"/>
        <v>#N/A</v>
      </c>
      <c r="Z550" t="e">
        <f t="shared" ca="1" si="164"/>
        <v>#N/A</v>
      </c>
      <c r="AA550" t="e">
        <f t="shared" ca="1" si="157"/>
        <v>#N/A</v>
      </c>
      <c r="AB550" t="e">
        <f t="shared" ca="1" si="158"/>
        <v>#N/A</v>
      </c>
      <c r="AC550" t="e">
        <f t="shared" ca="1" si="159"/>
        <v>#N/A</v>
      </c>
      <c r="AD550" s="83" t="e">
        <f ca="1"/>
        <v>#N/A</v>
      </c>
      <c r="AE550" s="55" t="e">
        <f t="shared" ca="1" si="160"/>
        <v>#N/A</v>
      </c>
      <c r="AF550" s="55" t="e">
        <f t="shared" ca="1" si="161"/>
        <v>#N/A</v>
      </c>
      <c r="AG550" s="55" t="e">
        <f t="shared" ca="1" si="162"/>
        <v>#N/A</v>
      </c>
      <c r="AH550" s="55" t="e">
        <f t="shared" ca="1" si="163"/>
        <v>#N/A</v>
      </c>
      <c r="AI550" s="55" t="e">
        <f t="shared" ca="1" si="168"/>
        <v>#N/A</v>
      </c>
      <c r="AJ550" s="55" t="e">
        <f t="shared" ca="1" si="169"/>
        <v>#N/A</v>
      </c>
      <c r="AK550" s="55" t="e">
        <f t="shared" ca="1" si="170"/>
        <v>#N/A</v>
      </c>
    </row>
    <row r="551" spans="18:37">
      <c r="R551" s="55" t="e">
        <f ca="1"/>
        <v>#N/A</v>
      </c>
      <c r="S551" s="55" t="e">
        <f t="shared" ca="1" si="153"/>
        <v>#N/A</v>
      </c>
      <c r="T551" s="55" t="e">
        <f t="shared" ca="1" si="154"/>
        <v>#N/A</v>
      </c>
      <c r="U551" s="55" t="e">
        <f t="shared" ca="1" si="155"/>
        <v>#N/A</v>
      </c>
      <c r="V551" s="55" t="e">
        <f t="shared" ca="1" si="156"/>
        <v>#N/A</v>
      </c>
      <c r="W551" s="55" t="e">
        <f t="shared" ca="1" si="165"/>
        <v>#N/A</v>
      </c>
      <c r="X551" s="55" t="e">
        <f t="shared" ca="1" si="166"/>
        <v>#N/A</v>
      </c>
      <c r="Y551" s="55" t="e">
        <f t="shared" ca="1" si="167"/>
        <v>#N/A</v>
      </c>
      <c r="Z551" t="e">
        <f t="shared" ca="1" si="164"/>
        <v>#N/A</v>
      </c>
      <c r="AA551" t="e">
        <f t="shared" ca="1" si="157"/>
        <v>#N/A</v>
      </c>
      <c r="AB551" t="e">
        <f t="shared" ca="1" si="158"/>
        <v>#N/A</v>
      </c>
      <c r="AC551" t="e">
        <f t="shared" ca="1" si="159"/>
        <v>#N/A</v>
      </c>
      <c r="AD551" s="83" t="e">
        <f ca="1"/>
        <v>#N/A</v>
      </c>
      <c r="AE551" s="55" t="e">
        <f t="shared" ca="1" si="160"/>
        <v>#N/A</v>
      </c>
      <c r="AF551" s="55" t="e">
        <f t="shared" ca="1" si="161"/>
        <v>#N/A</v>
      </c>
      <c r="AG551" s="55" t="e">
        <f t="shared" ca="1" si="162"/>
        <v>#N/A</v>
      </c>
      <c r="AH551" s="55" t="e">
        <f t="shared" ca="1" si="163"/>
        <v>#N/A</v>
      </c>
      <c r="AI551" s="55" t="e">
        <f t="shared" ca="1" si="168"/>
        <v>#N/A</v>
      </c>
      <c r="AJ551" s="55" t="e">
        <f t="shared" ca="1" si="169"/>
        <v>#N/A</v>
      </c>
      <c r="AK551" s="55" t="e">
        <f t="shared" ca="1" si="170"/>
        <v>#N/A</v>
      </c>
    </row>
    <row r="552" spans="18:37">
      <c r="R552" s="55" t="e">
        <f ca="1"/>
        <v>#N/A</v>
      </c>
      <c r="S552" s="55" t="e">
        <f t="shared" ca="1" si="153"/>
        <v>#N/A</v>
      </c>
      <c r="T552" s="55" t="e">
        <f t="shared" ca="1" si="154"/>
        <v>#N/A</v>
      </c>
      <c r="U552" s="55" t="e">
        <f t="shared" ca="1" si="155"/>
        <v>#N/A</v>
      </c>
      <c r="V552" s="55" t="e">
        <f t="shared" ca="1" si="156"/>
        <v>#N/A</v>
      </c>
      <c r="W552" s="55" t="e">
        <f t="shared" ca="1" si="165"/>
        <v>#N/A</v>
      </c>
      <c r="X552" s="55" t="e">
        <f t="shared" ca="1" si="166"/>
        <v>#N/A</v>
      </c>
      <c r="Y552" s="55" t="e">
        <f t="shared" ca="1" si="167"/>
        <v>#N/A</v>
      </c>
      <c r="Z552" t="e">
        <f t="shared" ca="1" si="164"/>
        <v>#N/A</v>
      </c>
      <c r="AA552" t="e">
        <f t="shared" ca="1" si="157"/>
        <v>#N/A</v>
      </c>
      <c r="AB552" t="e">
        <f t="shared" ca="1" si="158"/>
        <v>#N/A</v>
      </c>
      <c r="AC552" t="e">
        <f t="shared" ca="1" si="159"/>
        <v>#N/A</v>
      </c>
      <c r="AD552" s="83" t="e">
        <f ca="1"/>
        <v>#N/A</v>
      </c>
      <c r="AE552" s="55" t="e">
        <f t="shared" ca="1" si="160"/>
        <v>#N/A</v>
      </c>
      <c r="AF552" s="55" t="e">
        <f t="shared" ca="1" si="161"/>
        <v>#N/A</v>
      </c>
      <c r="AG552" s="55" t="e">
        <f t="shared" ca="1" si="162"/>
        <v>#N/A</v>
      </c>
      <c r="AH552" s="55" t="e">
        <f t="shared" ca="1" si="163"/>
        <v>#N/A</v>
      </c>
      <c r="AI552" s="55" t="e">
        <f t="shared" ca="1" si="168"/>
        <v>#N/A</v>
      </c>
      <c r="AJ552" s="55" t="e">
        <f t="shared" ca="1" si="169"/>
        <v>#N/A</v>
      </c>
      <c r="AK552" s="55" t="e">
        <f t="shared" ca="1" si="170"/>
        <v>#N/A</v>
      </c>
    </row>
    <row r="553" spans="18:37">
      <c r="R553" s="55" t="e">
        <f ca="1"/>
        <v>#N/A</v>
      </c>
      <c r="S553" s="55" t="e">
        <f t="shared" ca="1" si="153"/>
        <v>#N/A</v>
      </c>
      <c r="T553" s="55" t="e">
        <f t="shared" ca="1" si="154"/>
        <v>#N/A</v>
      </c>
      <c r="U553" s="55" t="e">
        <f t="shared" ca="1" si="155"/>
        <v>#N/A</v>
      </c>
      <c r="V553" s="55" t="e">
        <f t="shared" ca="1" si="156"/>
        <v>#N/A</v>
      </c>
      <c r="W553" s="55" t="e">
        <f t="shared" ca="1" si="165"/>
        <v>#N/A</v>
      </c>
      <c r="X553" s="55" t="e">
        <f t="shared" ca="1" si="166"/>
        <v>#N/A</v>
      </c>
      <c r="Y553" s="55" t="e">
        <f t="shared" ca="1" si="167"/>
        <v>#N/A</v>
      </c>
      <c r="Z553" t="e">
        <f t="shared" ca="1" si="164"/>
        <v>#N/A</v>
      </c>
      <c r="AA553" t="e">
        <f t="shared" ca="1" si="157"/>
        <v>#N/A</v>
      </c>
      <c r="AB553" t="e">
        <f t="shared" ca="1" si="158"/>
        <v>#N/A</v>
      </c>
      <c r="AC553" t="e">
        <f t="shared" ca="1" si="159"/>
        <v>#N/A</v>
      </c>
      <c r="AD553" s="83" t="e">
        <f ca="1"/>
        <v>#N/A</v>
      </c>
      <c r="AE553" s="55" t="e">
        <f t="shared" ca="1" si="160"/>
        <v>#N/A</v>
      </c>
      <c r="AF553" s="55" t="e">
        <f t="shared" ca="1" si="161"/>
        <v>#N/A</v>
      </c>
      <c r="AG553" s="55" t="e">
        <f t="shared" ca="1" si="162"/>
        <v>#N/A</v>
      </c>
      <c r="AH553" s="55" t="e">
        <f t="shared" ca="1" si="163"/>
        <v>#N/A</v>
      </c>
      <c r="AI553" s="55" t="e">
        <f t="shared" ca="1" si="168"/>
        <v>#N/A</v>
      </c>
      <c r="AJ553" s="55" t="e">
        <f t="shared" ca="1" si="169"/>
        <v>#N/A</v>
      </c>
      <c r="AK553" s="55" t="e">
        <f t="shared" ca="1" si="170"/>
        <v>#N/A</v>
      </c>
    </row>
    <row r="554" spans="18:37">
      <c r="R554" s="55" t="e">
        <f ca="1"/>
        <v>#N/A</v>
      </c>
      <c r="S554" s="55" t="e">
        <f t="shared" ca="1" si="153"/>
        <v>#N/A</v>
      </c>
      <c r="T554" s="55" t="e">
        <f t="shared" ca="1" si="154"/>
        <v>#N/A</v>
      </c>
      <c r="U554" s="55" t="e">
        <f t="shared" ca="1" si="155"/>
        <v>#N/A</v>
      </c>
      <c r="V554" s="55" t="e">
        <f t="shared" ca="1" si="156"/>
        <v>#N/A</v>
      </c>
      <c r="W554" s="55" t="e">
        <f t="shared" ca="1" si="165"/>
        <v>#N/A</v>
      </c>
      <c r="X554" s="55" t="e">
        <f t="shared" ca="1" si="166"/>
        <v>#N/A</v>
      </c>
      <c r="Y554" s="55" t="e">
        <f t="shared" ca="1" si="167"/>
        <v>#N/A</v>
      </c>
      <c r="Z554" t="e">
        <f t="shared" ca="1" si="164"/>
        <v>#N/A</v>
      </c>
      <c r="AA554" t="e">
        <f t="shared" ca="1" si="157"/>
        <v>#N/A</v>
      </c>
      <c r="AB554" t="e">
        <f t="shared" ca="1" si="158"/>
        <v>#N/A</v>
      </c>
      <c r="AC554" t="e">
        <f t="shared" ca="1" si="159"/>
        <v>#N/A</v>
      </c>
      <c r="AD554" s="83" t="e">
        <f ca="1"/>
        <v>#N/A</v>
      </c>
      <c r="AE554" s="55" t="e">
        <f t="shared" ca="1" si="160"/>
        <v>#N/A</v>
      </c>
      <c r="AF554" s="55" t="e">
        <f t="shared" ca="1" si="161"/>
        <v>#N/A</v>
      </c>
      <c r="AG554" s="55" t="e">
        <f t="shared" ca="1" si="162"/>
        <v>#N/A</v>
      </c>
      <c r="AH554" s="55" t="e">
        <f t="shared" ca="1" si="163"/>
        <v>#N/A</v>
      </c>
      <c r="AI554" s="55" t="e">
        <f t="shared" ca="1" si="168"/>
        <v>#N/A</v>
      </c>
      <c r="AJ554" s="55" t="e">
        <f t="shared" ca="1" si="169"/>
        <v>#N/A</v>
      </c>
      <c r="AK554" s="55" t="e">
        <f t="shared" ca="1" si="170"/>
        <v>#N/A</v>
      </c>
    </row>
    <row r="555" spans="18:37">
      <c r="R555" s="55" t="e">
        <f ca="1"/>
        <v>#N/A</v>
      </c>
      <c r="S555" s="55" t="e">
        <f t="shared" ca="1" si="153"/>
        <v>#N/A</v>
      </c>
      <c r="T555" s="55" t="e">
        <f t="shared" ca="1" si="154"/>
        <v>#N/A</v>
      </c>
      <c r="U555" s="55" t="e">
        <f t="shared" ca="1" si="155"/>
        <v>#N/A</v>
      </c>
      <c r="V555" s="55" t="e">
        <f t="shared" ca="1" si="156"/>
        <v>#N/A</v>
      </c>
      <c r="W555" s="55" t="e">
        <f t="shared" ca="1" si="165"/>
        <v>#N/A</v>
      </c>
      <c r="X555" s="55" t="e">
        <f t="shared" ca="1" si="166"/>
        <v>#N/A</v>
      </c>
      <c r="Y555" s="55" t="e">
        <f t="shared" ca="1" si="167"/>
        <v>#N/A</v>
      </c>
      <c r="Z555" t="e">
        <f t="shared" ca="1" si="164"/>
        <v>#N/A</v>
      </c>
      <c r="AA555" t="e">
        <f t="shared" ca="1" si="157"/>
        <v>#N/A</v>
      </c>
      <c r="AB555" t="e">
        <f t="shared" ca="1" si="158"/>
        <v>#N/A</v>
      </c>
      <c r="AC555" t="e">
        <f t="shared" ca="1" si="159"/>
        <v>#N/A</v>
      </c>
      <c r="AD555" s="83" t="e">
        <f ca="1"/>
        <v>#N/A</v>
      </c>
      <c r="AE555" s="55" t="e">
        <f t="shared" ca="1" si="160"/>
        <v>#N/A</v>
      </c>
      <c r="AF555" s="55" t="e">
        <f t="shared" ca="1" si="161"/>
        <v>#N/A</v>
      </c>
      <c r="AG555" s="55" t="e">
        <f t="shared" ca="1" si="162"/>
        <v>#N/A</v>
      </c>
      <c r="AH555" s="55" t="e">
        <f t="shared" ca="1" si="163"/>
        <v>#N/A</v>
      </c>
      <c r="AI555" s="55" t="e">
        <f t="shared" ca="1" si="168"/>
        <v>#N/A</v>
      </c>
      <c r="AJ555" s="55" t="e">
        <f t="shared" ca="1" si="169"/>
        <v>#N/A</v>
      </c>
      <c r="AK555" s="55" t="e">
        <f t="shared" ca="1" si="170"/>
        <v>#N/A</v>
      </c>
    </row>
    <row r="556" spans="18:37">
      <c r="R556" s="55" t="e">
        <f ca="1"/>
        <v>#N/A</v>
      </c>
      <c r="S556" s="55" t="e">
        <f t="shared" ca="1" si="153"/>
        <v>#N/A</v>
      </c>
      <c r="T556" s="55" t="e">
        <f t="shared" ca="1" si="154"/>
        <v>#N/A</v>
      </c>
      <c r="U556" s="55" t="e">
        <f t="shared" ca="1" si="155"/>
        <v>#N/A</v>
      </c>
      <c r="V556" s="55" t="e">
        <f t="shared" ca="1" si="156"/>
        <v>#N/A</v>
      </c>
      <c r="W556" s="55" t="e">
        <f t="shared" ca="1" si="165"/>
        <v>#N/A</v>
      </c>
      <c r="X556" s="55" t="e">
        <f t="shared" ca="1" si="166"/>
        <v>#N/A</v>
      </c>
      <c r="Y556" s="55" t="e">
        <f t="shared" ca="1" si="167"/>
        <v>#N/A</v>
      </c>
      <c r="Z556" t="e">
        <f t="shared" ca="1" si="164"/>
        <v>#N/A</v>
      </c>
      <c r="AA556" t="e">
        <f t="shared" ca="1" si="157"/>
        <v>#N/A</v>
      </c>
      <c r="AB556" t="e">
        <f t="shared" ca="1" si="158"/>
        <v>#N/A</v>
      </c>
      <c r="AC556" t="e">
        <f t="shared" ca="1" si="159"/>
        <v>#N/A</v>
      </c>
      <c r="AD556" s="83" t="e">
        <f ca="1"/>
        <v>#N/A</v>
      </c>
      <c r="AE556" s="55" t="e">
        <f t="shared" ca="1" si="160"/>
        <v>#N/A</v>
      </c>
      <c r="AF556" s="55" t="e">
        <f t="shared" ca="1" si="161"/>
        <v>#N/A</v>
      </c>
      <c r="AG556" s="55" t="e">
        <f t="shared" ca="1" si="162"/>
        <v>#N/A</v>
      </c>
      <c r="AH556" s="55" t="e">
        <f t="shared" ca="1" si="163"/>
        <v>#N/A</v>
      </c>
      <c r="AI556" s="55" t="e">
        <f t="shared" ca="1" si="168"/>
        <v>#N/A</v>
      </c>
      <c r="AJ556" s="55" t="e">
        <f t="shared" ca="1" si="169"/>
        <v>#N/A</v>
      </c>
      <c r="AK556" s="55" t="e">
        <f t="shared" ca="1" si="170"/>
        <v>#N/A</v>
      </c>
    </row>
    <row r="557" spans="18:37">
      <c r="R557" s="55" t="e">
        <f ca="1"/>
        <v>#N/A</v>
      </c>
      <c r="S557" s="55" t="e">
        <f t="shared" ca="1" si="153"/>
        <v>#N/A</v>
      </c>
      <c r="T557" s="55" t="e">
        <f t="shared" ca="1" si="154"/>
        <v>#N/A</v>
      </c>
      <c r="U557" s="55" t="e">
        <f t="shared" ca="1" si="155"/>
        <v>#N/A</v>
      </c>
      <c r="V557" s="55" t="e">
        <f t="shared" ca="1" si="156"/>
        <v>#N/A</v>
      </c>
      <c r="W557" s="55" t="e">
        <f t="shared" ca="1" si="165"/>
        <v>#N/A</v>
      </c>
      <c r="X557" s="55" t="e">
        <f t="shared" ca="1" si="166"/>
        <v>#N/A</v>
      </c>
      <c r="Y557" s="55" t="e">
        <f t="shared" ca="1" si="167"/>
        <v>#N/A</v>
      </c>
      <c r="Z557" t="e">
        <f t="shared" ca="1" si="164"/>
        <v>#N/A</v>
      </c>
      <c r="AA557" t="e">
        <f t="shared" ca="1" si="157"/>
        <v>#N/A</v>
      </c>
      <c r="AB557" t="e">
        <f t="shared" ca="1" si="158"/>
        <v>#N/A</v>
      </c>
      <c r="AC557" t="e">
        <f t="shared" ca="1" si="159"/>
        <v>#N/A</v>
      </c>
      <c r="AD557" s="83" t="e">
        <f ca="1"/>
        <v>#N/A</v>
      </c>
      <c r="AE557" s="55" t="e">
        <f t="shared" ca="1" si="160"/>
        <v>#N/A</v>
      </c>
      <c r="AF557" s="55" t="e">
        <f t="shared" ca="1" si="161"/>
        <v>#N/A</v>
      </c>
      <c r="AG557" s="55" t="e">
        <f t="shared" ca="1" si="162"/>
        <v>#N/A</v>
      </c>
      <c r="AH557" s="55" t="e">
        <f t="shared" ca="1" si="163"/>
        <v>#N/A</v>
      </c>
      <c r="AI557" s="55" t="e">
        <f t="shared" ca="1" si="168"/>
        <v>#N/A</v>
      </c>
      <c r="AJ557" s="55" t="e">
        <f t="shared" ca="1" si="169"/>
        <v>#N/A</v>
      </c>
      <c r="AK557" s="55" t="e">
        <f t="shared" ca="1" si="170"/>
        <v>#N/A</v>
      </c>
    </row>
    <row r="558" spans="18:37">
      <c r="R558" s="55" t="e">
        <f ca="1"/>
        <v>#N/A</v>
      </c>
      <c r="S558" s="55" t="e">
        <f t="shared" ca="1" si="153"/>
        <v>#N/A</v>
      </c>
      <c r="T558" s="55" t="e">
        <f t="shared" ca="1" si="154"/>
        <v>#N/A</v>
      </c>
      <c r="U558" s="55" t="e">
        <f t="shared" ca="1" si="155"/>
        <v>#N/A</v>
      </c>
      <c r="V558" s="55" t="e">
        <f t="shared" ca="1" si="156"/>
        <v>#N/A</v>
      </c>
      <c r="W558" s="55" t="e">
        <f t="shared" ca="1" si="165"/>
        <v>#N/A</v>
      </c>
      <c r="X558" s="55" t="e">
        <f t="shared" ca="1" si="166"/>
        <v>#N/A</v>
      </c>
      <c r="Y558" s="55" t="e">
        <f t="shared" ca="1" si="167"/>
        <v>#N/A</v>
      </c>
      <c r="Z558" t="e">
        <f t="shared" ca="1" si="164"/>
        <v>#N/A</v>
      </c>
      <c r="AA558" t="e">
        <f t="shared" ca="1" si="157"/>
        <v>#N/A</v>
      </c>
      <c r="AB558" t="e">
        <f t="shared" ca="1" si="158"/>
        <v>#N/A</v>
      </c>
      <c r="AC558" t="e">
        <f t="shared" ca="1" si="159"/>
        <v>#N/A</v>
      </c>
      <c r="AD558" s="83" t="e">
        <f ca="1"/>
        <v>#N/A</v>
      </c>
      <c r="AE558" s="55" t="e">
        <f t="shared" ca="1" si="160"/>
        <v>#N/A</v>
      </c>
      <c r="AF558" s="55" t="e">
        <f t="shared" ca="1" si="161"/>
        <v>#N/A</v>
      </c>
      <c r="AG558" s="55" t="e">
        <f t="shared" ca="1" si="162"/>
        <v>#N/A</v>
      </c>
      <c r="AH558" s="55" t="e">
        <f t="shared" ca="1" si="163"/>
        <v>#N/A</v>
      </c>
      <c r="AI558" s="55" t="e">
        <f t="shared" ca="1" si="168"/>
        <v>#N/A</v>
      </c>
      <c r="AJ558" s="55" t="e">
        <f t="shared" ca="1" si="169"/>
        <v>#N/A</v>
      </c>
      <c r="AK558" s="55" t="e">
        <f t="shared" ca="1" si="170"/>
        <v>#N/A</v>
      </c>
    </row>
    <row r="559" spans="18:37">
      <c r="R559" s="55" t="e">
        <f ca="1"/>
        <v>#N/A</v>
      </c>
      <c r="S559" s="55" t="e">
        <f t="shared" ca="1" si="153"/>
        <v>#N/A</v>
      </c>
      <c r="T559" s="55" t="e">
        <f t="shared" ca="1" si="154"/>
        <v>#N/A</v>
      </c>
      <c r="U559" s="55" t="e">
        <f t="shared" ca="1" si="155"/>
        <v>#N/A</v>
      </c>
      <c r="V559" s="55" t="e">
        <f t="shared" ca="1" si="156"/>
        <v>#N/A</v>
      </c>
      <c r="W559" s="55" t="e">
        <f t="shared" ca="1" si="165"/>
        <v>#N/A</v>
      </c>
      <c r="X559" s="55" t="e">
        <f t="shared" ca="1" si="166"/>
        <v>#N/A</v>
      </c>
      <c r="Y559" s="55" t="e">
        <f t="shared" ca="1" si="167"/>
        <v>#N/A</v>
      </c>
      <c r="Z559" t="e">
        <f t="shared" ca="1" si="164"/>
        <v>#N/A</v>
      </c>
      <c r="AA559" t="e">
        <f t="shared" ca="1" si="157"/>
        <v>#N/A</v>
      </c>
      <c r="AB559" t="e">
        <f t="shared" ca="1" si="158"/>
        <v>#N/A</v>
      </c>
      <c r="AC559" t="e">
        <f t="shared" ca="1" si="159"/>
        <v>#N/A</v>
      </c>
      <c r="AD559" s="83" t="e">
        <f ca="1"/>
        <v>#N/A</v>
      </c>
      <c r="AE559" s="55" t="e">
        <f t="shared" ca="1" si="160"/>
        <v>#N/A</v>
      </c>
      <c r="AF559" s="55" t="e">
        <f t="shared" ca="1" si="161"/>
        <v>#N/A</v>
      </c>
      <c r="AG559" s="55" t="e">
        <f t="shared" ca="1" si="162"/>
        <v>#N/A</v>
      </c>
      <c r="AH559" s="55" t="e">
        <f t="shared" ca="1" si="163"/>
        <v>#N/A</v>
      </c>
      <c r="AI559" s="55" t="e">
        <f t="shared" ca="1" si="168"/>
        <v>#N/A</v>
      </c>
      <c r="AJ559" s="55" t="e">
        <f t="shared" ca="1" si="169"/>
        <v>#N/A</v>
      </c>
      <c r="AK559" s="55" t="e">
        <f t="shared" ca="1" si="170"/>
        <v>#N/A</v>
      </c>
    </row>
    <row r="560" spans="18:37">
      <c r="R560" s="55" t="e">
        <f ca="1"/>
        <v>#N/A</v>
      </c>
      <c r="S560" s="55" t="e">
        <f t="shared" ca="1" si="153"/>
        <v>#N/A</v>
      </c>
      <c r="T560" s="55" t="e">
        <f t="shared" ca="1" si="154"/>
        <v>#N/A</v>
      </c>
      <c r="U560" s="55" t="e">
        <f t="shared" ca="1" si="155"/>
        <v>#N/A</v>
      </c>
      <c r="V560" s="55" t="e">
        <f t="shared" ca="1" si="156"/>
        <v>#N/A</v>
      </c>
      <c r="W560" s="55" t="e">
        <f t="shared" ca="1" si="165"/>
        <v>#N/A</v>
      </c>
      <c r="X560" s="55" t="e">
        <f t="shared" ca="1" si="166"/>
        <v>#N/A</v>
      </c>
      <c r="Y560" s="55" t="e">
        <f t="shared" ca="1" si="167"/>
        <v>#N/A</v>
      </c>
      <c r="Z560" t="e">
        <f t="shared" ca="1" si="164"/>
        <v>#N/A</v>
      </c>
      <c r="AA560" t="e">
        <f t="shared" ca="1" si="157"/>
        <v>#N/A</v>
      </c>
      <c r="AB560" t="e">
        <f t="shared" ca="1" si="158"/>
        <v>#N/A</v>
      </c>
      <c r="AC560" t="e">
        <f t="shared" ca="1" si="159"/>
        <v>#N/A</v>
      </c>
      <c r="AD560" s="83" t="e">
        <f ca="1"/>
        <v>#N/A</v>
      </c>
      <c r="AE560" s="55" t="e">
        <f t="shared" ca="1" si="160"/>
        <v>#N/A</v>
      </c>
      <c r="AF560" s="55" t="e">
        <f t="shared" ca="1" si="161"/>
        <v>#N/A</v>
      </c>
      <c r="AG560" s="55" t="e">
        <f t="shared" ca="1" si="162"/>
        <v>#N/A</v>
      </c>
      <c r="AH560" s="55" t="e">
        <f t="shared" ca="1" si="163"/>
        <v>#N/A</v>
      </c>
      <c r="AI560" s="55" t="e">
        <f t="shared" ca="1" si="168"/>
        <v>#N/A</v>
      </c>
      <c r="AJ560" s="55" t="e">
        <f t="shared" ca="1" si="169"/>
        <v>#N/A</v>
      </c>
      <c r="AK560" s="55" t="e">
        <f t="shared" ca="1" si="170"/>
        <v>#N/A</v>
      </c>
    </row>
    <row r="561" spans="18:37">
      <c r="R561" s="55" t="e">
        <f ca="1"/>
        <v>#N/A</v>
      </c>
      <c r="S561" s="55" t="e">
        <f t="shared" ca="1" si="153"/>
        <v>#N/A</v>
      </c>
      <c r="T561" s="55" t="e">
        <f t="shared" ca="1" si="154"/>
        <v>#N/A</v>
      </c>
      <c r="U561" s="55" t="e">
        <f t="shared" ca="1" si="155"/>
        <v>#N/A</v>
      </c>
      <c r="V561" s="55" t="e">
        <f t="shared" ca="1" si="156"/>
        <v>#N/A</v>
      </c>
      <c r="W561" s="55" t="e">
        <f t="shared" ca="1" si="165"/>
        <v>#N/A</v>
      </c>
      <c r="X561" s="55" t="e">
        <f t="shared" ca="1" si="166"/>
        <v>#N/A</v>
      </c>
      <c r="Y561" s="55" t="e">
        <f t="shared" ca="1" si="167"/>
        <v>#N/A</v>
      </c>
      <c r="Z561" t="e">
        <f t="shared" ca="1" si="164"/>
        <v>#N/A</v>
      </c>
      <c r="AA561" t="e">
        <f t="shared" ca="1" si="157"/>
        <v>#N/A</v>
      </c>
      <c r="AB561" t="e">
        <f t="shared" ca="1" si="158"/>
        <v>#N/A</v>
      </c>
      <c r="AC561" t="e">
        <f t="shared" ca="1" si="159"/>
        <v>#N/A</v>
      </c>
      <c r="AD561" s="83" t="e">
        <f ca="1"/>
        <v>#N/A</v>
      </c>
      <c r="AE561" s="55" t="e">
        <f t="shared" ca="1" si="160"/>
        <v>#N/A</v>
      </c>
      <c r="AF561" s="55" t="e">
        <f t="shared" ca="1" si="161"/>
        <v>#N/A</v>
      </c>
      <c r="AG561" s="55" t="e">
        <f t="shared" ca="1" si="162"/>
        <v>#N/A</v>
      </c>
      <c r="AH561" s="55" t="e">
        <f t="shared" ca="1" si="163"/>
        <v>#N/A</v>
      </c>
      <c r="AI561" s="55" t="e">
        <f t="shared" ca="1" si="168"/>
        <v>#N/A</v>
      </c>
      <c r="AJ561" s="55" t="e">
        <f t="shared" ca="1" si="169"/>
        <v>#N/A</v>
      </c>
      <c r="AK561" s="55" t="e">
        <f t="shared" ca="1" si="170"/>
        <v>#N/A</v>
      </c>
    </row>
    <row r="562" spans="18:37">
      <c r="R562" s="55" t="e">
        <f ca="1"/>
        <v>#N/A</v>
      </c>
      <c r="S562" s="55" t="e">
        <f t="shared" ca="1" si="153"/>
        <v>#N/A</v>
      </c>
      <c r="T562" s="55" t="e">
        <f t="shared" ca="1" si="154"/>
        <v>#N/A</v>
      </c>
      <c r="U562" s="55" t="e">
        <f t="shared" ca="1" si="155"/>
        <v>#N/A</v>
      </c>
      <c r="V562" s="55" t="e">
        <f t="shared" ca="1" si="156"/>
        <v>#N/A</v>
      </c>
      <c r="W562" s="55" t="e">
        <f t="shared" ca="1" si="165"/>
        <v>#N/A</v>
      </c>
      <c r="X562" s="55" t="e">
        <f t="shared" ca="1" si="166"/>
        <v>#N/A</v>
      </c>
      <c r="Y562" s="55" t="e">
        <f t="shared" ca="1" si="167"/>
        <v>#N/A</v>
      </c>
      <c r="Z562" t="e">
        <f t="shared" ca="1" si="164"/>
        <v>#N/A</v>
      </c>
      <c r="AA562" t="e">
        <f t="shared" ca="1" si="157"/>
        <v>#N/A</v>
      </c>
      <c r="AB562" t="e">
        <f t="shared" ca="1" si="158"/>
        <v>#N/A</v>
      </c>
      <c r="AC562" t="e">
        <f t="shared" ca="1" si="159"/>
        <v>#N/A</v>
      </c>
      <c r="AD562" s="83" t="e">
        <f ca="1"/>
        <v>#N/A</v>
      </c>
      <c r="AE562" s="55" t="e">
        <f t="shared" ca="1" si="160"/>
        <v>#N/A</v>
      </c>
      <c r="AF562" s="55" t="e">
        <f t="shared" ca="1" si="161"/>
        <v>#N/A</v>
      </c>
      <c r="AG562" s="55" t="e">
        <f t="shared" ca="1" si="162"/>
        <v>#N/A</v>
      </c>
      <c r="AH562" s="55" t="e">
        <f t="shared" ca="1" si="163"/>
        <v>#N/A</v>
      </c>
      <c r="AI562" s="55" t="e">
        <f t="shared" ca="1" si="168"/>
        <v>#N/A</v>
      </c>
      <c r="AJ562" s="55" t="e">
        <f t="shared" ca="1" si="169"/>
        <v>#N/A</v>
      </c>
      <c r="AK562" s="55" t="e">
        <f t="shared" ca="1" si="170"/>
        <v>#N/A</v>
      </c>
    </row>
    <row r="563" spans="18:37">
      <c r="R563" s="55" t="e">
        <f ca="1"/>
        <v>#N/A</v>
      </c>
      <c r="S563" s="55" t="e">
        <f t="shared" ca="1" si="153"/>
        <v>#N/A</v>
      </c>
      <c r="T563" s="55" t="e">
        <f t="shared" ca="1" si="154"/>
        <v>#N/A</v>
      </c>
      <c r="U563" s="55" t="e">
        <f t="shared" ca="1" si="155"/>
        <v>#N/A</v>
      </c>
      <c r="V563" s="55" t="e">
        <f t="shared" ca="1" si="156"/>
        <v>#N/A</v>
      </c>
      <c r="W563" s="55" t="e">
        <f t="shared" ca="1" si="165"/>
        <v>#N/A</v>
      </c>
      <c r="X563" s="55" t="e">
        <f t="shared" ca="1" si="166"/>
        <v>#N/A</v>
      </c>
      <c r="Y563" s="55" t="e">
        <f t="shared" ca="1" si="167"/>
        <v>#N/A</v>
      </c>
      <c r="Z563" t="e">
        <f t="shared" ca="1" si="164"/>
        <v>#N/A</v>
      </c>
      <c r="AA563" t="e">
        <f t="shared" ca="1" si="157"/>
        <v>#N/A</v>
      </c>
      <c r="AB563" t="e">
        <f t="shared" ca="1" si="158"/>
        <v>#N/A</v>
      </c>
      <c r="AC563" t="e">
        <f t="shared" ca="1" si="159"/>
        <v>#N/A</v>
      </c>
      <c r="AD563" s="83" t="e">
        <f ca="1"/>
        <v>#N/A</v>
      </c>
      <c r="AE563" s="55" t="e">
        <f t="shared" ca="1" si="160"/>
        <v>#N/A</v>
      </c>
      <c r="AF563" s="55" t="e">
        <f t="shared" ca="1" si="161"/>
        <v>#N/A</v>
      </c>
      <c r="AG563" s="55" t="e">
        <f t="shared" ca="1" si="162"/>
        <v>#N/A</v>
      </c>
      <c r="AH563" s="55" t="e">
        <f t="shared" ca="1" si="163"/>
        <v>#N/A</v>
      </c>
      <c r="AI563" s="55" t="e">
        <f t="shared" ca="1" si="168"/>
        <v>#N/A</v>
      </c>
      <c r="AJ563" s="55" t="e">
        <f t="shared" ca="1" si="169"/>
        <v>#N/A</v>
      </c>
      <c r="AK563" s="55" t="e">
        <f t="shared" ca="1" si="170"/>
        <v>#N/A</v>
      </c>
    </row>
    <row r="564" spans="18:37">
      <c r="R564" s="55" t="e">
        <f ca="1"/>
        <v>#N/A</v>
      </c>
      <c r="S564" s="55" t="e">
        <f t="shared" ca="1" si="153"/>
        <v>#N/A</v>
      </c>
      <c r="T564" s="55" t="e">
        <f t="shared" ca="1" si="154"/>
        <v>#N/A</v>
      </c>
      <c r="U564" s="55" t="e">
        <f t="shared" ca="1" si="155"/>
        <v>#N/A</v>
      </c>
      <c r="V564" s="55" t="e">
        <f t="shared" ca="1" si="156"/>
        <v>#N/A</v>
      </c>
      <c r="W564" s="55" t="e">
        <f t="shared" ca="1" si="165"/>
        <v>#N/A</v>
      </c>
      <c r="X564" s="55" t="e">
        <f t="shared" ca="1" si="166"/>
        <v>#N/A</v>
      </c>
      <c r="Y564" s="55" t="e">
        <f t="shared" ca="1" si="167"/>
        <v>#N/A</v>
      </c>
      <c r="Z564" t="e">
        <f t="shared" ca="1" si="164"/>
        <v>#N/A</v>
      </c>
      <c r="AA564" t="e">
        <f t="shared" ca="1" si="157"/>
        <v>#N/A</v>
      </c>
      <c r="AB564" t="e">
        <f t="shared" ca="1" si="158"/>
        <v>#N/A</v>
      </c>
      <c r="AC564" t="e">
        <f t="shared" ca="1" si="159"/>
        <v>#N/A</v>
      </c>
      <c r="AD564" s="83" t="e">
        <f ca="1"/>
        <v>#N/A</v>
      </c>
      <c r="AE564" s="55" t="e">
        <f t="shared" ca="1" si="160"/>
        <v>#N/A</v>
      </c>
      <c r="AF564" s="55" t="e">
        <f t="shared" ca="1" si="161"/>
        <v>#N/A</v>
      </c>
      <c r="AG564" s="55" t="e">
        <f t="shared" ca="1" si="162"/>
        <v>#N/A</v>
      </c>
      <c r="AH564" s="55" t="e">
        <f t="shared" ca="1" si="163"/>
        <v>#N/A</v>
      </c>
      <c r="AI564" s="55" t="e">
        <f t="shared" ca="1" si="168"/>
        <v>#N/A</v>
      </c>
      <c r="AJ564" s="55" t="e">
        <f t="shared" ca="1" si="169"/>
        <v>#N/A</v>
      </c>
      <c r="AK564" s="55" t="e">
        <f t="shared" ca="1" si="170"/>
        <v>#N/A</v>
      </c>
    </row>
    <row r="565" spans="18:37">
      <c r="R565" s="55" t="e">
        <f ca="1"/>
        <v>#N/A</v>
      </c>
      <c r="S565" s="55" t="e">
        <f t="shared" ca="1" si="153"/>
        <v>#N/A</v>
      </c>
      <c r="T565" s="55" t="e">
        <f t="shared" ca="1" si="154"/>
        <v>#N/A</v>
      </c>
      <c r="U565" s="55" t="e">
        <f t="shared" ca="1" si="155"/>
        <v>#N/A</v>
      </c>
      <c r="V565" s="55" t="e">
        <f t="shared" ca="1" si="156"/>
        <v>#N/A</v>
      </c>
      <c r="W565" s="55" t="e">
        <f t="shared" ca="1" si="165"/>
        <v>#N/A</v>
      </c>
      <c r="X565" s="55" t="e">
        <f t="shared" ca="1" si="166"/>
        <v>#N/A</v>
      </c>
      <c r="Y565" s="55" t="e">
        <f t="shared" ca="1" si="167"/>
        <v>#N/A</v>
      </c>
      <c r="Z565" t="e">
        <f t="shared" ca="1" si="164"/>
        <v>#N/A</v>
      </c>
      <c r="AA565" t="e">
        <f t="shared" ca="1" si="157"/>
        <v>#N/A</v>
      </c>
      <c r="AB565" t="e">
        <f t="shared" ca="1" si="158"/>
        <v>#N/A</v>
      </c>
      <c r="AC565" t="e">
        <f t="shared" ca="1" si="159"/>
        <v>#N/A</v>
      </c>
      <c r="AD565" s="83" t="e">
        <f ca="1"/>
        <v>#N/A</v>
      </c>
      <c r="AE565" s="55" t="e">
        <f t="shared" ca="1" si="160"/>
        <v>#N/A</v>
      </c>
      <c r="AF565" s="55" t="e">
        <f t="shared" ca="1" si="161"/>
        <v>#N/A</v>
      </c>
      <c r="AG565" s="55" t="e">
        <f t="shared" ca="1" si="162"/>
        <v>#N/A</v>
      </c>
      <c r="AH565" s="55" t="e">
        <f t="shared" ca="1" si="163"/>
        <v>#N/A</v>
      </c>
      <c r="AI565" s="55" t="e">
        <f t="shared" ca="1" si="168"/>
        <v>#N/A</v>
      </c>
      <c r="AJ565" s="55" t="e">
        <f t="shared" ca="1" si="169"/>
        <v>#N/A</v>
      </c>
      <c r="AK565" s="55" t="e">
        <f t="shared" ca="1" si="170"/>
        <v>#N/A</v>
      </c>
    </row>
    <row r="566" spans="18:37">
      <c r="R566" s="55" t="e">
        <f ca="1"/>
        <v>#N/A</v>
      </c>
      <c r="S566" s="55" t="e">
        <f t="shared" ca="1" si="153"/>
        <v>#N/A</v>
      </c>
      <c r="T566" s="55" t="e">
        <f t="shared" ca="1" si="154"/>
        <v>#N/A</v>
      </c>
      <c r="U566" s="55" t="e">
        <f t="shared" ca="1" si="155"/>
        <v>#N/A</v>
      </c>
      <c r="V566" s="55" t="e">
        <f t="shared" ca="1" si="156"/>
        <v>#N/A</v>
      </c>
      <c r="W566" s="55" t="e">
        <f t="shared" ca="1" si="165"/>
        <v>#N/A</v>
      </c>
      <c r="X566" s="55" t="e">
        <f t="shared" ca="1" si="166"/>
        <v>#N/A</v>
      </c>
      <c r="Y566" s="55" t="e">
        <f t="shared" ca="1" si="167"/>
        <v>#N/A</v>
      </c>
      <c r="Z566" t="e">
        <f t="shared" ca="1" si="164"/>
        <v>#N/A</v>
      </c>
      <c r="AA566" t="e">
        <f t="shared" ca="1" si="157"/>
        <v>#N/A</v>
      </c>
      <c r="AB566" t="e">
        <f t="shared" ca="1" si="158"/>
        <v>#N/A</v>
      </c>
      <c r="AC566" t="e">
        <f t="shared" ca="1" si="159"/>
        <v>#N/A</v>
      </c>
      <c r="AD566" s="83" t="e">
        <f ca="1"/>
        <v>#N/A</v>
      </c>
      <c r="AE566" s="55" t="e">
        <f t="shared" ca="1" si="160"/>
        <v>#N/A</v>
      </c>
      <c r="AF566" s="55" t="e">
        <f t="shared" ca="1" si="161"/>
        <v>#N/A</v>
      </c>
      <c r="AG566" s="55" t="e">
        <f t="shared" ca="1" si="162"/>
        <v>#N/A</v>
      </c>
      <c r="AH566" s="55" t="e">
        <f t="shared" ca="1" si="163"/>
        <v>#N/A</v>
      </c>
      <c r="AI566" s="55" t="e">
        <f t="shared" ca="1" si="168"/>
        <v>#N/A</v>
      </c>
      <c r="AJ566" s="55" t="e">
        <f t="shared" ca="1" si="169"/>
        <v>#N/A</v>
      </c>
      <c r="AK566" s="55" t="e">
        <f t="shared" ca="1" si="170"/>
        <v>#N/A</v>
      </c>
    </row>
    <row r="567" spans="18:37">
      <c r="R567" s="55" t="e">
        <f ca="1"/>
        <v>#N/A</v>
      </c>
      <c r="S567" s="55" t="e">
        <f t="shared" ca="1" si="153"/>
        <v>#N/A</v>
      </c>
      <c r="T567" s="55" t="e">
        <f t="shared" ca="1" si="154"/>
        <v>#N/A</v>
      </c>
      <c r="U567" s="55" t="e">
        <f t="shared" ca="1" si="155"/>
        <v>#N/A</v>
      </c>
      <c r="V567" s="55" t="e">
        <f t="shared" ca="1" si="156"/>
        <v>#N/A</v>
      </c>
      <c r="W567" s="55" t="e">
        <f t="shared" ca="1" si="165"/>
        <v>#N/A</v>
      </c>
      <c r="X567" s="55" t="e">
        <f t="shared" ca="1" si="166"/>
        <v>#N/A</v>
      </c>
      <c r="Y567" s="55" t="e">
        <f t="shared" ca="1" si="167"/>
        <v>#N/A</v>
      </c>
      <c r="Z567" t="e">
        <f t="shared" ca="1" si="164"/>
        <v>#N/A</v>
      </c>
      <c r="AA567" t="e">
        <f t="shared" ca="1" si="157"/>
        <v>#N/A</v>
      </c>
      <c r="AB567" t="e">
        <f t="shared" ca="1" si="158"/>
        <v>#N/A</v>
      </c>
      <c r="AC567" t="e">
        <f t="shared" ca="1" si="159"/>
        <v>#N/A</v>
      </c>
      <c r="AD567" s="83" t="e">
        <f ca="1"/>
        <v>#N/A</v>
      </c>
      <c r="AE567" s="55" t="e">
        <f t="shared" ca="1" si="160"/>
        <v>#N/A</v>
      </c>
      <c r="AF567" s="55" t="e">
        <f t="shared" ca="1" si="161"/>
        <v>#N/A</v>
      </c>
      <c r="AG567" s="55" t="e">
        <f t="shared" ca="1" si="162"/>
        <v>#N/A</v>
      </c>
      <c r="AH567" s="55" t="e">
        <f t="shared" ca="1" si="163"/>
        <v>#N/A</v>
      </c>
      <c r="AI567" s="55" t="e">
        <f t="shared" ca="1" si="168"/>
        <v>#N/A</v>
      </c>
      <c r="AJ567" s="55" t="e">
        <f t="shared" ca="1" si="169"/>
        <v>#N/A</v>
      </c>
      <c r="AK567" s="55" t="e">
        <f t="shared" ca="1" si="170"/>
        <v>#N/A</v>
      </c>
    </row>
    <row r="568" spans="18:37">
      <c r="R568" s="55" t="e">
        <f ca="1"/>
        <v>#N/A</v>
      </c>
      <c r="S568" s="55" t="e">
        <f t="shared" ca="1" si="153"/>
        <v>#N/A</v>
      </c>
      <c r="T568" s="55" t="e">
        <f t="shared" ca="1" si="154"/>
        <v>#N/A</v>
      </c>
      <c r="U568" s="55" t="e">
        <f t="shared" ca="1" si="155"/>
        <v>#N/A</v>
      </c>
      <c r="V568" s="55" t="e">
        <f t="shared" ca="1" si="156"/>
        <v>#N/A</v>
      </c>
      <c r="W568" s="55" t="e">
        <f t="shared" ca="1" si="165"/>
        <v>#N/A</v>
      </c>
      <c r="X568" s="55" t="e">
        <f t="shared" ca="1" si="166"/>
        <v>#N/A</v>
      </c>
      <c r="Y568" s="55" t="e">
        <f t="shared" ca="1" si="167"/>
        <v>#N/A</v>
      </c>
      <c r="Z568" t="e">
        <f t="shared" ca="1" si="164"/>
        <v>#N/A</v>
      </c>
      <c r="AA568" t="e">
        <f t="shared" ca="1" si="157"/>
        <v>#N/A</v>
      </c>
      <c r="AB568" t="e">
        <f t="shared" ca="1" si="158"/>
        <v>#N/A</v>
      </c>
      <c r="AC568" t="e">
        <f t="shared" ca="1" si="159"/>
        <v>#N/A</v>
      </c>
      <c r="AD568" s="83" t="e">
        <f ca="1"/>
        <v>#N/A</v>
      </c>
      <c r="AE568" s="55" t="e">
        <f t="shared" ca="1" si="160"/>
        <v>#N/A</v>
      </c>
      <c r="AF568" s="55" t="e">
        <f t="shared" ca="1" si="161"/>
        <v>#N/A</v>
      </c>
      <c r="AG568" s="55" t="e">
        <f t="shared" ca="1" si="162"/>
        <v>#N/A</v>
      </c>
      <c r="AH568" s="55" t="e">
        <f t="shared" ca="1" si="163"/>
        <v>#N/A</v>
      </c>
      <c r="AI568" s="55" t="e">
        <f t="shared" ca="1" si="168"/>
        <v>#N/A</v>
      </c>
      <c r="AJ568" s="55" t="e">
        <f t="shared" ca="1" si="169"/>
        <v>#N/A</v>
      </c>
      <c r="AK568" s="55" t="e">
        <f t="shared" ca="1" si="170"/>
        <v>#N/A</v>
      </c>
    </row>
    <row r="569" spans="18:37">
      <c r="R569" s="55" t="e">
        <f ca="1"/>
        <v>#N/A</v>
      </c>
      <c r="S569" s="55" t="e">
        <f t="shared" ca="1" si="153"/>
        <v>#N/A</v>
      </c>
      <c r="T569" s="55" t="e">
        <f t="shared" ca="1" si="154"/>
        <v>#N/A</v>
      </c>
      <c r="U569" s="55" t="e">
        <f t="shared" ca="1" si="155"/>
        <v>#N/A</v>
      </c>
      <c r="V569" s="55" t="e">
        <f t="shared" ca="1" si="156"/>
        <v>#N/A</v>
      </c>
      <c r="W569" s="55" t="e">
        <f t="shared" ca="1" si="165"/>
        <v>#N/A</v>
      </c>
      <c r="X569" s="55" t="e">
        <f t="shared" ca="1" si="166"/>
        <v>#N/A</v>
      </c>
      <c r="Y569" s="55" t="e">
        <f t="shared" ca="1" si="167"/>
        <v>#N/A</v>
      </c>
      <c r="Z569" t="e">
        <f t="shared" ca="1" si="164"/>
        <v>#N/A</v>
      </c>
      <c r="AA569" t="e">
        <f t="shared" ca="1" si="157"/>
        <v>#N/A</v>
      </c>
      <c r="AB569" t="e">
        <f t="shared" ca="1" si="158"/>
        <v>#N/A</v>
      </c>
      <c r="AC569" t="e">
        <f t="shared" ca="1" si="159"/>
        <v>#N/A</v>
      </c>
      <c r="AD569" s="83" t="e">
        <f ca="1"/>
        <v>#N/A</v>
      </c>
      <c r="AE569" s="55" t="e">
        <f t="shared" ca="1" si="160"/>
        <v>#N/A</v>
      </c>
      <c r="AF569" s="55" t="e">
        <f t="shared" ca="1" si="161"/>
        <v>#N/A</v>
      </c>
      <c r="AG569" s="55" t="e">
        <f t="shared" ca="1" si="162"/>
        <v>#N/A</v>
      </c>
      <c r="AH569" s="55" t="e">
        <f t="shared" ca="1" si="163"/>
        <v>#N/A</v>
      </c>
      <c r="AI569" s="55" t="e">
        <f t="shared" ca="1" si="168"/>
        <v>#N/A</v>
      </c>
      <c r="AJ569" s="55" t="e">
        <f t="shared" ca="1" si="169"/>
        <v>#N/A</v>
      </c>
      <c r="AK569" s="55" t="e">
        <f t="shared" ca="1" si="170"/>
        <v>#N/A</v>
      </c>
    </row>
    <row r="570" spans="18:37">
      <c r="R570" s="55" t="e">
        <f ca="1"/>
        <v>#N/A</v>
      </c>
      <c r="S570" s="55" t="e">
        <f t="shared" ca="1" si="153"/>
        <v>#N/A</v>
      </c>
      <c r="T570" s="55" t="e">
        <f t="shared" ca="1" si="154"/>
        <v>#N/A</v>
      </c>
      <c r="U570" s="55" t="e">
        <f t="shared" ca="1" si="155"/>
        <v>#N/A</v>
      </c>
      <c r="V570" s="55" t="e">
        <f t="shared" ca="1" si="156"/>
        <v>#N/A</v>
      </c>
      <c r="W570" s="55" t="e">
        <f t="shared" ca="1" si="165"/>
        <v>#N/A</v>
      </c>
      <c r="X570" s="55" t="e">
        <f t="shared" ca="1" si="166"/>
        <v>#N/A</v>
      </c>
      <c r="Y570" s="55" t="e">
        <f t="shared" ca="1" si="167"/>
        <v>#N/A</v>
      </c>
      <c r="Z570" t="e">
        <f t="shared" ca="1" si="164"/>
        <v>#N/A</v>
      </c>
      <c r="AA570" t="e">
        <f t="shared" ca="1" si="157"/>
        <v>#N/A</v>
      </c>
      <c r="AB570" t="e">
        <f t="shared" ca="1" si="158"/>
        <v>#N/A</v>
      </c>
      <c r="AC570" t="e">
        <f t="shared" ca="1" si="159"/>
        <v>#N/A</v>
      </c>
      <c r="AD570" s="83" t="e">
        <f ca="1"/>
        <v>#N/A</v>
      </c>
      <c r="AE570" s="55" t="e">
        <f t="shared" ca="1" si="160"/>
        <v>#N/A</v>
      </c>
      <c r="AF570" s="55" t="e">
        <f t="shared" ca="1" si="161"/>
        <v>#N/A</v>
      </c>
      <c r="AG570" s="55" t="e">
        <f t="shared" ca="1" si="162"/>
        <v>#N/A</v>
      </c>
      <c r="AH570" s="55" t="e">
        <f t="shared" ca="1" si="163"/>
        <v>#N/A</v>
      </c>
      <c r="AI570" s="55" t="e">
        <f t="shared" ca="1" si="168"/>
        <v>#N/A</v>
      </c>
      <c r="AJ570" s="55" t="e">
        <f t="shared" ca="1" si="169"/>
        <v>#N/A</v>
      </c>
      <c r="AK570" s="55" t="e">
        <f t="shared" ca="1" si="170"/>
        <v>#N/A</v>
      </c>
    </row>
    <row r="571" spans="18:37">
      <c r="R571" s="55" t="e">
        <f ca="1"/>
        <v>#N/A</v>
      </c>
      <c r="S571" s="55" t="e">
        <f t="shared" ca="1" si="153"/>
        <v>#N/A</v>
      </c>
      <c r="T571" s="55" t="e">
        <f t="shared" ca="1" si="154"/>
        <v>#N/A</v>
      </c>
      <c r="U571" s="55" t="e">
        <f t="shared" ca="1" si="155"/>
        <v>#N/A</v>
      </c>
      <c r="V571" s="55" t="e">
        <f t="shared" ca="1" si="156"/>
        <v>#N/A</v>
      </c>
      <c r="W571" s="55" t="e">
        <f t="shared" ca="1" si="165"/>
        <v>#N/A</v>
      </c>
      <c r="X571" s="55" t="e">
        <f t="shared" ca="1" si="166"/>
        <v>#N/A</v>
      </c>
      <c r="Y571" s="55" t="e">
        <f t="shared" ca="1" si="167"/>
        <v>#N/A</v>
      </c>
      <c r="Z571" t="e">
        <f t="shared" ca="1" si="164"/>
        <v>#N/A</v>
      </c>
      <c r="AA571" t="e">
        <f t="shared" ca="1" si="157"/>
        <v>#N/A</v>
      </c>
      <c r="AB571" t="e">
        <f t="shared" ca="1" si="158"/>
        <v>#N/A</v>
      </c>
      <c r="AC571" t="e">
        <f t="shared" ca="1" si="159"/>
        <v>#N/A</v>
      </c>
      <c r="AD571" s="83" t="e">
        <f ca="1"/>
        <v>#N/A</v>
      </c>
      <c r="AE571" s="55" t="e">
        <f t="shared" ca="1" si="160"/>
        <v>#N/A</v>
      </c>
      <c r="AF571" s="55" t="e">
        <f t="shared" ca="1" si="161"/>
        <v>#N/A</v>
      </c>
      <c r="AG571" s="55" t="e">
        <f t="shared" ca="1" si="162"/>
        <v>#N/A</v>
      </c>
      <c r="AH571" s="55" t="e">
        <f t="shared" ca="1" si="163"/>
        <v>#N/A</v>
      </c>
      <c r="AI571" s="55" t="e">
        <f t="shared" ca="1" si="168"/>
        <v>#N/A</v>
      </c>
      <c r="AJ571" s="55" t="e">
        <f t="shared" ca="1" si="169"/>
        <v>#N/A</v>
      </c>
      <c r="AK571" s="55" t="e">
        <f t="shared" ca="1" si="170"/>
        <v>#N/A</v>
      </c>
    </row>
    <row r="572" spans="18:37">
      <c r="R572" s="55" t="e">
        <f ca="1"/>
        <v>#N/A</v>
      </c>
      <c r="S572" s="55" t="e">
        <f t="shared" ca="1" si="153"/>
        <v>#N/A</v>
      </c>
      <c r="T572" s="55" t="e">
        <f t="shared" ca="1" si="154"/>
        <v>#N/A</v>
      </c>
      <c r="U572" s="55" t="e">
        <f t="shared" ca="1" si="155"/>
        <v>#N/A</v>
      </c>
      <c r="V572" s="55" t="e">
        <f t="shared" ca="1" si="156"/>
        <v>#N/A</v>
      </c>
      <c r="W572" s="55" t="e">
        <f t="shared" ca="1" si="165"/>
        <v>#N/A</v>
      </c>
      <c r="X572" s="55" t="e">
        <f t="shared" ca="1" si="166"/>
        <v>#N/A</v>
      </c>
      <c r="Y572" s="55" t="e">
        <f t="shared" ca="1" si="167"/>
        <v>#N/A</v>
      </c>
      <c r="Z572" t="e">
        <f t="shared" ca="1" si="164"/>
        <v>#N/A</v>
      </c>
      <c r="AA572" t="e">
        <f t="shared" ca="1" si="157"/>
        <v>#N/A</v>
      </c>
      <c r="AB572" t="e">
        <f t="shared" ca="1" si="158"/>
        <v>#N/A</v>
      </c>
      <c r="AC572" t="e">
        <f t="shared" ca="1" si="159"/>
        <v>#N/A</v>
      </c>
      <c r="AD572" s="83" t="e">
        <f ca="1"/>
        <v>#N/A</v>
      </c>
      <c r="AE572" s="55" t="e">
        <f t="shared" ca="1" si="160"/>
        <v>#N/A</v>
      </c>
      <c r="AF572" s="55" t="e">
        <f t="shared" ca="1" si="161"/>
        <v>#N/A</v>
      </c>
      <c r="AG572" s="55" t="e">
        <f t="shared" ca="1" si="162"/>
        <v>#N/A</v>
      </c>
      <c r="AH572" s="55" t="e">
        <f t="shared" ca="1" si="163"/>
        <v>#N/A</v>
      </c>
      <c r="AI572" s="55" t="e">
        <f t="shared" ca="1" si="168"/>
        <v>#N/A</v>
      </c>
      <c r="AJ572" s="55" t="e">
        <f t="shared" ca="1" si="169"/>
        <v>#N/A</v>
      </c>
      <c r="AK572" s="55" t="e">
        <f t="shared" ca="1" si="170"/>
        <v>#N/A</v>
      </c>
    </row>
    <row r="573" spans="18:37">
      <c r="R573" s="55" t="e">
        <f ca="1"/>
        <v>#N/A</v>
      </c>
      <c r="S573" s="55" t="e">
        <f t="shared" ca="1" si="153"/>
        <v>#N/A</v>
      </c>
      <c r="T573" s="55" t="e">
        <f t="shared" ca="1" si="154"/>
        <v>#N/A</v>
      </c>
      <c r="U573" s="55" t="e">
        <f t="shared" ca="1" si="155"/>
        <v>#N/A</v>
      </c>
      <c r="V573" s="55" t="e">
        <f t="shared" ca="1" si="156"/>
        <v>#N/A</v>
      </c>
      <c r="W573" s="55" t="e">
        <f t="shared" ca="1" si="165"/>
        <v>#N/A</v>
      </c>
      <c r="X573" s="55" t="e">
        <f t="shared" ca="1" si="166"/>
        <v>#N/A</v>
      </c>
      <c r="Y573" s="55" t="e">
        <f t="shared" ca="1" si="167"/>
        <v>#N/A</v>
      </c>
      <c r="Z573" t="e">
        <f t="shared" ca="1" si="164"/>
        <v>#N/A</v>
      </c>
      <c r="AA573" t="e">
        <f t="shared" ca="1" si="157"/>
        <v>#N/A</v>
      </c>
      <c r="AB573" t="e">
        <f t="shared" ca="1" si="158"/>
        <v>#N/A</v>
      </c>
      <c r="AC573" t="e">
        <f t="shared" ca="1" si="159"/>
        <v>#N/A</v>
      </c>
      <c r="AD573" s="83" t="e">
        <f ca="1"/>
        <v>#N/A</v>
      </c>
      <c r="AE573" s="55" t="e">
        <f t="shared" ca="1" si="160"/>
        <v>#N/A</v>
      </c>
      <c r="AF573" s="55" t="e">
        <f t="shared" ca="1" si="161"/>
        <v>#N/A</v>
      </c>
      <c r="AG573" s="55" t="e">
        <f t="shared" ca="1" si="162"/>
        <v>#N/A</v>
      </c>
      <c r="AH573" s="55" t="e">
        <f t="shared" ca="1" si="163"/>
        <v>#N/A</v>
      </c>
      <c r="AI573" s="55" t="e">
        <f t="shared" ca="1" si="168"/>
        <v>#N/A</v>
      </c>
      <c r="AJ573" s="55" t="e">
        <f t="shared" ca="1" si="169"/>
        <v>#N/A</v>
      </c>
      <c r="AK573" s="55" t="e">
        <f t="shared" ca="1" si="170"/>
        <v>#N/A</v>
      </c>
    </row>
    <row r="574" spans="18:37">
      <c r="R574" s="55" t="e">
        <f ca="1"/>
        <v>#N/A</v>
      </c>
      <c r="S574" s="55" t="e">
        <f t="shared" ca="1" si="153"/>
        <v>#N/A</v>
      </c>
      <c r="T574" s="55" t="e">
        <f t="shared" ca="1" si="154"/>
        <v>#N/A</v>
      </c>
      <c r="U574" s="55" t="e">
        <f t="shared" ca="1" si="155"/>
        <v>#N/A</v>
      </c>
      <c r="V574" s="55" t="e">
        <f t="shared" ca="1" si="156"/>
        <v>#N/A</v>
      </c>
      <c r="W574" s="55" t="e">
        <f t="shared" ca="1" si="165"/>
        <v>#N/A</v>
      </c>
      <c r="X574" s="55" t="e">
        <f t="shared" ca="1" si="166"/>
        <v>#N/A</v>
      </c>
      <c r="Y574" s="55" t="e">
        <f t="shared" ca="1" si="167"/>
        <v>#N/A</v>
      </c>
      <c r="Z574" t="e">
        <f t="shared" ca="1" si="164"/>
        <v>#N/A</v>
      </c>
      <c r="AA574" t="e">
        <f t="shared" ca="1" si="157"/>
        <v>#N/A</v>
      </c>
      <c r="AB574" t="e">
        <f t="shared" ca="1" si="158"/>
        <v>#N/A</v>
      </c>
      <c r="AC574" t="e">
        <f t="shared" ca="1" si="159"/>
        <v>#N/A</v>
      </c>
      <c r="AD574" s="83" t="e">
        <f ca="1"/>
        <v>#N/A</v>
      </c>
      <c r="AE574" s="55" t="e">
        <f t="shared" ca="1" si="160"/>
        <v>#N/A</v>
      </c>
      <c r="AF574" s="55" t="e">
        <f t="shared" ca="1" si="161"/>
        <v>#N/A</v>
      </c>
      <c r="AG574" s="55" t="e">
        <f t="shared" ca="1" si="162"/>
        <v>#N/A</v>
      </c>
      <c r="AH574" s="55" t="e">
        <f t="shared" ca="1" si="163"/>
        <v>#N/A</v>
      </c>
      <c r="AI574" s="55" t="e">
        <f t="shared" ca="1" si="168"/>
        <v>#N/A</v>
      </c>
      <c r="AJ574" s="55" t="e">
        <f t="shared" ca="1" si="169"/>
        <v>#N/A</v>
      </c>
      <c r="AK574" s="55" t="e">
        <f t="shared" ca="1" si="170"/>
        <v>#N/A</v>
      </c>
    </row>
    <row r="575" spans="18:37">
      <c r="R575" s="55" t="e">
        <f ca="1"/>
        <v>#N/A</v>
      </c>
      <c r="S575" s="55" t="e">
        <f t="shared" ca="1" si="153"/>
        <v>#N/A</v>
      </c>
      <c r="T575" s="55" t="e">
        <f t="shared" ca="1" si="154"/>
        <v>#N/A</v>
      </c>
      <c r="U575" s="55" t="e">
        <f t="shared" ca="1" si="155"/>
        <v>#N/A</v>
      </c>
      <c r="V575" s="55" t="e">
        <f t="shared" ca="1" si="156"/>
        <v>#N/A</v>
      </c>
      <c r="W575" s="55" t="e">
        <f t="shared" ca="1" si="165"/>
        <v>#N/A</v>
      </c>
      <c r="X575" s="55" t="e">
        <f t="shared" ca="1" si="166"/>
        <v>#N/A</v>
      </c>
      <c r="Y575" s="55" t="e">
        <f t="shared" ca="1" si="167"/>
        <v>#N/A</v>
      </c>
      <c r="Z575" t="e">
        <f t="shared" ca="1" si="164"/>
        <v>#N/A</v>
      </c>
      <c r="AA575" t="e">
        <f t="shared" ca="1" si="157"/>
        <v>#N/A</v>
      </c>
      <c r="AB575" t="e">
        <f t="shared" ca="1" si="158"/>
        <v>#N/A</v>
      </c>
      <c r="AC575" t="e">
        <f t="shared" ca="1" si="159"/>
        <v>#N/A</v>
      </c>
      <c r="AD575" s="83" t="e">
        <f ca="1"/>
        <v>#N/A</v>
      </c>
      <c r="AE575" s="55" t="e">
        <f t="shared" ca="1" si="160"/>
        <v>#N/A</v>
      </c>
      <c r="AF575" s="55" t="e">
        <f t="shared" ca="1" si="161"/>
        <v>#N/A</v>
      </c>
      <c r="AG575" s="55" t="e">
        <f t="shared" ca="1" si="162"/>
        <v>#N/A</v>
      </c>
      <c r="AH575" s="55" t="e">
        <f t="shared" ca="1" si="163"/>
        <v>#N/A</v>
      </c>
      <c r="AI575" s="55" t="e">
        <f t="shared" ca="1" si="168"/>
        <v>#N/A</v>
      </c>
      <c r="AJ575" s="55" t="e">
        <f t="shared" ca="1" si="169"/>
        <v>#N/A</v>
      </c>
      <c r="AK575" s="55" t="e">
        <f t="shared" ca="1" si="170"/>
        <v>#N/A</v>
      </c>
    </row>
    <row r="576" spans="18:37">
      <c r="R576" s="55" t="e">
        <f ca="1"/>
        <v>#N/A</v>
      </c>
      <c r="S576" s="55" t="e">
        <f t="shared" ca="1" si="153"/>
        <v>#N/A</v>
      </c>
      <c r="T576" s="55" t="e">
        <f t="shared" ca="1" si="154"/>
        <v>#N/A</v>
      </c>
      <c r="U576" s="55" t="e">
        <f t="shared" ca="1" si="155"/>
        <v>#N/A</v>
      </c>
      <c r="V576" s="55" t="e">
        <f t="shared" ca="1" si="156"/>
        <v>#N/A</v>
      </c>
      <c r="W576" s="55" t="e">
        <f t="shared" ca="1" si="165"/>
        <v>#N/A</v>
      </c>
      <c r="X576" s="55" t="e">
        <f t="shared" ca="1" si="166"/>
        <v>#N/A</v>
      </c>
      <c r="Y576" s="55" t="e">
        <f t="shared" ca="1" si="167"/>
        <v>#N/A</v>
      </c>
      <c r="Z576" t="e">
        <f t="shared" ca="1" si="164"/>
        <v>#N/A</v>
      </c>
      <c r="AA576" t="e">
        <f t="shared" ca="1" si="157"/>
        <v>#N/A</v>
      </c>
      <c r="AB576" t="e">
        <f t="shared" ca="1" si="158"/>
        <v>#N/A</v>
      </c>
      <c r="AC576" t="e">
        <f t="shared" ca="1" si="159"/>
        <v>#N/A</v>
      </c>
      <c r="AD576" s="83" t="e">
        <f ca="1"/>
        <v>#N/A</v>
      </c>
      <c r="AE576" s="55" t="e">
        <f t="shared" ca="1" si="160"/>
        <v>#N/A</v>
      </c>
      <c r="AF576" s="55" t="e">
        <f t="shared" ca="1" si="161"/>
        <v>#N/A</v>
      </c>
      <c r="AG576" s="55" t="e">
        <f t="shared" ca="1" si="162"/>
        <v>#N/A</v>
      </c>
      <c r="AH576" s="55" t="e">
        <f t="shared" ca="1" si="163"/>
        <v>#N/A</v>
      </c>
      <c r="AI576" s="55" t="e">
        <f t="shared" ca="1" si="168"/>
        <v>#N/A</v>
      </c>
      <c r="AJ576" s="55" t="e">
        <f t="shared" ca="1" si="169"/>
        <v>#N/A</v>
      </c>
      <c r="AK576" s="55" t="e">
        <f t="shared" ca="1" si="170"/>
        <v>#N/A</v>
      </c>
    </row>
    <row r="577" spans="18:37">
      <c r="R577" s="55" t="e">
        <f ca="1"/>
        <v>#N/A</v>
      </c>
      <c r="S577" s="55" t="e">
        <f t="shared" ca="1" si="153"/>
        <v>#N/A</v>
      </c>
      <c r="T577" s="55" t="e">
        <f t="shared" ca="1" si="154"/>
        <v>#N/A</v>
      </c>
      <c r="U577" s="55" t="e">
        <f t="shared" ca="1" si="155"/>
        <v>#N/A</v>
      </c>
      <c r="V577" s="55" t="e">
        <f t="shared" ca="1" si="156"/>
        <v>#N/A</v>
      </c>
      <c r="W577" s="55" t="e">
        <f t="shared" ca="1" si="165"/>
        <v>#N/A</v>
      </c>
      <c r="X577" s="55" t="e">
        <f t="shared" ca="1" si="166"/>
        <v>#N/A</v>
      </c>
      <c r="Y577" s="55" t="e">
        <f t="shared" ca="1" si="167"/>
        <v>#N/A</v>
      </c>
      <c r="Z577" t="e">
        <f t="shared" ca="1" si="164"/>
        <v>#N/A</v>
      </c>
      <c r="AA577" t="e">
        <f t="shared" ca="1" si="157"/>
        <v>#N/A</v>
      </c>
      <c r="AB577" t="e">
        <f t="shared" ca="1" si="158"/>
        <v>#N/A</v>
      </c>
      <c r="AC577" t="e">
        <f t="shared" ca="1" si="159"/>
        <v>#N/A</v>
      </c>
      <c r="AD577" s="83" t="e">
        <f ca="1"/>
        <v>#N/A</v>
      </c>
      <c r="AE577" s="55" t="e">
        <f t="shared" ca="1" si="160"/>
        <v>#N/A</v>
      </c>
      <c r="AF577" s="55" t="e">
        <f t="shared" ca="1" si="161"/>
        <v>#N/A</v>
      </c>
      <c r="AG577" s="55" t="e">
        <f t="shared" ca="1" si="162"/>
        <v>#N/A</v>
      </c>
      <c r="AH577" s="55" t="e">
        <f t="shared" ca="1" si="163"/>
        <v>#N/A</v>
      </c>
      <c r="AI577" s="55" t="e">
        <f t="shared" ca="1" si="168"/>
        <v>#N/A</v>
      </c>
      <c r="AJ577" s="55" t="e">
        <f t="shared" ca="1" si="169"/>
        <v>#N/A</v>
      </c>
      <c r="AK577" s="55" t="e">
        <f t="shared" ca="1" si="170"/>
        <v>#N/A</v>
      </c>
    </row>
    <row r="578" spans="18:37">
      <c r="R578" s="55" t="e">
        <f ca="1"/>
        <v>#N/A</v>
      </c>
      <c r="S578" s="55" t="e">
        <f t="shared" ca="1" si="153"/>
        <v>#N/A</v>
      </c>
      <c r="T578" s="55" t="e">
        <f t="shared" ca="1" si="154"/>
        <v>#N/A</v>
      </c>
      <c r="U578" s="55" t="e">
        <f t="shared" ca="1" si="155"/>
        <v>#N/A</v>
      </c>
      <c r="V578" s="55" t="e">
        <f t="shared" ca="1" si="156"/>
        <v>#N/A</v>
      </c>
      <c r="W578" s="55" t="e">
        <f t="shared" ca="1" si="165"/>
        <v>#N/A</v>
      </c>
      <c r="X578" s="55" t="e">
        <f t="shared" ca="1" si="166"/>
        <v>#N/A</v>
      </c>
      <c r="Y578" s="55" t="e">
        <f t="shared" ca="1" si="167"/>
        <v>#N/A</v>
      </c>
      <c r="Z578" t="e">
        <f t="shared" ca="1" si="164"/>
        <v>#N/A</v>
      </c>
      <c r="AA578" t="e">
        <f t="shared" ca="1" si="157"/>
        <v>#N/A</v>
      </c>
      <c r="AB578" t="e">
        <f t="shared" ca="1" si="158"/>
        <v>#N/A</v>
      </c>
      <c r="AC578" t="e">
        <f t="shared" ca="1" si="159"/>
        <v>#N/A</v>
      </c>
      <c r="AD578" s="83" t="e">
        <f ca="1"/>
        <v>#N/A</v>
      </c>
      <c r="AE578" s="55" t="e">
        <f t="shared" ca="1" si="160"/>
        <v>#N/A</v>
      </c>
      <c r="AF578" s="55" t="e">
        <f t="shared" ca="1" si="161"/>
        <v>#N/A</v>
      </c>
      <c r="AG578" s="55" t="e">
        <f t="shared" ca="1" si="162"/>
        <v>#N/A</v>
      </c>
      <c r="AH578" s="55" t="e">
        <f t="shared" ca="1" si="163"/>
        <v>#N/A</v>
      </c>
      <c r="AI578" s="55" t="e">
        <f t="shared" ca="1" si="168"/>
        <v>#N/A</v>
      </c>
      <c r="AJ578" s="55" t="e">
        <f t="shared" ca="1" si="169"/>
        <v>#N/A</v>
      </c>
      <c r="AK578" s="55" t="e">
        <f t="shared" ca="1" si="170"/>
        <v>#N/A</v>
      </c>
    </row>
    <row r="579" spans="18:37">
      <c r="R579" s="55" t="e">
        <f ca="1"/>
        <v>#N/A</v>
      </c>
      <c r="S579" s="55" t="e">
        <f t="shared" ca="1" si="153"/>
        <v>#N/A</v>
      </c>
      <c r="T579" s="55" t="e">
        <f t="shared" ca="1" si="154"/>
        <v>#N/A</v>
      </c>
      <c r="U579" s="55" t="e">
        <f t="shared" ca="1" si="155"/>
        <v>#N/A</v>
      </c>
      <c r="V579" s="55" t="e">
        <f t="shared" ca="1" si="156"/>
        <v>#N/A</v>
      </c>
      <c r="W579" s="55" t="e">
        <f t="shared" ca="1" si="165"/>
        <v>#N/A</v>
      </c>
      <c r="X579" s="55" t="e">
        <f t="shared" ca="1" si="166"/>
        <v>#N/A</v>
      </c>
      <c r="Y579" s="55" t="e">
        <f t="shared" ca="1" si="167"/>
        <v>#N/A</v>
      </c>
      <c r="Z579" t="e">
        <f t="shared" ca="1" si="164"/>
        <v>#N/A</v>
      </c>
      <c r="AA579" t="e">
        <f t="shared" ca="1" si="157"/>
        <v>#N/A</v>
      </c>
      <c r="AB579" t="e">
        <f t="shared" ca="1" si="158"/>
        <v>#N/A</v>
      </c>
      <c r="AC579" t="e">
        <f t="shared" ca="1" si="159"/>
        <v>#N/A</v>
      </c>
      <c r="AD579" s="83" t="e">
        <f ca="1"/>
        <v>#N/A</v>
      </c>
      <c r="AE579" s="55" t="e">
        <f t="shared" ca="1" si="160"/>
        <v>#N/A</v>
      </c>
      <c r="AF579" s="55" t="e">
        <f t="shared" ca="1" si="161"/>
        <v>#N/A</v>
      </c>
      <c r="AG579" s="55" t="e">
        <f t="shared" ca="1" si="162"/>
        <v>#N/A</v>
      </c>
      <c r="AH579" s="55" t="e">
        <f t="shared" ca="1" si="163"/>
        <v>#N/A</v>
      </c>
      <c r="AI579" s="55" t="e">
        <f t="shared" ca="1" si="168"/>
        <v>#N/A</v>
      </c>
      <c r="AJ579" s="55" t="e">
        <f t="shared" ca="1" si="169"/>
        <v>#N/A</v>
      </c>
      <c r="AK579" s="55" t="e">
        <f t="shared" ca="1" si="170"/>
        <v>#N/A</v>
      </c>
    </row>
    <row r="580" spans="18:37">
      <c r="R580" s="55" t="e">
        <f ca="1"/>
        <v>#N/A</v>
      </c>
      <c r="S580" s="55" t="e">
        <f t="shared" ca="1" si="153"/>
        <v>#N/A</v>
      </c>
      <c r="T580" s="55" t="e">
        <f t="shared" ca="1" si="154"/>
        <v>#N/A</v>
      </c>
      <c r="U580" s="55" t="e">
        <f t="shared" ca="1" si="155"/>
        <v>#N/A</v>
      </c>
      <c r="V580" s="55" t="e">
        <f t="shared" ca="1" si="156"/>
        <v>#N/A</v>
      </c>
      <c r="W580" s="55" t="e">
        <f t="shared" ca="1" si="165"/>
        <v>#N/A</v>
      </c>
      <c r="X580" s="55" t="e">
        <f t="shared" ca="1" si="166"/>
        <v>#N/A</v>
      </c>
      <c r="Y580" s="55" t="e">
        <f t="shared" ca="1" si="167"/>
        <v>#N/A</v>
      </c>
      <c r="Z580" t="e">
        <f t="shared" ca="1" si="164"/>
        <v>#N/A</v>
      </c>
      <c r="AA580" t="e">
        <f t="shared" ca="1" si="157"/>
        <v>#N/A</v>
      </c>
      <c r="AB580" t="e">
        <f t="shared" ca="1" si="158"/>
        <v>#N/A</v>
      </c>
      <c r="AC580" t="e">
        <f t="shared" ca="1" si="159"/>
        <v>#N/A</v>
      </c>
      <c r="AD580" s="83" t="e">
        <f ca="1"/>
        <v>#N/A</v>
      </c>
      <c r="AE580" s="55" t="e">
        <f t="shared" ca="1" si="160"/>
        <v>#N/A</v>
      </c>
      <c r="AF580" s="55" t="e">
        <f t="shared" ca="1" si="161"/>
        <v>#N/A</v>
      </c>
      <c r="AG580" s="55" t="e">
        <f t="shared" ca="1" si="162"/>
        <v>#N/A</v>
      </c>
      <c r="AH580" s="55" t="e">
        <f t="shared" ca="1" si="163"/>
        <v>#N/A</v>
      </c>
      <c r="AI580" s="55" t="e">
        <f t="shared" ca="1" si="168"/>
        <v>#N/A</v>
      </c>
      <c r="AJ580" s="55" t="e">
        <f t="shared" ca="1" si="169"/>
        <v>#N/A</v>
      </c>
      <c r="AK580" s="55" t="e">
        <f t="shared" ca="1" si="170"/>
        <v>#N/A</v>
      </c>
    </row>
    <row r="581" spans="18:37">
      <c r="R581" s="55" t="e">
        <f ca="1"/>
        <v>#N/A</v>
      </c>
      <c r="S581" s="55" t="e">
        <f t="shared" ca="1" si="153"/>
        <v>#N/A</v>
      </c>
      <c r="T581" s="55" t="e">
        <f t="shared" ca="1" si="154"/>
        <v>#N/A</v>
      </c>
      <c r="U581" s="55" t="e">
        <f t="shared" ca="1" si="155"/>
        <v>#N/A</v>
      </c>
      <c r="V581" s="55" t="e">
        <f t="shared" ca="1" si="156"/>
        <v>#N/A</v>
      </c>
      <c r="W581" s="55" t="e">
        <f t="shared" ca="1" si="165"/>
        <v>#N/A</v>
      </c>
      <c r="X581" s="55" t="e">
        <f t="shared" ca="1" si="166"/>
        <v>#N/A</v>
      </c>
      <c r="Y581" s="55" t="e">
        <f t="shared" ca="1" si="167"/>
        <v>#N/A</v>
      </c>
      <c r="Z581" t="e">
        <f t="shared" ca="1" si="164"/>
        <v>#N/A</v>
      </c>
      <c r="AA581" t="e">
        <f t="shared" ca="1" si="157"/>
        <v>#N/A</v>
      </c>
      <c r="AB581" t="e">
        <f t="shared" ca="1" si="158"/>
        <v>#N/A</v>
      </c>
      <c r="AC581" t="e">
        <f t="shared" ca="1" si="159"/>
        <v>#N/A</v>
      </c>
      <c r="AD581" s="83" t="e">
        <f ca="1"/>
        <v>#N/A</v>
      </c>
      <c r="AE581" s="55" t="e">
        <f t="shared" ca="1" si="160"/>
        <v>#N/A</v>
      </c>
      <c r="AF581" s="55" t="e">
        <f t="shared" ca="1" si="161"/>
        <v>#N/A</v>
      </c>
      <c r="AG581" s="55" t="e">
        <f t="shared" ca="1" si="162"/>
        <v>#N/A</v>
      </c>
      <c r="AH581" s="55" t="e">
        <f t="shared" ca="1" si="163"/>
        <v>#N/A</v>
      </c>
      <c r="AI581" s="55" t="e">
        <f t="shared" ca="1" si="168"/>
        <v>#N/A</v>
      </c>
      <c r="AJ581" s="55" t="e">
        <f t="shared" ca="1" si="169"/>
        <v>#N/A</v>
      </c>
      <c r="AK581" s="55" t="e">
        <f t="shared" ca="1" si="170"/>
        <v>#N/A</v>
      </c>
    </row>
    <row r="582" spans="18:37">
      <c r="R582" s="55" t="e">
        <f ca="1"/>
        <v>#N/A</v>
      </c>
      <c r="S582" s="55" t="e">
        <f t="shared" ca="1" si="153"/>
        <v>#N/A</v>
      </c>
      <c r="T582" s="55" t="e">
        <f t="shared" ca="1" si="154"/>
        <v>#N/A</v>
      </c>
      <c r="U582" s="55" t="e">
        <f t="shared" ca="1" si="155"/>
        <v>#N/A</v>
      </c>
      <c r="V582" s="55" t="e">
        <f t="shared" ca="1" si="156"/>
        <v>#N/A</v>
      </c>
      <c r="W582" s="55" t="e">
        <f t="shared" ca="1" si="165"/>
        <v>#N/A</v>
      </c>
      <c r="X582" s="55" t="e">
        <f t="shared" ca="1" si="166"/>
        <v>#N/A</v>
      </c>
      <c r="Y582" s="55" t="e">
        <f t="shared" ca="1" si="167"/>
        <v>#N/A</v>
      </c>
      <c r="Z582" t="e">
        <f t="shared" ca="1" si="164"/>
        <v>#N/A</v>
      </c>
      <c r="AA582" t="e">
        <f t="shared" ca="1" si="157"/>
        <v>#N/A</v>
      </c>
      <c r="AB582" t="e">
        <f t="shared" ca="1" si="158"/>
        <v>#N/A</v>
      </c>
      <c r="AC582" t="e">
        <f t="shared" ca="1" si="159"/>
        <v>#N/A</v>
      </c>
      <c r="AD582" s="83" t="e">
        <f ca="1"/>
        <v>#N/A</v>
      </c>
      <c r="AE582" s="55" t="e">
        <f t="shared" ca="1" si="160"/>
        <v>#N/A</v>
      </c>
      <c r="AF582" s="55" t="e">
        <f t="shared" ca="1" si="161"/>
        <v>#N/A</v>
      </c>
      <c r="AG582" s="55" t="e">
        <f t="shared" ca="1" si="162"/>
        <v>#N/A</v>
      </c>
      <c r="AH582" s="55" t="e">
        <f t="shared" ca="1" si="163"/>
        <v>#N/A</v>
      </c>
      <c r="AI582" s="55" t="e">
        <f t="shared" ca="1" si="168"/>
        <v>#N/A</v>
      </c>
      <c r="AJ582" s="55" t="e">
        <f t="shared" ca="1" si="169"/>
        <v>#N/A</v>
      </c>
      <c r="AK582" s="55" t="e">
        <f t="shared" ca="1" si="170"/>
        <v>#N/A</v>
      </c>
    </row>
    <row r="583" spans="18:37">
      <c r="R583" s="55" t="e">
        <f ca="1"/>
        <v>#N/A</v>
      </c>
      <c r="S583" s="55" t="e">
        <f t="shared" ca="1" si="153"/>
        <v>#N/A</v>
      </c>
      <c r="T583" s="55" t="e">
        <f t="shared" ca="1" si="154"/>
        <v>#N/A</v>
      </c>
      <c r="U583" s="55" t="e">
        <f t="shared" ca="1" si="155"/>
        <v>#N/A</v>
      </c>
      <c r="V583" s="55" t="e">
        <f t="shared" ca="1" si="156"/>
        <v>#N/A</v>
      </c>
      <c r="W583" s="55" t="e">
        <f t="shared" ca="1" si="165"/>
        <v>#N/A</v>
      </c>
      <c r="X583" s="55" t="e">
        <f t="shared" ca="1" si="166"/>
        <v>#N/A</v>
      </c>
      <c r="Y583" s="55" t="e">
        <f t="shared" ca="1" si="167"/>
        <v>#N/A</v>
      </c>
      <c r="Z583" t="e">
        <f t="shared" ca="1" si="164"/>
        <v>#N/A</v>
      </c>
      <c r="AA583" t="e">
        <f t="shared" ca="1" si="157"/>
        <v>#N/A</v>
      </c>
      <c r="AB583" t="e">
        <f t="shared" ca="1" si="158"/>
        <v>#N/A</v>
      </c>
      <c r="AC583" t="e">
        <f t="shared" ca="1" si="159"/>
        <v>#N/A</v>
      </c>
      <c r="AD583" s="83" t="e">
        <f ca="1"/>
        <v>#N/A</v>
      </c>
      <c r="AE583" s="55" t="e">
        <f t="shared" ca="1" si="160"/>
        <v>#N/A</v>
      </c>
      <c r="AF583" s="55" t="e">
        <f t="shared" ca="1" si="161"/>
        <v>#N/A</v>
      </c>
      <c r="AG583" s="55" t="e">
        <f t="shared" ca="1" si="162"/>
        <v>#N/A</v>
      </c>
      <c r="AH583" s="55" t="e">
        <f t="shared" ca="1" si="163"/>
        <v>#N/A</v>
      </c>
      <c r="AI583" s="55" t="e">
        <f t="shared" ca="1" si="168"/>
        <v>#N/A</v>
      </c>
      <c r="AJ583" s="55" t="e">
        <f t="shared" ca="1" si="169"/>
        <v>#N/A</v>
      </c>
      <c r="AK583" s="55" t="e">
        <f t="shared" ca="1" si="170"/>
        <v>#N/A</v>
      </c>
    </row>
    <row r="584" spans="18:37">
      <c r="R584" s="55" t="e">
        <f ca="1"/>
        <v>#N/A</v>
      </c>
      <c r="S584" s="55" t="e">
        <f t="shared" ca="1" si="153"/>
        <v>#N/A</v>
      </c>
      <c r="T584" s="55" t="e">
        <f t="shared" ca="1" si="154"/>
        <v>#N/A</v>
      </c>
      <c r="U584" s="55" t="e">
        <f t="shared" ca="1" si="155"/>
        <v>#N/A</v>
      </c>
      <c r="V584" s="55" t="e">
        <f t="shared" ca="1" si="156"/>
        <v>#N/A</v>
      </c>
      <c r="W584" s="55" t="e">
        <f t="shared" ca="1" si="165"/>
        <v>#N/A</v>
      </c>
      <c r="X584" s="55" t="e">
        <f t="shared" ca="1" si="166"/>
        <v>#N/A</v>
      </c>
      <c r="Y584" s="55" t="e">
        <f t="shared" ca="1" si="167"/>
        <v>#N/A</v>
      </c>
      <c r="Z584" t="e">
        <f t="shared" ca="1" si="164"/>
        <v>#N/A</v>
      </c>
      <c r="AA584" t="e">
        <f t="shared" ca="1" si="157"/>
        <v>#N/A</v>
      </c>
      <c r="AB584" t="e">
        <f t="shared" ca="1" si="158"/>
        <v>#N/A</v>
      </c>
      <c r="AC584" t="e">
        <f t="shared" ca="1" si="159"/>
        <v>#N/A</v>
      </c>
      <c r="AD584" s="83" t="e">
        <f ca="1"/>
        <v>#N/A</v>
      </c>
      <c r="AE584" s="55" t="e">
        <f t="shared" ca="1" si="160"/>
        <v>#N/A</v>
      </c>
      <c r="AF584" s="55" t="e">
        <f t="shared" ca="1" si="161"/>
        <v>#N/A</v>
      </c>
      <c r="AG584" s="55" t="e">
        <f t="shared" ca="1" si="162"/>
        <v>#N/A</v>
      </c>
      <c r="AH584" s="55" t="e">
        <f t="shared" ca="1" si="163"/>
        <v>#N/A</v>
      </c>
      <c r="AI584" s="55" t="e">
        <f t="shared" ca="1" si="168"/>
        <v>#N/A</v>
      </c>
      <c r="AJ584" s="55" t="e">
        <f t="shared" ca="1" si="169"/>
        <v>#N/A</v>
      </c>
      <c r="AK584" s="55" t="e">
        <f t="shared" ca="1" si="170"/>
        <v>#N/A</v>
      </c>
    </row>
    <row r="585" spans="18:37">
      <c r="R585" s="55" t="e">
        <f ca="1"/>
        <v>#N/A</v>
      </c>
      <c r="S585" s="55" t="e">
        <f t="shared" ca="1" si="153"/>
        <v>#N/A</v>
      </c>
      <c r="T585" s="55" t="e">
        <f t="shared" ca="1" si="154"/>
        <v>#N/A</v>
      </c>
      <c r="U585" s="55" t="e">
        <f t="shared" ca="1" si="155"/>
        <v>#N/A</v>
      </c>
      <c r="V585" s="55" t="e">
        <f t="shared" ca="1" si="156"/>
        <v>#N/A</v>
      </c>
      <c r="W585" s="55" t="e">
        <f t="shared" ca="1" si="165"/>
        <v>#N/A</v>
      </c>
      <c r="X585" s="55" t="e">
        <f t="shared" ca="1" si="166"/>
        <v>#N/A</v>
      </c>
      <c r="Y585" s="55" t="e">
        <f t="shared" ca="1" si="167"/>
        <v>#N/A</v>
      </c>
      <c r="Z585" t="e">
        <f t="shared" ca="1" si="164"/>
        <v>#N/A</v>
      </c>
      <c r="AA585" t="e">
        <f t="shared" ca="1" si="157"/>
        <v>#N/A</v>
      </c>
      <c r="AB585" t="e">
        <f t="shared" ca="1" si="158"/>
        <v>#N/A</v>
      </c>
      <c r="AC585" t="e">
        <f t="shared" ca="1" si="159"/>
        <v>#N/A</v>
      </c>
      <c r="AD585" s="83" t="e">
        <f ca="1"/>
        <v>#N/A</v>
      </c>
      <c r="AE585" s="55" t="e">
        <f t="shared" ca="1" si="160"/>
        <v>#N/A</v>
      </c>
      <c r="AF585" s="55" t="e">
        <f t="shared" ca="1" si="161"/>
        <v>#N/A</v>
      </c>
      <c r="AG585" s="55" t="e">
        <f t="shared" ca="1" si="162"/>
        <v>#N/A</v>
      </c>
      <c r="AH585" s="55" t="e">
        <f t="shared" ca="1" si="163"/>
        <v>#N/A</v>
      </c>
      <c r="AI585" s="55" t="e">
        <f t="shared" ca="1" si="168"/>
        <v>#N/A</v>
      </c>
      <c r="AJ585" s="55" t="e">
        <f t="shared" ca="1" si="169"/>
        <v>#N/A</v>
      </c>
      <c r="AK585" s="55" t="e">
        <f t="shared" ca="1" si="170"/>
        <v>#N/A</v>
      </c>
    </row>
    <row r="586" spans="18:37">
      <c r="R586" s="55" t="e">
        <f ca="1"/>
        <v>#N/A</v>
      </c>
      <c r="S586" s="55" t="e">
        <f t="shared" ca="1" si="153"/>
        <v>#N/A</v>
      </c>
      <c r="T586" s="55" t="e">
        <f t="shared" ca="1" si="154"/>
        <v>#N/A</v>
      </c>
      <c r="U586" s="55" t="e">
        <f t="shared" ca="1" si="155"/>
        <v>#N/A</v>
      </c>
      <c r="V586" s="55" t="e">
        <f t="shared" ca="1" si="156"/>
        <v>#N/A</v>
      </c>
      <c r="W586" s="55" t="e">
        <f t="shared" ca="1" si="165"/>
        <v>#N/A</v>
      </c>
      <c r="X586" s="55" t="e">
        <f t="shared" ca="1" si="166"/>
        <v>#N/A</v>
      </c>
      <c r="Y586" s="55" t="e">
        <f t="shared" ca="1" si="167"/>
        <v>#N/A</v>
      </c>
      <c r="Z586" t="e">
        <f t="shared" ca="1" si="164"/>
        <v>#N/A</v>
      </c>
      <c r="AA586" t="e">
        <f t="shared" ca="1" si="157"/>
        <v>#N/A</v>
      </c>
      <c r="AB586" t="e">
        <f t="shared" ca="1" si="158"/>
        <v>#N/A</v>
      </c>
      <c r="AC586" t="e">
        <f t="shared" ca="1" si="159"/>
        <v>#N/A</v>
      </c>
      <c r="AD586" s="83" t="e">
        <f ca="1"/>
        <v>#N/A</v>
      </c>
      <c r="AE586" s="55" t="e">
        <f t="shared" ca="1" si="160"/>
        <v>#N/A</v>
      </c>
      <c r="AF586" s="55" t="e">
        <f t="shared" ca="1" si="161"/>
        <v>#N/A</v>
      </c>
      <c r="AG586" s="55" t="e">
        <f t="shared" ca="1" si="162"/>
        <v>#N/A</v>
      </c>
      <c r="AH586" s="55" t="e">
        <f t="shared" ca="1" si="163"/>
        <v>#N/A</v>
      </c>
      <c r="AI586" s="55" t="e">
        <f t="shared" ca="1" si="168"/>
        <v>#N/A</v>
      </c>
      <c r="AJ586" s="55" t="e">
        <f t="shared" ca="1" si="169"/>
        <v>#N/A</v>
      </c>
      <c r="AK586" s="55" t="e">
        <f t="shared" ca="1" si="170"/>
        <v>#N/A</v>
      </c>
    </row>
    <row r="587" spans="18:37">
      <c r="R587" s="55" t="e">
        <f ca="1"/>
        <v>#N/A</v>
      </c>
      <c r="S587" s="55" t="e">
        <f t="shared" ca="1" si="153"/>
        <v>#N/A</v>
      </c>
      <c r="T587" s="55" t="e">
        <f t="shared" ca="1" si="154"/>
        <v>#N/A</v>
      </c>
      <c r="U587" s="55" t="e">
        <f t="shared" ca="1" si="155"/>
        <v>#N/A</v>
      </c>
      <c r="V587" s="55" t="e">
        <f t="shared" ca="1" si="156"/>
        <v>#N/A</v>
      </c>
      <c r="W587" s="55" t="e">
        <f t="shared" ca="1" si="165"/>
        <v>#N/A</v>
      </c>
      <c r="X587" s="55" t="e">
        <f t="shared" ca="1" si="166"/>
        <v>#N/A</v>
      </c>
      <c r="Y587" s="55" t="e">
        <f t="shared" ca="1" si="167"/>
        <v>#N/A</v>
      </c>
      <c r="Z587" t="e">
        <f t="shared" ca="1" si="164"/>
        <v>#N/A</v>
      </c>
      <c r="AA587" t="e">
        <f t="shared" ca="1" si="157"/>
        <v>#N/A</v>
      </c>
      <c r="AB587" t="e">
        <f t="shared" ca="1" si="158"/>
        <v>#N/A</v>
      </c>
      <c r="AC587" t="e">
        <f t="shared" ca="1" si="159"/>
        <v>#N/A</v>
      </c>
      <c r="AD587" s="83" t="e">
        <f ca="1"/>
        <v>#N/A</v>
      </c>
      <c r="AE587" s="55" t="e">
        <f t="shared" ca="1" si="160"/>
        <v>#N/A</v>
      </c>
      <c r="AF587" s="55" t="e">
        <f t="shared" ca="1" si="161"/>
        <v>#N/A</v>
      </c>
      <c r="AG587" s="55" t="e">
        <f t="shared" ca="1" si="162"/>
        <v>#N/A</v>
      </c>
      <c r="AH587" s="55" t="e">
        <f t="shared" ca="1" si="163"/>
        <v>#N/A</v>
      </c>
      <c r="AI587" s="55" t="e">
        <f t="shared" ca="1" si="168"/>
        <v>#N/A</v>
      </c>
      <c r="AJ587" s="55" t="e">
        <f t="shared" ca="1" si="169"/>
        <v>#N/A</v>
      </c>
      <c r="AK587" s="55" t="e">
        <f t="shared" ca="1" si="170"/>
        <v>#N/A</v>
      </c>
    </row>
    <row r="588" spans="18:37">
      <c r="R588" s="55" t="e">
        <f ca="1"/>
        <v>#N/A</v>
      </c>
      <c r="S588" s="55" t="e">
        <f t="shared" ref="S588:S651" ca="1" si="171">IF(R588&gt;1,R588,"")</f>
        <v>#N/A</v>
      </c>
      <c r="T588" s="55" t="e">
        <f t="shared" ref="T588:T651" ca="1" si="172">VLOOKUP(S588,ModelOutputs,2,FALSE)</f>
        <v>#N/A</v>
      </c>
      <c r="U588" s="55" t="e">
        <f t="shared" ref="U588:U651" ca="1" si="173">VLOOKUP(S588,ModelOutputs,7,FALSE)</f>
        <v>#N/A</v>
      </c>
      <c r="V588" s="55" t="e">
        <f t="shared" ref="V588:V651" ca="1" si="174">VLOOKUP(S588,ModelOutputs,6,FALSE)</f>
        <v>#N/A</v>
      </c>
      <c r="W588" s="55" t="e">
        <f t="shared" ca="1" si="165"/>
        <v>#N/A</v>
      </c>
      <c r="X588" s="55" t="e">
        <f t="shared" ca="1" si="166"/>
        <v>#N/A</v>
      </c>
      <c r="Y588" s="55" t="e">
        <f t="shared" ca="1" si="167"/>
        <v>#N/A</v>
      </c>
      <c r="Z588" t="e">
        <f t="shared" ca="1" si="164"/>
        <v>#N/A</v>
      </c>
      <c r="AA588" t="e">
        <f t="shared" ref="AA588:AA651" ca="1" si="175">VLOOKUP(S588,ModelOutputs,11,FALSE)+AA587</f>
        <v>#N/A</v>
      </c>
      <c r="AB588" t="e">
        <f t="shared" ref="AB588:AB651" ca="1" si="176">VLOOKUP(S588,ModelOutputs,12,FALSE)</f>
        <v>#N/A</v>
      </c>
      <c r="AC588" t="e">
        <f t="shared" ref="AC588:AC651" ca="1" si="177">VLOOKUP(S588,ModelOutputs,13,FALSE)</f>
        <v>#N/A</v>
      </c>
      <c r="AD588" s="83" t="e">
        <f ca="1"/>
        <v>#N/A</v>
      </c>
      <c r="AE588" s="55" t="e">
        <f t="shared" ref="AE588:AE651" ca="1" si="178">IF(AD588&gt;1,AD588,"")</f>
        <v>#N/A</v>
      </c>
      <c r="AF588" s="55" t="e">
        <f t="shared" ref="AF588:AF651" ca="1" si="179">VLOOKUP(AE588,ModelOutputs,2,FALSE)</f>
        <v>#N/A</v>
      </c>
      <c r="AG588" s="55" t="e">
        <f t="shared" ref="AG588:AG651" ca="1" si="180">VLOOKUP(AE588,ModelOutputs,7,FALSE)</f>
        <v>#N/A</v>
      </c>
      <c r="AH588" s="55" t="e">
        <f t="shared" ref="AH588:AH651" ca="1" si="181">VLOOKUP(AE588,ModelOutputs,6,FALSE)</f>
        <v>#N/A</v>
      </c>
      <c r="AI588" s="55" t="e">
        <f t="shared" ca="1" si="168"/>
        <v>#N/A</v>
      </c>
      <c r="AJ588" s="55" t="e">
        <f t="shared" ca="1" si="169"/>
        <v>#N/A</v>
      </c>
      <c r="AK588" s="55" t="e">
        <f t="shared" ca="1" si="170"/>
        <v>#N/A</v>
      </c>
    </row>
    <row r="589" spans="18:37">
      <c r="R589" s="55" t="e">
        <f ca="1"/>
        <v>#N/A</v>
      </c>
      <c r="S589" s="55" t="e">
        <f t="shared" ca="1" si="171"/>
        <v>#N/A</v>
      </c>
      <c r="T589" s="55" t="e">
        <f t="shared" ca="1" si="172"/>
        <v>#N/A</v>
      </c>
      <c r="U589" s="55" t="e">
        <f t="shared" ca="1" si="173"/>
        <v>#N/A</v>
      </c>
      <c r="V589" s="55" t="e">
        <f t="shared" ca="1" si="174"/>
        <v>#N/A</v>
      </c>
      <c r="W589" s="55" t="e">
        <f t="shared" ca="1" si="165"/>
        <v>#N/A</v>
      </c>
      <c r="X589" s="55" t="e">
        <f t="shared" ca="1" si="166"/>
        <v>#N/A</v>
      </c>
      <c r="Y589" s="55" t="e">
        <f t="shared" ca="1" si="167"/>
        <v>#N/A</v>
      </c>
      <c r="Z589" t="e">
        <f t="shared" ca="1" si="164"/>
        <v>#N/A</v>
      </c>
      <c r="AA589" t="e">
        <f t="shared" ca="1" si="175"/>
        <v>#N/A</v>
      </c>
      <c r="AB589" t="e">
        <f t="shared" ca="1" si="176"/>
        <v>#N/A</v>
      </c>
      <c r="AC589" t="e">
        <f t="shared" ca="1" si="177"/>
        <v>#N/A</v>
      </c>
      <c r="AD589" s="83" t="e">
        <f ca="1"/>
        <v>#N/A</v>
      </c>
      <c r="AE589" s="55" t="e">
        <f t="shared" ca="1" si="178"/>
        <v>#N/A</v>
      </c>
      <c r="AF589" s="55" t="e">
        <f t="shared" ca="1" si="179"/>
        <v>#N/A</v>
      </c>
      <c r="AG589" s="55" t="e">
        <f t="shared" ca="1" si="180"/>
        <v>#N/A</v>
      </c>
      <c r="AH589" s="55" t="e">
        <f t="shared" ca="1" si="181"/>
        <v>#N/A</v>
      </c>
      <c r="AI589" s="55" t="e">
        <f t="shared" ca="1" si="168"/>
        <v>#N/A</v>
      </c>
      <c r="AJ589" s="55" t="e">
        <f t="shared" ca="1" si="169"/>
        <v>#N/A</v>
      </c>
      <c r="AK589" s="55" t="e">
        <f t="shared" ca="1" si="170"/>
        <v>#N/A</v>
      </c>
    </row>
    <row r="590" spans="18:37">
      <c r="R590" s="55" t="e">
        <f ca="1"/>
        <v>#N/A</v>
      </c>
      <c r="S590" s="55" t="e">
        <f t="shared" ca="1" si="171"/>
        <v>#N/A</v>
      </c>
      <c r="T590" s="55" t="e">
        <f t="shared" ca="1" si="172"/>
        <v>#N/A</v>
      </c>
      <c r="U590" s="55" t="e">
        <f t="shared" ca="1" si="173"/>
        <v>#N/A</v>
      </c>
      <c r="V590" s="55" t="e">
        <f t="shared" ca="1" si="174"/>
        <v>#N/A</v>
      </c>
      <c r="W590" s="55" t="e">
        <f t="shared" ca="1" si="165"/>
        <v>#N/A</v>
      </c>
      <c r="X590" s="55" t="e">
        <f t="shared" ca="1" si="166"/>
        <v>#N/A</v>
      </c>
      <c r="Y590" s="55" t="e">
        <f t="shared" ca="1" si="167"/>
        <v>#N/A</v>
      </c>
      <c r="Z590" t="e">
        <f t="shared" ca="1" si="164"/>
        <v>#N/A</v>
      </c>
      <c r="AA590" t="e">
        <f t="shared" ca="1" si="175"/>
        <v>#N/A</v>
      </c>
      <c r="AB590" t="e">
        <f t="shared" ca="1" si="176"/>
        <v>#N/A</v>
      </c>
      <c r="AC590" t="e">
        <f t="shared" ca="1" si="177"/>
        <v>#N/A</v>
      </c>
      <c r="AD590" s="83" t="e">
        <f ca="1"/>
        <v>#N/A</v>
      </c>
      <c r="AE590" s="55" t="e">
        <f t="shared" ca="1" si="178"/>
        <v>#N/A</v>
      </c>
      <c r="AF590" s="55" t="e">
        <f t="shared" ca="1" si="179"/>
        <v>#N/A</v>
      </c>
      <c r="AG590" s="55" t="e">
        <f t="shared" ca="1" si="180"/>
        <v>#N/A</v>
      </c>
      <c r="AH590" s="55" t="e">
        <f t="shared" ca="1" si="181"/>
        <v>#N/A</v>
      </c>
      <c r="AI590" s="55" t="e">
        <f t="shared" ca="1" si="168"/>
        <v>#N/A</v>
      </c>
      <c r="AJ590" s="55" t="e">
        <f t="shared" ca="1" si="169"/>
        <v>#N/A</v>
      </c>
      <c r="AK590" s="55" t="e">
        <f t="shared" ca="1" si="170"/>
        <v>#N/A</v>
      </c>
    </row>
    <row r="591" spans="18:37">
      <c r="R591" s="55" t="e">
        <f ca="1"/>
        <v>#N/A</v>
      </c>
      <c r="S591" s="55" t="e">
        <f t="shared" ca="1" si="171"/>
        <v>#N/A</v>
      </c>
      <c r="T591" s="55" t="e">
        <f t="shared" ca="1" si="172"/>
        <v>#N/A</v>
      </c>
      <c r="U591" s="55" t="e">
        <f t="shared" ca="1" si="173"/>
        <v>#N/A</v>
      </c>
      <c r="V591" s="55" t="e">
        <f t="shared" ca="1" si="174"/>
        <v>#N/A</v>
      </c>
      <c r="W591" s="55" t="e">
        <f t="shared" ca="1" si="165"/>
        <v>#N/A</v>
      </c>
      <c r="X591" s="55" t="e">
        <f t="shared" ca="1" si="166"/>
        <v>#N/A</v>
      </c>
      <c r="Y591" s="55" t="e">
        <f t="shared" ca="1" si="167"/>
        <v>#N/A</v>
      </c>
      <c r="Z591" t="e">
        <f t="shared" ca="1" si="164"/>
        <v>#N/A</v>
      </c>
      <c r="AA591" t="e">
        <f t="shared" ca="1" si="175"/>
        <v>#N/A</v>
      </c>
      <c r="AB591" t="e">
        <f t="shared" ca="1" si="176"/>
        <v>#N/A</v>
      </c>
      <c r="AC591" t="e">
        <f t="shared" ca="1" si="177"/>
        <v>#N/A</v>
      </c>
      <c r="AD591" s="83" t="e">
        <f ca="1"/>
        <v>#N/A</v>
      </c>
      <c r="AE591" s="55" t="e">
        <f t="shared" ca="1" si="178"/>
        <v>#N/A</v>
      </c>
      <c r="AF591" s="55" t="e">
        <f t="shared" ca="1" si="179"/>
        <v>#N/A</v>
      </c>
      <c r="AG591" s="55" t="e">
        <f t="shared" ca="1" si="180"/>
        <v>#N/A</v>
      </c>
      <c r="AH591" s="55" t="e">
        <f t="shared" ca="1" si="181"/>
        <v>#N/A</v>
      </c>
      <c r="AI591" s="55" t="e">
        <f t="shared" ca="1" si="168"/>
        <v>#N/A</v>
      </c>
      <c r="AJ591" s="55" t="e">
        <f t="shared" ca="1" si="169"/>
        <v>#N/A</v>
      </c>
      <c r="AK591" s="55" t="e">
        <f t="shared" ca="1" si="170"/>
        <v>#N/A</v>
      </c>
    </row>
    <row r="592" spans="18:37">
      <c r="R592" s="55" t="e">
        <f ca="1"/>
        <v>#N/A</v>
      </c>
      <c r="S592" s="55" t="e">
        <f t="shared" ca="1" si="171"/>
        <v>#N/A</v>
      </c>
      <c r="T592" s="55" t="e">
        <f t="shared" ca="1" si="172"/>
        <v>#N/A</v>
      </c>
      <c r="U592" s="55" t="e">
        <f t="shared" ca="1" si="173"/>
        <v>#N/A</v>
      </c>
      <c r="V592" s="55" t="e">
        <f t="shared" ca="1" si="174"/>
        <v>#N/A</v>
      </c>
      <c r="W592" s="55" t="e">
        <f t="shared" ca="1" si="165"/>
        <v>#N/A</v>
      </c>
      <c r="X592" s="55" t="e">
        <f t="shared" ca="1" si="166"/>
        <v>#N/A</v>
      </c>
      <c r="Y592" s="55" t="e">
        <f t="shared" ca="1" si="167"/>
        <v>#N/A</v>
      </c>
      <c r="Z592" t="e">
        <f t="shared" ca="1" si="164"/>
        <v>#N/A</v>
      </c>
      <c r="AA592" t="e">
        <f t="shared" ca="1" si="175"/>
        <v>#N/A</v>
      </c>
      <c r="AB592" t="e">
        <f t="shared" ca="1" si="176"/>
        <v>#N/A</v>
      </c>
      <c r="AC592" t="e">
        <f t="shared" ca="1" si="177"/>
        <v>#N/A</v>
      </c>
      <c r="AD592" s="83" t="e">
        <f ca="1"/>
        <v>#N/A</v>
      </c>
      <c r="AE592" s="55" t="e">
        <f t="shared" ca="1" si="178"/>
        <v>#N/A</v>
      </c>
      <c r="AF592" s="55" t="e">
        <f t="shared" ca="1" si="179"/>
        <v>#N/A</v>
      </c>
      <c r="AG592" s="55" t="e">
        <f t="shared" ca="1" si="180"/>
        <v>#N/A</v>
      </c>
      <c r="AH592" s="55" t="e">
        <f t="shared" ca="1" si="181"/>
        <v>#N/A</v>
      </c>
      <c r="AI592" s="55" t="e">
        <f t="shared" ca="1" si="168"/>
        <v>#N/A</v>
      </c>
      <c r="AJ592" s="55" t="e">
        <f t="shared" ca="1" si="169"/>
        <v>#N/A</v>
      </c>
      <c r="AK592" s="55" t="e">
        <f t="shared" ca="1" si="170"/>
        <v>#N/A</v>
      </c>
    </row>
    <row r="593" spans="18:37">
      <c r="R593" s="55" t="e">
        <f ca="1"/>
        <v>#N/A</v>
      </c>
      <c r="S593" s="55" t="e">
        <f t="shared" ca="1" si="171"/>
        <v>#N/A</v>
      </c>
      <c r="T593" s="55" t="e">
        <f t="shared" ca="1" si="172"/>
        <v>#N/A</v>
      </c>
      <c r="U593" s="55" t="e">
        <f t="shared" ca="1" si="173"/>
        <v>#N/A</v>
      </c>
      <c r="V593" s="55" t="e">
        <f t="shared" ca="1" si="174"/>
        <v>#N/A</v>
      </c>
      <c r="W593" s="55" t="e">
        <f t="shared" ca="1" si="165"/>
        <v>#N/A</v>
      </c>
      <c r="X593" s="55" t="e">
        <f t="shared" ca="1" si="166"/>
        <v>#N/A</v>
      </c>
      <c r="Y593" s="55" t="e">
        <f t="shared" ca="1" si="167"/>
        <v>#N/A</v>
      </c>
      <c r="Z593" t="e">
        <f t="shared" ca="1" si="164"/>
        <v>#N/A</v>
      </c>
      <c r="AA593" t="e">
        <f t="shared" ca="1" si="175"/>
        <v>#N/A</v>
      </c>
      <c r="AB593" t="e">
        <f t="shared" ca="1" si="176"/>
        <v>#N/A</v>
      </c>
      <c r="AC593" t="e">
        <f t="shared" ca="1" si="177"/>
        <v>#N/A</v>
      </c>
      <c r="AD593" s="83" t="e">
        <f ca="1"/>
        <v>#N/A</v>
      </c>
      <c r="AE593" s="55" t="e">
        <f t="shared" ca="1" si="178"/>
        <v>#N/A</v>
      </c>
      <c r="AF593" s="55" t="e">
        <f t="shared" ca="1" si="179"/>
        <v>#N/A</v>
      </c>
      <c r="AG593" s="55" t="e">
        <f t="shared" ca="1" si="180"/>
        <v>#N/A</v>
      </c>
      <c r="AH593" s="55" t="e">
        <f t="shared" ca="1" si="181"/>
        <v>#N/A</v>
      </c>
      <c r="AI593" s="55" t="e">
        <f t="shared" ca="1" si="168"/>
        <v>#N/A</v>
      </c>
      <c r="AJ593" s="55" t="e">
        <f t="shared" ca="1" si="169"/>
        <v>#N/A</v>
      </c>
      <c r="AK593" s="55" t="e">
        <f t="shared" ca="1" si="170"/>
        <v>#N/A</v>
      </c>
    </row>
    <row r="594" spans="18:37">
      <c r="R594" s="55" t="e">
        <f ca="1"/>
        <v>#N/A</v>
      </c>
      <c r="S594" s="55" t="e">
        <f t="shared" ca="1" si="171"/>
        <v>#N/A</v>
      </c>
      <c r="T594" s="55" t="e">
        <f t="shared" ca="1" si="172"/>
        <v>#N/A</v>
      </c>
      <c r="U594" s="55" t="e">
        <f t="shared" ca="1" si="173"/>
        <v>#N/A</v>
      </c>
      <c r="V594" s="55" t="e">
        <f t="shared" ca="1" si="174"/>
        <v>#N/A</v>
      </c>
      <c r="W594" s="55" t="e">
        <f t="shared" ca="1" si="165"/>
        <v>#N/A</v>
      </c>
      <c r="X594" s="55" t="e">
        <f t="shared" ca="1" si="166"/>
        <v>#N/A</v>
      </c>
      <c r="Y594" s="55" t="e">
        <f t="shared" ca="1" si="167"/>
        <v>#N/A</v>
      </c>
      <c r="Z594" t="e">
        <f t="shared" ref="Z594:Z662" ca="1" si="182">VLOOKUP(S594,ModelOutputs,10,FALSE)*AWC</f>
        <v>#N/A</v>
      </c>
      <c r="AA594" t="e">
        <f t="shared" ca="1" si="175"/>
        <v>#N/A</v>
      </c>
      <c r="AB594" t="e">
        <f t="shared" ca="1" si="176"/>
        <v>#N/A</v>
      </c>
      <c r="AC594" t="e">
        <f t="shared" ca="1" si="177"/>
        <v>#N/A</v>
      </c>
      <c r="AD594" s="83" t="e">
        <f ca="1"/>
        <v>#N/A</v>
      </c>
      <c r="AE594" s="55" t="e">
        <f t="shared" ca="1" si="178"/>
        <v>#N/A</v>
      </c>
      <c r="AF594" s="55" t="e">
        <f t="shared" ca="1" si="179"/>
        <v>#N/A</v>
      </c>
      <c r="AG594" s="55" t="e">
        <f t="shared" ca="1" si="180"/>
        <v>#N/A</v>
      </c>
      <c r="AH594" s="55" t="e">
        <f t="shared" ca="1" si="181"/>
        <v>#N/A</v>
      </c>
      <c r="AI594" s="55" t="e">
        <f t="shared" ca="1" si="168"/>
        <v>#N/A</v>
      </c>
      <c r="AJ594" s="55" t="e">
        <f t="shared" ca="1" si="169"/>
        <v>#N/A</v>
      </c>
      <c r="AK594" s="55" t="e">
        <f t="shared" ca="1" si="170"/>
        <v>#N/A</v>
      </c>
    </row>
    <row r="595" spans="18:37">
      <c r="R595" s="55" t="e">
        <f ca="1"/>
        <v>#N/A</v>
      </c>
      <c r="S595" s="55" t="e">
        <f t="shared" ca="1" si="171"/>
        <v>#N/A</v>
      </c>
      <c r="T595" s="55" t="e">
        <f t="shared" ca="1" si="172"/>
        <v>#N/A</v>
      </c>
      <c r="U595" s="55" t="e">
        <f t="shared" ca="1" si="173"/>
        <v>#N/A</v>
      </c>
      <c r="V595" s="55" t="e">
        <f t="shared" ca="1" si="174"/>
        <v>#N/A</v>
      </c>
      <c r="W595" s="55" t="e">
        <f t="shared" ref="W595:W662" ca="1" si="183">-VLOOKUP(S595,ModelOutputs,9,FALSE)+W594</f>
        <v>#N/A</v>
      </c>
      <c r="X595" s="55" t="e">
        <f t="shared" ref="X595:X662" ca="1" si="184">VLOOKUP(S595,ModelOutputs,5,FALSE)+X594</f>
        <v>#N/A</v>
      </c>
      <c r="Y595" s="55" t="e">
        <f t="shared" ref="Y595:Y662" ca="1" si="185">VLOOKUP(S595,ModelOutputs,4,FALSE)+Y594</f>
        <v>#N/A</v>
      </c>
      <c r="Z595" t="e">
        <f t="shared" ca="1" si="182"/>
        <v>#N/A</v>
      </c>
      <c r="AA595" t="e">
        <f t="shared" ca="1" si="175"/>
        <v>#N/A</v>
      </c>
      <c r="AB595" t="e">
        <f t="shared" ca="1" si="176"/>
        <v>#N/A</v>
      </c>
      <c r="AC595" t="e">
        <f t="shared" ca="1" si="177"/>
        <v>#N/A</v>
      </c>
      <c r="AD595" s="83" t="e">
        <f ca="1"/>
        <v>#N/A</v>
      </c>
      <c r="AE595" s="55" t="e">
        <f t="shared" ca="1" si="178"/>
        <v>#N/A</v>
      </c>
      <c r="AF595" s="55" t="e">
        <f t="shared" ca="1" si="179"/>
        <v>#N/A</v>
      </c>
      <c r="AG595" s="55" t="e">
        <f t="shared" ca="1" si="180"/>
        <v>#N/A</v>
      </c>
      <c r="AH595" s="55" t="e">
        <f t="shared" ca="1" si="181"/>
        <v>#N/A</v>
      </c>
      <c r="AI595" s="55" t="e">
        <f t="shared" ref="AI595:AI662" ca="1" si="186">-VLOOKUP(AE595,ModelOutputs,9,FALSE)+AI594</f>
        <v>#N/A</v>
      </c>
      <c r="AJ595" s="55" t="e">
        <f t="shared" ref="AJ595:AJ662" ca="1" si="187">VLOOKUP(AE595,ModelOutputs,5,FALSE)+AJ594</f>
        <v>#N/A</v>
      </c>
      <c r="AK595" s="55" t="e">
        <f t="shared" ref="AK595:AK662" ca="1" si="188">VLOOKUP(AE595,ModelOutputs,4,FALSE)+AK594</f>
        <v>#N/A</v>
      </c>
    </row>
    <row r="596" spans="18:37">
      <c r="R596" s="55" t="e">
        <f ca="1"/>
        <v>#N/A</v>
      </c>
      <c r="S596" s="55" t="e">
        <f t="shared" ca="1" si="171"/>
        <v>#N/A</v>
      </c>
      <c r="T596" s="55" t="e">
        <f t="shared" ca="1" si="172"/>
        <v>#N/A</v>
      </c>
      <c r="U596" s="55" t="e">
        <f t="shared" ca="1" si="173"/>
        <v>#N/A</v>
      </c>
      <c r="V596" s="55" t="e">
        <f t="shared" ca="1" si="174"/>
        <v>#N/A</v>
      </c>
      <c r="W596" s="55" t="e">
        <f t="shared" ca="1" si="183"/>
        <v>#N/A</v>
      </c>
      <c r="X596" s="55" t="e">
        <f t="shared" ca="1" si="184"/>
        <v>#N/A</v>
      </c>
      <c r="Y596" s="55" t="e">
        <f t="shared" ca="1" si="185"/>
        <v>#N/A</v>
      </c>
      <c r="Z596" t="e">
        <f t="shared" ca="1" si="182"/>
        <v>#N/A</v>
      </c>
      <c r="AA596" t="e">
        <f t="shared" ca="1" si="175"/>
        <v>#N/A</v>
      </c>
      <c r="AB596" t="e">
        <f t="shared" ca="1" si="176"/>
        <v>#N/A</v>
      </c>
      <c r="AC596" t="e">
        <f t="shared" ca="1" si="177"/>
        <v>#N/A</v>
      </c>
      <c r="AD596" s="83" t="e">
        <f ca="1"/>
        <v>#N/A</v>
      </c>
      <c r="AE596" s="55" t="e">
        <f t="shared" ca="1" si="178"/>
        <v>#N/A</v>
      </c>
      <c r="AF596" s="55" t="e">
        <f t="shared" ca="1" si="179"/>
        <v>#N/A</v>
      </c>
      <c r="AG596" s="55" t="e">
        <f t="shared" ca="1" si="180"/>
        <v>#N/A</v>
      </c>
      <c r="AH596" s="55" t="e">
        <f t="shared" ca="1" si="181"/>
        <v>#N/A</v>
      </c>
      <c r="AI596" s="55" t="e">
        <f t="shared" ca="1" si="186"/>
        <v>#N/A</v>
      </c>
      <c r="AJ596" s="55" t="e">
        <f t="shared" ca="1" si="187"/>
        <v>#N/A</v>
      </c>
      <c r="AK596" s="55" t="e">
        <f t="shared" ca="1" si="188"/>
        <v>#N/A</v>
      </c>
    </row>
    <row r="597" spans="18:37">
      <c r="R597" s="55" t="e">
        <f ca="1"/>
        <v>#N/A</v>
      </c>
      <c r="S597" s="55" t="e">
        <f t="shared" ca="1" si="171"/>
        <v>#N/A</v>
      </c>
      <c r="T597" s="55" t="e">
        <f t="shared" ca="1" si="172"/>
        <v>#N/A</v>
      </c>
      <c r="U597" s="55" t="e">
        <f t="shared" ca="1" si="173"/>
        <v>#N/A</v>
      </c>
      <c r="V597" s="55" t="e">
        <f t="shared" ca="1" si="174"/>
        <v>#N/A</v>
      </c>
      <c r="W597" s="55" t="e">
        <f t="shared" ca="1" si="183"/>
        <v>#N/A</v>
      </c>
      <c r="X597" s="55" t="e">
        <f t="shared" ca="1" si="184"/>
        <v>#N/A</v>
      </c>
      <c r="Y597" s="55" t="e">
        <f t="shared" ca="1" si="185"/>
        <v>#N/A</v>
      </c>
      <c r="Z597" t="e">
        <f t="shared" ca="1" si="182"/>
        <v>#N/A</v>
      </c>
      <c r="AA597" t="e">
        <f t="shared" ca="1" si="175"/>
        <v>#N/A</v>
      </c>
      <c r="AB597" t="e">
        <f t="shared" ca="1" si="176"/>
        <v>#N/A</v>
      </c>
      <c r="AC597" t="e">
        <f t="shared" ca="1" si="177"/>
        <v>#N/A</v>
      </c>
      <c r="AD597" s="83" t="e">
        <f ca="1"/>
        <v>#N/A</v>
      </c>
      <c r="AE597" s="55" t="e">
        <f t="shared" ca="1" si="178"/>
        <v>#N/A</v>
      </c>
      <c r="AF597" s="55" t="e">
        <f t="shared" ca="1" si="179"/>
        <v>#N/A</v>
      </c>
      <c r="AG597" s="55" t="e">
        <f t="shared" ca="1" si="180"/>
        <v>#N/A</v>
      </c>
      <c r="AH597" s="55" t="e">
        <f t="shared" ca="1" si="181"/>
        <v>#N/A</v>
      </c>
      <c r="AI597" s="55" t="e">
        <f t="shared" ca="1" si="186"/>
        <v>#N/A</v>
      </c>
      <c r="AJ597" s="55" t="e">
        <f t="shared" ca="1" si="187"/>
        <v>#N/A</v>
      </c>
      <c r="AK597" s="55" t="e">
        <f t="shared" ca="1" si="188"/>
        <v>#N/A</v>
      </c>
    </row>
    <row r="598" spans="18:37">
      <c r="R598" s="55" t="e">
        <f ca="1"/>
        <v>#N/A</v>
      </c>
      <c r="S598" s="55" t="e">
        <f t="shared" ca="1" si="171"/>
        <v>#N/A</v>
      </c>
      <c r="T598" s="55" t="e">
        <f t="shared" ca="1" si="172"/>
        <v>#N/A</v>
      </c>
      <c r="U598" s="55" t="e">
        <f t="shared" ca="1" si="173"/>
        <v>#N/A</v>
      </c>
      <c r="V598" s="55" t="e">
        <f t="shared" ca="1" si="174"/>
        <v>#N/A</v>
      </c>
      <c r="W598" s="55" t="e">
        <f t="shared" ca="1" si="183"/>
        <v>#N/A</v>
      </c>
      <c r="X598" s="55" t="e">
        <f t="shared" ca="1" si="184"/>
        <v>#N/A</v>
      </c>
      <c r="Y598" s="55" t="e">
        <f t="shared" ca="1" si="185"/>
        <v>#N/A</v>
      </c>
      <c r="Z598" t="e">
        <f t="shared" ca="1" si="182"/>
        <v>#N/A</v>
      </c>
      <c r="AA598" t="e">
        <f t="shared" ca="1" si="175"/>
        <v>#N/A</v>
      </c>
      <c r="AB598" t="e">
        <f t="shared" ca="1" si="176"/>
        <v>#N/A</v>
      </c>
      <c r="AC598" t="e">
        <f t="shared" ca="1" si="177"/>
        <v>#N/A</v>
      </c>
      <c r="AD598" s="83" t="e">
        <f ca="1"/>
        <v>#N/A</v>
      </c>
      <c r="AE598" s="55" t="e">
        <f t="shared" ca="1" si="178"/>
        <v>#N/A</v>
      </c>
      <c r="AF598" s="55" t="e">
        <f t="shared" ca="1" si="179"/>
        <v>#N/A</v>
      </c>
      <c r="AG598" s="55" t="e">
        <f t="shared" ca="1" si="180"/>
        <v>#N/A</v>
      </c>
      <c r="AH598" s="55" t="e">
        <f t="shared" ca="1" si="181"/>
        <v>#N/A</v>
      </c>
      <c r="AI598" s="55" t="e">
        <f t="shared" ca="1" si="186"/>
        <v>#N/A</v>
      </c>
      <c r="AJ598" s="55" t="e">
        <f t="shared" ca="1" si="187"/>
        <v>#N/A</v>
      </c>
      <c r="AK598" s="55" t="e">
        <f t="shared" ca="1" si="188"/>
        <v>#N/A</v>
      </c>
    </row>
    <row r="599" spans="18:37">
      <c r="R599" s="55" t="e">
        <f ca="1"/>
        <v>#N/A</v>
      </c>
      <c r="S599" s="55" t="e">
        <f t="shared" ca="1" si="171"/>
        <v>#N/A</v>
      </c>
      <c r="T599" s="55" t="e">
        <f t="shared" ca="1" si="172"/>
        <v>#N/A</v>
      </c>
      <c r="U599" s="55" t="e">
        <f t="shared" ca="1" si="173"/>
        <v>#N/A</v>
      </c>
      <c r="V599" s="55" t="e">
        <f t="shared" ca="1" si="174"/>
        <v>#N/A</v>
      </c>
      <c r="W599" s="55" t="e">
        <f t="shared" ca="1" si="183"/>
        <v>#N/A</v>
      </c>
      <c r="X599" s="55" t="e">
        <f t="shared" ca="1" si="184"/>
        <v>#N/A</v>
      </c>
      <c r="Y599" s="55" t="e">
        <f t="shared" ca="1" si="185"/>
        <v>#N/A</v>
      </c>
      <c r="Z599" t="e">
        <f t="shared" ca="1" si="182"/>
        <v>#N/A</v>
      </c>
      <c r="AA599" t="e">
        <f t="shared" ca="1" si="175"/>
        <v>#N/A</v>
      </c>
      <c r="AB599" t="e">
        <f t="shared" ca="1" si="176"/>
        <v>#N/A</v>
      </c>
      <c r="AC599" t="e">
        <f t="shared" ca="1" si="177"/>
        <v>#N/A</v>
      </c>
      <c r="AD599" s="83" t="e">
        <f ca="1"/>
        <v>#N/A</v>
      </c>
      <c r="AE599" s="55" t="e">
        <f t="shared" ca="1" si="178"/>
        <v>#N/A</v>
      </c>
      <c r="AF599" s="55" t="e">
        <f t="shared" ca="1" si="179"/>
        <v>#N/A</v>
      </c>
      <c r="AG599" s="55" t="e">
        <f t="shared" ca="1" si="180"/>
        <v>#N/A</v>
      </c>
      <c r="AH599" s="55" t="e">
        <f t="shared" ca="1" si="181"/>
        <v>#N/A</v>
      </c>
      <c r="AI599" s="55" t="e">
        <f t="shared" ca="1" si="186"/>
        <v>#N/A</v>
      </c>
      <c r="AJ599" s="55" t="e">
        <f t="shared" ca="1" si="187"/>
        <v>#N/A</v>
      </c>
      <c r="AK599" s="55" t="e">
        <f t="shared" ca="1" si="188"/>
        <v>#N/A</v>
      </c>
    </row>
    <row r="600" spans="18:37">
      <c r="R600" s="55" t="e">
        <f ca="1"/>
        <v>#N/A</v>
      </c>
      <c r="S600" s="55" t="e">
        <f t="shared" ca="1" si="171"/>
        <v>#N/A</v>
      </c>
      <c r="T600" s="55" t="e">
        <f t="shared" ca="1" si="172"/>
        <v>#N/A</v>
      </c>
      <c r="U600" s="55" t="e">
        <f t="shared" ca="1" si="173"/>
        <v>#N/A</v>
      </c>
      <c r="V600" s="55" t="e">
        <f t="shared" ca="1" si="174"/>
        <v>#N/A</v>
      </c>
      <c r="W600" s="55" t="e">
        <f t="shared" ca="1" si="183"/>
        <v>#N/A</v>
      </c>
      <c r="X600" s="55" t="e">
        <f t="shared" ca="1" si="184"/>
        <v>#N/A</v>
      </c>
      <c r="Y600" s="55" t="e">
        <f t="shared" ca="1" si="185"/>
        <v>#N/A</v>
      </c>
      <c r="Z600" t="e">
        <f t="shared" ca="1" si="182"/>
        <v>#N/A</v>
      </c>
      <c r="AA600" t="e">
        <f t="shared" ca="1" si="175"/>
        <v>#N/A</v>
      </c>
      <c r="AB600" t="e">
        <f t="shared" ca="1" si="176"/>
        <v>#N/A</v>
      </c>
      <c r="AC600" t="e">
        <f t="shared" ca="1" si="177"/>
        <v>#N/A</v>
      </c>
      <c r="AD600" s="83" t="e">
        <f ca="1"/>
        <v>#N/A</v>
      </c>
      <c r="AE600" s="55" t="e">
        <f t="shared" ca="1" si="178"/>
        <v>#N/A</v>
      </c>
      <c r="AF600" s="55" t="e">
        <f t="shared" ca="1" si="179"/>
        <v>#N/A</v>
      </c>
      <c r="AG600" s="55" t="e">
        <f t="shared" ca="1" si="180"/>
        <v>#N/A</v>
      </c>
      <c r="AH600" s="55" t="e">
        <f t="shared" ca="1" si="181"/>
        <v>#N/A</v>
      </c>
      <c r="AI600" s="55" t="e">
        <f t="shared" ca="1" si="186"/>
        <v>#N/A</v>
      </c>
      <c r="AJ600" s="55" t="e">
        <f t="shared" ca="1" si="187"/>
        <v>#N/A</v>
      </c>
      <c r="AK600" s="55" t="e">
        <f t="shared" ca="1" si="188"/>
        <v>#N/A</v>
      </c>
    </row>
    <row r="601" spans="18:37">
      <c r="R601" s="55" t="e">
        <f ca="1"/>
        <v>#N/A</v>
      </c>
      <c r="S601" s="55" t="e">
        <f t="shared" ca="1" si="171"/>
        <v>#N/A</v>
      </c>
      <c r="T601" s="55" t="e">
        <f t="shared" ca="1" si="172"/>
        <v>#N/A</v>
      </c>
      <c r="U601" s="55" t="e">
        <f t="shared" ca="1" si="173"/>
        <v>#N/A</v>
      </c>
      <c r="V601" s="55" t="e">
        <f t="shared" ca="1" si="174"/>
        <v>#N/A</v>
      </c>
      <c r="W601" s="55" t="e">
        <f t="shared" ca="1" si="183"/>
        <v>#N/A</v>
      </c>
      <c r="X601" s="55" t="e">
        <f t="shared" ca="1" si="184"/>
        <v>#N/A</v>
      </c>
      <c r="Y601" s="55" t="e">
        <f t="shared" ca="1" si="185"/>
        <v>#N/A</v>
      </c>
      <c r="Z601" t="e">
        <f t="shared" ca="1" si="182"/>
        <v>#N/A</v>
      </c>
      <c r="AA601" t="e">
        <f t="shared" ca="1" si="175"/>
        <v>#N/A</v>
      </c>
      <c r="AB601" t="e">
        <f t="shared" ca="1" si="176"/>
        <v>#N/A</v>
      </c>
      <c r="AC601" t="e">
        <f t="shared" ca="1" si="177"/>
        <v>#N/A</v>
      </c>
      <c r="AD601" s="83" t="e">
        <f ca="1"/>
        <v>#N/A</v>
      </c>
      <c r="AE601" s="55" t="e">
        <f t="shared" ca="1" si="178"/>
        <v>#N/A</v>
      </c>
      <c r="AF601" s="55" t="e">
        <f t="shared" ca="1" si="179"/>
        <v>#N/A</v>
      </c>
      <c r="AG601" s="55" t="e">
        <f t="shared" ca="1" si="180"/>
        <v>#N/A</v>
      </c>
      <c r="AH601" s="55" t="e">
        <f t="shared" ca="1" si="181"/>
        <v>#N/A</v>
      </c>
      <c r="AI601" s="55" t="e">
        <f t="shared" ca="1" si="186"/>
        <v>#N/A</v>
      </c>
      <c r="AJ601" s="55" t="e">
        <f t="shared" ca="1" si="187"/>
        <v>#N/A</v>
      </c>
      <c r="AK601" s="55" t="e">
        <f t="shared" ca="1" si="188"/>
        <v>#N/A</v>
      </c>
    </row>
    <row r="602" spans="18:37">
      <c r="R602" s="55" t="e">
        <f ca="1"/>
        <v>#N/A</v>
      </c>
      <c r="S602" s="55" t="e">
        <f t="shared" ca="1" si="171"/>
        <v>#N/A</v>
      </c>
      <c r="T602" s="55" t="e">
        <f t="shared" ca="1" si="172"/>
        <v>#N/A</v>
      </c>
      <c r="U602" s="55" t="e">
        <f t="shared" ca="1" si="173"/>
        <v>#N/A</v>
      </c>
      <c r="V602" s="55" t="e">
        <f t="shared" ca="1" si="174"/>
        <v>#N/A</v>
      </c>
      <c r="W602" s="55" t="e">
        <f t="shared" ca="1" si="183"/>
        <v>#N/A</v>
      </c>
      <c r="X602" s="55" t="e">
        <f t="shared" ca="1" si="184"/>
        <v>#N/A</v>
      </c>
      <c r="Y602" s="55" t="e">
        <f t="shared" ca="1" si="185"/>
        <v>#N/A</v>
      </c>
      <c r="Z602" t="e">
        <f t="shared" ca="1" si="182"/>
        <v>#N/A</v>
      </c>
      <c r="AA602" t="e">
        <f t="shared" ca="1" si="175"/>
        <v>#N/A</v>
      </c>
      <c r="AB602" t="e">
        <f t="shared" ca="1" si="176"/>
        <v>#N/A</v>
      </c>
      <c r="AC602" t="e">
        <f t="shared" ca="1" si="177"/>
        <v>#N/A</v>
      </c>
      <c r="AD602" s="83" t="e">
        <f ca="1"/>
        <v>#N/A</v>
      </c>
      <c r="AE602" s="55" t="e">
        <f t="shared" ca="1" si="178"/>
        <v>#N/A</v>
      </c>
      <c r="AF602" s="55" t="e">
        <f t="shared" ca="1" si="179"/>
        <v>#N/A</v>
      </c>
      <c r="AG602" s="55" t="e">
        <f t="shared" ca="1" si="180"/>
        <v>#N/A</v>
      </c>
      <c r="AH602" s="55" t="e">
        <f t="shared" ca="1" si="181"/>
        <v>#N/A</v>
      </c>
      <c r="AI602" s="55" t="e">
        <f t="shared" ca="1" si="186"/>
        <v>#N/A</v>
      </c>
      <c r="AJ602" s="55" t="e">
        <f t="shared" ca="1" si="187"/>
        <v>#N/A</v>
      </c>
      <c r="AK602" s="55" t="e">
        <f t="shared" ca="1" si="188"/>
        <v>#N/A</v>
      </c>
    </row>
    <row r="603" spans="18:37">
      <c r="R603" s="55" t="e">
        <f ca="1"/>
        <v>#N/A</v>
      </c>
      <c r="S603" s="55" t="e">
        <f t="shared" ca="1" si="171"/>
        <v>#N/A</v>
      </c>
      <c r="T603" s="55" t="e">
        <f t="shared" ca="1" si="172"/>
        <v>#N/A</v>
      </c>
      <c r="U603" s="55" t="e">
        <f t="shared" ca="1" si="173"/>
        <v>#N/A</v>
      </c>
      <c r="V603" s="55" t="e">
        <f t="shared" ca="1" si="174"/>
        <v>#N/A</v>
      </c>
      <c r="W603" s="55" t="e">
        <f t="shared" ca="1" si="183"/>
        <v>#N/A</v>
      </c>
      <c r="X603" s="55" t="e">
        <f t="shared" ca="1" si="184"/>
        <v>#N/A</v>
      </c>
      <c r="Y603" s="55" t="e">
        <f t="shared" ca="1" si="185"/>
        <v>#N/A</v>
      </c>
      <c r="Z603" t="e">
        <f t="shared" ca="1" si="182"/>
        <v>#N/A</v>
      </c>
      <c r="AA603" t="e">
        <f t="shared" ca="1" si="175"/>
        <v>#N/A</v>
      </c>
      <c r="AB603" t="e">
        <f t="shared" ca="1" si="176"/>
        <v>#N/A</v>
      </c>
      <c r="AC603" t="e">
        <f t="shared" ca="1" si="177"/>
        <v>#N/A</v>
      </c>
      <c r="AD603" s="83" t="e">
        <f ca="1"/>
        <v>#N/A</v>
      </c>
      <c r="AE603" s="55" t="e">
        <f t="shared" ca="1" si="178"/>
        <v>#N/A</v>
      </c>
      <c r="AF603" s="55" t="e">
        <f t="shared" ca="1" si="179"/>
        <v>#N/A</v>
      </c>
      <c r="AG603" s="55" t="e">
        <f t="shared" ca="1" si="180"/>
        <v>#N/A</v>
      </c>
      <c r="AH603" s="55" t="e">
        <f t="shared" ca="1" si="181"/>
        <v>#N/A</v>
      </c>
      <c r="AI603" s="55" t="e">
        <f t="shared" ca="1" si="186"/>
        <v>#N/A</v>
      </c>
      <c r="AJ603" s="55" t="e">
        <f t="shared" ca="1" si="187"/>
        <v>#N/A</v>
      </c>
      <c r="AK603" s="55" t="e">
        <f t="shared" ca="1" si="188"/>
        <v>#N/A</v>
      </c>
    </row>
    <row r="604" spans="18:37">
      <c r="R604" s="55" t="e">
        <f ca="1"/>
        <v>#N/A</v>
      </c>
      <c r="S604" s="55" t="e">
        <f t="shared" ca="1" si="171"/>
        <v>#N/A</v>
      </c>
      <c r="T604" s="55" t="e">
        <f t="shared" ca="1" si="172"/>
        <v>#N/A</v>
      </c>
      <c r="U604" s="55" t="e">
        <f t="shared" ca="1" si="173"/>
        <v>#N/A</v>
      </c>
      <c r="V604" s="55" t="e">
        <f t="shared" ca="1" si="174"/>
        <v>#N/A</v>
      </c>
      <c r="W604" s="55" t="e">
        <f t="shared" ca="1" si="183"/>
        <v>#N/A</v>
      </c>
      <c r="X604" s="55" t="e">
        <f t="shared" ca="1" si="184"/>
        <v>#N/A</v>
      </c>
      <c r="Y604" s="55" t="e">
        <f t="shared" ca="1" si="185"/>
        <v>#N/A</v>
      </c>
      <c r="Z604" t="e">
        <f t="shared" ca="1" si="182"/>
        <v>#N/A</v>
      </c>
      <c r="AA604" t="e">
        <f t="shared" ca="1" si="175"/>
        <v>#N/A</v>
      </c>
      <c r="AB604" t="e">
        <f t="shared" ca="1" si="176"/>
        <v>#N/A</v>
      </c>
      <c r="AC604" t="e">
        <f t="shared" ca="1" si="177"/>
        <v>#N/A</v>
      </c>
      <c r="AD604" s="83" t="e">
        <f ca="1"/>
        <v>#N/A</v>
      </c>
      <c r="AE604" s="55" t="e">
        <f t="shared" ca="1" si="178"/>
        <v>#N/A</v>
      </c>
      <c r="AF604" s="55" t="e">
        <f t="shared" ca="1" si="179"/>
        <v>#N/A</v>
      </c>
      <c r="AG604" s="55" t="e">
        <f t="shared" ca="1" si="180"/>
        <v>#N/A</v>
      </c>
      <c r="AH604" s="55" t="e">
        <f t="shared" ca="1" si="181"/>
        <v>#N/A</v>
      </c>
      <c r="AI604" s="55" t="e">
        <f t="shared" ca="1" si="186"/>
        <v>#N/A</v>
      </c>
      <c r="AJ604" s="55" t="e">
        <f t="shared" ca="1" si="187"/>
        <v>#N/A</v>
      </c>
      <c r="AK604" s="55" t="e">
        <f t="shared" ca="1" si="188"/>
        <v>#N/A</v>
      </c>
    </row>
    <row r="605" spans="18:37">
      <c r="R605" s="55" t="e">
        <f ca="1"/>
        <v>#N/A</v>
      </c>
      <c r="S605" s="55" t="e">
        <f t="shared" ca="1" si="171"/>
        <v>#N/A</v>
      </c>
      <c r="T605" s="55" t="e">
        <f t="shared" ca="1" si="172"/>
        <v>#N/A</v>
      </c>
      <c r="U605" s="55" t="e">
        <f t="shared" ca="1" si="173"/>
        <v>#N/A</v>
      </c>
      <c r="V605" s="55" t="e">
        <f t="shared" ca="1" si="174"/>
        <v>#N/A</v>
      </c>
      <c r="W605" s="55" t="e">
        <f t="shared" ca="1" si="183"/>
        <v>#N/A</v>
      </c>
      <c r="X605" s="55" t="e">
        <f t="shared" ca="1" si="184"/>
        <v>#N/A</v>
      </c>
      <c r="Y605" s="55" t="e">
        <f t="shared" ca="1" si="185"/>
        <v>#N/A</v>
      </c>
      <c r="Z605" t="e">
        <f t="shared" ca="1" si="182"/>
        <v>#N/A</v>
      </c>
      <c r="AA605" t="e">
        <f t="shared" ca="1" si="175"/>
        <v>#N/A</v>
      </c>
      <c r="AB605" t="e">
        <f t="shared" ca="1" si="176"/>
        <v>#N/A</v>
      </c>
      <c r="AC605" t="e">
        <f t="shared" ca="1" si="177"/>
        <v>#N/A</v>
      </c>
      <c r="AD605" s="83" t="e">
        <f ca="1"/>
        <v>#N/A</v>
      </c>
      <c r="AE605" s="55" t="e">
        <f t="shared" ca="1" si="178"/>
        <v>#N/A</v>
      </c>
      <c r="AF605" s="55" t="e">
        <f t="shared" ca="1" si="179"/>
        <v>#N/A</v>
      </c>
      <c r="AG605" s="55" t="e">
        <f t="shared" ca="1" si="180"/>
        <v>#N/A</v>
      </c>
      <c r="AH605" s="55" t="e">
        <f t="shared" ca="1" si="181"/>
        <v>#N/A</v>
      </c>
      <c r="AI605" s="55" t="e">
        <f t="shared" ca="1" si="186"/>
        <v>#N/A</v>
      </c>
      <c r="AJ605" s="55" t="e">
        <f t="shared" ca="1" si="187"/>
        <v>#N/A</v>
      </c>
      <c r="AK605" s="55" t="e">
        <f t="shared" ca="1" si="188"/>
        <v>#N/A</v>
      </c>
    </row>
    <row r="606" spans="18:37">
      <c r="R606" s="55" t="e">
        <f ca="1"/>
        <v>#N/A</v>
      </c>
      <c r="S606" s="55" t="e">
        <f t="shared" ca="1" si="171"/>
        <v>#N/A</v>
      </c>
      <c r="T606" s="55" t="e">
        <f t="shared" ca="1" si="172"/>
        <v>#N/A</v>
      </c>
      <c r="U606" s="55" t="e">
        <f t="shared" ca="1" si="173"/>
        <v>#N/A</v>
      </c>
      <c r="V606" s="55" t="e">
        <f t="shared" ca="1" si="174"/>
        <v>#N/A</v>
      </c>
      <c r="W606" s="55" t="e">
        <f t="shared" ca="1" si="183"/>
        <v>#N/A</v>
      </c>
      <c r="X606" s="55" t="e">
        <f t="shared" ca="1" si="184"/>
        <v>#N/A</v>
      </c>
      <c r="Y606" s="55" t="e">
        <f t="shared" ca="1" si="185"/>
        <v>#N/A</v>
      </c>
      <c r="Z606" t="e">
        <f t="shared" ca="1" si="182"/>
        <v>#N/A</v>
      </c>
      <c r="AA606" t="e">
        <f t="shared" ca="1" si="175"/>
        <v>#N/A</v>
      </c>
      <c r="AB606" t="e">
        <f t="shared" ca="1" si="176"/>
        <v>#N/A</v>
      </c>
      <c r="AC606" t="e">
        <f t="shared" ca="1" si="177"/>
        <v>#N/A</v>
      </c>
      <c r="AD606" s="83" t="e">
        <f ca="1"/>
        <v>#N/A</v>
      </c>
      <c r="AE606" s="55" t="e">
        <f t="shared" ca="1" si="178"/>
        <v>#N/A</v>
      </c>
      <c r="AF606" s="55" t="e">
        <f t="shared" ca="1" si="179"/>
        <v>#N/A</v>
      </c>
      <c r="AG606" s="55" t="e">
        <f t="shared" ca="1" si="180"/>
        <v>#N/A</v>
      </c>
      <c r="AH606" s="55" t="e">
        <f t="shared" ca="1" si="181"/>
        <v>#N/A</v>
      </c>
      <c r="AI606" s="55" t="e">
        <f t="shared" ca="1" si="186"/>
        <v>#N/A</v>
      </c>
      <c r="AJ606" s="55" t="e">
        <f t="shared" ca="1" si="187"/>
        <v>#N/A</v>
      </c>
      <c r="AK606" s="55" t="e">
        <f t="shared" ca="1" si="188"/>
        <v>#N/A</v>
      </c>
    </row>
    <row r="607" spans="18:37">
      <c r="R607" s="55" t="e">
        <f ca="1"/>
        <v>#N/A</v>
      </c>
      <c r="S607" s="55" t="e">
        <f t="shared" ca="1" si="171"/>
        <v>#N/A</v>
      </c>
      <c r="T607" s="55" t="e">
        <f t="shared" ca="1" si="172"/>
        <v>#N/A</v>
      </c>
      <c r="U607" s="55" t="e">
        <f t="shared" ca="1" si="173"/>
        <v>#N/A</v>
      </c>
      <c r="V607" s="55" t="e">
        <f t="shared" ca="1" si="174"/>
        <v>#N/A</v>
      </c>
      <c r="W607" s="55" t="e">
        <f t="shared" ca="1" si="183"/>
        <v>#N/A</v>
      </c>
      <c r="X607" s="55" t="e">
        <f t="shared" ca="1" si="184"/>
        <v>#N/A</v>
      </c>
      <c r="Y607" s="55" t="e">
        <f t="shared" ca="1" si="185"/>
        <v>#N/A</v>
      </c>
      <c r="Z607" t="e">
        <f t="shared" ca="1" si="182"/>
        <v>#N/A</v>
      </c>
      <c r="AA607" t="e">
        <f t="shared" ca="1" si="175"/>
        <v>#N/A</v>
      </c>
      <c r="AB607" t="e">
        <f t="shared" ca="1" si="176"/>
        <v>#N/A</v>
      </c>
      <c r="AC607" t="e">
        <f t="shared" ca="1" si="177"/>
        <v>#N/A</v>
      </c>
      <c r="AD607" s="83" t="e">
        <f ca="1"/>
        <v>#N/A</v>
      </c>
      <c r="AE607" s="55" t="e">
        <f t="shared" ca="1" si="178"/>
        <v>#N/A</v>
      </c>
      <c r="AF607" s="55" t="e">
        <f t="shared" ca="1" si="179"/>
        <v>#N/A</v>
      </c>
      <c r="AG607" s="55" t="e">
        <f t="shared" ca="1" si="180"/>
        <v>#N/A</v>
      </c>
      <c r="AH607" s="55" t="e">
        <f t="shared" ca="1" si="181"/>
        <v>#N/A</v>
      </c>
      <c r="AI607" s="55" t="e">
        <f t="shared" ca="1" si="186"/>
        <v>#N/A</v>
      </c>
      <c r="AJ607" s="55" t="e">
        <f t="shared" ca="1" si="187"/>
        <v>#N/A</v>
      </c>
      <c r="AK607" s="55" t="e">
        <f t="shared" ca="1" si="188"/>
        <v>#N/A</v>
      </c>
    </row>
    <row r="608" spans="18:37">
      <c r="R608" s="55" t="e">
        <f ca="1"/>
        <v>#N/A</v>
      </c>
      <c r="S608" s="55" t="e">
        <f t="shared" ca="1" si="171"/>
        <v>#N/A</v>
      </c>
      <c r="T608" s="55" t="e">
        <f t="shared" ca="1" si="172"/>
        <v>#N/A</v>
      </c>
      <c r="U608" s="55" t="e">
        <f t="shared" ca="1" si="173"/>
        <v>#N/A</v>
      </c>
      <c r="V608" s="55" t="e">
        <f t="shared" ca="1" si="174"/>
        <v>#N/A</v>
      </c>
      <c r="W608" s="55" t="e">
        <f t="shared" ca="1" si="183"/>
        <v>#N/A</v>
      </c>
      <c r="X608" s="55" t="e">
        <f t="shared" ca="1" si="184"/>
        <v>#N/A</v>
      </c>
      <c r="Y608" s="55" t="e">
        <f t="shared" ca="1" si="185"/>
        <v>#N/A</v>
      </c>
      <c r="Z608" t="e">
        <f t="shared" ca="1" si="182"/>
        <v>#N/A</v>
      </c>
      <c r="AA608" t="e">
        <f t="shared" ca="1" si="175"/>
        <v>#N/A</v>
      </c>
      <c r="AB608" t="e">
        <f t="shared" ca="1" si="176"/>
        <v>#N/A</v>
      </c>
      <c r="AC608" t="e">
        <f t="shared" ca="1" si="177"/>
        <v>#N/A</v>
      </c>
      <c r="AD608" s="83" t="e">
        <f ca="1"/>
        <v>#N/A</v>
      </c>
      <c r="AE608" s="55" t="e">
        <f t="shared" ca="1" si="178"/>
        <v>#N/A</v>
      </c>
      <c r="AF608" s="55" t="e">
        <f t="shared" ca="1" si="179"/>
        <v>#N/A</v>
      </c>
      <c r="AG608" s="55" t="e">
        <f t="shared" ca="1" si="180"/>
        <v>#N/A</v>
      </c>
      <c r="AH608" s="55" t="e">
        <f t="shared" ca="1" si="181"/>
        <v>#N/A</v>
      </c>
      <c r="AI608" s="55" t="e">
        <f t="shared" ca="1" si="186"/>
        <v>#N/A</v>
      </c>
      <c r="AJ608" s="55" t="e">
        <f t="shared" ca="1" si="187"/>
        <v>#N/A</v>
      </c>
      <c r="AK608" s="55" t="e">
        <f t="shared" ca="1" si="188"/>
        <v>#N/A</v>
      </c>
    </row>
    <row r="609" spans="18:37">
      <c r="R609" s="55" t="e">
        <f ca="1"/>
        <v>#N/A</v>
      </c>
      <c r="S609" s="55" t="e">
        <f t="shared" ca="1" si="171"/>
        <v>#N/A</v>
      </c>
      <c r="T609" s="55" t="e">
        <f t="shared" ca="1" si="172"/>
        <v>#N/A</v>
      </c>
      <c r="U609" s="55" t="e">
        <f t="shared" ca="1" si="173"/>
        <v>#N/A</v>
      </c>
      <c r="V609" s="55" t="e">
        <f t="shared" ca="1" si="174"/>
        <v>#N/A</v>
      </c>
      <c r="W609" s="55" t="e">
        <f t="shared" ca="1" si="183"/>
        <v>#N/A</v>
      </c>
      <c r="X609" s="55" t="e">
        <f t="shared" ca="1" si="184"/>
        <v>#N/A</v>
      </c>
      <c r="Y609" s="55" t="e">
        <f t="shared" ca="1" si="185"/>
        <v>#N/A</v>
      </c>
      <c r="Z609" t="e">
        <f t="shared" ca="1" si="182"/>
        <v>#N/A</v>
      </c>
      <c r="AA609" t="e">
        <f t="shared" ca="1" si="175"/>
        <v>#N/A</v>
      </c>
      <c r="AB609" t="e">
        <f t="shared" ca="1" si="176"/>
        <v>#N/A</v>
      </c>
      <c r="AC609" t="e">
        <f t="shared" ca="1" si="177"/>
        <v>#N/A</v>
      </c>
      <c r="AD609" s="83" t="e">
        <f ca="1"/>
        <v>#N/A</v>
      </c>
      <c r="AE609" s="55" t="e">
        <f t="shared" ca="1" si="178"/>
        <v>#N/A</v>
      </c>
      <c r="AF609" s="55" t="e">
        <f t="shared" ca="1" si="179"/>
        <v>#N/A</v>
      </c>
      <c r="AG609" s="55" t="e">
        <f t="shared" ca="1" si="180"/>
        <v>#N/A</v>
      </c>
      <c r="AH609" s="55" t="e">
        <f t="shared" ca="1" si="181"/>
        <v>#N/A</v>
      </c>
      <c r="AI609" s="55" t="e">
        <f t="shared" ca="1" si="186"/>
        <v>#N/A</v>
      </c>
      <c r="AJ609" s="55" t="e">
        <f t="shared" ca="1" si="187"/>
        <v>#N/A</v>
      </c>
      <c r="AK609" s="55" t="e">
        <f t="shared" ca="1" si="188"/>
        <v>#N/A</v>
      </c>
    </row>
    <row r="610" spans="18:37">
      <c r="R610" s="55" t="e">
        <f ca="1"/>
        <v>#N/A</v>
      </c>
      <c r="S610" s="55" t="e">
        <f t="shared" ca="1" si="171"/>
        <v>#N/A</v>
      </c>
      <c r="T610" s="55" t="e">
        <f t="shared" ca="1" si="172"/>
        <v>#N/A</v>
      </c>
      <c r="U610" s="55" t="e">
        <f t="shared" ca="1" si="173"/>
        <v>#N/A</v>
      </c>
      <c r="V610" s="55" t="e">
        <f t="shared" ca="1" si="174"/>
        <v>#N/A</v>
      </c>
      <c r="W610" s="55" t="e">
        <f t="shared" ca="1" si="183"/>
        <v>#N/A</v>
      </c>
      <c r="X610" s="55" t="e">
        <f t="shared" ca="1" si="184"/>
        <v>#N/A</v>
      </c>
      <c r="Y610" s="55" t="e">
        <f t="shared" ca="1" si="185"/>
        <v>#N/A</v>
      </c>
      <c r="Z610" t="e">
        <f t="shared" ca="1" si="182"/>
        <v>#N/A</v>
      </c>
      <c r="AA610" t="e">
        <f t="shared" ca="1" si="175"/>
        <v>#N/A</v>
      </c>
      <c r="AB610" t="e">
        <f t="shared" ca="1" si="176"/>
        <v>#N/A</v>
      </c>
      <c r="AC610" t="e">
        <f t="shared" ca="1" si="177"/>
        <v>#N/A</v>
      </c>
      <c r="AD610" s="83" t="e">
        <f ca="1"/>
        <v>#N/A</v>
      </c>
      <c r="AE610" s="55" t="e">
        <f t="shared" ca="1" si="178"/>
        <v>#N/A</v>
      </c>
      <c r="AF610" s="55" t="e">
        <f t="shared" ca="1" si="179"/>
        <v>#N/A</v>
      </c>
      <c r="AG610" s="55" t="e">
        <f t="shared" ca="1" si="180"/>
        <v>#N/A</v>
      </c>
      <c r="AH610" s="55" t="e">
        <f t="shared" ca="1" si="181"/>
        <v>#N/A</v>
      </c>
      <c r="AI610" s="55" t="e">
        <f t="shared" ca="1" si="186"/>
        <v>#N/A</v>
      </c>
      <c r="AJ610" s="55" t="e">
        <f t="shared" ca="1" si="187"/>
        <v>#N/A</v>
      </c>
      <c r="AK610" s="55" t="e">
        <f t="shared" ca="1" si="188"/>
        <v>#N/A</v>
      </c>
    </row>
    <row r="611" spans="18:37">
      <c r="R611" s="55" t="e">
        <f ca="1"/>
        <v>#N/A</v>
      </c>
      <c r="S611" s="55" t="e">
        <f t="shared" ca="1" si="171"/>
        <v>#N/A</v>
      </c>
      <c r="T611" s="55" t="e">
        <f t="shared" ca="1" si="172"/>
        <v>#N/A</v>
      </c>
      <c r="U611" s="55" t="e">
        <f t="shared" ca="1" si="173"/>
        <v>#N/A</v>
      </c>
      <c r="V611" s="55" t="e">
        <f t="shared" ca="1" si="174"/>
        <v>#N/A</v>
      </c>
      <c r="W611" s="55" t="e">
        <f t="shared" ca="1" si="183"/>
        <v>#N/A</v>
      </c>
      <c r="X611" s="55" t="e">
        <f t="shared" ca="1" si="184"/>
        <v>#N/A</v>
      </c>
      <c r="Y611" s="55" t="e">
        <f t="shared" ca="1" si="185"/>
        <v>#N/A</v>
      </c>
      <c r="Z611" t="e">
        <f t="shared" ca="1" si="182"/>
        <v>#N/A</v>
      </c>
      <c r="AA611" t="e">
        <f t="shared" ca="1" si="175"/>
        <v>#N/A</v>
      </c>
      <c r="AB611" t="e">
        <f t="shared" ca="1" si="176"/>
        <v>#N/A</v>
      </c>
      <c r="AC611" t="e">
        <f t="shared" ca="1" si="177"/>
        <v>#N/A</v>
      </c>
      <c r="AD611" s="83" t="e">
        <f ca="1"/>
        <v>#N/A</v>
      </c>
      <c r="AE611" s="55" t="e">
        <f t="shared" ca="1" si="178"/>
        <v>#N/A</v>
      </c>
      <c r="AF611" s="55" t="e">
        <f t="shared" ca="1" si="179"/>
        <v>#N/A</v>
      </c>
      <c r="AG611" s="55" t="e">
        <f t="shared" ca="1" si="180"/>
        <v>#N/A</v>
      </c>
      <c r="AH611" s="55" t="e">
        <f t="shared" ca="1" si="181"/>
        <v>#N/A</v>
      </c>
      <c r="AI611" s="55" t="e">
        <f t="shared" ca="1" si="186"/>
        <v>#N/A</v>
      </c>
      <c r="AJ611" s="55" t="e">
        <f t="shared" ca="1" si="187"/>
        <v>#N/A</v>
      </c>
      <c r="AK611" s="55" t="e">
        <f t="shared" ca="1" si="188"/>
        <v>#N/A</v>
      </c>
    </row>
    <row r="612" spans="18:37">
      <c r="R612" s="55" t="e">
        <f ca="1"/>
        <v>#N/A</v>
      </c>
      <c r="S612" s="55" t="e">
        <f t="shared" ca="1" si="171"/>
        <v>#N/A</v>
      </c>
      <c r="T612" s="55" t="e">
        <f t="shared" ca="1" si="172"/>
        <v>#N/A</v>
      </c>
      <c r="U612" s="55" t="e">
        <f t="shared" ca="1" si="173"/>
        <v>#N/A</v>
      </c>
      <c r="V612" s="55" t="e">
        <f t="shared" ca="1" si="174"/>
        <v>#N/A</v>
      </c>
      <c r="W612" s="55" t="e">
        <f t="shared" ca="1" si="183"/>
        <v>#N/A</v>
      </c>
      <c r="X612" s="55" t="e">
        <f t="shared" ca="1" si="184"/>
        <v>#N/A</v>
      </c>
      <c r="Y612" s="55" t="e">
        <f t="shared" ca="1" si="185"/>
        <v>#N/A</v>
      </c>
      <c r="Z612" t="e">
        <f t="shared" ca="1" si="182"/>
        <v>#N/A</v>
      </c>
      <c r="AA612" t="e">
        <f t="shared" ca="1" si="175"/>
        <v>#N/A</v>
      </c>
      <c r="AB612" t="e">
        <f t="shared" ca="1" si="176"/>
        <v>#N/A</v>
      </c>
      <c r="AC612" t="e">
        <f t="shared" ca="1" si="177"/>
        <v>#N/A</v>
      </c>
      <c r="AD612" s="83" t="e">
        <f ca="1"/>
        <v>#N/A</v>
      </c>
      <c r="AE612" s="55" t="e">
        <f t="shared" ca="1" si="178"/>
        <v>#N/A</v>
      </c>
      <c r="AF612" s="55" t="e">
        <f t="shared" ca="1" si="179"/>
        <v>#N/A</v>
      </c>
      <c r="AG612" s="55" t="e">
        <f t="shared" ca="1" si="180"/>
        <v>#N/A</v>
      </c>
      <c r="AH612" s="55" t="e">
        <f t="shared" ca="1" si="181"/>
        <v>#N/A</v>
      </c>
      <c r="AI612" s="55" t="e">
        <f t="shared" ca="1" si="186"/>
        <v>#N/A</v>
      </c>
      <c r="AJ612" s="55" t="e">
        <f t="shared" ca="1" si="187"/>
        <v>#N/A</v>
      </c>
      <c r="AK612" s="55" t="e">
        <f t="shared" ca="1" si="188"/>
        <v>#N/A</v>
      </c>
    </row>
    <row r="613" spans="18:37">
      <c r="R613" s="55" t="e">
        <f ca="1"/>
        <v>#N/A</v>
      </c>
      <c r="S613" s="55" t="e">
        <f t="shared" ca="1" si="171"/>
        <v>#N/A</v>
      </c>
      <c r="T613" s="55" t="e">
        <f t="shared" ca="1" si="172"/>
        <v>#N/A</v>
      </c>
      <c r="U613" s="55" t="e">
        <f t="shared" ca="1" si="173"/>
        <v>#N/A</v>
      </c>
      <c r="V613" s="55" t="e">
        <f t="shared" ca="1" si="174"/>
        <v>#N/A</v>
      </c>
      <c r="W613" s="55" t="e">
        <f t="shared" ca="1" si="183"/>
        <v>#N/A</v>
      </c>
      <c r="X613" s="55" t="e">
        <f t="shared" ca="1" si="184"/>
        <v>#N/A</v>
      </c>
      <c r="Y613" s="55" t="e">
        <f t="shared" ca="1" si="185"/>
        <v>#N/A</v>
      </c>
      <c r="Z613" t="e">
        <f t="shared" ca="1" si="182"/>
        <v>#N/A</v>
      </c>
      <c r="AA613" t="e">
        <f t="shared" ca="1" si="175"/>
        <v>#N/A</v>
      </c>
      <c r="AB613" t="e">
        <f t="shared" ca="1" si="176"/>
        <v>#N/A</v>
      </c>
      <c r="AC613" t="e">
        <f t="shared" ca="1" si="177"/>
        <v>#N/A</v>
      </c>
      <c r="AD613" s="83" t="e">
        <f ca="1"/>
        <v>#N/A</v>
      </c>
      <c r="AE613" s="55" t="e">
        <f t="shared" ca="1" si="178"/>
        <v>#N/A</v>
      </c>
      <c r="AF613" s="55" t="e">
        <f t="shared" ca="1" si="179"/>
        <v>#N/A</v>
      </c>
      <c r="AG613" s="55" t="e">
        <f t="shared" ca="1" si="180"/>
        <v>#N/A</v>
      </c>
      <c r="AH613" s="55" t="e">
        <f t="shared" ca="1" si="181"/>
        <v>#N/A</v>
      </c>
      <c r="AI613" s="55" t="e">
        <f t="shared" ca="1" si="186"/>
        <v>#N/A</v>
      </c>
      <c r="AJ613" s="55" t="e">
        <f t="shared" ca="1" si="187"/>
        <v>#N/A</v>
      </c>
      <c r="AK613" s="55" t="e">
        <f t="shared" ca="1" si="188"/>
        <v>#N/A</v>
      </c>
    </row>
    <row r="614" spans="18:37">
      <c r="R614" s="55" t="e">
        <f ca="1"/>
        <v>#N/A</v>
      </c>
      <c r="S614" s="55" t="e">
        <f t="shared" ca="1" si="171"/>
        <v>#N/A</v>
      </c>
      <c r="T614" s="55" t="e">
        <f t="shared" ca="1" si="172"/>
        <v>#N/A</v>
      </c>
      <c r="U614" s="55" t="e">
        <f t="shared" ca="1" si="173"/>
        <v>#N/A</v>
      </c>
      <c r="V614" s="55" t="e">
        <f t="shared" ca="1" si="174"/>
        <v>#N/A</v>
      </c>
      <c r="W614" s="55" t="e">
        <f t="shared" ca="1" si="183"/>
        <v>#N/A</v>
      </c>
      <c r="X614" s="55" t="e">
        <f t="shared" ca="1" si="184"/>
        <v>#N/A</v>
      </c>
      <c r="Y614" s="55" t="e">
        <f t="shared" ca="1" si="185"/>
        <v>#N/A</v>
      </c>
      <c r="Z614" t="e">
        <f t="shared" ca="1" si="182"/>
        <v>#N/A</v>
      </c>
      <c r="AA614" t="e">
        <f t="shared" ca="1" si="175"/>
        <v>#N/A</v>
      </c>
      <c r="AB614" t="e">
        <f t="shared" ca="1" si="176"/>
        <v>#N/A</v>
      </c>
      <c r="AC614" t="e">
        <f t="shared" ca="1" si="177"/>
        <v>#N/A</v>
      </c>
      <c r="AD614" s="83" t="e">
        <f ca="1"/>
        <v>#N/A</v>
      </c>
      <c r="AE614" s="55" t="e">
        <f t="shared" ca="1" si="178"/>
        <v>#N/A</v>
      </c>
      <c r="AF614" s="55" t="e">
        <f t="shared" ca="1" si="179"/>
        <v>#N/A</v>
      </c>
      <c r="AG614" s="55" t="e">
        <f t="shared" ca="1" si="180"/>
        <v>#N/A</v>
      </c>
      <c r="AH614" s="55" t="e">
        <f t="shared" ca="1" si="181"/>
        <v>#N/A</v>
      </c>
      <c r="AI614" s="55" t="e">
        <f t="shared" ca="1" si="186"/>
        <v>#N/A</v>
      </c>
      <c r="AJ614" s="55" t="e">
        <f t="shared" ca="1" si="187"/>
        <v>#N/A</v>
      </c>
      <c r="AK614" s="55" t="e">
        <f t="shared" ca="1" si="188"/>
        <v>#N/A</v>
      </c>
    </row>
    <row r="615" spans="18:37">
      <c r="R615" s="55" t="e">
        <f ca="1"/>
        <v>#N/A</v>
      </c>
      <c r="S615" s="55" t="e">
        <f t="shared" ca="1" si="171"/>
        <v>#N/A</v>
      </c>
      <c r="T615" s="55" t="e">
        <f t="shared" ca="1" si="172"/>
        <v>#N/A</v>
      </c>
      <c r="U615" s="55" t="e">
        <f t="shared" ca="1" si="173"/>
        <v>#N/A</v>
      </c>
      <c r="V615" s="55" t="e">
        <f t="shared" ca="1" si="174"/>
        <v>#N/A</v>
      </c>
      <c r="W615" s="55" t="e">
        <f t="shared" ca="1" si="183"/>
        <v>#N/A</v>
      </c>
      <c r="X615" s="55" t="e">
        <f t="shared" ca="1" si="184"/>
        <v>#N/A</v>
      </c>
      <c r="Y615" s="55" t="e">
        <f t="shared" ca="1" si="185"/>
        <v>#N/A</v>
      </c>
      <c r="Z615" t="e">
        <f t="shared" ca="1" si="182"/>
        <v>#N/A</v>
      </c>
      <c r="AA615" t="e">
        <f t="shared" ca="1" si="175"/>
        <v>#N/A</v>
      </c>
      <c r="AB615" t="e">
        <f t="shared" ca="1" si="176"/>
        <v>#N/A</v>
      </c>
      <c r="AC615" t="e">
        <f t="shared" ca="1" si="177"/>
        <v>#N/A</v>
      </c>
      <c r="AD615" s="83" t="e">
        <f ca="1"/>
        <v>#N/A</v>
      </c>
      <c r="AE615" s="55" t="e">
        <f t="shared" ca="1" si="178"/>
        <v>#N/A</v>
      </c>
      <c r="AF615" s="55" t="e">
        <f t="shared" ca="1" si="179"/>
        <v>#N/A</v>
      </c>
      <c r="AG615" s="55" t="e">
        <f t="shared" ca="1" si="180"/>
        <v>#N/A</v>
      </c>
      <c r="AH615" s="55" t="e">
        <f t="shared" ca="1" si="181"/>
        <v>#N/A</v>
      </c>
      <c r="AI615" s="55" t="e">
        <f t="shared" ca="1" si="186"/>
        <v>#N/A</v>
      </c>
      <c r="AJ615" s="55" t="e">
        <f t="shared" ca="1" si="187"/>
        <v>#N/A</v>
      </c>
      <c r="AK615" s="55" t="e">
        <f t="shared" ca="1" si="188"/>
        <v>#N/A</v>
      </c>
    </row>
    <row r="616" spans="18:37">
      <c r="R616" s="55" t="e">
        <f ca="1"/>
        <v>#N/A</v>
      </c>
      <c r="S616" s="55" t="e">
        <f t="shared" ca="1" si="171"/>
        <v>#N/A</v>
      </c>
      <c r="T616" s="55" t="e">
        <f t="shared" ca="1" si="172"/>
        <v>#N/A</v>
      </c>
      <c r="U616" s="55" t="e">
        <f t="shared" ca="1" si="173"/>
        <v>#N/A</v>
      </c>
      <c r="V616" s="55" t="e">
        <f t="shared" ca="1" si="174"/>
        <v>#N/A</v>
      </c>
      <c r="W616" s="55" t="e">
        <f t="shared" ca="1" si="183"/>
        <v>#N/A</v>
      </c>
      <c r="X616" s="55" t="e">
        <f t="shared" ca="1" si="184"/>
        <v>#N/A</v>
      </c>
      <c r="Y616" s="55" t="e">
        <f t="shared" ca="1" si="185"/>
        <v>#N/A</v>
      </c>
      <c r="Z616" t="e">
        <f t="shared" ca="1" si="182"/>
        <v>#N/A</v>
      </c>
      <c r="AA616" t="e">
        <f t="shared" ca="1" si="175"/>
        <v>#N/A</v>
      </c>
      <c r="AB616" t="e">
        <f t="shared" ca="1" si="176"/>
        <v>#N/A</v>
      </c>
      <c r="AC616" t="e">
        <f t="shared" ca="1" si="177"/>
        <v>#N/A</v>
      </c>
      <c r="AD616" s="83" t="e">
        <f ca="1"/>
        <v>#N/A</v>
      </c>
      <c r="AE616" s="55" t="e">
        <f t="shared" ca="1" si="178"/>
        <v>#N/A</v>
      </c>
      <c r="AF616" s="55" t="e">
        <f t="shared" ca="1" si="179"/>
        <v>#N/A</v>
      </c>
      <c r="AG616" s="55" t="e">
        <f t="shared" ca="1" si="180"/>
        <v>#N/A</v>
      </c>
      <c r="AH616" s="55" t="e">
        <f t="shared" ca="1" si="181"/>
        <v>#N/A</v>
      </c>
      <c r="AI616" s="55" t="e">
        <f t="shared" ca="1" si="186"/>
        <v>#N/A</v>
      </c>
      <c r="AJ616" s="55" t="e">
        <f t="shared" ca="1" si="187"/>
        <v>#N/A</v>
      </c>
      <c r="AK616" s="55" t="e">
        <f t="shared" ca="1" si="188"/>
        <v>#N/A</v>
      </c>
    </row>
    <row r="617" spans="18:37">
      <c r="R617" s="55" t="e">
        <f ca="1"/>
        <v>#N/A</v>
      </c>
      <c r="S617" s="55" t="e">
        <f t="shared" ca="1" si="171"/>
        <v>#N/A</v>
      </c>
      <c r="T617" s="55" t="e">
        <f t="shared" ca="1" si="172"/>
        <v>#N/A</v>
      </c>
      <c r="U617" s="55" t="e">
        <f t="shared" ca="1" si="173"/>
        <v>#N/A</v>
      </c>
      <c r="V617" s="55" t="e">
        <f t="shared" ca="1" si="174"/>
        <v>#N/A</v>
      </c>
      <c r="W617" s="55" t="e">
        <f t="shared" ca="1" si="183"/>
        <v>#N/A</v>
      </c>
      <c r="X617" s="55" t="e">
        <f t="shared" ca="1" si="184"/>
        <v>#N/A</v>
      </c>
      <c r="Y617" s="55" t="e">
        <f t="shared" ca="1" si="185"/>
        <v>#N/A</v>
      </c>
      <c r="Z617" t="e">
        <f t="shared" ca="1" si="182"/>
        <v>#N/A</v>
      </c>
      <c r="AA617" t="e">
        <f t="shared" ca="1" si="175"/>
        <v>#N/A</v>
      </c>
      <c r="AB617" t="e">
        <f t="shared" ca="1" si="176"/>
        <v>#N/A</v>
      </c>
      <c r="AC617" t="e">
        <f t="shared" ca="1" si="177"/>
        <v>#N/A</v>
      </c>
      <c r="AD617" s="83" t="e">
        <f ca="1"/>
        <v>#N/A</v>
      </c>
      <c r="AE617" s="55" t="e">
        <f t="shared" ca="1" si="178"/>
        <v>#N/A</v>
      </c>
      <c r="AF617" s="55" t="e">
        <f t="shared" ca="1" si="179"/>
        <v>#N/A</v>
      </c>
      <c r="AG617" s="55" t="e">
        <f t="shared" ca="1" si="180"/>
        <v>#N/A</v>
      </c>
      <c r="AH617" s="55" t="e">
        <f t="shared" ca="1" si="181"/>
        <v>#N/A</v>
      </c>
      <c r="AI617" s="55" t="e">
        <f t="shared" ca="1" si="186"/>
        <v>#N/A</v>
      </c>
      <c r="AJ617" s="55" t="e">
        <f t="shared" ca="1" si="187"/>
        <v>#N/A</v>
      </c>
      <c r="AK617" s="55" t="e">
        <f t="shared" ca="1" si="188"/>
        <v>#N/A</v>
      </c>
    </row>
    <row r="618" spans="18:37">
      <c r="R618" s="55" t="e">
        <f ca="1"/>
        <v>#N/A</v>
      </c>
      <c r="S618" s="55" t="e">
        <f t="shared" ca="1" si="171"/>
        <v>#N/A</v>
      </c>
      <c r="T618" s="55" t="e">
        <f t="shared" ca="1" si="172"/>
        <v>#N/A</v>
      </c>
      <c r="U618" s="55" t="e">
        <f t="shared" ca="1" si="173"/>
        <v>#N/A</v>
      </c>
      <c r="V618" s="55" t="e">
        <f t="shared" ca="1" si="174"/>
        <v>#N/A</v>
      </c>
      <c r="W618" s="55" t="e">
        <f t="shared" ca="1" si="183"/>
        <v>#N/A</v>
      </c>
      <c r="X618" s="55" t="e">
        <f t="shared" ca="1" si="184"/>
        <v>#N/A</v>
      </c>
      <c r="Y618" s="55" t="e">
        <f t="shared" ca="1" si="185"/>
        <v>#N/A</v>
      </c>
      <c r="Z618" t="e">
        <f t="shared" ca="1" si="182"/>
        <v>#N/A</v>
      </c>
      <c r="AA618" t="e">
        <f t="shared" ca="1" si="175"/>
        <v>#N/A</v>
      </c>
      <c r="AB618" t="e">
        <f t="shared" ca="1" si="176"/>
        <v>#N/A</v>
      </c>
      <c r="AC618" t="e">
        <f t="shared" ca="1" si="177"/>
        <v>#N/A</v>
      </c>
      <c r="AD618" s="83" t="e">
        <f ca="1"/>
        <v>#N/A</v>
      </c>
      <c r="AE618" s="55" t="e">
        <f t="shared" ca="1" si="178"/>
        <v>#N/A</v>
      </c>
      <c r="AF618" s="55" t="e">
        <f t="shared" ca="1" si="179"/>
        <v>#N/A</v>
      </c>
      <c r="AG618" s="55" t="e">
        <f t="shared" ca="1" si="180"/>
        <v>#N/A</v>
      </c>
      <c r="AH618" s="55" t="e">
        <f t="shared" ca="1" si="181"/>
        <v>#N/A</v>
      </c>
      <c r="AI618" s="55" t="e">
        <f t="shared" ca="1" si="186"/>
        <v>#N/A</v>
      </c>
      <c r="AJ618" s="55" t="e">
        <f t="shared" ca="1" si="187"/>
        <v>#N/A</v>
      </c>
      <c r="AK618" s="55" t="e">
        <f t="shared" ca="1" si="188"/>
        <v>#N/A</v>
      </c>
    </row>
    <row r="619" spans="18:37">
      <c r="R619" s="55" t="e">
        <f ca="1"/>
        <v>#N/A</v>
      </c>
      <c r="S619" s="55" t="e">
        <f t="shared" ca="1" si="171"/>
        <v>#N/A</v>
      </c>
      <c r="T619" s="55" t="e">
        <f t="shared" ca="1" si="172"/>
        <v>#N/A</v>
      </c>
      <c r="U619" s="55" t="e">
        <f t="shared" ca="1" si="173"/>
        <v>#N/A</v>
      </c>
      <c r="V619" s="55" t="e">
        <f t="shared" ca="1" si="174"/>
        <v>#N/A</v>
      </c>
      <c r="W619" s="55" t="e">
        <f t="shared" ca="1" si="183"/>
        <v>#N/A</v>
      </c>
      <c r="X619" s="55" t="e">
        <f t="shared" ca="1" si="184"/>
        <v>#N/A</v>
      </c>
      <c r="Y619" s="55" t="e">
        <f t="shared" ca="1" si="185"/>
        <v>#N/A</v>
      </c>
      <c r="Z619" t="e">
        <f t="shared" ca="1" si="182"/>
        <v>#N/A</v>
      </c>
      <c r="AA619" t="e">
        <f t="shared" ca="1" si="175"/>
        <v>#N/A</v>
      </c>
      <c r="AB619" t="e">
        <f t="shared" ca="1" si="176"/>
        <v>#N/A</v>
      </c>
      <c r="AC619" t="e">
        <f t="shared" ca="1" si="177"/>
        <v>#N/A</v>
      </c>
      <c r="AD619" s="83" t="e">
        <f ca="1"/>
        <v>#N/A</v>
      </c>
      <c r="AE619" s="55" t="e">
        <f t="shared" ca="1" si="178"/>
        <v>#N/A</v>
      </c>
      <c r="AF619" s="55" t="e">
        <f t="shared" ca="1" si="179"/>
        <v>#N/A</v>
      </c>
      <c r="AG619" s="55" t="e">
        <f t="shared" ca="1" si="180"/>
        <v>#N/A</v>
      </c>
      <c r="AH619" s="55" t="e">
        <f t="shared" ca="1" si="181"/>
        <v>#N/A</v>
      </c>
      <c r="AI619" s="55" t="e">
        <f t="shared" ca="1" si="186"/>
        <v>#N/A</v>
      </c>
      <c r="AJ619" s="55" t="e">
        <f t="shared" ca="1" si="187"/>
        <v>#N/A</v>
      </c>
      <c r="AK619" s="55" t="e">
        <f t="shared" ca="1" si="188"/>
        <v>#N/A</v>
      </c>
    </row>
    <row r="620" spans="18:37">
      <c r="R620" s="55" t="e">
        <f ca="1"/>
        <v>#N/A</v>
      </c>
      <c r="S620" s="55" t="e">
        <f t="shared" ca="1" si="171"/>
        <v>#N/A</v>
      </c>
      <c r="T620" s="55" t="e">
        <f t="shared" ca="1" si="172"/>
        <v>#N/A</v>
      </c>
      <c r="U620" s="55" t="e">
        <f t="shared" ca="1" si="173"/>
        <v>#N/A</v>
      </c>
      <c r="V620" s="55" t="e">
        <f t="shared" ca="1" si="174"/>
        <v>#N/A</v>
      </c>
      <c r="W620" s="55" t="e">
        <f t="shared" ca="1" si="183"/>
        <v>#N/A</v>
      </c>
      <c r="X620" s="55" t="e">
        <f t="shared" ca="1" si="184"/>
        <v>#N/A</v>
      </c>
      <c r="Y620" s="55" t="e">
        <f t="shared" ca="1" si="185"/>
        <v>#N/A</v>
      </c>
      <c r="Z620" t="e">
        <f t="shared" ca="1" si="182"/>
        <v>#N/A</v>
      </c>
      <c r="AA620" t="e">
        <f t="shared" ca="1" si="175"/>
        <v>#N/A</v>
      </c>
      <c r="AB620" t="e">
        <f t="shared" ca="1" si="176"/>
        <v>#N/A</v>
      </c>
      <c r="AC620" t="e">
        <f t="shared" ca="1" si="177"/>
        <v>#N/A</v>
      </c>
      <c r="AD620" s="83" t="e">
        <f ca="1"/>
        <v>#N/A</v>
      </c>
      <c r="AE620" s="55" t="e">
        <f t="shared" ca="1" si="178"/>
        <v>#N/A</v>
      </c>
      <c r="AF620" s="55" t="e">
        <f t="shared" ca="1" si="179"/>
        <v>#N/A</v>
      </c>
      <c r="AG620" s="55" t="e">
        <f t="shared" ca="1" si="180"/>
        <v>#N/A</v>
      </c>
      <c r="AH620" s="55" t="e">
        <f t="shared" ca="1" si="181"/>
        <v>#N/A</v>
      </c>
      <c r="AI620" s="55" t="e">
        <f t="shared" ca="1" si="186"/>
        <v>#N/A</v>
      </c>
      <c r="AJ620" s="55" t="e">
        <f t="shared" ca="1" si="187"/>
        <v>#N/A</v>
      </c>
      <c r="AK620" s="55" t="e">
        <f t="shared" ca="1" si="188"/>
        <v>#N/A</v>
      </c>
    </row>
    <row r="621" spans="18:37">
      <c r="R621" s="55" t="e">
        <f ca="1"/>
        <v>#N/A</v>
      </c>
      <c r="S621" s="55" t="e">
        <f t="shared" ca="1" si="171"/>
        <v>#N/A</v>
      </c>
      <c r="T621" s="55" t="e">
        <f t="shared" ca="1" si="172"/>
        <v>#N/A</v>
      </c>
      <c r="U621" s="55" t="e">
        <f t="shared" ca="1" si="173"/>
        <v>#N/A</v>
      </c>
      <c r="V621" s="55" t="e">
        <f t="shared" ca="1" si="174"/>
        <v>#N/A</v>
      </c>
      <c r="W621" s="55" t="e">
        <f t="shared" ca="1" si="183"/>
        <v>#N/A</v>
      </c>
      <c r="X621" s="55" t="e">
        <f t="shared" ca="1" si="184"/>
        <v>#N/A</v>
      </c>
      <c r="Y621" s="55" t="e">
        <f t="shared" ca="1" si="185"/>
        <v>#N/A</v>
      </c>
      <c r="Z621" t="e">
        <f t="shared" ca="1" si="182"/>
        <v>#N/A</v>
      </c>
      <c r="AA621" t="e">
        <f t="shared" ca="1" si="175"/>
        <v>#N/A</v>
      </c>
      <c r="AB621" t="e">
        <f t="shared" ca="1" si="176"/>
        <v>#N/A</v>
      </c>
      <c r="AC621" t="e">
        <f t="shared" ca="1" si="177"/>
        <v>#N/A</v>
      </c>
      <c r="AD621" s="83" t="e">
        <f ca="1"/>
        <v>#N/A</v>
      </c>
      <c r="AE621" s="55" t="e">
        <f t="shared" ca="1" si="178"/>
        <v>#N/A</v>
      </c>
      <c r="AF621" s="55" t="e">
        <f t="shared" ca="1" si="179"/>
        <v>#N/A</v>
      </c>
      <c r="AG621" s="55" t="e">
        <f t="shared" ca="1" si="180"/>
        <v>#N/A</v>
      </c>
      <c r="AH621" s="55" t="e">
        <f t="shared" ca="1" si="181"/>
        <v>#N/A</v>
      </c>
      <c r="AI621" s="55" t="e">
        <f t="shared" ca="1" si="186"/>
        <v>#N/A</v>
      </c>
      <c r="AJ621" s="55" t="e">
        <f t="shared" ca="1" si="187"/>
        <v>#N/A</v>
      </c>
      <c r="AK621" s="55" t="e">
        <f t="shared" ca="1" si="188"/>
        <v>#N/A</v>
      </c>
    </row>
    <row r="622" spans="18:37">
      <c r="R622" s="55" t="e">
        <f ca="1"/>
        <v>#N/A</v>
      </c>
      <c r="S622" s="55" t="e">
        <f t="shared" ca="1" si="171"/>
        <v>#N/A</v>
      </c>
      <c r="T622" s="55" t="e">
        <f t="shared" ca="1" si="172"/>
        <v>#N/A</v>
      </c>
      <c r="U622" s="55" t="e">
        <f t="shared" ca="1" si="173"/>
        <v>#N/A</v>
      </c>
      <c r="V622" s="55" t="e">
        <f t="shared" ca="1" si="174"/>
        <v>#N/A</v>
      </c>
      <c r="W622" s="55" t="e">
        <f t="shared" ca="1" si="183"/>
        <v>#N/A</v>
      </c>
      <c r="X622" s="55" t="e">
        <f t="shared" ca="1" si="184"/>
        <v>#N/A</v>
      </c>
      <c r="Y622" s="55" t="e">
        <f t="shared" ca="1" si="185"/>
        <v>#N/A</v>
      </c>
      <c r="Z622" t="e">
        <f t="shared" ca="1" si="182"/>
        <v>#N/A</v>
      </c>
      <c r="AA622" t="e">
        <f t="shared" ca="1" si="175"/>
        <v>#N/A</v>
      </c>
      <c r="AB622" t="e">
        <f t="shared" ca="1" si="176"/>
        <v>#N/A</v>
      </c>
      <c r="AC622" t="e">
        <f t="shared" ca="1" si="177"/>
        <v>#N/A</v>
      </c>
      <c r="AD622" s="83" t="e">
        <f ca="1"/>
        <v>#N/A</v>
      </c>
      <c r="AE622" s="55" t="e">
        <f t="shared" ca="1" si="178"/>
        <v>#N/A</v>
      </c>
      <c r="AF622" s="55" t="e">
        <f t="shared" ca="1" si="179"/>
        <v>#N/A</v>
      </c>
      <c r="AG622" s="55" t="e">
        <f t="shared" ca="1" si="180"/>
        <v>#N/A</v>
      </c>
      <c r="AH622" s="55" t="e">
        <f t="shared" ca="1" si="181"/>
        <v>#N/A</v>
      </c>
      <c r="AI622" s="55" t="e">
        <f t="shared" ca="1" si="186"/>
        <v>#N/A</v>
      </c>
      <c r="AJ622" s="55" t="e">
        <f t="shared" ca="1" si="187"/>
        <v>#N/A</v>
      </c>
      <c r="AK622" s="55" t="e">
        <f t="shared" ca="1" si="188"/>
        <v>#N/A</v>
      </c>
    </row>
    <row r="623" spans="18:37">
      <c r="R623" s="55" t="e">
        <f ca="1"/>
        <v>#N/A</v>
      </c>
      <c r="S623" s="55" t="e">
        <f t="shared" ca="1" si="171"/>
        <v>#N/A</v>
      </c>
      <c r="T623" s="55" t="e">
        <f t="shared" ca="1" si="172"/>
        <v>#N/A</v>
      </c>
      <c r="U623" s="55" t="e">
        <f t="shared" ca="1" si="173"/>
        <v>#N/A</v>
      </c>
      <c r="V623" s="55" t="e">
        <f t="shared" ca="1" si="174"/>
        <v>#N/A</v>
      </c>
      <c r="W623" s="55" t="e">
        <f t="shared" ca="1" si="183"/>
        <v>#N/A</v>
      </c>
      <c r="X623" s="55" t="e">
        <f t="shared" ca="1" si="184"/>
        <v>#N/A</v>
      </c>
      <c r="Y623" s="55" t="e">
        <f t="shared" ca="1" si="185"/>
        <v>#N/A</v>
      </c>
      <c r="Z623" t="e">
        <f t="shared" ca="1" si="182"/>
        <v>#N/A</v>
      </c>
      <c r="AA623" t="e">
        <f t="shared" ca="1" si="175"/>
        <v>#N/A</v>
      </c>
      <c r="AB623" t="e">
        <f t="shared" ca="1" si="176"/>
        <v>#N/A</v>
      </c>
      <c r="AC623" t="e">
        <f t="shared" ca="1" si="177"/>
        <v>#N/A</v>
      </c>
      <c r="AD623" s="83" t="e">
        <f ca="1"/>
        <v>#N/A</v>
      </c>
      <c r="AE623" s="55" t="e">
        <f t="shared" ca="1" si="178"/>
        <v>#N/A</v>
      </c>
      <c r="AF623" s="55" t="e">
        <f t="shared" ca="1" si="179"/>
        <v>#N/A</v>
      </c>
      <c r="AG623" s="55" t="e">
        <f t="shared" ca="1" si="180"/>
        <v>#N/A</v>
      </c>
      <c r="AH623" s="55" t="e">
        <f t="shared" ca="1" si="181"/>
        <v>#N/A</v>
      </c>
      <c r="AI623" s="55" t="e">
        <f t="shared" ca="1" si="186"/>
        <v>#N/A</v>
      </c>
      <c r="AJ623" s="55" t="e">
        <f t="shared" ca="1" si="187"/>
        <v>#N/A</v>
      </c>
      <c r="AK623" s="55" t="e">
        <f t="shared" ca="1" si="188"/>
        <v>#N/A</v>
      </c>
    </row>
    <row r="624" spans="18:37">
      <c r="R624" s="55" t="e">
        <f ca="1"/>
        <v>#N/A</v>
      </c>
      <c r="S624" s="55" t="e">
        <f t="shared" ca="1" si="171"/>
        <v>#N/A</v>
      </c>
      <c r="T624" s="55" t="e">
        <f t="shared" ca="1" si="172"/>
        <v>#N/A</v>
      </c>
      <c r="U624" s="55" t="e">
        <f t="shared" ca="1" si="173"/>
        <v>#N/A</v>
      </c>
      <c r="V624" s="55" t="e">
        <f t="shared" ca="1" si="174"/>
        <v>#N/A</v>
      </c>
      <c r="W624" s="55" t="e">
        <f t="shared" ca="1" si="183"/>
        <v>#N/A</v>
      </c>
      <c r="X624" s="55" t="e">
        <f t="shared" ca="1" si="184"/>
        <v>#N/A</v>
      </c>
      <c r="Y624" s="55" t="e">
        <f t="shared" ca="1" si="185"/>
        <v>#N/A</v>
      </c>
      <c r="Z624" t="e">
        <f t="shared" ca="1" si="182"/>
        <v>#N/A</v>
      </c>
      <c r="AA624" t="e">
        <f t="shared" ca="1" si="175"/>
        <v>#N/A</v>
      </c>
      <c r="AB624" t="e">
        <f t="shared" ca="1" si="176"/>
        <v>#N/A</v>
      </c>
      <c r="AC624" t="e">
        <f t="shared" ca="1" si="177"/>
        <v>#N/A</v>
      </c>
      <c r="AD624" s="83" t="e">
        <f ca="1"/>
        <v>#N/A</v>
      </c>
      <c r="AE624" s="55" t="e">
        <f t="shared" ca="1" si="178"/>
        <v>#N/A</v>
      </c>
      <c r="AF624" s="55" t="e">
        <f t="shared" ca="1" si="179"/>
        <v>#N/A</v>
      </c>
      <c r="AG624" s="55" t="e">
        <f t="shared" ca="1" si="180"/>
        <v>#N/A</v>
      </c>
      <c r="AH624" s="55" t="e">
        <f t="shared" ca="1" si="181"/>
        <v>#N/A</v>
      </c>
      <c r="AI624" s="55" t="e">
        <f t="shared" ca="1" si="186"/>
        <v>#N/A</v>
      </c>
      <c r="AJ624" s="55" t="e">
        <f t="shared" ca="1" si="187"/>
        <v>#N/A</v>
      </c>
      <c r="AK624" s="55" t="e">
        <f t="shared" ca="1" si="188"/>
        <v>#N/A</v>
      </c>
    </row>
    <row r="625" spans="18:37">
      <c r="R625" s="55" t="e">
        <f ca="1"/>
        <v>#N/A</v>
      </c>
      <c r="S625" s="55" t="e">
        <f t="shared" ca="1" si="171"/>
        <v>#N/A</v>
      </c>
      <c r="T625" s="55" t="e">
        <f t="shared" ca="1" si="172"/>
        <v>#N/A</v>
      </c>
      <c r="U625" s="55" t="e">
        <f t="shared" ca="1" si="173"/>
        <v>#N/A</v>
      </c>
      <c r="V625" s="55" t="e">
        <f t="shared" ca="1" si="174"/>
        <v>#N/A</v>
      </c>
      <c r="W625" s="55" t="e">
        <f t="shared" ca="1" si="183"/>
        <v>#N/A</v>
      </c>
      <c r="X625" s="55" t="e">
        <f t="shared" ca="1" si="184"/>
        <v>#N/A</v>
      </c>
      <c r="Y625" s="55" t="e">
        <f t="shared" ca="1" si="185"/>
        <v>#N/A</v>
      </c>
      <c r="Z625" t="e">
        <f t="shared" ca="1" si="182"/>
        <v>#N/A</v>
      </c>
      <c r="AA625" t="e">
        <f t="shared" ca="1" si="175"/>
        <v>#N/A</v>
      </c>
      <c r="AB625" t="e">
        <f t="shared" ca="1" si="176"/>
        <v>#N/A</v>
      </c>
      <c r="AC625" t="e">
        <f t="shared" ca="1" si="177"/>
        <v>#N/A</v>
      </c>
      <c r="AD625" s="83" t="e">
        <f ca="1"/>
        <v>#N/A</v>
      </c>
      <c r="AE625" s="55" t="e">
        <f t="shared" ca="1" si="178"/>
        <v>#N/A</v>
      </c>
      <c r="AF625" s="55" t="e">
        <f t="shared" ca="1" si="179"/>
        <v>#N/A</v>
      </c>
      <c r="AG625" s="55" t="e">
        <f t="shared" ca="1" si="180"/>
        <v>#N/A</v>
      </c>
      <c r="AH625" s="55" t="e">
        <f t="shared" ca="1" si="181"/>
        <v>#N/A</v>
      </c>
      <c r="AI625" s="55" t="e">
        <f t="shared" ca="1" si="186"/>
        <v>#N/A</v>
      </c>
      <c r="AJ625" s="55" t="e">
        <f t="shared" ca="1" si="187"/>
        <v>#N/A</v>
      </c>
      <c r="AK625" s="55" t="e">
        <f t="shared" ca="1" si="188"/>
        <v>#N/A</v>
      </c>
    </row>
    <row r="626" spans="18:37">
      <c r="R626" s="55" t="e">
        <f ca="1"/>
        <v>#N/A</v>
      </c>
      <c r="S626" s="55" t="e">
        <f t="shared" ca="1" si="171"/>
        <v>#N/A</v>
      </c>
      <c r="T626" s="55" t="e">
        <f t="shared" ca="1" si="172"/>
        <v>#N/A</v>
      </c>
      <c r="U626" s="55" t="e">
        <f t="shared" ca="1" si="173"/>
        <v>#N/A</v>
      </c>
      <c r="V626" s="55" t="e">
        <f t="shared" ca="1" si="174"/>
        <v>#N/A</v>
      </c>
      <c r="W626" s="55" t="e">
        <f t="shared" ca="1" si="183"/>
        <v>#N/A</v>
      </c>
      <c r="X626" s="55" t="e">
        <f t="shared" ca="1" si="184"/>
        <v>#N/A</v>
      </c>
      <c r="Y626" s="55" t="e">
        <f t="shared" ca="1" si="185"/>
        <v>#N/A</v>
      </c>
      <c r="Z626" t="e">
        <f t="shared" ca="1" si="182"/>
        <v>#N/A</v>
      </c>
      <c r="AA626" t="e">
        <f t="shared" ca="1" si="175"/>
        <v>#N/A</v>
      </c>
      <c r="AB626" t="e">
        <f t="shared" ca="1" si="176"/>
        <v>#N/A</v>
      </c>
      <c r="AC626" t="e">
        <f t="shared" ca="1" si="177"/>
        <v>#N/A</v>
      </c>
      <c r="AD626" s="83" t="e">
        <f ca="1"/>
        <v>#N/A</v>
      </c>
      <c r="AE626" s="55" t="e">
        <f t="shared" ca="1" si="178"/>
        <v>#N/A</v>
      </c>
      <c r="AF626" s="55" t="e">
        <f t="shared" ca="1" si="179"/>
        <v>#N/A</v>
      </c>
      <c r="AG626" s="55" t="e">
        <f t="shared" ca="1" si="180"/>
        <v>#N/A</v>
      </c>
      <c r="AH626" s="55" t="e">
        <f t="shared" ca="1" si="181"/>
        <v>#N/A</v>
      </c>
      <c r="AI626" s="55" t="e">
        <f t="shared" ca="1" si="186"/>
        <v>#N/A</v>
      </c>
      <c r="AJ626" s="55" t="e">
        <f t="shared" ca="1" si="187"/>
        <v>#N/A</v>
      </c>
      <c r="AK626" s="55" t="e">
        <f t="shared" ca="1" si="188"/>
        <v>#N/A</v>
      </c>
    </row>
    <row r="627" spans="18:37">
      <c r="R627" s="55" t="e">
        <f ca="1"/>
        <v>#N/A</v>
      </c>
      <c r="S627" s="55" t="e">
        <f t="shared" ca="1" si="171"/>
        <v>#N/A</v>
      </c>
      <c r="T627" s="55" t="e">
        <f t="shared" ca="1" si="172"/>
        <v>#N/A</v>
      </c>
      <c r="U627" s="55" t="e">
        <f t="shared" ca="1" si="173"/>
        <v>#N/A</v>
      </c>
      <c r="V627" s="55" t="e">
        <f t="shared" ca="1" si="174"/>
        <v>#N/A</v>
      </c>
      <c r="W627" s="55" t="e">
        <f t="shared" ca="1" si="183"/>
        <v>#N/A</v>
      </c>
      <c r="X627" s="55" t="e">
        <f t="shared" ca="1" si="184"/>
        <v>#N/A</v>
      </c>
      <c r="Y627" s="55" t="e">
        <f t="shared" ca="1" si="185"/>
        <v>#N/A</v>
      </c>
      <c r="Z627" t="e">
        <f t="shared" ca="1" si="182"/>
        <v>#N/A</v>
      </c>
      <c r="AA627" t="e">
        <f t="shared" ca="1" si="175"/>
        <v>#N/A</v>
      </c>
      <c r="AB627" t="e">
        <f t="shared" ca="1" si="176"/>
        <v>#N/A</v>
      </c>
      <c r="AC627" t="e">
        <f t="shared" ca="1" si="177"/>
        <v>#N/A</v>
      </c>
      <c r="AD627" s="83" t="e">
        <f ca="1"/>
        <v>#N/A</v>
      </c>
      <c r="AE627" s="55" t="e">
        <f t="shared" ca="1" si="178"/>
        <v>#N/A</v>
      </c>
      <c r="AF627" s="55" t="e">
        <f t="shared" ca="1" si="179"/>
        <v>#N/A</v>
      </c>
      <c r="AG627" s="55" t="e">
        <f t="shared" ca="1" si="180"/>
        <v>#N/A</v>
      </c>
      <c r="AH627" s="55" t="e">
        <f t="shared" ca="1" si="181"/>
        <v>#N/A</v>
      </c>
      <c r="AI627" s="55" t="e">
        <f t="shared" ca="1" si="186"/>
        <v>#N/A</v>
      </c>
      <c r="AJ627" s="55" t="e">
        <f t="shared" ca="1" si="187"/>
        <v>#N/A</v>
      </c>
      <c r="AK627" s="55" t="e">
        <f t="shared" ca="1" si="188"/>
        <v>#N/A</v>
      </c>
    </row>
    <row r="628" spans="18:37">
      <c r="R628" s="55" t="e">
        <f ca="1"/>
        <v>#N/A</v>
      </c>
      <c r="S628" s="55" t="e">
        <f t="shared" ca="1" si="171"/>
        <v>#N/A</v>
      </c>
      <c r="T628" s="55" t="e">
        <f t="shared" ca="1" si="172"/>
        <v>#N/A</v>
      </c>
      <c r="U628" s="55" t="e">
        <f t="shared" ca="1" si="173"/>
        <v>#N/A</v>
      </c>
      <c r="V628" s="55" t="e">
        <f t="shared" ca="1" si="174"/>
        <v>#N/A</v>
      </c>
      <c r="W628" s="55" t="e">
        <f t="shared" ca="1" si="183"/>
        <v>#N/A</v>
      </c>
      <c r="X628" s="55" t="e">
        <f t="shared" ca="1" si="184"/>
        <v>#N/A</v>
      </c>
      <c r="Y628" s="55" t="e">
        <f t="shared" ca="1" si="185"/>
        <v>#N/A</v>
      </c>
      <c r="Z628" t="e">
        <f t="shared" ca="1" si="182"/>
        <v>#N/A</v>
      </c>
      <c r="AA628" t="e">
        <f t="shared" ca="1" si="175"/>
        <v>#N/A</v>
      </c>
      <c r="AB628" t="e">
        <f t="shared" ca="1" si="176"/>
        <v>#N/A</v>
      </c>
      <c r="AC628" t="e">
        <f t="shared" ca="1" si="177"/>
        <v>#N/A</v>
      </c>
      <c r="AD628" s="83" t="e">
        <f ca="1"/>
        <v>#N/A</v>
      </c>
      <c r="AE628" s="55" t="e">
        <f t="shared" ca="1" si="178"/>
        <v>#N/A</v>
      </c>
      <c r="AF628" s="55" t="e">
        <f t="shared" ca="1" si="179"/>
        <v>#N/A</v>
      </c>
      <c r="AG628" s="55" t="e">
        <f t="shared" ca="1" si="180"/>
        <v>#N/A</v>
      </c>
      <c r="AH628" s="55" t="e">
        <f t="shared" ca="1" si="181"/>
        <v>#N/A</v>
      </c>
      <c r="AI628" s="55" t="e">
        <f t="shared" ca="1" si="186"/>
        <v>#N/A</v>
      </c>
      <c r="AJ628" s="55" t="e">
        <f t="shared" ca="1" si="187"/>
        <v>#N/A</v>
      </c>
      <c r="AK628" s="55" t="e">
        <f t="shared" ca="1" si="188"/>
        <v>#N/A</v>
      </c>
    </row>
    <row r="629" spans="18:37">
      <c r="R629" s="55" t="e">
        <f ca="1"/>
        <v>#N/A</v>
      </c>
      <c r="S629" s="55" t="e">
        <f t="shared" ca="1" si="171"/>
        <v>#N/A</v>
      </c>
      <c r="T629" s="55" t="e">
        <f t="shared" ca="1" si="172"/>
        <v>#N/A</v>
      </c>
      <c r="U629" s="55" t="e">
        <f t="shared" ca="1" si="173"/>
        <v>#N/A</v>
      </c>
      <c r="V629" s="55" t="e">
        <f t="shared" ca="1" si="174"/>
        <v>#N/A</v>
      </c>
      <c r="W629" s="55" t="e">
        <f t="shared" ca="1" si="183"/>
        <v>#N/A</v>
      </c>
      <c r="X629" s="55" t="e">
        <f t="shared" ca="1" si="184"/>
        <v>#N/A</v>
      </c>
      <c r="Y629" s="55" t="e">
        <f t="shared" ca="1" si="185"/>
        <v>#N/A</v>
      </c>
      <c r="Z629" t="e">
        <f t="shared" ca="1" si="182"/>
        <v>#N/A</v>
      </c>
      <c r="AA629" t="e">
        <f t="shared" ca="1" si="175"/>
        <v>#N/A</v>
      </c>
      <c r="AB629" t="e">
        <f t="shared" ca="1" si="176"/>
        <v>#N/A</v>
      </c>
      <c r="AC629" t="e">
        <f t="shared" ca="1" si="177"/>
        <v>#N/A</v>
      </c>
      <c r="AD629" s="83" t="e">
        <f ca="1"/>
        <v>#N/A</v>
      </c>
      <c r="AE629" s="55" t="e">
        <f t="shared" ca="1" si="178"/>
        <v>#N/A</v>
      </c>
      <c r="AF629" s="55" t="e">
        <f t="shared" ca="1" si="179"/>
        <v>#N/A</v>
      </c>
      <c r="AG629" s="55" t="e">
        <f t="shared" ca="1" si="180"/>
        <v>#N/A</v>
      </c>
      <c r="AH629" s="55" t="e">
        <f t="shared" ca="1" si="181"/>
        <v>#N/A</v>
      </c>
      <c r="AI629" s="55" t="e">
        <f t="shared" ca="1" si="186"/>
        <v>#N/A</v>
      </c>
      <c r="AJ629" s="55" t="e">
        <f t="shared" ca="1" si="187"/>
        <v>#N/A</v>
      </c>
      <c r="AK629" s="55" t="e">
        <f t="shared" ca="1" si="188"/>
        <v>#N/A</v>
      </c>
    </row>
    <row r="630" spans="18:37">
      <c r="R630" s="55" t="e">
        <f ca="1"/>
        <v>#N/A</v>
      </c>
      <c r="S630" s="55" t="e">
        <f t="shared" ca="1" si="171"/>
        <v>#N/A</v>
      </c>
      <c r="T630" s="55" t="e">
        <f t="shared" ca="1" si="172"/>
        <v>#N/A</v>
      </c>
      <c r="U630" s="55" t="e">
        <f t="shared" ca="1" si="173"/>
        <v>#N/A</v>
      </c>
      <c r="V630" s="55" t="e">
        <f t="shared" ca="1" si="174"/>
        <v>#N/A</v>
      </c>
      <c r="W630" s="55" t="e">
        <f t="shared" ca="1" si="183"/>
        <v>#N/A</v>
      </c>
      <c r="X630" s="55" t="e">
        <f t="shared" ca="1" si="184"/>
        <v>#N/A</v>
      </c>
      <c r="Y630" s="55" t="e">
        <f t="shared" ca="1" si="185"/>
        <v>#N/A</v>
      </c>
      <c r="Z630" t="e">
        <f t="shared" ca="1" si="182"/>
        <v>#N/A</v>
      </c>
      <c r="AA630" t="e">
        <f t="shared" ca="1" si="175"/>
        <v>#N/A</v>
      </c>
      <c r="AB630" t="e">
        <f t="shared" ca="1" si="176"/>
        <v>#N/A</v>
      </c>
      <c r="AC630" t="e">
        <f t="shared" ca="1" si="177"/>
        <v>#N/A</v>
      </c>
      <c r="AD630" s="83" t="e">
        <f ca="1"/>
        <v>#N/A</v>
      </c>
      <c r="AE630" s="55" t="e">
        <f t="shared" ca="1" si="178"/>
        <v>#N/A</v>
      </c>
      <c r="AF630" s="55" t="e">
        <f t="shared" ca="1" si="179"/>
        <v>#N/A</v>
      </c>
      <c r="AG630" s="55" t="e">
        <f t="shared" ca="1" si="180"/>
        <v>#N/A</v>
      </c>
      <c r="AH630" s="55" t="e">
        <f t="shared" ca="1" si="181"/>
        <v>#N/A</v>
      </c>
      <c r="AI630" s="55" t="e">
        <f t="shared" ca="1" si="186"/>
        <v>#N/A</v>
      </c>
      <c r="AJ630" s="55" t="e">
        <f t="shared" ca="1" si="187"/>
        <v>#N/A</v>
      </c>
      <c r="AK630" s="55" t="e">
        <f t="shared" ca="1" si="188"/>
        <v>#N/A</v>
      </c>
    </row>
    <row r="631" spans="18:37">
      <c r="R631" s="55" t="e">
        <f ca="1"/>
        <v>#N/A</v>
      </c>
      <c r="S631" s="55" t="e">
        <f t="shared" ca="1" si="171"/>
        <v>#N/A</v>
      </c>
      <c r="T631" s="55" t="e">
        <f t="shared" ca="1" si="172"/>
        <v>#N/A</v>
      </c>
      <c r="U631" s="55" t="e">
        <f t="shared" ca="1" si="173"/>
        <v>#N/A</v>
      </c>
      <c r="V631" s="55" t="e">
        <f t="shared" ca="1" si="174"/>
        <v>#N/A</v>
      </c>
      <c r="W631" s="55" t="e">
        <f t="shared" ca="1" si="183"/>
        <v>#N/A</v>
      </c>
      <c r="X631" s="55" t="e">
        <f t="shared" ca="1" si="184"/>
        <v>#N/A</v>
      </c>
      <c r="Y631" s="55" t="e">
        <f t="shared" ca="1" si="185"/>
        <v>#N/A</v>
      </c>
      <c r="Z631" t="e">
        <f t="shared" ca="1" si="182"/>
        <v>#N/A</v>
      </c>
      <c r="AA631" t="e">
        <f t="shared" ca="1" si="175"/>
        <v>#N/A</v>
      </c>
      <c r="AB631" t="e">
        <f t="shared" ca="1" si="176"/>
        <v>#N/A</v>
      </c>
      <c r="AC631" t="e">
        <f t="shared" ca="1" si="177"/>
        <v>#N/A</v>
      </c>
      <c r="AD631" s="83" t="e">
        <f ca="1"/>
        <v>#N/A</v>
      </c>
      <c r="AE631" s="55" t="e">
        <f t="shared" ca="1" si="178"/>
        <v>#N/A</v>
      </c>
      <c r="AF631" s="55" t="e">
        <f t="shared" ca="1" si="179"/>
        <v>#N/A</v>
      </c>
      <c r="AG631" s="55" t="e">
        <f t="shared" ca="1" si="180"/>
        <v>#N/A</v>
      </c>
      <c r="AH631" s="55" t="e">
        <f t="shared" ca="1" si="181"/>
        <v>#N/A</v>
      </c>
      <c r="AI631" s="55" t="e">
        <f t="shared" ca="1" si="186"/>
        <v>#N/A</v>
      </c>
      <c r="AJ631" s="55" t="e">
        <f t="shared" ca="1" si="187"/>
        <v>#N/A</v>
      </c>
      <c r="AK631" s="55" t="e">
        <f t="shared" ca="1" si="188"/>
        <v>#N/A</v>
      </c>
    </row>
    <row r="632" spans="18:37">
      <c r="R632" s="55" t="e">
        <f ca="1"/>
        <v>#N/A</v>
      </c>
      <c r="S632" s="55" t="e">
        <f t="shared" ca="1" si="171"/>
        <v>#N/A</v>
      </c>
      <c r="T632" s="55" t="e">
        <f t="shared" ca="1" si="172"/>
        <v>#N/A</v>
      </c>
      <c r="U632" s="55" t="e">
        <f t="shared" ca="1" si="173"/>
        <v>#N/A</v>
      </c>
      <c r="V632" s="55" t="e">
        <f t="shared" ca="1" si="174"/>
        <v>#N/A</v>
      </c>
      <c r="W632" s="55" t="e">
        <f t="shared" ca="1" si="183"/>
        <v>#N/A</v>
      </c>
      <c r="X632" s="55" t="e">
        <f t="shared" ca="1" si="184"/>
        <v>#N/A</v>
      </c>
      <c r="Y632" s="55" t="e">
        <f t="shared" ca="1" si="185"/>
        <v>#N/A</v>
      </c>
      <c r="Z632" t="e">
        <f t="shared" ca="1" si="182"/>
        <v>#N/A</v>
      </c>
      <c r="AA632" t="e">
        <f t="shared" ca="1" si="175"/>
        <v>#N/A</v>
      </c>
      <c r="AB632" t="e">
        <f t="shared" ca="1" si="176"/>
        <v>#N/A</v>
      </c>
      <c r="AC632" t="e">
        <f t="shared" ca="1" si="177"/>
        <v>#N/A</v>
      </c>
      <c r="AD632" s="83" t="e">
        <f ca="1"/>
        <v>#N/A</v>
      </c>
      <c r="AE632" s="55" t="e">
        <f t="shared" ca="1" si="178"/>
        <v>#N/A</v>
      </c>
      <c r="AF632" s="55" t="e">
        <f t="shared" ca="1" si="179"/>
        <v>#N/A</v>
      </c>
      <c r="AG632" s="55" t="e">
        <f t="shared" ca="1" si="180"/>
        <v>#N/A</v>
      </c>
      <c r="AH632" s="55" t="e">
        <f t="shared" ca="1" si="181"/>
        <v>#N/A</v>
      </c>
      <c r="AI632" s="55" t="e">
        <f t="shared" ca="1" si="186"/>
        <v>#N/A</v>
      </c>
      <c r="AJ632" s="55" t="e">
        <f t="shared" ca="1" si="187"/>
        <v>#N/A</v>
      </c>
      <c r="AK632" s="55" t="e">
        <f t="shared" ca="1" si="188"/>
        <v>#N/A</v>
      </c>
    </row>
    <row r="633" spans="18:37">
      <c r="R633" s="55" t="e">
        <f ca="1"/>
        <v>#N/A</v>
      </c>
      <c r="S633" s="55" t="e">
        <f t="shared" ca="1" si="171"/>
        <v>#N/A</v>
      </c>
      <c r="T633" s="55" t="e">
        <f t="shared" ca="1" si="172"/>
        <v>#N/A</v>
      </c>
      <c r="U633" s="55" t="e">
        <f t="shared" ca="1" si="173"/>
        <v>#N/A</v>
      </c>
      <c r="V633" s="55" t="e">
        <f t="shared" ca="1" si="174"/>
        <v>#N/A</v>
      </c>
      <c r="W633" s="55" t="e">
        <f t="shared" ca="1" si="183"/>
        <v>#N/A</v>
      </c>
      <c r="X633" s="55" t="e">
        <f t="shared" ca="1" si="184"/>
        <v>#N/A</v>
      </c>
      <c r="Y633" s="55" t="e">
        <f t="shared" ca="1" si="185"/>
        <v>#N/A</v>
      </c>
      <c r="Z633" t="e">
        <f t="shared" ca="1" si="182"/>
        <v>#N/A</v>
      </c>
      <c r="AA633" t="e">
        <f t="shared" ca="1" si="175"/>
        <v>#N/A</v>
      </c>
      <c r="AB633" t="e">
        <f t="shared" ca="1" si="176"/>
        <v>#N/A</v>
      </c>
      <c r="AC633" t="e">
        <f t="shared" ca="1" si="177"/>
        <v>#N/A</v>
      </c>
      <c r="AD633" s="83" t="e">
        <f ca="1"/>
        <v>#N/A</v>
      </c>
      <c r="AE633" s="55" t="e">
        <f t="shared" ca="1" si="178"/>
        <v>#N/A</v>
      </c>
      <c r="AF633" s="55" t="e">
        <f t="shared" ca="1" si="179"/>
        <v>#N/A</v>
      </c>
      <c r="AG633" s="55" t="e">
        <f t="shared" ca="1" si="180"/>
        <v>#N/A</v>
      </c>
      <c r="AH633" s="55" t="e">
        <f t="shared" ca="1" si="181"/>
        <v>#N/A</v>
      </c>
      <c r="AI633" s="55" t="e">
        <f t="shared" ca="1" si="186"/>
        <v>#N/A</v>
      </c>
      <c r="AJ633" s="55" t="e">
        <f t="shared" ca="1" si="187"/>
        <v>#N/A</v>
      </c>
      <c r="AK633" s="55" t="e">
        <f t="shared" ca="1" si="188"/>
        <v>#N/A</v>
      </c>
    </row>
    <row r="634" spans="18:37">
      <c r="R634" s="55" t="e">
        <f ca="1"/>
        <v>#N/A</v>
      </c>
      <c r="S634" s="55" t="e">
        <f t="shared" ca="1" si="171"/>
        <v>#N/A</v>
      </c>
      <c r="T634" s="55" t="e">
        <f t="shared" ca="1" si="172"/>
        <v>#N/A</v>
      </c>
      <c r="U634" s="55" t="e">
        <f t="shared" ca="1" si="173"/>
        <v>#N/A</v>
      </c>
      <c r="V634" s="55" t="e">
        <f t="shared" ca="1" si="174"/>
        <v>#N/A</v>
      </c>
      <c r="W634" s="55" t="e">
        <f t="shared" ca="1" si="183"/>
        <v>#N/A</v>
      </c>
      <c r="X634" s="55" t="e">
        <f t="shared" ca="1" si="184"/>
        <v>#N/A</v>
      </c>
      <c r="Y634" s="55" t="e">
        <f t="shared" ca="1" si="185"/>
        <v>#N/A</v>
      </c>
      <c r="Z634" t="e">
        <f t="shared" ca="1" si="182"/>
        <v>#N/A</v>
      </c>
      <c r="AA634" t="e">
        <f t="shared" ca="1" si="175"/>
        <v>#N/A</v>
      </c>
      <c r="AB634" t="e">
        <f t="shared" ca="1" si="176"/>
        <v>#N/A</v>
      </c>
      <c r="AC634" t="e">
        <f t="shared" ca="1" si="177"/>
        <v>#N/A</v>
      </c>
      <c r="AD634" s="83" t="e">
        <f ca="1"/>
        <v>#N/A</v>
      </c>
      <c r="AE634" s="55" t="e">
        <f t="shared" ca="1" si="178"/>
        <v>#N/A</v>
      </c>
      <c r="AF634" s="55" t="e">
        <f t="shared" ca="1" si="179"/>
        <v>#N/A</v>
      </c>
      <c r="AG634" s="55" t="e">
        <f t="shared" ca="1" si="180"/>
        <v>#N/A</v>
      </c>
      <c r="AH634" s="55" t="e">
        <f t="shared" ca="1" si="181"/>
        <v>#N/A</v>
      </c>
      <c r="AI634" s="55" t="e">
        <f t="shared" ca="1" si="186"/>
        <v>#N/A</v>
      </c>
      <c r="AJ634" s="55" t="e">
        <f t="shared" ca="1" si="187"/>
        <v>#N/A</v>
      </c>
      <c r="AK634" s="55" t="e">
        <f t="shared" ca="1" si="188"/>
        <v>#N/A</v>
      </c>
    </row>
    <row r="635" spans="18:37">
      <c r="R635" s="55" t="e">
        <f ca="1"/>
        <v>#N/A</v>
      </c>
      <c r="S635" s="55" t="e">
        <f t="shared" ca="1" si="171"/>
        <v>#N/A</v>
      </c>
      <c r="T635" s="55" t="e">
        <f t="shared" ca="1" si="172"/>
        <v>#N/A</v>
      </c>
      <c r="U635" s="55" t="e">
        <f t="shared" ca="1" si="173"/>
        <v>#N/A</v>
      </c>
      <c r="V635" s="55" t="e">
        <f t="shared" ca="1" si="174"/>
        <v>#N/A</v>
      </c>
      <c r="W635" s="55" t="e">
        <f t="shared" ca="1" si="183"/>
        <v>#N/A</v>
      </c>
      <c r="X635" s="55" t="e">
        <f t="shared" ca="1" si="184"/>
        <v>#N/A</v>
      </c>
      <c r="Y635" s="55" t="e">
        <f t="shared" ca="1" si="185"/>
        <v>#N/A</v>
      </c>
      <c r="Z635" t="e">
        <f t="shared" ca="1" si="182"/>
        <v>#N/A</v>
      </c>
      <c r="AA635" t="e">
        <f t="shared" ca="1" si="175"/>
        <v>#N/A</v>
      </c>
      <c r="AB635" t="e">
        <f t="shared" ca="1" si="176"/>
        <v>#N/A</v>
      </c>
      <c r="AC635" t="e">
        <f t="shared" ca="1" si="177"/>
        <v>#N/A</v>
      </c>
      <c r="AD635" s="83" t="e">
        <f ca="1"/>
        <v>#N/A</v>
      </c>
      <c r="AE635" s="55" t="e">
        <f t="shared" ca="1" si="178"/>
        <v>#N/A</v>
      </c>
      <c r="AF635" s="55" t="e">
        <f t="shared" ca="1" si="179"/>
        <v>#N/A</v>
      </c>
      <c r="AG635" s="55" t="e">
        <f t="shared" ca="1" si="180"/>
        <v>#N/A</v>
      </c>
      <c r="AH635" s="55" t="e">
        <f t="shared" ca="1" si="181"/>
        <v>#N/A</v>
      </c>
      <c r="AI635" s="55" t="e">
        <f t="shared" ca="1" si="186"/>
        <v>#N/A</v>
      </c>
      <c r="AJ635" s="55" t="e">
        <f t="shared" ca="1" si="187"/>
        <v>#N/A</v>
      </c>
      <c r="AK635" s="55" t="e">
        <f t="shared" ca="1" si="188"/>
        <v>#N/A</v>
      </c>
    </row>
    <row r="636" spans="18:37">
      <c r="R636" s="55" t="e">
        <f ca="1"/>
        <v>#N/A</v>
      </c>
      <c r="S636" s="55" t="e">
        <f t="shared" ca="1" si="171"/>
        <v>#N/A</v>
      </c>
      <c r="T636" s="55" t="e">
        <f t="shared" ca="1" si="172"/>
        <v>#N/A</v>
      </c>
      <c r="U636" s="55" t="e">
        <f t="shared" ca="1" si="173"/>
        <v>#N/A</v>
      </c>
      <c r="V636" s="55" t="e">
        <f t="shared" ca="1" si="174"/>
        <v>#N/A</v>
      </c>
      <c r="W636" s="55" t="e">
        <f t="shared" ca="1" si="183"/>
        <v>#N/A</v>
      </c>
      <c r="X636" s="55" t="e">
        <f t="shared" ca="1" si="184"/>
        <v>#N/A</v>
      </c>
      <c r="Y636" s="55" t="e">
        <f t="shared" ca="1" si="185"/>
        <v>#N/A</v>
      </c>
      <c r="Z636" t="e">
        <f t="shared" ca="1" si="182"/>
        <v>#N/A</v>
      </c>
      <c r="AA636" t="e">
        <f t="shared" ca="1" si="175"/>
        <v>#N/A</v>
      </c>
      <c r="AB636" t="e">
        <f t="shared" ca="1" si="176"/>
        <v>#N/A</v>
      </c>
      <c r="AC636" t="e">
        <f t="shared" ca="1" si="177"/>
        <v>#N/A</v>
      </c>
      <c r="AD636" s="83" t="e">
        <f ca="1"/>
        <v>#N/A</v>
      </c>
      <c r="AE636" s="55" t="e">
        <f t="shared" ca="1" si="178"/>
        <v>#N/A</v>
      </c>
      <c r="AF636" s="55" t="e">
        <f t="shared" ca="1" si="179"/>
        <v>#N/A</v>
      </c>
      <c r="AG636" s="55" t="e">
        <f t="shared" ca="1" si="180"/>
        <v>#N/A</v>
      </c>
      <c r="AH636" s="55" t="e">
        <f t="shared" ca="1" si="181"/>
        <v>#N/A</v>
      </c>
      <c r="AI636" s="55" t="e">
        <f t="shared" ca="1" si="186"/>
        <v>#N/A</v>
      </c>
      <c r="AJ636" s="55" t="e">
        <f t="shared" ca="1" si="187"/>
        <v>#N/A</v>
      </c>
      <c r="AK636" s="55" t="e">
        <f t="shared" ca="1" si="188"/>
        <v>#N/A</v>
      </c>
    </row>
    <row r="637" spans="18:37">
      <c r="R637" s="55" t="e">
        <f ca="1"/>
        <v>#N/A</v>
      </c>
      <c r="S637" s="55" t="e">
        <f t="shared" ca="1" si="171"/>
        <v>#N/A</v>
      </c>
      <c r="T637" s="55" t="e">
        <f t="shared" ca="1" si="172"/>
        <v>#N/A</v>
      </c>
      <c r="U637" s="55" t="e">
        <f t="shared" ca="1" si="173"/>
        <v>#N/A</v>
      </c>
      <c r="V637" s="55" t="e">
        <f t="shared" ca="1" si="174"/>
        <v>#N/A</v>
      </c>
      <c r="W637" s="55" t="e">
        <f t="shared" ca="1" si="183"/>
        <v>#N/A</v>
      </c>
      <c r="X637" s="55" t="e">
        <f t="shared" ca="1" si="184"/>
        <v>#N/A</v>
      </c>
      <c r="Y637" s="55" t="e">
        <f t="shared" ca="1" si="185"/>
        <v>#N/A</v>
      </c>
      <c r="Z637" t="e">
        <f t="shared" ca="1" si="182"/>
        <v>#N/A</v>
      </c>
      <c r="AA637" t="e">
        <f t="shared" ca="1" si="175"/>
        <v>#N/A</v>
      </c>
      <c r="AB637" t="e">
        <f t="shared" ca="1" si="176"/>
        <v>#N/A</v>
      </c>
      <c r="AC637" t="e">
        <f t="shared" ca="1" si="177"/>
        <v>#N/A</v>
      </c>
      <c r="AD637" s="83" t="e">
        <f ca="1"/>
        <v>#N/A</v>
      </c>
      <c r="AE637" s="55" t="e">
        <f t="shared" ca="1" si="178"/>
        <v>#N/A</v>
      </c>
      <c r="AF637" s="55" t="e">
        <f t="shared" ca="1" si="179"/>
        <v>#N/A</v>
      </c>
      <c r="AG637" s="55" t="e">
        <f t="shared" ca="1" si="180"/>
        <v>#N/A</v>
      </c>
      <c r="AH637" s="55" t="e">
        <f t="shared" ca="1" si="181"/>
        <v>#N/A</v>
      </c>
      <c r="AI637" s="55" t="e">
        <f t="shared" ca="1" si="186"/>
        <v>#N/A</v>
      </c>
      <c r="AJ637" s="55" t="e">
        <f t="shared" ca="1" si="187"/>
        <v>#N/A</v>
      </c>
      <c r="AK637" s="55" t="e">
        <f t="shared" ca="1" si="188"/>
        <v>#N/A</v>
      </c>
    </row>
    <row r="638" spans="18:37">
      <c r="R638" s="55" t="e">
        <f ca="1"/>
        <v>#N/A</v>
      </c>
      <c r="S638" s="55" t="e">
        <f t="shared" ca="1" si="171"/>
        <v>#N/A</v>
      </c>
      <c r="T638" s="55" t="e">
        <f t="shared" ca="1" si="172"/>
        <v>#N/A</v>
      </c>
      <c r="U638" s="55" t="e">
        <f t="shared" ca="1" si="173"/>
        <v>#N/A</v>
      </c>
      <c r="V638" s="55" t="e">
        <f t="shared" ca="1" si="174"/>
        <v>#N/A</v>
      </c>
      <c r="W638" s="55" t="e">
        <f t="shared" ca="1" si="183"/>
        <v>#N/A</v>
      </c>
      <c r="X638" s="55" t="e">
        <f t="shared" ca="1" si="184"/>
        <v>#N/A</v>
      </c>
      <c r="Y638" s="55" t="e">
        <f t="shared" ca="1" si="185"/>
        <v>#N/A</v>
      </c>
      <c r="Z638" t="e">
        <f t="shared" ca="1" si="182"/>
        <v>#N/A</v>
      </c>
      <c r="AA638" t="e">
        <f t="shared" ca="1" si="175"/>
        <v>#N/A</v>
      </c>
      <c r="AB638" t="e">
        <f t="shared" ca="1" si="176"/>
        <v>#N/A</v>
      </c>
      <c r="AC638" t="e">
        <f t="shared" ca="1" si="177"/>
        <v>#N/A</v>
      </c>
      <c r="AD638" s="83" t="e">
        <f ca="1"/>
        <v>#N/A</v>
      </c>
      <c r="AE638" s="55" t="e">
        <f t="shared" ca="1" si="178"/>
        <v>#N/A</v>
      </c>
      <c r="AF638" s="55" t="e">
        <f t="shared" ca="1" si="179"/>
        <v>#N/A</v>
      </c>
      <c r="AG638" s="55" t="e">
        <f t="shared" ca="1" si="180"/>
        <v>#N/A</v>
      </c>
      <c r="AH638" s="55" t="e">
        <f t="shared" ca="1" si="181"/>
        <v>#N/A</v>
      </c>
      <c r="AI638" s="55" t="e">
        <f t="shared" ca="1" si="186"/>
        <v>#N/A</v>
      </c>
      <c r="AJ638" s="55" t="e">
        <f t="shared" ca="1" si="187"/>
        <v>#N/A</v>
      </c>
      <c r="AK638" s="55" t="e">
        <f t="shared" ca="1" si="188"/>
        <v>#N/A</v>
      </c>
    </row>
    <row r="639" spans="18:37">
      <c r="R639" s="55" t="e">
        <f ca="1"/>
        <v>#N/A</v>
      </c>
      <c r="S639" s="55" t="e">
        <f t="shared" ca="1" si="171"/>
        <v>#N/A</v>
      </c>
      <c r="T639" s="55" t="e">
        <f t="shared" ca="1" si="172"/>
        <v>#N/A</v>
      </c>
      <c r="U639" s="55" t="e">
        <f t="shared" ca="1" si="173"/>
        <v>#N/A</v>
      </c>
      <c r="V639" s="55" t="e">
        <f t="shared" ca="1" si="174"/>
        <v>#N/A</v>
      </c>
      <c r="W639" s="55" t="e">
        <f t="shared" ca="1" si="183"/>
        <v>#N/A</v>
      </c>
      <c r="X639" s="55" t="e">
        <f t="shared" ca="1" si="184"/>
        <v>#N/A</v>
      </c>
      <c r="Y639" s="55" t="e">
        <f t="shared" ca="1" si="185"/>
        <v>#N/A</v>
      </c>
      <c r="Z639" t="e">
        <f t="shared" ca="1" si="182"/>
        <v>#N/A</v>
      </c>
      <c r="AA639" t="e">
        <f t="shared" ca="1" si="175"/>
        <v>#N/A</v>
      </c>
      <c r="AB639" t="e">
        <f t="shared" ca="1" si="176"/>
        <v>#N/A</v>
      </c>
      <c r="AC639" t="e">
        <f t="shared" ca="1" si="177"/>
        <v>#N/A</v>
      </c>
      <c r="AD639" s="83" t="e">
        <f ca="1"/>
        <v>#N/A</v>
      </c>
      <c r="AE639" s="55" t="e">
        <f t="shared" ca="1" si="178"/>
        <v>#N/A</v>
      </c>
      <c r="AF639" s="55" t="e">
        <f t="shared" ca="1" si="179"/>
        <v>#N/A</v>
      </c>
      <c r="AG639" s="55" t="e">
        <f t="shared" ca="1" si="180"/>
        <v>#N/A</v>
      </c>
      <c r="AH639" s="55" t="e">
        <f t="shared" ca="1" si="181"/>
        <v>#N/A</v>
      </c>
      <c r="AI639" s="55" t="e">
        <f t="shared" ca="1" si="186"/>
        <v>#N/A</v>
      </c>
      <c r="AJ639" s="55" t="e">
        <f t="shared" ca="1" si="187"/>
        <v>#N/A</v>
      </c>
      <c r="AK639" s="55" t="e">
        <f t="shared" ca="1" si="188"/>
        <v>#N/A</v>
      </c>
    </row>
    <row r="640" spans="18:37">
      <c r="R640" s="55" t="e">
        <f ca="1"/>
        <v>#N/A</v>
      </c>
      <c r="S640" s="55" t="e">
        <f t="shared" ca="1" si="171"/>
        <v>#N/A</v>
      </c>
      <c r="T640" s="55" t="e">
        <f t="shared" ca="1" si="172"/>
        <v>#N/A</v>
      </c>
      <c r="U640" s="55" t="e">
        <f t="shared" ca="1" si="173"/>
        <v>#N/A</v>
      </c>
      <c r="V640" s="55" t="e">
        <f t="shared" ca="1" si="174"/>
        <v>#N/A</v>
      </c>
      <c r="W640" s="55" t="e">
        <f t="shared" ca="1" si="183"/>
        <v>#N/A</v>
      </c>
      <c r="X640" s="55" t="e">
        <f t="shared" ca="1" si="184"/>
        <v>#N/A</v>
      </c>
      <c r="Y640" s="55" t="e">
        <f t="shared" ca="1" si="185"/>
        <v>#N/A</v>
      </c>
      <c r="Z640" t="e">
        <f t="shared" ca="1" si="182"/>
        <v>#N/A</v>
      </c>
      <c r="AA640" t="e">
        <f t="shared" ca="1" si="175"/>
        <v>#N/A</v>
      </c>
      <c r="AB640" t="e">
        <f t="shared" ca="1" si="176"/>
        <v>#N/A</v>
      </c>
      <c r="AC640" t="e">
        <f t="shared" ca="1" si="177"/>
        <v>#N/A</v>
      </c>
      <c r="AD640" s="83" t="e">
        <f ca="1"/>
        <v>#N/A</v>
      </c>
      <c r="AE640" s="55" t="e">
        <f t="shared" ca="1" si="178"/>
        <v>#N/A</v>
      </c>
      <c r="AF640" s="55" t="e">
        <f t="shared" ca="1" si="179"/>
        <v>#N/A</v>
      </c>
      <c r="AG640" s="55" t="e">
        <f t="shared" ca="1" si="180"/>
        <v>#N/A</v>
      </c>
      <c r="AH640" s="55" t="e">
        <f t="shared" ca="1" si="181"/>
        <v>#N/A</v>
      </c>
      <c r="AI640" s="55" t="e">
        <f t="shared" ca="1" si="186"/>
        <v>#N/A</v>
      </c>
      <c r="AJ640" s="55" t="e">
        <f t="shared" ca="1" si="187"/>
        <v>#N/A</v>
      </c>
      <c r="AK640" s="55" t="e">
        <f t="shared" ca="1" si="188"/>
        <v>#N/A</v>
      </c>
    </row>
    <row r="641" spans="18:37">
      <c r="R641" s="55" t="e">
        <f ca="1"/>
        <v>#N/A</v>
      </c>
      <c r="S641" s="55" t="e">
        <f t="shared" ca="1" si="171"/>
        <v>#N/A</v>
      </c>
      <c r="T641" s="55" t="e">
        <f t="shared" ca="1" si="172"/>
        <v>#N/A</v>
      </c>
      <c r="U641" s="55" t="e">
        <f t="shared" ca="1" si="173"/>
        <v>#N/A</v>
      </c>
      <c r="V641" s="55" t="e">
        <f t="shared" ca="1" si="174"/>
        <v>#N/A</v>
      </c>
      <c r="W641" s="55" t="e">
        <f t="shared" ca="1" si="183"/>
        <v>#N/A</v>
      </c>
      <c r="X641" s="55" t="e">
        <f t="shared" ca="1" si="184"/>
        <v>#N/A</v>
      </c>
      <c r="Y641" s="55" t="e">
        <f t="shared" ca="1" si="185"/>
        <v>#N/A</v>
      </c>
      <c r="Z641" t="e">
        <f t="shared" ca="1" si="182"/>
        <v>#N/A</v>
      </c>
      <c r="AA641" t="e">
        <f t="shared" ca="1" si="175"/>
        <v>#N/A</v>
      </c>
      <c r="AB641" t="e">
        <f t="shared" ca="1" si="176"/>
        <v>#N/A</v>
      </c>
      <c r="AC641" t="e">
        <f t="shared" ca="1" si="177"/>
        <v>#N/A</v>
      </c>
      <c r="AD641" s="83" t="e">
        <f ca="1"/>
        <v>#N/A</v>
      </c>
      <c r="AE641" s="55" t="e">
        <f t="shared" ca="1" si="178"/>
        <v>#N/A</v>
      </c>
      <c r="AF641" s="55" t="e">
        <f t="shared" ca="1" si="179"/>
        <v>#N/A</v>
      </c>
      <c r="AG641" s="55" t="e">
        <f t="shared" ca="1" si="180"/>
        <v>#N/A</v>
      </c>
      <c r="AH641" s="55" t="e">
        <f t="shared" ca="1" si="181"/>
        <v>#N/A</v>
      </c>
      <c r="AI641" s="55" t="e">
        <f t="shared" ca="1" si="186"/>
        <v>#N/A</v>
      </c>
      <c r="AJ641" s="55" t="e">
        <f t="shared" ca="1" si="187"/>
        <v>#N/A</v>
      </c>
      <c r="AK641" s="55" t="e">
        <f t="shared" ca="1" si="188"/>
        <v>#N/A</v>
      </c>
    </row>
    <row r="642" spans="18:37">
      <c r="R642" s="55" t="e">
        <f ca="1"/>
        <v>#N/A</v>
      </c>
      <c r="S642" s="55" t="e">
        <f t="shared" ca="1" si="171"/>
        <v>#N/A</v>
      </c>
      <c r="T642" s="55" t="e">
        <f t="shared" ca="1" si="172"/>
        <v>#N/A</v>
      </c>
      <c r="U642" s="55" t="e">
        <f t="shared" ca="1" si="173"/>
        <v>#N/A</v>
      </c>
      <c r="V642" s="55" t="e">
        <f t="shared" ca="1" si="174"/>
        <v>#N/A</v>
      </c>
      <c r="W642" s="55" t="e">
        <f t="shared" ca="1" si="183"/>
        <v>#N/A</v>
      </c>
      <c r="X642" s="55" t="e">
        <f t="shared" ca="1" si="184"/>
        <v>#N/A</v>
      </c>
      <c r="Y642" s="55" t="e">
        <f t="shared" ca="1" si="185"/>
        <v>#N/A</v>
      </c>
      <c r="Z642" t="e">
        <f t="shared" ca="1" si="182"/>
        <v>#N/A</v>
      </c>
      <c r="AA642" t="e">
        <f t="shared" ca="1" si="175"/>
        <v>#N/A</v>
      </c>
      <c r="AB642" t="e">
        <f t="shared" ca="1" si="176"/>
        <v>#N/A</v>
      </c>
      <c r="AC642" t="e">
        <f t="shared" ca="1" si="177"/>
        <v>#N/A</v>
      </c>
      <c r="AD642" s="83" t="e">
        <f ca="1"/>
        <v>#N/A</v>
      </c>
      <c r="AE642" s="55" t="e">
        <f t="shared" ca="1" si="178"/>
        <v>#N/A</v>
      </c>
      <c r="AF642" s="55" t="e">
        <f t="shared" ca="1" si="179"/>
        <v>#N/A</v>
      </c>
      <c r="AG642" s="55" t="e">
        <f t="shared" ca="1" si="180"/>
        <v>#N/A</v>
      </c>
      <c r="AH642" s="55" t="e">
        <f t="shared" ca="1" si="181"/>
        <v>#N/A</v>
      </c>
      <c r="AI642" s="55" t="e">
        <f t="shared" ca="1" si="186"/>
        <v>#N/A</v>
      </c>
      <c r="AJ642" s="55" t="e">
        <f t="shared" ca="1" si="187"/>
        <v>#N/A</v>
      </c>
      <c r="AK642" s="55" t="e">
        <f t="shared" ca="1" si="188"/>
        <v>#N/A</v>
      </c>
    </row>
    <row r="643" spans="18:37">
      <c r="R643" s="55" t="e">
        <f ca="1"/>
        <v>#N/A</v>
      </c>
      <c r="S643" s="55" t="e">
        <f t="shared" ca="1" si="171"/>
        <v>#N/A</v>
      </c>
      <c r="T643" s="55" t="e">
        <f t="shared" ca="1" si="172"/>
        <v>#N/A</v>
      </c>
      <c r="U643" s="55" t="e">
        <f t="shared" ca="1" si="173"/>
        <v>#N/A</v>
      </c>
      <c r="V643" s="55" t="e">
        <f t="shared" ca="1" si="174"/>
        <v>#N/A</v>
      </c>
      <c r="W643" s="55" t="e">
        <f t="shared" ca="1" si="183"/>
        <v>#N/A</v>
      </c>
      <c r="X643" s="55" t="e">
        <f t="shared" ca="1" si="184"/>
        <v>#N/A</v>
      </c>
      <c r="Y643" s="55" t="e">
        <f t="shared" ca="1" si="185"/>
        <v>#N/A</v>
      </c>
      <c r="Z643" t="e">
        <f t="shared" ca="1" si="182"/>
        <v>#N/A</v>
      </c>
      <c r="AA643" t="e">
        <f t="shared" ca="1" si="175"/>
        <v>#N/A</v>
      </c>
      <c r="AB643" t="e">
        <f t="shared" ca="1" si="176"/>
        <v>#N/A</v>
      </c>
      <c r="AC643" t="e">
        <f t="shared" ca="1" si="177"/>
        <v>#N/A</v>
      </c>
      <c r="AD643" s="83" t="e">
        <f ca="1"/>
        <v>#N/A</v>
      </c>
      <c r="AE643" s="55" t="e">
        <f t="shared" ca="1" si="178"/>
        <v>#N/A</v>
      </c>
      <c r="AF643" s="55" t="e">
        <f t="shared" ca="1" si="179"/>
        <v>#N/A</v>
      </c>
      <c r="AG643" s="55" t="e">
        <f t="shared" ca="1" si="180"/>
        <v>#N/A</v>
      </c>
      <c r="AH643" s="55" t="e">
        <f t="shared" ca="1" si="181"/>
        <v>#N/A</v>
      </c>
      <c r="AI643" s="55" t="e">
        <f t="shared" ca="1" si="186"/>
        <v>#N/A</v>
      </c>
      <c r="AJ643" s="55" t="e">
        <f t="shared" ca="1" si="187"/>
        <v>#N/A</v>
      </c>
      <c r="AK643" s="55" t="e">
        <f t="shared" ca="1" si="188"/>
        <v>#N/A</v>
      </c>
    </row>
    <row r="644" spans="18:37">
      <c r="R644" s="55" t="e">
        <f ca="1"/>
        <v>#N/A</v>
      </c>
      <c r="S644" s="55" t="e">
        <f t="shared" ca="1" si="171"/>
        <v>#N/A</v>
      </c>
      <c r="T644" s="55" t="e">
        <f t="shared" ca="1" si="172"/>
        <v>#N/A</v>
      </c>
      <c r="U644" s="55" t="e">
        <f t="shared" ca="1" si="173"/>
        <v>#N/A</v>
      </c>
      <c r="V644" s="55" t="e">
        <f t="shared" ca="1" si="174"/>
        <v>#N/A</v>
      </c>
      <c r="W644" s="55" t="e">
        <f t="shared" ca="1" si="183"/>
        <v>#N/A</v>
      </c>
      <c r="X644" s="55" t="e">
        <f t="shared" ca="1" si="184"/>
        <v>#N/A</v>
      </c>
      <c r="Y644" s="55" t="e">
        <f t="shared" ca="1" si="185"/>
        <v>#N/A</v>
      </c>
      <c r="Z644" t="e">
        <f t="shared" ca="1" si="182"/>
        <v>#N/A</v>
      </c>
      <c r="AA644" t="e">
        <f t="shared" ca="1" si="175"/>
        <v>#N/A</v>
      </c>
      <c r="AB644" t="e">
        <f t="shared" ca="1" si="176"/>
        <v>#N/A</v>
      </c>
      <c r="AC644" t="e">
        <f t="shared" ca="1" si="177"/>
        <v>#N/A</v>
      </c>
      <c r="AD644" s="83" t="e">
        <f ca="1"/>
        <v>#N/A</v>
      </c>
      <c r="AE644" s="55" t="e">
        <f t="shared" ca="1" si="178"/>
        <v>#N/A</v>
      </c>
      <c r="AF644" s="55" t="e">
        <f t="shared" ca="1" si="179"/>
        <v>#N/A</v>
      </c>
      <c r="AG644" s="55" t="e">
        <f t="shared" ca="1" si="180"/>
        <v>#N/A</v>
      </c>
      <c r="AH644" s="55" t="e">
        <f t="shared" ca="1" si="181"/>
        <v>#N/A</v>
      </c>
      <c r="AI644" s="55" t="e">
        <f t="shared" ca="1" si="186"/>
        <v>#N/A</v>
      </c>
      <c r="AJ644" s="55" t="e">
        <f t="shared" ca="1" si="187"/>
        <v>#N/A</v>
      </c>
      <c r="AK644" s="55" t="e">
        <f t="shared" ca="1" si="188"/>
        <v>#N/A</v>
      </c>
    </row>
    <row r="645" spans="18:37">
      <c r="R645" s="55" t="e">
        <f ca="1"/>
        <v>#N/A</v>
      </c>
      <c r="S645" s="55" t="e">
        <f t="shared" ca="1" si="171"/>
        <v>#N/A</v>
      </c>
      <c r="T645" s="55" t="e">
        <f t="shared" ca="1" si="172"/>
        <v>#N/A</v>
      </c>
      <c r="U645" s="55" t="e">
        <f t="shared" ca="1" si="173"/>
        <v>#N/A</v>
      </c>
      <c r="V645" s="55" t="e">
        <f t="shared" ca="1" si="174"/>
        <v>#N/A</v>
      </c>
      <c r="W645" s="55" t="e">
        <f t="shared" ca="1" si="183"/>
        <v>#N/A</v>
      </c>
      <c r="X645" s="55" t="e">
        <f t="shared" ca="1" si="184"/>
        <v>#N/A</v>
      </c>
      <c r="Y645" s="55" t="e">
        <f t="shared" ca="1" si="185"/>
        <v>#N/A</v>
      </c>
      <c r="Z645" t="e">
        <f t="shared" ca="1" si="182"/>
        <v>#N/A</v>
      </c>
      <c r="AA645" t="e">
        <f t="shared" ca="1" si="175"/>
        <v>#N/A</v>
      </c>
      <c r="AB645" t="e">
        <f t="shared" ca="1" si="176"/>
        <v>#N/A</v>
      </c>
      <c r="AC645" t="e">
        <f t="shared" ca="1" si="177"/>
        <v>#N/A</v>
      </c>
      <c r="AD645" s="83" t="e">
        <f ca="1"/>
        <v>#N/A</v>
      </c>
      <c r="AE645" s="55" t="e">
        <f t="shared" ca="1" si="178"/>
        <v>#N/A</v>
      </c>
      <c r="AF645" s="55" t="e">
        <f t="shared" ca="1" si="179"/>
        <v>#N/A</v>
      </c>
      <c r="AG645" s="55" t="e">
        <f t="shared" ca="1" si="180"/>
        <v>#N/A</v>
      </c>
      <c r="AH645" s="55" t="e">
        <f t="shared" ca="1" si="181"/>
        <v>#N/A</v>
      </c>
      <c r="AI645" s="55" t="e">
        <f t="shared" ca="1" si="186"/>
        <v>#N/A</v>
      </c>
      <c r="AJ645" s="55" t="e">
        <f t="shared" ca="1" si="187"/>
        <v>#N/A</v>
      </c>
      <c r="AK645" s="55" t="e">
        <f t="shared" ca="1" si="188"/>
        <v>#N/A</v>
      </c>
    </row>
    <row r="646" spans="18:37">
      <c r="R646" s="55" t="e">
        <f ca="1"/>
        <v>#N/A</v>
      </c>
      <c r="S646" s="55" t="e">
        <f t="shared" ca="1" si="171"/>
        <v>#N/A</v>
      </c>
      <c r="T646" s="55" t="e">
        <f t="shared" ca="1" si="172"/>
        <v>#N/A</v>
      </c>
      <c r="U646" s="55" t="e">
        <f t="shared" ca="1" si="173"/>
        <v>#N/A</v>
      </c>
      <c r="V646" s="55" t="e">
        <f t="shared" ca="1" si="174"/>
        <v>#N/A</v>
      </c>
      <c r="W646" s="55" t="e">
        <f t="shared" ca="1" si="183"/>
        <v>#N/A</v>
      </c>
      <c r="X646" s="55" t="e">
        <f t="shared" ca="1" si="184"/>
        <v>#N/A</v>
      </c>
      <c r="Y646" s="55" t="e">
        <f t="shared" ca="1" si="185"/>
        <v>#N/A</v>
      </c>
      <c r="Z646" t="e">
        <f t="shared" ca="1" si="182"/>
        <v>#N/A</v>
      </c>
      <c r="AA646" t="e">
        <f t="shared" ca="1" si="175"/>
        <v>#N/A</v>
      </c>
      <c r="AB646" t="e">
        <f t="shared" ca="1" si="176"/>
        <v>#N/A</v>
      </c>
      <c r="AC646" t="e">
        <f t="shared" ca="1" si="177"/>
        <v>#N/A</v>
      </c>
      <c r="AD646" s="83" t="e">
        <f ca="1"/>
        <v>#N/A</v>
      </c>
      <c r="AE646" s="55" t="e">
        <f t="shared" ca="1" si="178"/>
        <v>#N/A</v>
      </c>
      <c r="AF646" s="55" t="e">
        <f t="shared" ca="1" si="179"/>
        <v>#N/A</v>
      </c>
      <c r="AG646" s="55" t="e">
        <f t="shared" ca="1" si="180"/>
        <v>#N/A</v>
      </c>
      <c r="AH646" s="55" t="e">
        <f t="shared" ca="1" si="181"/>
        <v>#N/A</v>
      </c>
      <c r="AI646" s="55" t="e">
        <f t="shared" ca="1" si="186"/>
        <v>#N/A</v>
      </c>
      <c r="AJ646" s="55" t="e">
        <f t="shared" ca="1" si="187"/>
        <v>#N/A</v>
      </c>
      <c r="AK646" s="55" t="e">
        <f t="shared" ca="1" si="188"/>
        <v>#N/A</v>
      </c>
    </row>
    <row r="647" spans="18:37">
      <c r="R647" s="55" t="e">
        <f ca="1"/>
        <v>#N/A</v>
      </c>
      <c r="S647" s="55" t="e">
        <f t="shared" ca="1" si="171"/>
        <v>#N/A</v>
      </c>
      <c r="T647" s="55" t="e">
        <f t="shared" ca="1" si="172"/>
        <v>#N/A</v>
      </c>
      <c r="U647" s="55" t="e">
        <f t="shared" ca="1" si="173"/>
        <v>#N/A</v>
      </c>
      <c r="V647" s="55" t="e">
        <f t="shared" ca="1" si="174"/>
        <v>#N/A</v>
      </c>
      <c r="W647" s="55" t="e">
        <f t="shared" ca="1" si="183"/>
        <v>#N/A</v>
      </c>
      <c r="X647" s="55" t="e">
        <f t="shared" ca="1" si="184"/>
        <v>#N/A</v>
      </c>
      <c r="Y647" s="55" t="e">
        <f t="shared" ca="1" si="185"/>
        <v>#N/A</v>
      </c>
      <c r="Z647" t="e">
        <f t="shared" ca="1" si="182"/>
        <v>#N/A</v>
      </c>
      <c r="AA647" t="e">
        <f t="shared" ca="1" si="175"/>
        <v>#N/A</v>
      </c>
      <c r="AB647" t="e">
        <f t="shared" ca="1" si="176"/>
        <v>#N/A</v>
      </c>
      <c r="AC647" t="e">
        <f t="shared" ca="1" si="177"/>
        <v>#N/A</v>
      </c>
      <c r="AD647" s="83" t="e">
        <f ca="1"/>
        <v>#N/A</v>
      </c>
      <c r="AE647" s="55" t="e">
        <f t="shared" ca="1" si="178"/>
        <v>#N/A</v>
      </c>
      <c r="AF647" s="55" t="e">
        <f t="shared" ca="1" si="179"/>
        <v>#N/A</v>
      </c>
      <c r="AG647" s="55" t="e">
        <f t="shared" ca="1" si="180"/>
        <v>#N/A</v>
      </c>
      <c r="AH647" s="55" t="e">
        <f t="shared" ca="1" si="181"/>
        <v>#N/A</v>
      </c>
      <c r="AI647" s="55" t="e">
        <f t="shared" ca="1" si="186"/>
        <v>#N/A</v>
      </c>
      <c r="AJ647" s="55" t="e">
        <f t="shared" ca="1" si="187"/>
        <v>#N/A</v>
      </c>
      <c r="AK647" s="55" t="e">
        <f t="shared" ca="1" si="188"/>
        <v>#N/A</v>
      </c>
    </row>
    <row r="648" spans="18:37">
      <c r="R648" s="55" t="e">
        <f ca="1"/>
        <v>#N/A</v>
      </c>
      <c r="S648" s="55" t="e">
        <f t="shared" ca="1" si="171"/>
        <v>#N/A</v>
      </c>
      <c r="T648" s="55" t="e">
        <f t="shared" ca="1" si="172"/>
        <v>#N/A</v>
      </c>
      <c r="U648" s="55" t="e">
        <f t="shared" ca="1" si="173"/>
        <v>#N/A</v>
      </c>
      <c r="V648" s="55" t="e">
        <f t="shared" ca="1" si="174"/>
        <v>#N/A</v>
      </c>
      <c r="W648" s="55" t="e">
        <f t="shared" ca="1" si="183"/>
        <v>#N/A</v>
      </c>
      <c r="X648" s="55" t="e">
        <f t="shared" ca="1" si="184"/>
        <v>#N/A</v>
      </c>
      <c r="Y648" s="55" t="e">
        <f t="shared" ca="1" si="185"/>
        <v>#N/A</v>
      </c>
      <c r="Z648" t="e">
        <f t="shared" ca="1" si="182"/>
        <v>#N/A</v>
      </c>
      <c r="AA648" t="e">
        <f t="shared" ca="1" si="175"/>
        <v>#N/A</v>
      </c>
      <c r="AB648" t="e">
        <f t="shared" ca="1" si="176"/>
        <v>#N/A</v>
      </c>
      <c r="AC648" t="e">
        <f t="shared" ca="1" si="177"/>
        <v>#N/A</v>
      </c>
      <c r="AD648" s="83" t="e">
        <f ca="1"/>
        <v>#N/A</v>
      </c>
      <c r="AE648" s="55" t="e">
        <f t="shared" ca="1" si="178"/>
        <v>#N/A</v>
      </c>
      <c r="AF648" s="55" t="e">
        <f t="shared" ca="1" si="179"/>
        <v>#N/A</v>
      </c>
      <c r="AG648" s="55" t="e">
        <f t="shared" ca="1" si="180"/>
        <v>#N/A</v>
      </c>
      <c r="AH648" s="55" t="e">
        <f t="shared" ca="1" si="181"/>
        <v>#N/A</v>
      </c>
      <c r="AI648" s="55" t="e">
        <f t="shared" ca="1" si="186"/>
        <v>#N/A</v>
      </c>
      <c r="AJ648" s="55" t="e">
        <f t="shared" ca="1" si="187"/>
        <v>#N/A</v>
      </c>
      <c r="AK648" s="55" t="e">
        <f t="shared" ca="1" si="188"/>
        <v>#N/A</v>
      </c>
    </row>
    <row r="649" spans="18:37">
      <c r="R649" s="55" t="e">
        <f ca="1"/>
        <v>#N/A</v>
      </c>
      <c r="S649" s="55" t="e">
        <f t="shared" ca="1" si="171"/>
        <v>#N/A</v>
      </c>
      <c r="T649" s="55" t="e">
        <f t="shared" ca="1" si="172"/>
        <v>#N/A</v>
      </c>
      <c r="U649" s="55" t="e">
        <f t="shared" ca="1" si="173"/>
        <v>#N/A</v>
      </c>
      <c r="V649" s="55" t="e">
        <f t="shared" ca="1" si="174"/>
        <v>#N/A</v>
      </c>
      <c r="W649" s="55" t="e">
        <f t="shared" ca="1" si="183"/>
        <v>#N/A</v>
      </c>
      <c r="X649" s="55" t="e">
        <f t="shared" ca="1" si="184"/>
        <v>#N/A</v>
      </c>
      <c r="Y649" s="55" t="e">
        <f t="shared" ca="1" si="185"/>
        <v>#N/A</v>
      </c>
      <c r="Z649" t="e">
        <f t="shared" ca="1" si="182"/>
        <v>#N/A</v>
      </c>
      <c r="AA649" t="e">
        <f t="shared" ca="1" si="175"/>
        <v>#N/A</v>
      </c>
      <c r="AB649" t="e">
        <f t="shared" ca="1" si="176"/>
        <v>#N/A</v>
      </c>
      <c r="AC649" t="e">
        <f t="shared" ca="1" si="177"/>
        <v>#N/A</v>
      </c>
      <c r="AD649" s="83" t="e">
        <f ca="1"/>
        <v>#N/A</v>
      </c>
      <c r="AE649" s="55" t="e">
        <f t="shared" ca="1" si="178"/>
        <v>#N/A</v>
      </c>
      <c r="AF649" s="55" t="e">
        <f t="shared" ca="1" si="179"/>
        <v>#N/A</v>
      </c>
      <c r="AG649" s="55" t="e">
        <f t="shared" ca="1" si="180"/>
        <v>#N/A</v>
      </c>
      <c r="AH649" s="55" t="e">
        <f t="shared" ca="1" si="181"/>
        <v>#N/A</v>
      </c>
      <c r="AI649" s="55" t="e">
        <f t="shared" ca="1" si="186"/>
        <v>#N/A</v>
      </c>
      <c r="AJ649" s="55" t="e">
        <f t="shared" ca="1" si="187"/>
        <v>#N/A</v>
      </c>
      <c r="AK649" s="55" t="e">
        <f t="shared" ca="1" si="188"/>
        <v>#N/A</v>
      </c>
    </row>
    <row r="650" spans="18:37">
      <c r="R650" s="55" t="e">
        <f ca="1"/>
        <v>#N/A</v>
      </c>
      <c r="S650" s="55" t="e">
        <f t="shared" ca="1" si="171"/>
        <v>#N/A</v>
      </c>
      <c r="T650" s="55" t="e">
        <f t="shared" ca="1" si="172"/>
        <v>#N/A</v>
      </c>
      <c r="U650" s="55" t="e">
        <f t="shared" ca="1" si="173"/>
        <v>#N/A</v>
      </c>
      <c r="V650" s="55" t="e">
        <f t="shared" ca="1" si="174"/>
        <v>#N/A</v>
      </c>
      <c r="W650" s="55" t="e">
        <f t="shared" ca="1" si="183"/>
        <v>#N/A</v>
      </c>
      <c r="X650" s="55" t="e">
        <f t="shared" ca="1" si="184"/>
        <v>#N/A</v>
      </c>
      <c r="Y650" s="55" t="e">
        <f t="shared" ca="1" si="185"/>
        <v>#N/A</v>
      </c>
      <c r="Z650" t="e">
        <f t="shared" ca="1" si="182"/>
        <v>#N/A</v>
      </c>
      <c r="AA650" t="e">
        <f t="shared" ca="1" si="175"/>
        <v>#N/A</v>
      </c>
      <c r="AB650" t="e">
        <f t="shared" ca="1" si="176"/>
        <v>#N/A</v>
      </c>
      <c r="AC650" t="e">
        <f t="shared" ca="1" si="177"/>
        <v>#N/A</v>
      </c>
      <c r="AD650" s="83" t="e">
        <f ca="1"/>
        <v>#N/A</v>
      </c>
      <c r="AE650" s="55" t="e">
        <f t="shared" ca="1" si="178"/>
        <v>#N/A</v>
      </c>
      <c r="AF650" s="55" t="e">
        <f t="shared" ca="1" si="179"/>
        <v>#N/A</v>
      </c>
      <c r="AG650" s="55" t="e">
        <f t="shared" ca="1" si="180"/>
        <v>#N/A</v>
      </c>
      <c r="AH650" s="55" t="e">
        <f t="shared" ca="1" si="181"/>
        <v>#N/A</v>
      </c>
      <c r="AI650" s="55" t="e">
        <f t="shared" ca="1" si="186"/>
        <v>#N/A</v>
      </c>
      <c r="AJ650" s="55" t="e">
        <f t="shared" ca="1" si="187"/>
        <v>#N/A</v>
      </c>
      <c r="AK650" s="55" t="e">
        <f t="shared" ca="1" si="188"/>
        <v>#N/A</v>
      </c>
    </row>
    <row r="651" spans="18:37">
      <c r="R651" s="55" t="e">
        <f ca="1"/>
        <v>#N/A</v>
      </c>
      <c r="S651" s="55" t="e">
        <f t="shared" ca="1" si="171"/>
        <v>#N/A</v>
      </c>
      <c r="T651" s="55" t="e">
        <f t="shared" ca="1" si="172"/>
        <v>#N/A</v>
      </c>
      <c r="U651" s="55" t="e">
        <f t="shared" ca="1" si="173"/>
        <v>#N/A</v>
      </c>
      <c r="V651" s="55" t="e">
        <f t="shared" ca="1" si="174"/>
        <v>#N/A</v>
      </c>
      <c r="W651" s="55" t="e">
        <f t="shared" ca="1" si="183"/>
        <v>#N/A</v>
      </c>
      <c r="X651" s="55" t="e">
        <f t="shared" ca="1" si="184"/>
        <v>#N/A</v>
      </c>
      <c r="Y651" s="55" t="e">
        <f t="shared" ca="1" si="185"/>
        <v>#N/A</v>
      </c>
      <c r="Z651" t="e">
        <f t="shared" ca="1" si="182"/>
        <v>#N/A</v>
      </c>
      <c r="AA651" t="e">
        <f t="shared" ca="1" si="175"/>
        <v>#N/A</v>
      </c>
      <c r="AB651" t="e">
        <f t="shared" ca="1" si="176"/>
        <v>#N/A</v>
      </c>
      <c r="AC651" t="e">
        <f t="shared" ca="1" si="177"/>
        <v>#N/A</v>
      </c>
      <c r="AD651" s="83" t="e">
        <f ca="1"/>
        <v>#N/A</v>
      </c>
      <c r="AE651" s="55" t="e">
        <f t="shared" ca="1" si="178"/>
        <v>#N/A</v>
      </c>
      <c r="AF651" s="55" t="e">
        <f t="shared" ca="1" si="179"/>
        <v>#N/A</v>
      </c>
      <c r="AG651" s="55" t="e">
        <f t="shared" ca="1" si="180"/>
        <v>#N/A</v>
      </c>
      <c r="AH651" s="55" t="e">
        <f t="shared" ca="1" si="181"/>
        <v>#N/A</v>
      </c>
      <c r="AI651" s="55" t="e">
        <f t="shared" ca="1" si="186"/>
        <v>#N/A</v>
      </c>
      <c r="AJ651" s="55" t="e">
        <f t="shared" ca="1" si="187"/>
        <v>#N/A</v>
      </c>
      <c r="AK651" s="55" t="e">
        <f t="shared" ca="1" si="188"/>
        <v>#N/A</v>
      </c>
    </row>
    <row r="652" spans="18:37">
      <c r="R652" s="55" t="e">
        <f ca="1"/>
        <v>#N/A</v>
      </c>
      <c r="S652" s="55" t="e">
        <f t="shared" ref="S652:S662" ca="1" si="189">IF(R652&gt;1,R652,"")</f>
        <v>#N/A</v>
      </c>
      <c r="T652" s="55" t="e">
        <f t="shared" ref="T652:T662" ca="1" si="190">VLOOKUP(S652,ModelOutputs,2,FALSE)</f>
        <v>#N/A</v>
      </c>
      <c r="U652" s="55" t="e">
        <f t="shared" ref="U652:U662" ca="1" si="191">VLOOKUP(S652,ModelOutputs,7,FALSE)</f>
        <v>#N/A</v>
      </c>
      <c r="V652" s="55" t="e">
        <f t="shared" ref="V652:V662" ca="1" si="192">VLOOKUP(S652,ModelOutputs,6,FALSE)</f>
        <v>#N/A</v>
      </c>
      <c r="W652" s="55" t="e">
        <f t="shared" ca="1" si="183"/>
        <v>#N/A</v>
      </c>
      <c r="X652" s="55" t="e">
        <f t="shared" ca="1" si="184"/>
        <v>#N/A</v>
      </c>
      <c r="Y652" s="55" t="e">
        <f t="shared" ca="1" si="185"/>
        <v>#N/A</v>
      </c>
      <c r="Z652" t="e">
        <f t="shared" ca="1" si="182"/>
        <v>#N/A</v>
      </c>
      <c r="AA652" t="e">
        <f t="shared" ref="AA652:AA662" ca="1" si="193">VLOOKUP(S652,ModelOutputs,11,FALSE)+AA651</f>
        <v>#N/A</v>
      </c>
      <c r="AB652" t="e">
        <f t="shared" ref="AB652:AB662" ca="1" si="194">VLOOKUP(S652,ModelOutputs,12,FALSE)</f>
        <v>#N/A</v>
      </c>
      <c r="AC652" t="e">
        <f t="shared" ref="AC652:AC662" ca="1" si="195">VLOOKUP(S652,ModelOutputs,13,FALSE)</f>
        <v>#N/A</v>
      </c>
      <c r="AD652" s="83" t="e">
        <f ca="1"/>
        <v>#N/A</v>
      </c>
      <c r="AE652" s="55" t="e">
        <f t="shared" ref="AE652:AE662" ca="1" si="196">IF(AD652&gt;1,AD652,"")</f>
        <v>#N/A</v>
      </c>
      <c r="AF652" s="55" t="e">
        <f t="shared" ref="AF652:AF662" ca="1" si="197">VLOOKUP(AE652,ModelOutputs,2,FALSE)</f>
        <v>#N/A</v>
      </c>
      <c r="AG652" s="55" t="e">
        <f t="shared" ref="AG652:AG662" ca="1" si="198">VLOOKUP(AE652,ModelOutputs,7,FALSE)</f>
        <v>#N/A</v>
      </c>
      <c r="AH652" s="55" t="e">
        <f t="shared" ref="AH652:AH662" ca="1" si="199">VLOOKUP(AE652,ModelOutputs,6,FALSE)</f>
        <v>#N/A</v>
      </c>
      <c r="AI652" s="55" t="e">
        <f t="shared" ca="1" si="186"/>
        <v>#N/A</v>
      </c>
      <c r="AJ652" s="55" t="e">
        <f t="shared" ca="1" si="187"/>
        <v>#N/A</v>
      </c>
      <c r="AK652" s="55" t="e">
        <f t="shared" ca="1" si="188"/>
        <v>#N/A</v>
      </c>
    </row>
    <row r="653" spans="18:37">
      <c r="R653" s="55" t="e">
        <f ca="1"/>
        <v>#N/A</v>
      </c>
      <c r="S653" s="55" t="e">
        <f t="shared" ca="1" si="189"/>
        <v>#N/A</v>
      </c>
      <c r="T653" s="55" t="e">
        <f t="shared" ca="1" si="190"/>
        <v>#N/A</v>
      </c>
      <c r="U653" s="55" t="e">
        <f t="shared" ca="1" si="191"/>
        <v>#N/A</v>
      </c>
      <c r="V653" s="55" t="e">
        <f t="shared" ca="1" si="192"/>
        <v>#N/A</v>
      </c>
      <c r="W653" s="55" t="e">
        <f t="shared" ca="1" si="183"/>
        <v>#N/A</v>
      </c>
      <c r="X653" s="55" t="e">
        <f t="shared" ca="1" si="184"/>
        <v>#N/A</v>
      </c>
      <c r="Y653" s="55" t="e">
        <f t="shared" ca="1" si="185"/>
        <v>#N/A</v>
      </c>
      <c r="Z653" t="e">
        <f t="shared" ca="1" si="182"/>
        <v>#N/A</v>
      </c>
      <c r="AA653" t="e">
        <f t="shared" ca="1" si="193"/>
        <v>#N/A</v>
      </c>
      <c r="AB653" t="e">
        <f t="shared" ca="1" si="194"/>
        <v>#N/A</v>
      </c>
      <c r="AC653" t="e">
        <f t="shared" ca="1" si="195"/>
        <v>#N/A</v>
      </c>
      <c r="AD653" s="83" t="e">
        <f ca="1"/>
        <v>#N/A</v>
      </c>
      <c r="AE653" s="55" t="e">
        <f t="shared" ca="1" si="196"/>
        <v>#N/A</v>
      </c>
      <c r="AF653" s="55" t="e">
        <f t="shared" ca="1" si="197"/>
        <v>#N/A</v>
      </c>
      <c r="AG653" s="55" t="e">
        <f t="shared" ca="1" si="198"/>
        <v>#N/A</v>
      </c>
      <c r="AH653" s="55" t="e">
        <f t="shared" ca="1" si="199"/>
        <v>#N/A</v>
      </c>
      <c r="AI653" s="55" t="e">
        <f t="shared" ca="1" si="186"/>
        <v>#N/A</v>
      </c>
      <c r="AJ653" s="55" t="e">
        <f t="shared" ca="1" si="187"/>
        <v>#N/A</v>
      </c>
      <c r="AK653" s="55" t="e">
        <f t="shared" ca="1" si="188"/>
        <v>#N/A</v>
      </c>
    </row>
    <row r="654" spans="18:37">
      <c r="R654" s="55" t="e">
        <f ca="1"/>
        <v>#N/A</v>
      </c>
      <c r="S654" s="55" t="e">
        <f t="shared" ca="1" si="189"/>
        <v>#N/A</v>
      </c>
      <c r="T654" s="55" t="e">
        <f t="shared" ca="1" si="190"/>
        <v>#N/A</v>
      </c>
      <c r="U654" s="55" t="e">
        <f t="shared" ca="1" si="191"/>
        <v>#N/A</v>
      </c>
      <c r="V654" s="55" t="e">
        <f t="shared" ca="1" si="192"/>
        <v>#N/A</v>
      </c>
      <c r="W654" s="55" t="e">
        <f t="shared" ca="1" si="183"/>
        <v>#N/A</v>
      </c>
      <c r="X654" s="55" t="e">
        <f t="shared" ca="1" si="184"/>
        <v>#N/A</v>
      </c>
      <c r="Y654" s="55" t="e">
        <f t="shared" ca="1" si="185"/>
        <v>#N/A</v>
      </c>
      <c r="Z654" t="e">
        <f t="shared" ca="1" si="182"/>
        <v>#N/A</v>
      </c>
      <c r="AA654" t="e">
        <f t="shared" ca="1" si="193"/>
        <v>#N/A</v>
      </c>
      <c r="AB654" t="e">
        <f t="shared" ca="1" si="194"/>
        <v>#N/A</v>
      </c>
      <c r="AC654" t="e">
        <f t="shared" ca="1" si="195"/>
        <v>#N/A</v>
      </c>
      <c r="AD654" s="83" t="e">
        <f ca="1"/>
        <v>#N/A</v>
      </c>
      <c r="AE654" s="55" t="e">
        <f t="shared" ca="1" si="196"/>
        <v>#N/A</v>
      </c>
      <c r="AF654" s="55" t="e">
        <f t="shared" ca="1" si="197"/>
        <v>#N/A</v>
      </c>
      <c r="AG654" s="55" t="e">
        <f t="shared" ca="1" si="198"/>
        <v>#N/A</v>
      </c>
      <c r="AH654" s="55" t="e">
        <f t="shared" ca="1" si="199"/>
        <v>#N/A</v>
      </c>
      <c r="AI654" s="55" t="e">
        <f t="shared" ca="1" si="186"/>
        <v>#N/A</v>
      </c>
      <c r="AJ654" s="55" t="e">
        <f t="shared" ca="1" si="187"/>
        <v>#N/A</v>
      </c>
      <c r="AK654" s="55" t="e">
        <f t="shared" ca="1" si="188"/>
        <v>#N/A</v>
      </c>
    </row>
    <row r="655" spans="18:37">
      <c r="R655" s="55" t="e">
        <f ca="1"/>
        <v>#N/A</v>
      </c>
      <c r="S655" s="55" t="e">
        <f t="shared" ca="1" si="189"/>
        <v>#N/A</v>
      </c>
      <c r="T655" s="55" t="e">
        <f t="shared" ca="1" si="190"/>
        <v>#N/A</v>
      </c>
      <c r="U655" s="55" t="e">
        <f t="shared" ca="1" si="191"/>
        <v>#N/A</v>
      </c>
      <c r="V655" s="55" t="e">
        <f t="shared" ca="1" si="192"/>
        <v>#N/A</v>
      </c>
      <c r="W655" s="55" t="e">
        <f t="shared" ca="1" si="183"/>
        <v>#N/A</v>
      </c>
      <c r="X655" s="55" t="e">
        <f t="shared" ca="1" si="184"/>
        <v>#N/A</v>
      </c>
      <c r="Y655" s="55" t="e">
        <f t="shared" ca="1" si="185"/>
        <v>#N/A</v>
      </c>
      <c r="Z655" t="e">
        <f t="shared" ca="1" si="182"/>
        <v>#N/A</v>
      </c>
      <c r="AA655" t="e">
        <f t="shared" ca="1" si="193"/>
        <v>#N/A</v>
      </c>
      <c r="AB655" t="e">
        <f t="shared" ca="1" si="194"/>
        <v>#N/A</v>
      </c>
      <c r="AC655" t="e">
        <f t="shared" ca="1" si="195"/>
        <v>#N/A</v>
      </c>
      <c r="AD655" s="83" t="e">
        <f ca="1"/>
        <v>#N/A</v>
      </c>
      <c r="AE655" s="55" t="e">
        <f t="shared" ca="1" si="196"/>
        <v>#N/A</v>
      </c>
      <c r="AF655" s="55" t="e">
        <f t="shared" ca="1" si="197"/>
        <v>#N/A</v>
      </c>
      <c r="AG655" s="55" t="e">
        <f t="shared" ca="1" si="198"/>
        <v>#N/A</v>
      </c>
      <c r="AH655" s="55" t="e">
        <f t="shared" ca="1" si="199"/>
        <v>#N/A</v>
      </c>
      <c r="AI655" s="55" t="e">
        <f t="shared" ca="1" si="186"/>
        <v>#N/A</v>
      </c>
      <c r="AJ655" s="55" t="e">
        <f t="shared" ca="1" si="187"/>
        <v>#N/A</v>
      </c>
      <c r="AK655" s="55" t="e">
        <f t="shared" ca="1" si="188"/>
        <v>#N/A</v>
      </c>
    </row>
    <row r="656" spans="18:37">
      <c r="R656" s="55" t="e">
        <f ca="1"/>
        <v>#N/A</v>
      </c>
      <c r="S656" s="55" t="e">
        <f t="shared" ca="1" si="189"/>
        <v>#N/A</v>
      </c>
      <c r="T656" s="55" t="e">
        <f t="shared" ca="1" si="190"/>
        <v>#N/A</v>
      </c>
      <c r="U656" s="55" t="e">
        <f t="shared" ca="1" si="191"/>
        <v>#N/A</v>
      </c>
      <c r="V656" s="55" t="e">
        <f t="shared" ca="1" si="192"/>
        <v>#N/A</v>
      </c>
      <c r="W656" s="55" t="e">
        <f t="shared" ca="1" si="183"/>
        <v>#N/A</v>
      </c>
      <c r="X656" s="55" t="e">
        <f t="shared" ca="1" si="184"/>
        <v>#N/A</v>
      </c>
      <c r="Y656" s="55" t="e">
        <f t="shared" ca="1" si="185"/>
        <v>#N/A</v>
      </c>
      <c r="Z656" t="e">
        <f t="shared" ca="1" si="182"/>
        <v>#N/A</v>
      </c>
      <c r="AA656" t="e">
        <f t="shared" ca="1" si="193"/>
        <v>#N/A</v>
      </c>
      <c r="AB656" t="e">
        <f t="shared" ca="1" si="194"/>
        <v>#N/A</v>
      </c>
      <c r="AC656" t="e">
        <f t="shared" ca="1" si="195"/>
        <v>#N/A</v>
      </c>
      <c r="AD656" s="83" t="e">
        <f ca="1"/>
        <v>#N/A</v>
      </c>
      <c r="AE656" s="55" t="e">
        <f t="shared" ca="1" si="196"/>
        <v>#N/A</v>
      </c>
      <c r="AF656" s="55" t="e">
        <f t="shared" ca="1" si="197"/>
        <v>#N/A</v>
      </c>
      <c r="AG656" s="55" t="e">
        <f t="shared" ca="1" si="198"/>
        <v>#N/A</v>
      </c>
      <c r="AH656" s="55" t="e">
        <f t="shared" ca="1" si="199"/>
        <v>#N/A</v>
      </c>
      <c r="AI656" s="55" t="e">
        <f t="shared" ca="1" si="186"/>
        <v>#N/A</v>
      </c>
      <c r="AJ656" s="55" t="e">
        <f t="shared" ca="1" si="187"/>
        <v>#N/A</v>
      </c>
      <c r="AK656" s="55" t="e">
        <f t="shared" ca="1" si="188"/>
        <v>#N/A</v>
      </c>
    </row>
    <row r="657" spans="18:37">
      <c r="R657" s="55" t="e">
        <f ca="1"/>
        <v>#N/A</v>
      </c>
      <c r="S657" s="55" t="e">
        <f t="shared" ca="1" si="189"/>
        <v>#N/A</v>
      </c>
      <c r="T657" s="55" t="e">
        <f t="shared" ca="1" si="190"/>
        <v>#N/A</v>
      </c>
      <c r="U657" s="55" t="e">
        <f t="shared" ca="1" si="191"/>
        <v>#N/A</v>
      </c>
      <c r="V657" s="55" t="e">
        <f t="shared" ca="1" si="192"/>
        <v>#N/A</v>
      </c>
      <c r="W657" s="55" t="e">
        <f t="shared" ca="1" si="183"/>
        <v>#N/A</v>
      </c>
      <c r="X657" s="55" t="e">
        <f t="shared" ca="1" si="184"/>
        <v>#N/A</v>
      </c>
      <c r="Y657" s="55" t="e">
        <f t="shared" ca="1" si="185"/>
        <v>#N/A</v>
      </c>
      <c r="Z657" t="e">
        <f t="shared" ca="1" si="182"/>
        <v>#N/A</v>
      </c>
      <c r="AA657" t="e">
        <f t="shared" ca="1" si="193"/>
        <v>#N/A</v>
      </c>
      <c r="AB657" t="e">
        <f t="shared" ca="1" si="194"/>
        <v>#N/A</v>
      </c>
      <c r="AC657" t="e">
        <f t="shared" ca="1" si="195"/>
        <v>#N/A</v>
      </c>
      <c r="AD657" s="83" t="e">
        <f ca="1"/>
        <v>#N/A</v>
      </c>
      <c r="AE657" s="55" t="e">
        <f t="shared" ca="1" si="196"/>
        <v>#N/A</v>
      </c>
      <c r="AF657" s="55" t="e">
        <f t="shared" ca="1" si="197"/>
        <v>#N/A</v>
      </c>
      <c r="AG657" s="55" t="e">
        <f t="shared" ca="1" si="198"/>
        <v>#N/A</v>
      </c>
      <c r="AH657" s="55" t="e">
        <f t="shared" ca="1" si="199"/>
        <v>#N/A</v>
      </c>
      <c r="AI657" s="55" t="e">
        <f t="shared" ca="1" si="186"/>
        <v>#N/A</v>
      </c>
      <c r="AJ657" s="55" t="e">
        <f t="shared" ca="1" si="187"/>
        <v>#N/A</v>
      </c>
      <c r="AK657" s="55" t="e">
        <f t="shared" ca="1" si="188"/>
        <v>#N/A</v>
      </c>
    </row>
    <row r="658" spans="18:37">
      <c r="R658" s="55" t="e">
        <f ca="1"/>
        <v>#N/A</v>
      </c>
      <c r="S658" s="55" t="e">
        <f t="shared" ca="1" si="189"/>
        <v>#N/A</v>
      </c>
      <c r="T658" s="55" t="e">
        <f t="shared" ca="1" si="190"/>
        <v>#N/A</v>
      </c>
      <c r="U658" s="55" t="e">
        <f t="shared" ca="1" si="191"/>
        <v>#N/A</v>
      </c>
      <c r="V658" s="55" t="e">
        <f t="shared" ca="1" si="192"/>
        <v>#N/A</v>
      </c>
      <c r="W658" s="55" t="e">
        <f t="shared" ca="1" si="183"/>
        <v>#N/A</v>
      </c>
      <c r="X658" s="55" t="e">
        <f t="shared" ca="1" si="184"/>
        <v>#N/A</v>
      </c>
      <c r="Y658" s="55" t="e">
        <f t="shared" ca="1" si="185"/>
        <v>#N/A</v>
      </c>
      <c r="Z658" t="e">
        <f t="shared" ca="1" si="182"/>
        <v>#N/A</v>
      </c>
      <c r="AA658" t="e">
        <f t="shared" ca="1" si="193"/>
        <v>#N/A</v>
      </c>
      <c r="AB658" t="e">
        <f t="shared" ca="1" si="194"/>
        <v>#N/A</v>
      </c>
      <c r="AC658" t="e">
        <f t="shared" ca="1" si="195"/>
        <v>#N/A</v>
      </c>
      <c r="AD658" s="83" t="e">
        <f ca="1"/>
        <v>#N/A</v>
      </c>
      <c r="AE658" s="55" t="e">
        <f t="shared" ca="1" si="196"/>
        <v>#N/A</v>
      </c>
      <c r="AF658" s="55" t="e">
        <f t="shared" ca="1" si="197"/>
        <v>#N/A</v>
      </c>
      <c r="AG658" s="55" t="e">
        <f t="shared" ca="1" si="198"/>
        <v>#N/A</v>
      </c>
      <c r="AH658" s="55" t="e">
        <f t="shared" ca="1" si="199"/>
        <v>#N/A</v>
      </c>
      <c r="AI658" s="55" t="e">
        <f t="shared" ca="1" si="186"/>
        <v>#N/A</v>
      </c>
      <c r="AJ658" s="55" t="e">
        <f t="shared" ca="1" si="187"/>
        <v>#N/A</v>
      </c>
      <c r="AK658" s="55" t="e">
        <f t="shared" ca="1" si="188"/>
        <v>#N/A</v>
      </c>
    </row>
    <row r="659" spans="18:37">
      <c r="R659" s="55" t="e">
        <f ca="1"/>
        <v>#N/A</v>
      </c>
      <c r="S659" s="55" t="e">
        <f t="shared" ca="1" si="189"/>
        <v>#N/A</v>
      </c>
      <c r="T659" s="55" t="e">
        <f t="shared" ca="1" si="190"/>
        <v>#N/A</v>
      </c>
      <c r="U659" s="55" t="e">
        <f t="shared" ca="1" si="191"/>
        <v>#N/A</v>
      </c>
      <c r="V659" s="55" t="e">
        <f t="shared" ca="1" si="192"/>
        <v>#N/A</v>
      </c>
      <c r="W659" s="55" t="e">
        <f t="shared" ca="1" si="183"/>
        <v>#N/A</v>
      </c>
      <c r="X659" s="55" t="e">
        <f t="shared" ca="1" si="184"/>
        <v>#N/A</v>
      </c>
      <c r="Y659" s="55" t="e">
        <f t="shared" ca="1" si="185"/>
        <v>#N/A</v>
      </c>
      <c r="Z659" t="e">
        <f t="shared" ca="1" si="182"/>
        <v>#N/A</v>
      </c>
      <c r="AA659" t="e">
        <f t="shared" ca="1" si="193"/>
        <v>#N/A</v>
      </c>
      <c r="AB659" t="e">
        <f t="shared" ca="1" si="194"/>
        <v>#N/A</v>
      </c>
      <c r="AC659" t="e">
        <f t="shared" ca="1" si="195"/>
        <v>#N/A</v>
      </c>
      <c r="AD659" s="83" t="e">
        <f ca="1"/>
        <v>#N/A</v>
      </c>
      <c r="AE659" s="55" t="e">
        <f t="shared" ca="1" si="196"/>
        <v>#N/A</v>
      </c>
      <c r="AF659" s="55" t="e">
        <f t="shared" ca="1" si="197"/>
        <v>#N/A</v>
      </c>
      <c r="AG659" s="55" t="e">
        <f t="shared" ca="1" si="198"/>
        <v>#N/A</v>
      </c>
      <c r="AH659" s="55" t="e">
        <f t="shared" ca="1" si="199"/>
        <v>#N/A</v>
      </c>
      <c r="AI659" s="55" t="e">
        <f t="shared" ca="1" si="186"/>
        <v>#N/A</v>
      </c>
      <c r="AJ659" s="55" t="e">
        <f t="shared" ca="1" si="187"/>
        <v>#N/A</v>
      </c>
      <c r="AK659" s="55" t="e">
        <f t="shared" ca="1" si="188"/>
        <v>#N/A</v>
      </c>
    </row>
    <row r="660" spans="18:37">
      <c r="R660" s="55" t="e">
        <f ca="1"/>
        <v>#N/A</v>
      </c>
      <c r="S660" s="55" t="e">
        <f t="shared" ca="1" si="189"/>
        <v>#N/A</v>
      </c>
      <c r="T660" s="55" t="e">
        <f t="shared" ca="1" si="190"/>
        <v>#N/A</v>
      </c>
      <c r="U660" s="55" t="e">
        <f t="shared" ca="1" si="191"/>
        <v>#N/A</v>
      </c>
      <c r="V660" s="55" t="e">
        <f t="shared" ca="1" si="192"/>
        <v>#N/A</v>
      </c>
      <c r="W660" s="55" t="e">
        <f t="shared" ca="1" si="183"/>
        <v>#N/A</v>
      </c>
      <c r="X660" s="55" t="e">
        <f t="shared" ca="1" si="184"/>
        <v>#N/A</v>
      </c>
      <c r="Y660" s="55" t="e">
        <f t="shared" ca="1" si="185"/>
        <v>#N/A</v>
      </c>
      <c r="Z660" t="e">
        <f t="shared" ca="1" si="182"/>
        <v>#N/A</v>
      </c>
      <c r="AA660" t="e">
        <f t="shared" ca="1" si="193"/>
        <v>#N/A</v>
      </c>
      <c r="AB660" t="e">
        <f t="shared" ca="1" si="194"/>
        <v>#N/A</v>
      </c>
      <c r="AC660" t="e">
        <f t="shared" ca="1" si="195"/>
        <v>#N/A</v>
      </c>
      <c r="AD660" s="83" t="e">
        <f ca="1"/>
        <v>#N/A</v>
      </c>
      <c r="AE660" s="55" t="e">
        <f t="shared" ca="1" si="196"/>
        <v>#N/A</v>
      </c>
      <c r="AF660" s="55" t="e">
        <f t="shared" ca="1" si="197"/>
        <v>#N/A</v>
      </c>
      <c r="AG660" s="55" t="e">
        <f t="shared" ca="1" si="198"/>
        <v>#N/A</v>
      </c>
      <c r="AH660" s="55" t="e">
        <f t="shared" ca="1" si="199"/>
        <v>#N/A</v>
      </c>
      <c r="AI660" s="55" t="e">
        <f t="shared" ca="1" si="186"/>
        <v>#N/A</v>
      </c>
      <c r="AJ660" s="55" t="e">
        <f t="shared" ca="1" si="187"/>
        <v>#N/A</v>
      </c>
      <c r="AK660" s="55" t="e">
        <f t="shared" ca="1" si="188"/>
        <v>#N/A</v>
      </c>
    </row>
    <row r="661" spans="18:37">
      <c r="R661" s="55" t="e">
        <f ca="1"/>
        <v>#N/A</v>
      </c>
      <c r="S661" s="55" t="e">
        <f t="shared" ca="1" si="189"/>
        <v>#N/A</v>
      </c>
      <c r="T661" s="55" t="e">
        <f t="shared" ca="1" si="190"/>
        <v>#N/A</v>
      </c>
      <c r="U661" s="55" t="e">
        <f t="shared" ca="1" si="191"/>
        <v>#N/A</v>
      </c>
      <c r="V661" s="55" t="e">
        <f t="shared" ca="1" si="192"/>
        <v>#N/A</v>
      </c>
      <c r="W661" s="55" t="e">
        <f t="shared" ca="1" si="183"/>
        <v>#N/A</v>
      </c>
      <c r="X661" s="55" t="e">
        <f t="shared" ca="1" si="184"/>
        <v>#N/A</v>
      </c>
      <c r="Y661" s="55" t="e">
        <f t="shared" ca="1" si="185"/>
        <v>#N/A</v>
      </c>
      <c r="Z661" t="e">
        <f t="shared" ca="1" si="182"/>
        <v>#N/A</v>
      </c>
      <c r="AA661" t="e">
        <f t="shared" ca="1" si="193"/>
        <v>#N/A</v>
      </c>
      <c r="AB661" t="e">
        <f t="shared" ca="1" si="194"/>
        <v>#N/A</v>
      </c>
      <c r="AC661" t="e">
        <f t="shared" ca="1" si="195"/>
        <v>#N/A</v>
      </c>
      <c r="AD661" s="83" t="e">
        <f ca="1"/>
        <v>#N/A</v>
      </c>
      <c r="AE661" s="55" t="e">
        <f t="shared" ca="1" si="196"/>
        <v>#N/A</v>
      </c>
      <c r="AF661" s="55" t="e">
        <f t="shared" ca="1" si="197"/>
        <v>#N/A</v>
      </c>
      <c r="AG661" s="55" t="e">
        <f t="shared" ca="1" si="198"/>
        <v>#N/A</v>
      </c>
      <c r="AH661" s="55" t="e">
        <f t="shared" ca="1" si="199"/>
        <v>#N/A</v>
      </c>
      <c r="AI661" s="55" t="e">
        <f t="shared" ca="1" si="186"/>
        <v>#N/A</v>
      </c>
      <c r="AJ661" s="55" t="e">
        <f t="shared" ca="1" si="187"/>
        <v>#N/A</v>
      </c>
      <c r="AK661" s="55" t="e">
        <f t="shared" ca="1" si="188"/>
        <v>#N/A</v>
      </c>
    </row>
    <row r="662" spans="18:37">
      <c r="R662" s="55" t="e">
        <f ca="1"/>
        <v>#N/A</v>
      </c>
      <c r="S662" s="55" t="e">
        <f t="shared" ca="1" si="189"/>
        <v>#N/A</v>
      </c>
      <c r="T662" s="55" t="e">
        <f t="shared" ca="1" si="190"/>
        <v>#N/A</v>
      </c>
      <c r="U662" s="55" t="e">
        <f t="shared" ca="1" si="191"/>
        <v>#N/A</v>
      </c>
      <c r="V662" s="55" t="e">
        <f t="shared" ca="1" si="192"/>
        <v>#N/A</v>
      </c>
      <c r="W662" s="55" t="e">
        <f t="shared" ca="1" si="183"/>
        <v>#N/A</v>
      </c>
      <c r="X662" s="55" t="e">
        <f t="shared" ca="1" si="184"/>
        <v>#N/A</v>
      </c>
      <c r="Y662" s="55" t="e">
        <f t="shared" ca="1" si="185"/>
        <v>#N/A</v>
      </c>
      <c r="Z662" t="e">
        <f t="shared" ca="1" si="182"/>
        <v>#N/A</v>
      </c>
      <c r="AA662" t="e">
        <f t="shared" ca="1" si="193"/>
        <v>#N/A</v>
      </c>
      <c r="AB662" t="e">
        <f t="shared" ca="1" si="194"/>
        <v>#N/A</v>
      </c>
      <c r="AC662" t="e">
        <f t="shared" ca="1" si="195"/>
        <v>#N/A</v>
      </c>
      <c r="AD662" s="83" t="e">
        <f ca="1"/>
        <v>#N/A</v>
      </c>
      <c r="AE662" s="55" t="e">
        <f t="shared" ca="1" si="196"/>
        <v>#N/A</v>
      </c>
      <c r="AF662" s="55" t="e">
        <f t="shared" ca="1" si="197"/>
        <v>#N/A</v>
      </c>
      <c r="AG662" s="55" t="e">
        <f t="shared" ca="1" si="198"/>
        <v>#N/A</v>
      </c>
      <c r="AH662" s="55" t="e">
        <f t="shared" ca="1" si="199"/>
        <v>#N/A</v>
      </c>
      <c r="AI662" s="55" t="e">
        <f t="shared" ca="1" si="186"/>
        <v>#N/A</v>
      </c>
      <c r="AJ662" s="55" t="e">
        <f t="shared" ca="1" si="187"/>
        <v>#N/A</v>
      </c>
      <c r="AK662" s="55" t="e">
        <f t="shared" ca="1" si="188"/>
        <v>#N/A</v>
      </c>
    </row>
  </sheetData>
  <sheetProtection selectLockedCells="1"/>
  <mergeCells count="13">
    <mergeCell ref="C46:H46"/>
    <mergeCell ref="C17:H17"/>
    <mergeCell ref="C3:H3"/>
    <mergeCell ref="C68:H68"/>
    <mergeCell ref="C57:H57"/>
    <mergeCell ref="C27:D27"/>
    <mergeCell ref="C36:D36"/>
    <mergeCell ref="F27:G27"/>
    <mergeCell ref="Z15:AC15"/>
    <mergeCell ref="AD15:AH15"/>
    <mergeCell ref="R15:V15"/>
    <mergeCell ref="D1:H1"/>
    <mergeCell ref="D2:H2"/>
  </mergeCells>
  <conditionalFormatting sqref="H29:H43">
    <cfRule type="containsText" dxfId="22" priority="47" operator="containsText" text="Suggested">
      <formula>NOT(ISERROR(SEARCH("Suggested",H29)))</formula>
    </cfRule>
  </conditionalFormatting>
  <conditionalFormatting sqref="F29:G29">
    <cfRule type="expression" dxfId="21" priority="53">
      <formula>$B$29=1</formula>
    </cfRule>
  </conditionalFormatting>
  <conditionalFormatting sqref="F30:G30">
    <cfRule type="expression" dxfId="20" priority="60">
      <formula>$B$30=1</formula>
    </cfRule>
  </conditionalFormatting>
  <conditionalFormatting sqref="F31:G31">
    <cfRule type="expression" dxfId="19" priority="62">
      <formula>$B$31=1</formula>
    </cfRule>
  </conditionalFormatting>
  <conditionalFormatting sqref="F32:G32">
    <cfRule type="expression" dxfId="18" priority="64">
      <formula>$B$32=1</formula>
    </cfRule>
  </conditionalFormatting>
  <conditionalFormatting sqref="F33:G33">
    <cfRule type="expression" dxfId="17" priority="66">
      <formula>$B$33=1</formula>
    </cfRule>
  </conditionalFormatting>
  <conditionalFormatting sqref="F34:G34">
    <cfRule type="expression" dxfId="16" priority="68">
      <formula>$B$34=1</formula>
    </cfRule>
  </conditionalFormatting>
  <conditionalFormatting sqref="F35:G35">
    <cfRule type="expression" dxfId="15" priority="70">
      <formula>$B$35=1</formula>
    </cfRule>
  </conditionalFormatting>
  <conditionalFormatting sqref="F36">
    <cfRule type="expression" dxfId="14" priority="72">
      <formula>$B$36=1</formula>
    </cfRule>
  </conditionalFormatting>
  <conditionalFormatting sqref="F37:G37">
    <cfRule type="expression" dxfId="13" priority="74">
      <formula>$B$37=1</formula>
    </cfRule>
  </conditionalFormatting>
  <conditionalFormatting sqref="F38:G38">
    <cfRule type="expression" dxfId="12" priority="76">
      <formula>$B$38=1</formula>
    </cfRule>
  </conditionalFormatting>
  <conditionalFormatting sqref="F22:H24 C22:E23 C17:H21 D24 C25:H45">
    <cfRule type="expression" dxfId="11" priority="7">
      <formula>$B$1=1</formula>
    </cfRule>
  </conditionalFormatting>
  <conditionalFormatting sqref="C54:E56 F54:H55 C46:H53 C68:H71 C64:E67 F65:H66 F8:H15 C57:H63">
    <cfRule type="expression" dxfId="10" priority="6">
      <formula>NOT($B$1=3)</formula>
    </cfRule>
  </conditionalFormatting>
  <conditionalFormatting sqref="E15">
    <cfRule type="expression" dxfId="9" priority="4">
      <formula>NOT($B$1=1)</formula>
    </cfRule>
  </conditionalFormatting>
  <conditionalFormatting sqref="D72:E72">
    <cfRule type="expression" dxfId="8" priority="3">
      <formula>NOT($B$1=3)</formula>
    </cfRule>
  </conditionalFormatting>
  <conditionalFormatting sqref="C72">
    <cfRule type="expression" dxfId="7" priority="2">
      <formula>NOT($B$1=3)</formula>
    </cfRule>
  </conditionalFormatting>
  <conditionalFormatting sqref="G36">
    <cfRule type="expression" dxfId="6" priority="85">
      <formula>$B$36</formula>
    </cfRule>
  </conditionalFormatting>
  <conditionalFormatting sqref="F39:G39">
    <cfRule type="expression" dxfId="5" priority="88">
      <formula>$B$39=1</formula>
    </cfRule>
  </conditionalFormatting>
  <conditionalFormatting sqref="F40:G40">
    <cfRule type="expression" dxfId="4" priority="89">
      <formula>$B$40=1</formula>
    </cfRule>
  </conditionalFormatting>
  <conditionalFormatting sqref="F41:G41">
    <cfRule type="expression" dxfId="3" priority="90">
      <formula>$B$41=1</formula>
    </cfRule>
  </conditionalFormatting>
  <conditionalFormatting sqref="F42:G42">
    <cfRule type="expression" dxfId="2" priority="91">
      <formula>$B$42=1</formula>
    </cfRule>
  </conditionalFormatting>
  <conditionalFormatting sqref="F43:G43">
    <cfRule type="expression" dxfId="1" priority="92">
      <formula>$B$43=1</formula>
    </cfRule>
  </conditionalFormatting>
  <conditionalFormatting sqref="C24 E24">
    <cfRule type="expression" dxfId="0" priority="1">
      <formula>$B$1=1</formula>
    </cfRule>
  </conditionalFormatting>
  <dataValidations count="3">
    <dataValidation type="list" allowBlank="1" showInputMessage="1" showErrorMessage="1" sqref="E59:E60 E48:E49 D6" xr:uid="{F7066995-07A6-4604-9C29-9BAAA59B1CB1}">
      <formula1>INDIRECT(D5)</formula1>
    </dataValidation>
    <dataValidation type="list" allowBlank="1" showInputMessage="1" showErrorMessage="1" sqref="E7" xr:uid="{07B5D134-A977-4BCE-B784-D201F29122FC}">
      <formula1>INDIRECT(D6)</formula1>
    </dataValidation>
    <dataValidation type="date" allowBlank="1" showInputMessage="1" showErrorMessage="1" sqref="E9:E10 C29:C34 C38:C43 E51:E52 E62:E63" xr:uid="{0B633CD4-9FD8-45B2-85B7-990ACE290045}">
      <formula1>1</formula1>
      <formula2>146099</formula2>
    </dataValidation>
  </dataValidations>
  <pageMargins left="0.36" right="0.48" top="0.48" bottom="0.75" header="0.3" footer="0.3"/>
  <pageSetup paperSize="9" scale="50" orientation="landscape" r:id="rId1"/>
  <ignoredErrors>
    <ignoredError sqref="G10:G13 D56 D12:D13 C12 C14" evalError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allowBlank="1" showInputMessage="1" showErrorMessage="1" xr:uid="{DAD4E7B4-BD77-4FB4-95BC-F77E60930145}">
          <x14:formula1>
            <xm:f>ListMembers!$AP$7:$AP$8</xm:f>
          </x14:formula1>
          <xm:sqref>E20</xm:sqref>
        </x14:dataValidation>
        <x14:dataValidation type="list" allowBlank="1" showInputMessage="1" showErrorMessage="1" xr:uid="{1E89A85C-A2D1-49B8-A629-F465098813D2}">
          <x14:formula1>
            <xm:f>ListMembers!$AR$7:$AR$11</xm:f>
          </x14:formula1>
          <xm:sqref>D4</xm:sqref>
        </x14:dataValidation>
        <x14:dataValidation type="list" allowBlank="1" showInputMessage="1" showErrorMessage="1" xr:uid="{141FDDB5-3590-446F-BF5D-FC07D34D9FF8}">
          <x14:formula1>
            <xm:f>ListMembers!$A$7:$G$7</xm:f>
          </x14:formula1>
          <xm:sqref>E58 E47</xm:sqref>
        </x14:dataValidation>
        <x14:dataValidation type="list" allowBlank="1" showInputMessage="1" showErrorMessage="1" xr:uid="{FB7F7F7F-6830-439C-A452-DC2AC77D074A}">
          <x14:formula1>
            <xm:f>ListMembers!$J$8:$J$9</xm:f>
          </x14:formula1>
          <xm:sqref>H9 H51 H62</xm:sqref>
        </x14:dataValidation>
        <x14:dataValidation type="list" allowBlank="1" showInputMessage="1" showErrorMessage="1" xr:uid="{6CCBC118-FC8E-49F9-A3BE-83EA96C14A7E}">
          <x14:formula1>
            <xm:f>ListMembers!$L$8:$L$13</xm:f>
          </x14:formula1>
          <xm:sqref>H63 H10 H52</xm:sqref>
        </x14:dataValidation>
        <x14:dataValidation type="list" allowBlank="1" showInputMessage="1" showErrorMessage="1" xr:uid="{B6C5AA59-7D70-4632-9111-DF08C9CDFAAA}">
          <x14:formula1>
            <xm:f>ListMembers!$N$9:$N$13</xm:f>
          </x14:formula1>
          <xm:sqref>H65 H54</xm:sqref>
        </x14:dataValidation>
        <x14:dataValidation type="list" allowBlank="1" showInputMessage="1" showErrorMessage="1" xr:uid="{67165BF5-599C-4B52-9722-A7BC52F74BF1}">
          <x14:formula1>
            <xm:f>ListMembers!$R$8:$R$10</xm:f>
          </x14:formula1>
          <xm:sqref>E66 E13 E55</xm:sqref>
        </x14:dataValidation>
        <x14:dataValidation type="list" allowBlank="1" showInputMessage="1" showErrorMessage="1" xr:uid="{67353EDE-1582-4F16-A3D0-F840165AF302}">
          <x14:formula1>
            <xm:f>ListMembers!$N$8:$N$12</xm:f>
          </x14:formula1>
          <xm:sqref>H14</xm:sqref>
        </x14:dataValidation>
        <x14:dataValidation type="list" allowBlank="1" showInputMessage="1" showErrorMessage="1" xr:uid="{22513497-E155-426C-9CC0-D722D0CFFF62}">
          <x14:formula1>
            <xm:f>ListMembers!$P$8:$P$10</xm:f>
          </x14:formula1>
          <xm:sqref>H15 H66 H55</xm:sqref>
        </x14:dataValidation>
        <x14:dataValidation type="list" allowBlank="1" showInputMessage="1" showErrorMessage="1" xr:uid="{A5D76426-3CC4-488F-81DD-460ED33BE49E}">
          <x14:formula1>
            <xm:f>ListMembers!$U$8:$U$10</xm:f>
          </x14:formula1>
          <xm:sqref>C1</xm:sqref>
        </x14:dataValidation>
        <x14:dataValidation type="list" allowBlank="1" showInputMessage="1" showErrorMessage="1" xr:uid="{84ABB45A-2F67-459F-898C-795953E33435}">
          <x14:formula1>
            <xm:f>ListMembers!$X$8:$X$10</xm:f>
          </x14:formula1>
          <xm:sqref>H6</xm:sqref>
        </x14:dataValidation>
        <x14:dataValidation type="list" allowBlank="1" showInputMessage="1" showErrorMessage="1" xr:uid="{945B8706-F6E8-429C-B3FF-349A120E40D2}">
          <x14:formula1>
            <xm:f>ListMembers!$Z$7:$Z$11</xm:f>
          </x14:formula1>
          <xm:sqref>H4:H5</xm:sqref>
        </x14:dataValidation>
        <x14:dataValidation type="list" allowBlank="1" showInputMessage="1" showErrorMessage="1" xr:uid="{8B557169-F32B-4DA6-9F69-2E785B265629}">
          <x14:formula1>
            <xm:f>ListMembers!$AE$7:$AE$8</xm:f>
          </x14:formula1>
          <xm:sqref>E21</xm:sqref>
        </x14:dataValidation>
        <x14:dataValidation type="list" allowBlank="1" showInputMessage="1" showErrorMessage="1" xr:uid="{99DDD769-52B6-4544-80F0-B908CDD156F3}">
          <x14:formula1>
            <xm:f>ListMembers!$AM$6:$AM$17</xm:f>
          </x14:formula1>
          <xm:sqref>E22</xm:sqref>
        </x14:dataValidation>
        <x14:dataValidation type="list" allowBlank="1" showInputMessage="1" showErrorMessage="1" xr:uid="{241B3E7A-C18B-4528-AAA1-C5D8CBCBE68B}">
          <x14:formula1>
            <xm:f>ListMembers!$A$7:$H$7</xm:f>
          </x14:formula1>
          <xm:sqref>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E9D3D-86EC-4CDB-A5D3-4DA78B18B0CC}">
  <sheetPr codeName="Sheet2"/>
  <dimension ref="A1:AE1000"/>
  <sheetViews>
    <sheetView topLeftCell="B1" zoomScale="105" workbookViewId="0">
      <selection activeCell="H2" sqref="H2"/>
    </sheetView>
  </sheetViews>
  <sheetFormatPr defaultRowHeight="14.4"/>
  <cols>
    <col min="1" max="1" width="26.6640625" bestFit="1" customWidth="1"/>
    <col min="2" max="2" width="23" customWidth="1"/>
    <col min="3" max="3" width="5" customWidth="1"/>
    <col min="6" max="6" width="4.88671875" customWidth="1"/>
    <col min="7" max="7" width="7.5546875" customWidth="1"/>
    <col min="8" max="8" width="22.33203125" bestFit="1" customWidth="1"/>
    <col min="10" max="10" width="13.6640625" customWidth="1"/>
    <col min="11" max="11" width="12.5546875" bestFit="1" customWidth="1"/>
    <col min="12" max="12" width="11.6640625" bestFit="1" customWidth="1"/>
    <col min="13" max="23" width="11.6640625" customWidth="1"/>
    <col min="24" max="24" width="10.6640625" bestFit="1" customWidth="1"/>
    <col min="25" max="25" width="10.6640625" customWidth="1"/>
    <col min="26" max="27" width="11.6640625" customWidth="1"/>
    <col min="28" max="28" width="10.6640625" bestFit="1" customWidth="1"/>
    <col min="31" max="31" width="6.109375" customWidth="1"/>
    <col min="38" max="38" width="3.6640625" customWidth="1"/>
    <col min="39" max="39" width="14.109375" customWidth="1"/>
    <col min="40" max="40" width="12.5546875" customWidth="1"/>
    <col min="41" max="41" width="6.33203125" customWidth="1"/>
    <col min="42" max="42" width="15.109375" bestFit="1" customWidth="1"/>
    <col min="43" max="43" width="17.44140625" bestFit="1" customWidth="1"/>
    <col min="44" max="44" width="12.44140625" bestFit="1" customWidth="1"/>
    <col min="45" max="45" width="6" bestFit="1" customWidth="1"/>
  </cols>
  <sheetData>
    <row r="1" spans="1:31" ht="26.4" thickBot="1">
      <c r="A1" s="138" t="s">
        <v>111</v>
      </c>
      <c r="B1" s="139"/>
      <c r="I1" s="30" t="s">
        <v>110</v>
      </c>
      <c r="J1" s="22"/>
      <c r="K1" s="21" t="s">
        <v>180</v>
      </c>
      <c r="L1" s="22"/>
      <c r="M1" s="21" t="s">
        <v>177</v>
      </c>
      <c r="N1" s="21" t="s">
        <v>178</v>
      </c>
      <c r="O1" s="21" t="s">
        <v>13</v>
      </c>
      <c r="P1" s="21" t="s">
        <v>177</v>
      </c>
      <c r="Q1" s="21" t="s">
        <v>179</v>
      </c>
      <c r="R1" s="23" t="s">
        <v>174</v>
      </c>
      <c r="S1" s="97"/>
      <c r="T1" s="97"/>
      <c r="U1" s="97"/>
      <c r="V1" s="97"/>
      <c r="W1" s="97" t="s">
        <v>176</v>
      </c>
      <c r="X1" s="97" t="s">
        <v>175</v>
      </c>
      <c r="AA1" s="97"/>
    </row>
    <row r="2" spans="1:31" ht="15" thickBot="1">
      <c r="A2" s="12" t="s">
        <v>247</v>
      </c>
      <c r="B2" s="13" t="str">
        <f>Location</f>
        <v>pukekohe</v>
      </c>
      <c r="I2" s="117"/>
      <c r="K2" s="97"/>
      <c r="M2" s="97"/>
      <c r="N2" s="97"/>
      <c r="O2" s="97"/>
      <c r="P2" s="97"/>
      <c r="Q2" s="97"/>
      <c r="R2" s="118"/>
      <c r="S2" s="97"/>
      <c r="T2" s="97"/>
      <c r="U2" s="97"/>
      <c r="V2" s="97"/>
      <c r="W2" s="97"/>
      <c r="X2" s="97"/>
      <c r="AA2" s="97"/>
    </row>
    <row r="3" spans="1:31">
      <c r="A3" s="12" t="s">
        <v>226</v>
      </c>
      <c r="B3" s="13" t="str">
        <f>SoilOrder</f>
        <v>SiltLoam</v>
      </c>
      <c r="D3" s="39" t="str">
        <f>ConceptDemo!C27</f>
        <v>Fertiliser already applied or planned</v>
      </c>
      <c r="E3" s="40"/>
      <c r="I3" s="12" t="s">
        <v>0</v>
      </c>
      <c r="J3" s="28">
        <f>B21+1</f>
        <v>45231</v>
      </c>
      <c r="K3" s="3">
        <v>50</v>
      </c>
      <c r="L3" s="3"/>
      <c r="M3" s="3">
        <f ca="1">SUMIF($I$8:$I$1001,TRUE,M8:M1001)</f>
        <v>-6.3218692418788516</v>
      </c>
      <c r="N3" s="3">
        <f ca="1">SUMIF($I$8:$I$1001,TRUE,N8:N1001)</f>
        <v>16.228645129920825</v>
      </c>
      <c r="O3" s="3">
        <f ca="1">SUMIF($I$8:$I$1001,TRUE,O8:O1001)</f>
        <v>62.602339078583221</v>
      </c>
      <c r="P3" s="3">
        <f ca="1">VLOOKUP(B32,ModelOutputs,P5,FALSE)-Q3</f>
        <v>0.4928567913087778</v>
      </c>
      <c r="Q3">
        <f ca="1">VLOOKUP(B32,ModelOutputs,Q5,FALSE)</f>
        <v>1.7468341970437682</v>
      </c>
      <c r="R3" s="13"/>
      <c r="W3" s="3">
        <f ca="1">MAX(0,X4-X3)</f>
        <v>0</v>
      </c>
      <c r="X3" s="3">
        <f ca="1">SUM(K3:R3)</f>
        <v>124.74880595497774</v>
      </c>
      <c r="AA3" s="3"/>
    </row>
    <row r="4" spans="1:31" ht="15" thickBot="1">
      <c r="A4" s="12" t="s">
        <v>208</v>
      </c>
      <c r="B4" s="13" t="str">
        <f>SampleDepth</f>
        <v>Top15cm</v>
      </c>
      <c r="D4" s="19" t="str">
        <f>ConceptDemo!C28</f>
        <v>Date</v>
      </c>
      <c r="E4" s="20" t="str">
        <f>ConceptDemo!D28</f>
        <v>Amount</v>
      </c>
      <c r="I4" s="14" t="s">
        <v>12</v>
      </c>
      <c r="J4" s="29">
        <f>B34</f>
        <v>45301</v>
      </c>
      <c r="K4" s="24">
        <f ca="1">VLOOKUP(J4,ModelOutputs,2,FALSE)</f>
        <v>27.818805954977659</v>
      </c>
      <c r="L4" s="27"/>
      <c r="M4" s="25"/>
      <c r="N4" s="25"/>
      <c r="O4" s="25"/>
      <c r="P4" s="24">
        <f ca="1">(VLOOKUP($J$4,ModelOutputs,P5,FALSE)-VLOOKUP($J$3+1,ModelOutputs,P5,FALSE))-Q4</f>
        <v>20.811587238045703</v>
      </c>
      <c r="Q4" s="26">
        <f ca="1">VLOOKUP($J$4,ModelOutputs,Q5,FALSE)-VLOOKUP($J$3+1,ModelOutputs,Q5,FALSE)</f>
        <v>73.762587679149291</v>
      </c>
      <c r="R4" s="27">
        <f ca="1">SUMIF($I$8:$I$1001,TRUE,R8:R1001)</f>
        <v>0</v>
      </c>
      <c r="S4" s="3"/>
      <c r="T4" s="3"/>
      <c r="U4" s="3"/>
      <c r="V4" s="3"/>
      <c r="W4" s="3">
        <f ca="1">MAX(0,X3-X4)</f>
        <v>2.3558250828050831</v>
      </c>
      <c r="X4" s="3">
        <f ca="1">SUM(K4:R4)</f>
        <v>122.39298087217266</v>
      </c>
    </row>
    <row r="5" spans="1:31">
      <c r="A5" s="12" t="s">
        <v>236</v>
      </c>
      <c r="B5" s="13" t="str">
        <f>SoilCategory</f>
        <v>Volcanic</v>
      </c>
      <c r="D5" s="37" t="str">
        <f>IF(ConceptDemo!C29="","",ConceptDemo!C29)</f>
        <v/>
      </c>
      <c r="E5" s="38" t="str">
        <f>IF(ConceptDemo!D29="","",ConceptDemo!D29)</f>
        <v/>
      </c>
      <c r="L5">
        <f ca="1">SUMIF(H7:H1000,FALSE,L7:L1000)</f>
        <v>137.29858923228588</v>
      </c>
      <c r="M5">
        <f ca="1">SUMIF(H7:H1000,TRUE,M7:M1000)</f>
        <v>-6.3338499274880249</v>
      </c>
      <c r="P5">
        <v>7</v>
      </c>
      <c r="Q5">
        <v>8</v>
      </c>
      <c r="W5" s="3"/>
      <c r="AA5" s="3"/>
    </row>
    <row r="6" spans="1:31">
      <c r="A6" s="12" t="s">
        <v>207</v>
      </c>
      <c r="B6" s="13">
        <f>HWEON</f>
        <v>30</v>
      </c>
      <c r="D6" s="18" t="str">
        <f>IF(ConceptDemo!C30="","",ConceptDemo!C30)</f>
        <v/>
      </c>
      <c r="E6" s="17" t="str">
        <f>IF(ConceptDemo!D30="","",ConceptDemo!D30)</f>
        <v/>
      </c>
      <c r="H6" t="s">
        <v>173</v>
      </c>
      <c r="I6" t="s">
        <v>109</v>
      </c>
      <c r="J6" t="str">
        <f t="array" aca="1" ref="J6:V1000" ca="1">_xll.GetDailyNBalance(A2:B50,D13:E19,D4:E10)</f>
        <v>Date</v>
      </c>
      <c r="K6" s="2" t="str">
        <f ca="1"/>
        <v>SoilMineralN</v>
      </c>
      <c r="L6" t="str">
        <f ca="1"/>
        <v>UptakeN</v>
      </c>
      <c r="M6" t="str">
        <f ca="1"/>
        <v>ResidueN</v>
      </c>
      <c r="N6" t="str">
        <f ca="1"/>
        <v>SoilOMN</v>
      </c>
      <c r="O6" t="str">
        <f ca="1"/>
        <v>FertiliserN</v>
      </c>
      <c r="P6" t="str">
        <f ca="1"/>
        <v>CropN</v>
      </c>
      <c r="Q6" t="str">
        <f ca="1"/>
        <v>ProductN</v>
      </c>
      <c r="R6" t="str">
        <f ca="1"/>
        <v>LostN</v>
      </c>
      <c r="S6" t="str">
        <f ca="1"/>
        <v>RSWC</v>
      </c>
      <c r="T6" t="str">
        <f ca="1"/>
        <v>Drainage</v>
      </c>
      <c r="U6" t="str">
        <f ca="1"/>
        <v>Irrigation</v>
      </c>
      <c r="V6" t="str">
        <f ca="1"/>
        <v>Green cover</v>
      </c>
      <c r="X6" t="s">
        <v>143</v>
      </c>
      <c r="Y6" t="s">
        <v>144</v>
      </c>
    </row>
    <row r="7" spans="1:31">
      <c r="A7" s="12" t="s">
        <v>25</v>
      </c>
      <c r="B7" s="13">
        <f>Splits</f>
        <v>3</v>
      </c>
      <c r="D7" s="18" t="str">
        <f>IF(ConceptDemo!C31="","",ConceptDemo!C31)</f>
        <v/>
      </c>
      <c r="E7" s="17" t="str">
        <f>IF(ConceptDemo!D31="","",ConceptDemo!D31)</f>
        <v/>
      </c>
      <c r="H7" t="b">
        <f ca="1">IF(J7&lt;$J$4,TRUE,FALSE)</f>
        <v>1</v>
      </c>
      <c r="I7" t="b">
        <f t="shared" ref="I7:I70" ca="1" si="0">AND(IF(J7&gt;($J$3-1),TRUE,FALSE),IF(J7&lt;($J$4+1),TRUE,FALSE))</f>
        <v>0</v>
      </c>
      <c r="J7" s="2">
        <f ca="1"/>
        <v>45230</v>
      </c>
      <c r="K7">
        <f ca="1"/>
        <v>0</v>
      </c>
      <c r="L7">
        <f ca="1"/>
        <v>3.6524229784547657</v>
      </c>
      <c r="M7">
        <f ca="1"/>
        <v>0</v>
      </c>
      <c r="N7" s="4">
        <f ca="1"/>
        <v>0.25742912124832429</v>
      </c>
      <c r="O7">
        <f ca="1"/>
        <v>0</v>
      </c>
      <c r="P7">
        <f ca="1"/>
        <v>108.00000000000001</v>
      </c>
      <c r="Q7">
        <f ca="1"/>
        <v>98.8</v>
      </c>
      <c r="R7">
        <f ca="1"/>
        <v>0</v>
      </c>
      <c r="S7">
        <f ca="1"/>
        <v>0.9</v>
      </c>
      <c r="T7">
        <f ca="1"/>
        <v>0</v>
      </c>
      <c r="U7">
        <f ca="1"/>
        <v>0</v>
      </c>
      <c r="V7">
        <f ca="1"/>
        <v>0.99993345063478134</v>
      </c>
      <c r="X7" s="2">
        <f t="shared" ref="X7:X70" ca="1" si="1">IFERROR(J7,$X$5)</f>
        <v>45230</v>
      </c>
      <c r="Y7">
        <f t="shared" ref="Y7:Y70" ca="1" si="2">IFERROR(O7,0)</f>
        <v>0</v>
      </c>
      <c r="AA7" s="3"/>
      <c r="AB7" s="3"/>
      <c r="AD7" s="3"/>
      <c r="AE7" s="3"/>
    </row>
    <row r="8" spans="1:31">
      <c r="A8" s="12" t="s">
        <v>227</v>
      </c>
      <c r="B8" s="13">
        <f>Rocks</f>
        <v>0</v>
      </c>
      <c r="D8" s="18" t="str">
        <f>IF(ConceptDemo!C32="","",ConceptDemo!C32)</f>
        <v/>
      </c>
      <c r="E8" s="17" t="str">
        <f>IF(ConceptDemo!D32="","",ConceptDemo!D32)</f>
        <v/>
      </c>
      <c r="H8" t="b">
        <f t="shared" ref="H8:H71" ca="1" si="3">IF(J8&lt;$J$4,TRUE,FALSE)</f>
        <v>1</v>
      </c>
      <c r="I8" t="b">
        <f t="shared" ca="1" si="0"/>
        <v>1</v>
      </c>
      <c r="J8" s="2">
        <f ca="1"/>
        <v>45231</v>
      </c>
      <c r="K8">
        <f ca="1"/>
        <v>49.901073117640735</v>
      </c>
      <c r="L8">
        <f ca="1"/>
        <v>0</v>
      </c>
      <c r="M8">
        <f ca="1"/>
        <v>-0.34000963486259028</v>
      </c>
      <c r="N8" s="4">
        <f ca="1"/>
        <v>0.24108275250332059</v>
      </c>
      <c r="O8">
        <f ca="1"/>
        <v>0</v>
      </c>
      <c r="P8">
        <f ca="1"/>
        <v>2.239690988352546</v>
      </c>
      <c r="Q8">
        <f ca="1"/>
        <v>1.7468341970437682</v>
      </c>
      <c r="R8">
        <f ca="1"/>
        <v>0</v>
      </c>
      <c r="S8">
        <f ca="1"/>
        <v>0.88111793303379138</v>
      </c>
      <c r="T8">
        <f ca="1"/>
        <v>0</v>
      </c>
      <c r="U8">
        <f ca="1"/>
        <v>0</v>
      </c>
      <c r="V8">
        <f ca="1"/>
        <v>2.4708900187025557E-2</v>
      </c>
      <c r="X8" s="2">
        <f t="shared" ca="1" si="1"/>
        <v>45231</v>
      </c>
      <c r="Y8">
        <f t="shared" ca="1" si="2"/>
        <v>0</v>
      </c>
      <c r="Z8" s="3"/>
      <c r="AA8" s="63">
        <f ca="1">K7+M8+N8+O8</f>
        <v>-9.8926882359269691E-2</v>
      </c>
      <c r="AB8" s="63">
        <f ca="1">K8+L8+R8</f>
        <v>49.901073117640735</v>
      </c>
      <c r="AC8" s="3">
        <f ca="1">AB8-AA8</f>
        <v>50.000000000000007</v>
      </c>
      <c r="AE8" s="3"/>
    </row>
    <row r="9" spans="1:31">
      <c r="A9" s="12" t="s">
        <v>200</v>
      </c>
      <c r="B9" s="13" t="str">
        <f>PrePlantRain</f>
        <v>Typical</v>
      </c>
      <c r="D9" s="18" t="str">
        <f>IF(ConceptDemo!C33="","",ConceptDemo!C33)</f>
        <v/>
      </c>
      <c r="E9" s="17" t="str">
        <f>IF(ConceptDemo!D33="","",ConceptDemo!D33)</f>
        <v/>
      </c>
      <c r="H9" t="b">
        <f t="shared" ca="1" si="3"/>
        <v>1</v>
      </c>
      <c r="I9" t="b">
        <f t="shared" ca="1" si="0"/>
        <v>1</v>
      </c>
      <c r="J9" s="2">
        <f ca="1"/>
        <v>45232</v>
      </c>
      <c r="K9">
        <f ca="1"/>
        <v>49.690090131295634</v>
      </c>
      <c r="L9">
        <f ca="1"/>
        <v>0.11613409445254819</v>
      </c>
      <c r="M9">
        <f ca="1"/>
        <v>-0.32623369540624148</v>
      </c>
      <c r="N9" s="4">
        <f ca="1"/>
        <v>0.23138480351368843</v>
      </c>
      <c r="O9">
        <f ca="1"/>
        <v>0</v>
      </c>
      <c r="P9">
        <f ca="1"/>
        <v>2.3558250828050942</v>
      </c>
      <c r="Q9">
        <f ca="1"/>
        <v>1.8374123208507698</v>
      </c>
      <c r="R9">
        <f ca="1"/>
        <v>0</v>
      </c>
      <c r="S9">
        <f ca="1"/>
        <v>0.84510783729655603</v>
      </c>
      <c r="T9">
        <f ca="1"/>
        <v>0</v>
      </c>
      <c r="U9">
        <f ca="1"/>
        <v>0</v>
      </c>
      <c r="V9">
        <f ca="1"/>
        <v>2.7980827496568911E-2</v>
      </c>
      <c r="X9" s="2">
        <f t="shared" ca="1" si="1"/>
        <v>45232</v>
      </c>
      <c r="Y9">
        <f t="shared" ca="1" si="2"/>
        <v>0</v>
      </c>
      <c r="AA9" s="63">
        <f t="shared" ref="AA9:AA72" ca="1" si="4">K8+M9+N9+O9</f>
        <v>49.806224225748181</v>
      </c>
      <c r="AB9" s="63">
        <f t="shared" ref="AB9:AB72" ca="1" si="5">K9+L9+R9</f>
        <v>49.806224225748181</v>
      </c>
      <c r="AC9" s="3">
        <f t="shared" ref="AC9:AC72" ca="1" si="6">AB9-AA9</f>
        <v>0</v>
      </c>
    </row>
    <row r="10" spans="1:31" ht="15" thickBot="1">
      <c r="A10" s="12" t="s">
        <v>201</v>
      </c>
      <c r="B10" s="13" t="str">
        <f>InCropRain</f>
        <v>Typical</v>
      </c>
      <c r="D10" s="35" t="str">
        <f>IF(ConceptDemo!C34="","",ConceptDemo!C34)</f>
        <v/>
      </c>
      <c r="E10" s="20" t="str">
        <f>IF(ConceptDemo!D34="","",ConceptDemo!D34)</f>
        <v/>
      </c>
      <c r="H10" t="b">
        <f t="shared" ca="1" si="3"/>
        <v>1</v>
      </c>
      <c r="I10" t="b">
        <f t="shared" ca="1" si="0"/>
        <v>1</v>
      </c>
      <c r="J10" s="2">
        <f ca="1"/>
        <v>45233</v>
      </c>
      <c r="K10">
        <f ca="1"/>
        <v>49.487913733210299</v>
      </c>
      <c r="L10">
        <f ca="1"/>
        <v>0.12056577612077701</v>
      </c>
      <c r="M10">
        <f ca="1"/>
        <v>-0.30929965241499169</v>
      </c>
      <c r="N10" s="4">
        <f ca="1"/>
        <v>0.22768903045043604</v>
      </c>
      <c r="O10">
        <f ca="1"/>
        <v>0</v>
      </c>
      <c r="P10">
        <f ca="1"/>
        <v>2.4763908589258712</v>
      </c>
      <c r="Q10">
        <f ca="1"/>
        <v>1.9314469094686459</v>
      </c>
      <c r="R10">
        <f ca="1"/>
        <v>0</v>
      </c>
      <c r="S10">
        <f ca="1"/>
        <v>0.83991814148379718</v>
      </c>
      <c r="T10">
        <f ca="1"/>
        <v>0</v>
      </c>
      <c r="U10">
        <f ca="1"/>
        <v>0</v>
      </c>
      <c r="V10">
        <f ca="1"/>
        <v>3.1623892192874641E-2</v>
      </c>
      <c r="X10" s="2">
        <f t="shared" ca="1" si="1"/>
        <v>45233</v>
      </c>
      <c r="Y10">
        <f t="shared" ca="1" si="2"/>
        <v>0</v>
      </c>
      <c r="AA10" s="63">
        <f t="shared" ca="1" si="4"/>
        <v>49.608479509331076</v>
      </c>
      <c r="AB10" s="63">
        <f t="shared" ca="1" si="5"/>
        <v>49.608479509331076</v>
      </c>
      <c r="AC10" s="3">
        <f t="shared" ca="1" si="6"/>
        <v>0</v>
      </c>
    </row>
    <row r="11" spans="1:31" ht="15" thickBot="1">
      <c r="A11" s="12" t="s">
        <v>188</v>
      </c>
      <c r="B11" s="13" t="str">
        <f>Irrigation</f>
        <v>None</v>
      </c>
      <c r="H11" t="b">
        <f t="shared" ca="1" si="3"/>
        <v>1</v>
      </c>
      <c r="I11" t="b">
        <f t="shared" ca="1" si="0"/>
        <v>1</v>
      </c>
      <c r="J11" s="2">
        <f ca="1"/>
        <v>45234</v>
      </c>
      <c r="K11">
        <f ca="1"/>
        <v>49.291941212337953</v>
      </c>
      <c r="L11">
        <f ca="1"/>
        <v>0.12968582045461208</v>
      </c>
      <c r="M11">
        <f ca="1"/>
        <v>-0.2997008088950891</v>
      </c>
      <c r="N11" s="4">
        <f ca="1"/>
        <v>0.23341410847735461</v>
      </c>
      <c r="O11">
        <f ca="1"/>
        <v>0</v>
      </c>
      <c r="P11">
        <f ca="1"/>
        <v>2.6060766793804833</v>
      </c>
      <c r="Q11">
        <f ca="1"/>
        <v>2.0325946245864488</v>
      </c>
      <c r="R11">
        <f ca="1"/>
        <v>0</v>
      </c>
      <c r="S11">
        <f ca="1"/>
        <v>0.84527020730073765</v>
      </c>
      <c r="T11">
        <f ca="1"/>
        <v>0</v>
      </c>
      <c r="U11">
        <f ca="1"/>
        <v>0</v>
      </c>
      <c r="V11">
        <f ca="1"/>
        <v>3.5824511682542103E-2</v>
      </c>
      <c r="X11" s="2">
        <f t="shared" ca="1" si="1"/>
        <v>45234</v>
      </c>
      <c r="Y11">
        <f t="shared" ca="1" si="2"/>
        <v>0</v>
      </c>
      <c r="AA11" s="63">
        <f t="shared" ca="1" si="4"/>
        <v>49.421627032792564</v>
      </c>
      <c r="AB11" s="63">
        <f t="shared" ca="1" si="5"/>
        <v>49.421627032792564</v>
      </c>
      <c r="AC11" s="3">
        <f t="shared" ca="1" si="6"/>
        <v>0</v>
      </c>
    </row>
    <row r="12" spans="1:31">
      <c r="A12" s="5" t="s">
        <v>140</v>
      </c>
      <c r="B12" s="31" t="str">
        <f>PriorCropNameFull</f>
        <v>Barley Fodder General</v>
      </c>
      <c r="D12" s="136" t="str">
        <f>ConceptDemo!C36</f>
        <v>Soil Mineral N Test Results</v>
      </c>
      <c r="E12" s="137"/>
      <c r="H12" t="b">
        <f t="shared" ca="1" si="3"/>
        <v>1</v>
      </c>
      <c r="I12" t="b">
        <f t="shared" ca="1" si="0"/>
        <v>1</v>
      </c>
      <c r="J12" s="2">
        <f ca="1"/>
        <v>45235</v>
      </c>
      <c r="K12">
        <f ca="1"/>
        <v>49.113409055146867</v>
      </c>
      <c r="L12">
        <f ca="1"/>
        <v>0.14170499636820111</v>
      </c>
      <c r="M12">
        <f ca="1"/>
        <v>-0.29288908917134893</v>
      </c>
      <c r="N12" s="4">
        <f ca="1"/>
        <v>0.25606192834845981</v>
      </c>
      <c r="O12">
        <f ca="1"/>
        <v>0</v>
      </c>
      <c r="P12">
        <f ca="1"/>
        <v>2.7477816757486844</v>
      </c>
      <c r="Q12">
        <f ca="1"/>
        <v>2.1431166273248792</v>
      </c>
      <c r="R12">
        <f ca="1"/>
        <v>0</v>
      </c>
      <c r="S12">
        <f ca="1"/>
        <v>0.89448235508251805</v>
      </c>
      <c r="T12">
        <f ca="1"/>
        <v>0</v>
      </c>
      <c r="U12">
        <f ca="1"/>
        <v>0</v>
      </c>
      <c r="V12">
        <f ca="1"/>
        <v>4.0749886352777882E-2</v>
      </c>
      <c r="X12" s="2">
        <f t="shared" ca="1" si="1"/>
        <v>45235</v>
      </c>
      <c r="Y12">
        <f t="shared" ca="1" si="2"/>
        <v>0</v>
      </c>
      <c r="AA12" s="63">
        <f t="shared" ca="1" si="4"/>
        <v>49.255114051515065</v>
      </c>
      <c r="AB12" s="63">
        <f t="shared" ca="1" si="5"/>
        <v>49.255114051515065</v>
      </c>
      <c r="AC12" s="3">
        <f t="shared" ca="1" si="6"/>
        <v>0</v>
      </c>
    </row>
    <row r="13" spans="1:31" ht="15" thickBot="1">
      <c r="A13" s="6" t="s">
        <v>237</v>
      </c>
      <c r="B13" s="32">
        <f>PriorYield</f>
        <v>8</v>
      </c>
      <c r="D13" s="19" t="str">
        <f>ConceptDemo!C37</f>
        <v>Date</v>
      </c>
      <c r="E13" s="20" t="str">
        <f>ConceptDemo!D37</f>
        <v>Value</v>
      </c>
      <c r="H13" t="b">
        <f t="shared" ca="1" si="3"/>
        <v>1</v>
      </c>
      <c r="I13" t="b">
        <f t="shared" ca="1" si="0"/>
        <v>1</v>
      </c>
      <c r="J13" s="2">
        <f ca="1"/>
        <v>45236</v>
      </c>
      <c r="K13">
        <f ca="1"/>
        <v>48.950745941002033</v>
      </c>
      <c r="L13">
        <f ca="1"/>
        <v>0.14304307557687013</v>
      </c>
      <c r="M13">
        <f ca="1"/>
        <v>-0.27186032440794428</v>
      </c>
      <c r="N13" s="4">
        <f ca="1"/>
        <v>0.25224028583997959</v>
      </c>
      <c r="O13">
        <f ca="1"/>
        <v>0</v>
      </c>
      <c r="P13">
        <f ca="1"/>
        <v>2.8908247513255545</v>
      </c>
      <c r="Q13">
        <f ca="1"/>
        <v>2.2546822573012677</v>
      </c>
      <c r="R13">
        <f ca="1"/>
        <v>0</v>
      </c>
      <c r="S13">
        <f ca="1"/>
        <v>0.90865478145824086</v>
      </c>
      <c r="T13">
        <f ca="1"/>
        <v>0</v>
      </c>
      <c r="U13">
        <f ca="1"/>
        <v>0</v>
      </c>
      <c r="V13">
        <f ca="1"/>
        <v>4.6077210604115078E-2</v>
      </c>
      <c r="X13" s="2">
        <f t="shared" ca="1" si="1"/>
        <v>45236</v>
      </c>
      <c r="Y13">
        <f t="shared" ca="1" si="2"/>
        <v>0</v>
      </c>
      <c r="AA13" s="63">
        <f t="shared" ca="1" si="4"/>
        <v>49.093789016578903</v>
      </c>
      <c r="AB13" s="63">
        <f t="shared" ca="1" si="5"/>
        <v>49.093789016578903</v>
      </c>
      <c r="AC13" s="3">
        <f t="shared" ca="1" si="6"/>
        <v>0</v>
      </c>
    </row>
    <row r="14" spans="1:31">
      <c r="A14" s="6" t="s">
        <v>230</v>
      </c>
      <c r="B14" s="32">
        <f>PriorPopulation</f>
        <v>1</v>
      </c>
      <c r="D14" s="18" t="str">
        <f>IF(ConceptDemo!C38="","",ConceptDemo!C38)</f>
        <v/>
      </c>
      <c r="E14" s="17" t="str">
        <f>IF(ConceptDemo!D38="","",ConceptDemo!D38)</f>
        <v/>
      </c>
      <c r="H14" t="b">
        <f t="shared" ca="1" si="3"/>
        <v>1</v>
      </c>
      <c r="I14" t="b">
        <f t="shared" ca="1" si="0"/>
        <v>1</v>
      </c>
      <c r="J14" s="2">
        <f ca="1"/>
        <v>45237</v>
      </c>
      <c r="K14">
        <f ca="1"/>
        <v>48.795007437712002</v>
      </c>
      <c r="L14">
        <f ca="1"/>
        <v>0.15559249499362693</v>
      </c>
      <c r="M14">
        <f ca="1"/>
        <v>-0.26484788037846485</v>
      </c>
      <c r="N14" s="4">
        <f ca="1"/>
        <v>0.26470187208205775</v>
      </c>
      <c r="O14">
        <f ca="1"/>
        <v>0</v>
      </c>
      <c r="P14">
        <f ca="1"/>
        <v>3.0464172463191814</v>
      </c>
      <c r="Q14">
        <f ca="1"/>
        <v>2.3760357352907264</v>
      </c>
      <c r="R14">
        <f ca="1"/>
        <v>0</v>
      </c>
      <c r="S14">
        <f ca="1"/>
        <v>0.92603982097384285</v>
      </c>
      <c r="T14">
        <f ca="1"/>
        <v>0</v>
      </c>
      <c r="U14">
        <f ca="1"/>
        <v>0</v>
      </c>
      <c r="V14">
        <f ca="1"/>
        <v>5.2275925969990804E-2</v>
      </c>
      <c r="X14" s="2">
        <f t="shared" ca="1" si="1"/>
        <v>45237</v>
      </c>
      <c r="Y14">
        <f t="shared" ca="1" si="2"/>
        <v>0</v>
      </c>
      <c r="AA14" s="63">
        <f t="shared" ca="1" si="4"/>
        <v>48.950599932705629</v>
      </c>
      <c r="AB14" s="63">
        <f t="shared" ca="1" si="5"/>
        <v>48.950599932705629</v>
      </c>
      <c r="AC14" s="3">
        <f t="shared" ca="1" si="6"/>
        <v>0</v>
      </c>
    </row>
    <row r="15" spans="1:31">
      <c r="A15" s="6" t="s">
        <v>231</v>
      </c>
      <c r="B15" s="32" t="str">
        <f>PriorUnits</f>
        <v>t/ha</v>
      </c>
      <c r="D15" s="18" t="str">
        <f>IF(ConceptDemo!C39="","",ConceptDemo!C39)</f>
        <v/>
      </c>
      <c r="E15" s="17" t="str">
        <f>IF(ConceptDemo!D39="","",ConceptDemo!D39)</f>
        <v/>
      </c>
      <c r="H15" t="b">
        <f t="shared" ca="1" si="3"/>
        <v>1</v>
      </c>
      <c r="I15" t="b">
        <f t="shared" ca="1" si="0"/>
        <v>1</v>
      </c>
      <c r="J15" s="2">
        <f ca="1"/>
        <v>45238</v>
      </c>
      <c r="K15">
        <f ca="1"/>
        <v>48.641125527411717</v>
      </c>
      <c r="L15">
        <f ca="1"/>
        <v>0.16844411198172127</v>
      </c>
      <c r="M15">
        <f ca="1"/>
        <v>-0.25680008480737504</v>
      </c>
      <c r="N15" s="4">
        <f ca="1"/>
        <v>0.2713622864888065</v>
      </c>
      <c r="O15">
        <f ca="1"/>
        <v>0</v>
      </c>
      <c r="P15">
        <f ca="1"/>
        <v>3.2148613583009027</v>
      </c>
      <c r="Q15">
        <f ca="1"/>
        <v>2.5074127585633779</v>
      </c>
      <c r="R15">
        <f ca="1"/>
        <v>0</v>
      </c>
      <c r="S15">
        <f ca="1"/>
        <v>0.9284388949186978</v>
      </c>
      <c r="T15">
        <f ca="1"/>
        <v>0</v>
      </c>
      <c r="U15">
        <f ca="1"/>
        <v>0</v>
      </c>
      <c r="V15">
        <f ca="1"/>
        <v>5.9457230884261018E-2</v>
      </c>
      <c r="X15" s="2">
        <f t="shared" ca="1" si="1"/>
        <v>45238</v>
      </c>
      <c r="Y15">
        <f t="shared" ca="1" si="2"/>
        <v>0</v>
      </c>
      <c r="AA15" s="63">
        <f t="shared" ca="1" si="4"/>
        <v>48.809569639393438</v>
      </c>
      <c r="AB15" s="63">
        <f t="shared" ca="1" si="5"/>
        <v>48.809569639393438</v>
      </c>
      <c r="AC15" s="3">
        <f t="shared" ca="1" si="6"/>
        <v>0</v>
      </c>
    </row>
    <row r="16" spans="1:31">
      <c r="A16" s="6" t="s">
        <v>113</v>
      </c>
      <c r="B16" s="32">
        <f>PriorFieldLoss</f>
        <v>0</v>
      </c>
      <c r="D16" s="18" t="str">
        <f>IF(ConceptDemo!C40="","",ConceptDemo!C40)</f>
        <v/>
      </c>
      <c r="E16" s="17" t="str">
        <f>IF(ConceptDemo!D40="","",ConceptDemo!D40)</f>
        <v/>
      </c>
      <c r="H16" t="b">
        <f t="shared" ca="1" si="3"/>
        <v>1</v>
      </c>
      <c r="I16" t="b">
        <f t="shared" ca="1" si="0"/>
        <v>1</v>
      </c>
      <c r="J16" s="2">
        <f ca="1"/>
        <v>45239</v>
      </c>
      <c r="K16">
        <f ca="1"/>
        <v>48.495963892050121</v>
      </c>
      <c r="L16">
        <f ca="1"/>
        <v>0.1708530172137448</v>
      </c>
      <c r="M16">
        <f ca="1"/>
        <v>-0.23848357491756245</v>
      </c>
      <c r="N16" s="4">
        <f ca="1"/>
        <v>0.26417495676970543</v>
      </c>
      <c r="O16">
        <f ca="1"/>
        <v>0</v>
      </c>
      <c r="P16">
        <f ca="1"/>
        <v>3.3857143755146475</v>
      </c>
      <c r="Q16">
        <f ca="1"/>
        <v>2.6406685937161591</v>
      </c>
      <c r="R16">
        <f ca="1"/>
        <v>0</v>
      </c>
      <c r="S16">
        <f ca="1"/>
        <v>0.93117070022594872</v>
      </c>
      <c r="T16">
        <f ca="1"/>
        <v>0</v>
      </c>
      <c r="U16">
        <f ca="1"/>
        <v>0</v>
      </c>
      <c r="V16">
        <f ca="1"/>
        <v>6.7234024817951418E-2</v>
      </c>
      <c r="X16" s="2">
        <f t="shared" ca="1" si="1"/>
        <v>45239</v>
      </c>
      <c r="Y16">
        <f t="shared" ca="1" si="2"/>
        <v>0</v>
      </c>
      <c r="AA16" s="63">
        <f t="shared" ca="1" si="4"/>
        <v>48.666816909263865</v>
      </c>
      <c r="AB16" s="63">
        <f t="shared" ca="1" si="5"/>
        <v>48.666816909263865</v>
      </c>
      <c r="AC16" s="3">
        <f t="shared" ca="1" si="6"/>
        <v>0</v>
      </c>
    </row>
    <row r="17" spans="1:29">
      <c r="A17" s="6" t="s">
        <v>114</v>
      </c>
      <c r="B17" s="32">
        <f>PriorDressingLoss</f>
        <v>0</v>
      </c>
      <c r="D17" s="18" t="str">
        <f>IF(ConceptDemo!C41="","",ConceptDemo!C41)</f>
        <v/>
      </c>
      <c r="E17" s="17" t="str">
        <f>IF(ConceptDemo!D41="","",ConceptDemo!D41)</f>
        <v/>
      </c>
      <c r="H17" t="b">
        <f t="shared" ca="1" si="3"/>
        <v>1</v>
      </c>
      <c r="I17" t="b">
        <f t="shared" ca="1" si="0"/>
        <v>1</v>
      </c>
      <c r="J17" s="2">
        <f ca="1"/>
        <v>45240</v>
      </c>
      <c r="K17">
        <f ca="1"/>
        <v>48.344975428331495</v>
      </c>
      <c r="L17">
        <f ca="1"/>
        <v>0.18665631708817587</v>
      </c>
      <c r="M17">
        <f ca="1"/>
        <v>-0.2325729583384506</v>
      </c>
      <c r="N17" s="4">
        <f ca="1"/>
        <v>0.26824081170800623</v>
      </c>
      <c r="O17">
        <f ca="1"/>
        <v>0</v>
      </c>
      <c r="P17">
        <f ca="1"/>
        <v>3.5723706926028234</v>
      </c>
      <c r="Q17">
        <f ca="1"/>
        <v>2.786250122364319</v>
      </c>
      <c r="R17">
        <f ca="1"/>
        <v>0</v>
      </c>
      <c r="S17">
        <f ca="1"/>
        <v>0.91991798498873656</v>
      </c>
      <c r="T17">
        <f ca="1"/>
        <v>0</v>
      </c>
      <c r="U17">
        <f ca="1"/>
        <v>0</v>
      </c>
      <c r="V17">
        <f ca="1"/>
        <v>7.6285672236702101E-2</v>
      </c>
      <c r="X17" s="2">
        <f t="shared" ca="1" si="1"/>
        <v>45240</v>
      </c>
      <c r="Y17">
        <f t="shared" ca="1" si="2"/>
        <v>0</v>
      </c>
      <c r="AA17" s="63">
        <f t="shared" ca="1" si="4"/>
        <v>48.531631745419674</v>
      </c>
      <c r="AB17" s="63">
        <f t="shared" ca="1" si="5"/>
        <v>48.531631745419674</v>
      </c>
      <c r="AC17" s="3">
        <f t="shared" ca="1" si="6"/>
        <v>0</v>
      </c>
    </row>
    <row r="18" spans="1:29">
      <c r="A18" s="6" t="s">
        <v>115</v>
      </c>
      <c r="B18" s="32">
        <f>PriorMoistureContent</f>
        <v>0</v>
      </c>
      <c r="D18" s="18" t="str">
        <f>IF(ConceptDemo!C42="","",ConceptDemo!C42)</f>
        <v/>
      </c>
      <c r="E18" s="17" t="str">
        <f>IF(ConceptDemo!D42="","",ConceptDemo!D42)</f>
        <v/>
      </c>
      <c r="H18" t="b">
        <f t="shared" ca="1" si="3"/>
        <v>1</v>
      </c>
      <c r="I18" t="b">
        <f t="shared" ca="1" si="0"/>
        <v>1</v>
      </c>
      <c r="J18" s="2">
        <f ca="1"/>
        <v>45241</v>
      </c>
      <c r="K18">
        <f ca="1"/>
        <v>48.185378050521166</v>
      </c>
      <c r="L18">
        <f ca="1"/>
        <v>0.19882148021501855</v>
      </c>
      <c r="M18">
        <f ca="1"/>
        <v>-0.22265902732648701</v>
      </c>
      <c r="N18" s="4">
        <f ca="1"/>
        <v>0.26188312973117711</v>
      </c>
      <c r="O18">
        <f ca="1"/>
        <v>0</v>
      </c>
      <c r="P18">
        <f ca="1"/>
        <v>3.7711921728178419</v>
      </c>
      <c r="Q18">
        <f ca="1"/>
        <v>2.94131980052645</v>
      </c>
      <c r="R18">
        <f ca="1"/>
        <v>0</v>
      </c>
      <c r="S18">
        <f ca="1"/>
        <v>0.89438110614095823</v>
      </c>
      <c r="T18">
        <f ca="1"/>
        <v>0</v>
      </c>
      <c r="U18">
        <f ca="1"/>
        <v>0</v>
      </c>
      <c r="V18">
        <f ca="1"/>
        <v>8.654710700058299E-2</v>
      </c>
      <c r="X18" s="2">
        <f t="shared" ca="1" si="1"/>
        <v>45241</v>
      </c>
      <c r="Y18">
        <f t="shared" ca="1" si="2"/>
        <v>0</v>
      </c>
      <c r="AA18" s="63">
        <f t="shared" ca="1" si="4"/>
        <v>48.384199530736183</v>
      </c>
      <c r="AB18" s="63">
        <f t="shared" ca="1" si="5"/>
        <v>48.384199530736183</v>
      </c>
      <c r="AC18" s="3">
        <f t="shared" ca="1" si="6"/>
        <v>0</v>
      </c>
    </row>
    <row r="19" spans="1:29" ht="15" thickBot="1">
      <c r="A19" s="6" t="s">
        <v>116</v>
      </c>
      <c r="B19" s="34">
        <f ca="1">PriorEstablishDate</f>
        <v>45171</v>
      </c>
      <c r="D19" s="35" t="str">
        <f>IF(ConceptDemo!C43="","",ConceptDemo!C43)</f>
        <v/>
      </c>
      <c r="E19" s="20" t="str">
        <f>IF(ConceptDemo!D43="","",ConceptDemo!D43)</f>
        <v/>
      </c>
      <c r="H19" t="b">
        <f t="shared" ca="1" si="3"/>
        <v>1</v>
      </c>
      <c r="I19" t="b">
        <f t="shared" ca="1" si="0"/>
        <v>1</v>
      </c>
      <c r="J19" s="2">
        <f ca="1"/>
        <v>45242</v>
      </c>
      <c r="K19">
        <f ca="1"/>
        <v>48.028698779495386</v>
      </c>
      <c r="L19">
        <f ca="1"/>
        <v>0.2089979057134097</v>
      </c>
      <c r="M19">
        <f ca="1"/>
        <v>-0.21114841329983225</v>
      </c>
      <c r="N19" s="4">
        <f ca="1"/>
        <v>0.26346704798746495</v>
      </c>
      <c r="O19">
        <f ca="1"/>
        <v>0</v>
      </c>
      <c r="P19">
        <f ca="1"/>
        <v>3.9801900785312516</v>
      </c>
      <c r="Q19">
        <f ca="1"/>
        <v>3.1043265236455442</v>
      </c>
      <c r="R19">
        <f ca="1"/>
        <v>0</v>
      </c>
      <c r="S19">
        <f ca="1"/>
        <v>0.90109989391238665</v>
      </c>
      <c r="T19">
        <f ca="1"/>
        <v>0</v>
      </c>
      <c r="U19">
        <f ca="1"/>
        <v>0</v>
      </c>
      <c r="V19">
        <f ca="1"/>
        <v>9.7996902607000752E-2</v>
      </c>
      <c r="X19" s="2">
        <f t="shared" ca="1" si="1"/>
        <v>45242</v>
      </c>
      <c r="Y19">
        <f t="shared" ca="1" si="2"/>
        <v>0</v>
      </c>
      <c r="AA19" s="63">
        <f t="shared" ca="1" si="4"/>
        <v>48.237696685208796</v>
      </c>
      <c r="AB19" s="63">
        <f t="shared" ca="1" si="5"/>
        <v>48.237696685208796</v>
      </c>
      <c r="AC19" s="3">
        <f t="shared" ca="1" si="6"/>
        <v>0</v>
      </c>
    </row>
    <row r="20" spans="1:29">
      <c r="A20" s="6" t="s">
        <v>117</v>
      </c>
      <c r="B20" s="32" t="str">
        <f>PriorEstablishStage</f>
        <v>Seed</v>
      </c>
      <c r="H20" t="b">
        <f t="shared" ca="1" si="3"/>
        <v>1</v>
      </c>
      <c r="I20" t="b">
        <f t="shared" ca="1" si="0"/>
        <v>1</v>
      </c>
      <c r="J20" s="2">
        <f ca="1"/>
        <v>45243</v>
      </c>
      <c r="K20">
        <f ca="1"/>
        <v>47.872447863387677</v>
      </c>
      <c r="L20">
        <f ca="1"/>
        <v>0.215014079023367</v>
      </c>
      <c r="M20">
        <f ca="1"/>
        <v>-0.19748746779129966</v>
      </c>
      <c r="N20" s="4">
        <f ca="1"/>
        <v>0.25625063070695708</v>
      </c>
      <c r="O20">
        <f ca="1"/>
        <v>0</v>
      </c>
      <c r="P20">
        <f ca="1"/>
        <v>4.1952041575546186</v>
      </c>
      <c r="Q20">
        <f ca="1"/>
        <v>3.2720255267835463</v>
      </c>
      <c r="R20">
        <f ca="1"/>
        <v>0</v>
      </c>
      <c r="S20">
        <f ca="1"/>
        <v>0.89440034304872174</v>
      </c>
      <c r="T20">
        <f ca="1"/>
        <v>0</v>
      </c>
      <c r="U20">
        <f ca="1"/>
        <v>0</v>
      </c>
      <c r="V20">
        <f ca="1"/>
        <v>0.11045121172244535</v>
      </c>
      <c r="X20" s="2">
        <f t="shared" ca="1" si="1"/>
        <v>45243</v>
      </c>
      <c r="Y20">
        <f t="shared" ca="1" si="2"/>
        <v>0</v>
      </c>
      <c r="AA20" s="63">
        <f t="shared" ca="1" si="4"/>
        <v>48.087461942411046</v>
      </c>
      <c r="AB20" s="63">
        <f t="shared" ca="1" si="5"/>
        <v>48.087461942411046</v>
      </c>
      <c r="AC20" s="3">
        <f t="shared" ca="1" si="6"/>
        <v>0</v>
      </c>
    </row>
    <row r="21" spans="1:29">
      <c r="A21" s="6" t="s">
        <v>118</v>
      </c>
      <c r="B21" s="34">
        <f>PriorHarvestDate</f>
        <v>45230</v>
      </c>
      <c r="H21" t="b">
        <f t="shared" ca="1" si="3"/>
        <v>1</v>
      </c>
      <c r="I21" t="b">
        <f t="shared" ca="1" si="0"/>
        <v>1</v>
      </c>
      <c r="J21" s="2">
        <f ca="1"/>
        <v>45244</v>
      </c>
      <c r="K21">
        <f ca="1"/>
        <v>47.714031546439031</v>
      </c>
      <c r="L21">
        <f ca="1"/>
        <v>0.22514452165680332</v>
      </c>
      <c r="M21">
        <f ca="1"/>
        <v>-0.18704588408267586</v>
      </c>
      <c r="N21" s="4">
        <f ca="1"/>
        <v>0.25377408879083407</v>
      </c>
      <c r="O21">
        <f ca="1"/>
        <v>0</v>
      </c>
      <c r="P21">
        <f ca="1"/>
        <v>4.4203486792114219</v>
      </c>
      <c r="Q21">
        <f ca="1"/>
        <v>3.4476257108055659</v>
      </c>
      <c r="R21">
        <f ca="1"/>
        <v>0</v>
      </c>
      <c r="S21">
        <f ca="1"/>
        <v>0.89007299942010365</v>
      </c>
      <c r="T21">
        <f ca="1"/>
        <v>0</v>
      </c>
      <c r="U21">
        <f ca="1"/>
        <v>0</v>
      </c>
      <c r="V21">
        <f ca="1"/>
        <v>0.12418160600814997</v>
      </c>
      <c r="X21" s="2">
        <f t="shared" ca="1" si="1"/>
        <v>45244</v>
      </c>
      <c r="Y21">
        <f t="shared" ca="1" si="2"/>
        <v>0</v>
      </c>
      <c r="AA21" s="63">
        <f t="shared" ca="1" si="4"/>
        <v>47.939176068095833</v>
      </c>
      <c r="AB21" s="63">
        <f t="shared" ca="1" si="5"/>
        <v>47.939176068095833</v>
      </c>
      <c r="AC21" s="3">
        <f t="shared" ca="1" si="6"/>
        <v>0</v>
      </c>
    </row>
    <row r="22" spans="1:29">
      <c r="A22" s="6" t="s">
        <v>119</v>
      </c>
      <c r="B22" s="32" t="str">
        <f>PriorHarvestStage</f>
        <v>EarlyReproductive</v>
      </c>
      <c r="H22" t="b">
        <f t="shared" ca="1" si="3"/>
        <v>1</v>
      </c>
      <c r="I22" t="b">
        <f t="shared" ca="1" si="0"/>
        <v>1</v>
      </c>
      <c r="J22" s="2">
        <f ca="1"/>
        <v>45245</v>
      </c>
      <c r="K22">
        <f ca="1"/>
        <v>47.5405813976354</v>
      </c>
      <c r="L22">
        <f ca="1"/>
        <v>0.24588288629774357</v>
      </c>
      <c r="M22">
        <f ca="1"/>
        <v>-0.18196179059204542</v>
      </c>
      <c r="N22" s="4">
        <f ca="1"/>
        <v>0.25439452808615676</v>
      </c>
      <c r="O22">
        <f ca="1"/>
        <v>0</v>
      </c>
      <c r="P22">
        <f ca="1"/>
        <v>4.6662315655091655</v>
      </c>
      <c r="Q22">
        <f ca="1"/>
        <v>3.6394006639068697</v>
      </c>
      <c r="R22">
        <f ca="1"/>
        <v>0</v>
      </c>
      <c r="S22">
        <f ca="1"/>
        <v>0.86903004723435506</v>
      </c>
      <c r="T22">
        <f ca="1"/>
        <v>0</v>
      </c>
      <c r="U22">
        <f ca="1"/>
        <v>0</v>
      </c>
      <c r="V22">
        <f ca="1"/>
        <v>0.13992147707698785</v>
      </c>
      <c r="X22" s="2">
        <f t="shared" ca="1" si="1"/>
        <v>45245</v>
      </c>
      <c r="Y22">
        <f t="shared" ca="1" si="2"/>
        <v>0</v>
      </c>
      <c r="AA22" s="63">
        <f t="shared" ca="1" si="4"/>
        <v>47.786464283933142</v>
      </c>
      <c r="AB22" s="63">
        <f t="shared" ca="1" si="5"/>
        <v>47.786464283933142</v>
      </c>
      <c r="AC22" s="3">
        <f t="shared" ca="1" si="6"/>
        <v>0</v>
      </c>
    </row>
    <row r="23" spans="1:29">
      <c r="A23" s="6" t="s">
        <v>163</v>
      </c>
      <c r="B23" s="32" t="str">
        <f>PriorResidueRemoval</f>
        <v>None removed</v>
      </c>
      <c r="H23" t="b">
        <f t="shared" ca="1" si="3"/>
        <v>1</v>
      </c>
      <c r="I23" t="b">
        <f t="shared" ca="1" si="0"/>
        <v>1</v>
      </c>
      <c r="J23" s="2">
        <f ca="1"/>
        <v>45246</v>
      </c>
      <c r="K23">
        <f ca="1"/>
        <v>47.362715129117696</v>
      </c>
      <c r="L23">
        <f ca="1"/>
        <v>0.26811806152718543</v>
      </c>
      <c r="M23">
        <f ca="1"/>
        <v>-0.17646905814831282</v>
      </c>
      <c r="N23" s="4">
        <f ca="1"/>
        <v>0.26672085115779071</v>
      </c>
      <c r="O23">
        <f ca="1"/>
        <v>0</v>
      </c>
      <c r="P23">
        <f ca="1"/>
        <v>4.9343496270363509</v>
      </c>
      <c r="Q23">
        <f ca="1"/>
        <v>3.8485178149587136</v>
      </c>
      <c r="R23">
        <f ca="1"/>
        <v>0</v>
      </c>
      <c r="S23">
        <f ca="1"/>
        <v>0.88467719778696008</v>
      </c>
      <c r="T23">
        <f ca="1"/>
        <v>0</v>
      </c>
      <c r="U23">
        <f ca="1"/>
        <v>0</v>
      </c>
      <c r="V23">
        <f ca="1"/>
        <v>0.1578860493226944</v>
      </c>
      <c r="X23" s="2">
        <f t="shared" ca="1" si="1"/>
        <v>45246</v>
      </c>
      <c r="Y23">
        <f t="shared" ca="1" si="2"/>
        <v>0</v>
      </c>
      <c r="AA23" s="63">
        <f t="shared" ca="1" si="4"/>
        <v>47.630833190644879</v>
      </c>
      <c r="AB23" s="63">
        <f t="shared" ca="1" si="5"/>
        <v>47.630833190644879</v>
      </c>
      <c r="AC23" s="3">
        <f t="shared" ca="1" si="6"/>
        <v>0</v>
      </c>
    </row>
    <row r="24" spans="1:29" ht="15" thickBot="1">
      <c r="A24" s="6" t="s">
        <v>166</v>
      </c>
      <c r="B24" s="95" t="str">
        <f>PriorResidueIncorporation</f>
        <v>Full (Plough)</v>
      </c>
      <c r="H24" t="b">
        <f t="shared" ca="1" si="3"/>
        <v>1</v>
      </c>
      <c r="I24" t="b">
        <f t="shared" ca="1" si="0"/>
        <v>1</v>
      </c>
      <c r="J24" s="2">
        <f ca="1"/>
        <v>45247</v>
      </c>
      <c r="K24">
        <f ca="1"/>
        <v>47.179784105485133</v>
      </c>
      <c r="L24">
        <f ca="1"/>
        <v>0.27226383762779438</v>
      </c>
      <c r="M24">
        <f ca="1"/>
        <v>-0.16285519437819751</v>
      </c>
      <c r="N24" s="4">
        <f ca="1"/>
        <v>0.25218800837342881</v>
      </c>
      <c r="O24">
        <f ca="1"/>
        <v>0</v>
      </c>
      <c r="P24">
        <f ca="1"/>
        <v>5.2066134646641453</v>
      </c>
      <c r="Q24">
        <f ca="1"/>
        <v>4.0608684404065754</v>
      </c>
      <c r="R24">
        <f ca="1"/>
        <v>0</v>
      </c>
      <c r="S24">
        <f ca="1"/>
        <v>0.86548202571825572</v>
      </c>
      <c r="T24">
        <f ca="1"/>
        <v>0</v>
      </c>
      <c r="U24">
        <f ca="1"/>
        <v>0</v>
      </c>
      <c r="V24">
        <f ca="1"/>
        <v>0.17688120040969907</v>
      </c>
      <c r="X24" s="2">
        <f t="shared" ca="1" si="1"/>
        <v>45247</v>
      </c>
      <c r="Y24">
        <f t="shared" ca="1" si="2"/>
        <v>0</v>
      </c>
      <c r="AA24" s="63">
        <f t="shared" ca="1" si="4"/>
        <v>47.45204794311293</v>
      </c>
      <c r="AB24" s="63">
        <f t="shared" ca="1" si="5"/>
        <v>47.45204794311293</v>
      </c>
      <c r="AC24" s="3">
        <f t="shared" ca="1" si="6"/>
        <v>0</v>
      </c>
    </row>
    <row r="25" spans="1:29" ht="15" thickBot="1">
      <c r="A25" s="8" t="s">
        <v>141</v>
      </c>
      <c r="B25" s="11" t="str">
        <f>CurrentCropNameFull</f>
        <v>Lettuce Vegetable Ice berg</v>
      </c>
      <c r="H25" t="b">
        <f t="shared" ca="1" si="3"/>
        <v>1</v>
      </c>
      <c r="I25" t="b">
        <f t="shared" ca="1" si="0"/>
        <v>1</v>
      </c>
      <c r="J25" s="2">
        <f ca="1"/>
        <v>45248</v>
      </c>
      <c r="K25">
        <f ca="1"/>
        <v>46.992241146289899</v>
      </c>
      <c r="L25">
        <f ca="1"/>
        <v>0.27575749513727477</v>
      </c>
      <c r="M25">
        <f ca="1"/>
        <v>-0.150527821545694</v>
      </c>
      <c r="N25" s="4">
        <f ca="1"/>
        <v>0.23874235748773862</v>
      </c>
      <c r="O25">
        <f ca="1"/>
        <v>0</v>
      </c>
      <c r="P25">
        <f ca="1"/>
        <v>5.4823709598014201</v>
      </c>
      <c r="Q25">
        <f ca="1"/>
        <v>4.2759439240791011</v>
      </c>
      <c r="R25">
        <f ca="1"/>
        <v>0</v>
      </c>
      <c r="S25">
        <f ca="1"/>
        <v>0.84700180453274931</v>
      </c>
      <c r="T25">
        <f ca="1"/>
        <v>0</v>
      </c>
      <c r="U25">
        <f ca="1"/>
        <v>0</v>
      </c>
      <c r="V25">
        <f ca="1"/>
        <v>0.19677900520832337</v>
      </c>
      <c r="X25" s="2">
        <f t="shared" ca="1" si="1"/>
        <v>45248</v>
      </c>
      <c r="Y25">
        <f t="shared" ca="1" si="2"/>
        <v>0</v>
      </c>
      <c r="AA25" s="63">
        <f t="shared" ca="1" si="4"/>
        <v>47.267998641427177</v>
      </c>
      <c r="AB25" s="63">
        <f t="shared" ca="1" si="5"/>
        <v>47.267998641427177</v>
      </c>
      <c r="AC25" s="3">
        <f t="shared" ca="1" si="6"/>
        <v>0</v>
      </c>
    </row>
    <row r="26" spans="1:29">
      <c r="A26" s="9" t="s">
        <v>238</v>
      </c>
      <c r="B26" s="11">
        <f>CurrentYield</f>
        <v>0.9</v>
      </c>
      <c r="H26" t="b">
        <f t="shared" ca="1" si="3"/>
        <v>1</v>
      </c>
      <c r="I26" t="b">
        <f t="shared" ca="1" si="0"/>
        <v>1</v>
      </c>
      <c r="J26" s="2">
        <f ca="1"/>
        <v>45249</v>
      </c>
      <c r="K26">
        <f ca="1"/>
        <v>46.790754836161121</v>
      </c>
      <c r="L26">
        <f ca="1"/>
        <v>0.28897107274903</v>
      </c>
      <c r="M26">
        <f ca="1"/>
        <v>-0.14248329146012839</v>
      </c>
      <c r="N26" s="4">
        <f ca="1"/>
        <v>0.22996805408038179</v>
      </c>
      <c r="O26">
        <f ca="1"/>
        <v>0</v>
      </c>
      <c r="P26">
        <f ca="1"/>
        <v>5.7713420325504501</v>
      </c>
      <c r="Q26">
        <f ca="1"/>
        <v>4.5013252621563398</v>
      </c>
      <c r="R26">
        <f ca="1"/>
        <v>0</v>
      </c>
      <c r="S26">
        <f ca="1"/>
        <v>0.81999700662714436</v>
      </c>
      <c r="T26">
        <f ca="1"/>
        <v>0</v>
      </c>
      <c r="U26">
        <f ca="1"/>
        <v>0</v>
      </c>
      <c r="V26">
        <f ca="1"/>
        <v>0.21821230244629108</v>
      </c>
      <c r="X26" s="2">
        <f t="shared" ca="1" si="1"/>
        <v>45249</v>
      </c>
      <c r="Y26">
        <f t="shared" ca="1" si="2"/>
        <v>0</v>
      </c>
      <c r="AA26" s="63">
        <f t="shared" ca="1" si="4"/>
        <v>47.079725908910149</v>
      </c>
      <c r="AB26" s="63">
        <f t="shared" ca="1" si="5"/>
        <v>47.079725908910149</v>
      </c>
      <c r="AC26" s="3">
        <f t="shared" ca="1" si="6"/>
        <v>0</v>
      </c>
    </row>
    <row r="27" spans="1:29">
      <c r="A27" s="9" t="s">
        <v>232</v>
      </c>
      <c r="B27" s="13">
        <f>CurrentPopulation</f>
        <v>60000</v>
      </c>
      <c r="H27" t="b">
        <f t="shared" ca="1" si="3"/>
        <v>1</v>
      </c>
      <c r="I27" t="b">
        <f t="shared" ca="1" si="0"/>
        <v>1</v>
      </c>
      <c r="J27" s="2">
        <f ca="1"/>
        <v>45250</v>
      </c>
      <c r="K27">
        <f ca="1"/>
        <v>46.56853806074777</v>
      </c>
      <c r="L27">
        <f ca="1"/>
        <v>0.31762158210293645</v>
      </c>
      <c r="M27">
        <f ca="1"/>
        <v>-0.13896521282980334</v>
      </c>
      <c r="N27" s="4">
        <f ca="1"/>
        <v>0.23437001951939199</v>
      </c>
      <c r="O27">
        <f ca="1"/>
        <v>0</v>
      </c>
      <c r="P27">
        <f ca="1"/>
        <v>6.0889636146533865</v>
      </c>
      <c r="Q27">
        <f ca="1"/>
        <v>4.7490524014009692</v>
      </c>
      <c r="R27">
        <f ca="1"/>
        <v>0</v>
      </c>
      <c r="S27">
        <f ca="1"/>
        <v>0.80746401155883285</v>
      </c>
      <c r="T27">
        <f ca="1"/>
        <v>0</v>
      </c>
      <c r="U27">
        <f ca="1"/>
        <v>0</v>
      </c>
      <c r="V27">
        <f ca="1"/>
        <v>0.24229639852937807</v>
      </c>
      <c r="X27" s="2">
        <f t="shared" ca="1" si="1"/>
        <v>45250</v>
      </c>
      <c r="Y27">
        <f t="shared" ca="1" si="2"/>
        <v>0</v>
      </c>
      <c r="AA27" s="63">
        <f t="shared" ca="1" si="4"/>
        <v>46.886159642850707</v>
      </c>
      <c r="AB27" s="63">
        <f t="shared" ca="1" si="5"/>
        <v>46.886159642850707</v>
      </c>
      <c r="AC27" s="3">
        <f t="shared" ca="1" si="6"/>
        <v>0</v>
      </c>
    </row>
    <row r="28" spans="1:29">
      <c r="A28" s="9" t="s">
        <v>233</v>
      </c>
      <c r="B28" s="13" t="str">
        <f>CurrentUnits</f>
        <v>kg/head</v>
      </c>
      <c r="H28" t="b">
        <f t="shared" ca="1" si="3"/>
        <v>1</v>
      </c>
      <c r="I28" t="b">
        <f t="shared" ca="1" si="0"/>
        <v>1</v>
      </c>
      <c r="J28" s="2">
        <f ca="1"/>
        <v>45251</v>
      </c>
      <c r="K28">
        <f ca="1"/>
        <v>46.334271072062528</v>
      </c>
      <c r="L28">
        <f ca="1"/>
        <v>0.33694922665164118</v>
      </c>
      <c r="M28">
        <f ca="1"/>
        <v>-0.13208375740266121</v>
      </c>
      <c r="N28" s="4">
        <f ca="1"/>
        <v>0.2347659953690597</v>
      </c>
      <c r="O28">
        <f ca="1"/>
        <v>0</v>
      </c>
      <c r="P28">
        <f ca="1"/>
        <v>6.4259128413050277</v>
      </c>
      <c r="Q28">
        <f ca="1"/>
        <v>5.0118540266445892</v>
      </c>
      <c r="R28">
        <f ca="1"/>
        <v>0</v>
      </c>
      <c r="S28">
        <f ca="1"/>
        <v>0.8042844693570923</v>
      </c>
      <c r="T28">
        <f ca="1"/>
        <v>0</v>
      </c>
      <c r="U28">
        <f ca="1"/>
        <v>0</v>
      </c>
      <c r="V28">
        <f ca="1"/>
        <v>0.26825428555453751</v>
      </c>
      <c r="X28" s="2">
        <f t="shared" ca="1" si="1"/>
        <v>45251</v>
      </c>
      <c r="Y28">
        <f t="shared" ca="1" si="2"/>
        <v>0</v>
      </c>
      <c r="AA28" s="63">
        <f t="shared" ca="1" si="4"/>
        <v>46.671220298714168</v>
      </c>
      <c r="AB28" s="63">
        <f t="shared" ca="1" si="5"/>
        <v>46.671220298714168</v>
      </c>
      <c r="AC28" s="3">
        <f t="shared" ca="1" si="6"/>
        <v>0</v>
      </c>
    </row>
    <row r="29" spans="1:29">
      <c r="A29" s="9" t="s">
        <v>120</v>
      </c>
      <c r="B29" s="10">
        <f>CurrentFieldLoss</f>
        <v>0</v>
      </c>
      <c r="H29" t="b">
        <f t="shared" ca="1" si="3"/>
        <v>1</v>
      </c>
      <c r="I29" t="b">
        <f t="shared" ca="1" si="0"/>
        <v>1</v>
      </c>
      <c r="J29" s="2">
        <f ca="1"/>
        <v>45252</v>
      </c>
      <c r="K29">
        <f ca="1"/>
        <v>46.087702056492262</v>
      </c>
      <c r="L29">
        <f ca="1"/>
        <v>0.36338816133423535</v>
      </c>
      <c r="M29">
        <f ca="1"/>
        <v>-0.1267870134890936</v>
      </c>
      <c r="N29" s="4">
        <f ca="1"/>
        <v>0.24360615925306048</v>
      </c>
      <c r="O29">
        <f ca="1"/>
        <v>0</v>
      </c>
      <c r="P29">
        <f ca="1"/>
        <v>6.7893010026392631</v>
      </c>
      <c r="Q29">
        <f ca="1"/>
        <v>5.2952765480194808</v>
      </c>
      <c r="R29">
        <f ca="1"/>
        <v>0</v>
      </c>
      <c r="S29">
        <f ca="1"/>
        <v>0.81806394373811564</v>
      </c>
      <c r="T29">
        <f ca="1"/>
        <v>0</v>
      </c>
      <c r="U29">
        <f ca="1"/>
        <v>0</v>
      </c>
      <c r="V29">
        <f ca="1"/>
        <v>0.29648954817774226</v>
      </c>
      <c r="X29" s="2">
        <f t="shared" ca="1" si="1"/>
        <v>45252</v>
      </c>
      <c r="Y29">
        <f t="shared" ca="1" si="2"/>
        <v>0</v>
      </c>
      <c r="AA29" s="63">
        <f t="shared" ca="1" si="4"/>
        <v>46.451090217826497</v>
      </c>
      <c r="AB29" s="63">
        <f t="shared" ca="1" si="5"/>
        <v>46.451090217826497</v>
      </c>
      <c r="AC29" s="3">
        <f t="shared" ca="1" si="6"/>
        <v>0</v>
      </c>
    </row>
    <row r="30" spans="1:29">
      <c r="A30" s="9" t="s">
        <v>121</v>
      </c>
      <c r="B30" s="10">
        <f>CurrentDressingLoss</f>
        <v>0</v>
      </c>
      <c r="H30" t="b">
        <f t="shared" ca="1" si="3"/>
        <v>1</v>
      </c>
      <c r="I30" t="b">
        <f t="shared" ca="1" si="0"/>
        <v>1</v>
      </c>
      <c r="J30" s="2">
        <f ca="1"/>
        <v>45253</v>
      </c>
      <c r="K30">
        <f ca="1"/>
        <v>45.820333173262981</v>
      </c>
      <c r="L30">
        <f ca="1"/>
        <v>0.39208803011345328</v>
      </c>
      <c r="M30">
        <f ca="1"/>
        <v>-0.12150537450110388</v>
      </c>
      <c r="N30" s="4">
        <f ca="1"/>
        <v>0.24622452138528161</v>
      </c>
      <c r="O30">
        <f ca="1"/>
        <v>0</v>
      </c>
      <c r="P30">
        <f ca="1"/>
        <v>7.1813890327527163</v>
      </c>
      <c r="Q30">
        <f ca="1"/>
        <v>5.6010833681636774</v>
      </c>
      <c r="R30">
        <f ca="1"/>
        <v>0</v>
      </c>
      <c r="S30">
        <f ca="1"/>
        <v>0.81173740998827526</v>
      </c>
      <c r="T30">
        <f ca="1"/>
        <v>0</v>
      </c>
      <c r="U30">
        <f ca="1"/>
        <v>0</v>
      </c>
      <c r="V30">
        <f ca="1"/>
        <v>0.32696723481312573</v>
      </c>
      <c r="X30" s="2">
        <f t="shared" ca="1" si="1"/>
        <v>45253</v>
      </c>
      <c r="Y30">
        <f t="shared" ca="1" si="2"/>
        <v>0</v>
      </c>
      <c r="AA30" s="63">
        <f t="shared" ca="1" si="4"/>
        <v>46.212421203376437</v>
      </c>
      <c r="AB30" s="63">
        <f t="shared" ca="1" si="5"/>
        <v>46.212421203376437</v>
      </c>
      <c r="AC30" s="3">
        <f t="shared" ca="1" si="6"/>
        <v>0</v>
      </c>
    </row>
    <row r="31" spans="1:29">
      <c r="A31" s="9" t="s">
        <v>122</v>
      </c>
      <c r="B31" s="10">
        <f>CurrentMoistureContent</f>
        <v>96</v>
      </c>
      <c r="H31" t="b">
        <f t="shared" ca="1" si="3"/>
        <v>1</v>
      </c>
      <c r="I31" t="b">
        <f t="shared" ca="1" si="0"/>
        <v>1</v>
      </c>
      <c r="J31" s="2">
        <f ca="1"/>
        <v>45254</v>
      </c>
      <c r="K31">
        <f ca="1"/>
        <v>45.538637057683509</v>
      </c>
      <c r="L31">
        <f ca="1"/>
        <v>0.40766051557920591</v>
      </c>
      <c r="M31">
        <f ca="1"/>
        <v>-0.11331144155690964</v>
      </c>
      <c r="N31" s="4">
        <f ca="1"/>
        <v>0.23927584155664539</v>
      </c>
      <c r="O31">
        <f ca="1"/>
        <v>0</v>
      </c>
      <c r="P31">
        <f ca="1"/>
        <v>7.5890495483319222</v>
      </c>
      <c r="Q31">
        <f ca="1"/>
        <v>5.9190358594232251</v>
      </c>
      <c r="R31">
        <f ca="1"/>
        <v>0</v>
      </c>
      <c r="S31">
        <f ca="1"/>
        <v>0.79920663833973571</v>
      </c>
      <c r="T31">
        <f ca="1"/>
        <v>0</v>
      </c>
      <c r="U31">
        <f ca="1"/>
        <v>0</v>
      </c>
      <c r="V31">
        <f ca="1"/>
        <v>0.35838685576611323</v>
      </c>
      <c r="X31" s="2">
        <f t="shared" ca="1" si="1"/>
        <v>45254</v>
      </c>
      <c r="Y31">
        <f t="shared" ca="1" si="2"/>
        <v>0</v>
      </c>
      <c r="AA31" s="63">
        <f t="shared" ca="1" si="4"/>
        <v>45.946297573262719</v>
      </c>
      <c r="AB31" s="63">
        <f t="shared" ca="1" si="5"/>
        <v>45.946297573262711</v>
      </c>
      <c r="AC31" s="3">
        <f t="shared" ca="1" si="6"/>
        <v>0</v>
      </c>
    </row>
    <row r="32" spans="1:29">
      <c r="A32" s="9" t="s">
        <v>123</v>
      </c>
      <c r="B32" s="36">
        <f ca="1">CurrentEstablishDate</f>
        <v>45231</v>
      </c>
      <c r="H32" t="b">
        <f t="shared" ca="1" si="3"/>
        <v>1</v>
      </c>
      <c r="I32" t="b">
        <f t="shared" ca="1" si="0"/>
        <v>1</v>
      </c>
      <c r="J32" s="2">
        <f ca="1"/>
        <v>45255</v>
      </c>
      <c r="K32">
        <f ca="1"/>
        <v>45.218408636439868</v>
      </c>
      <c r="L32">
        <f ca="1"/>
        <v>0.45664494980756754</v>
      </c>
      <c r="M32">
        <f ca="1"/>
        <v>-0.11126187437149238</v>
      </c>
      <c r="N32" s="4">
        <f ca="1"/>
        <v>0.2476784029354181</v>
      </c>
      <c r="O32">
        <f ca="1"/>
        <v>0</v>
      </c>
      <c r="P32">
        <f ca="1"/>
        <v>8.0456944981394898</v>
      </c>
      <c r="Q32">
        <f ca="1"/>
        <v>6.2751934804430558</v>
      </c>
      <c r="R32">
        <f ca="1"/>
        <v>0</v>
      </c>
      <c r="S32">
        <f ca="1"/>
        <v>0.78694883252851322</v>
      </c>
      <c r="T32">
        <f ca="1"/>
        <v>0</v>
      </c>
      <c r="U32">
        <f ca="1"/>
        <v>0</v>
      </c>
      <c r="V32">
        <f ca="1"/>
        <v>0.39293752084751288</v>
      </c>
      <c r="X32" s="2">
        <f t="shared" ca="1" si="1"/>
        <v>45255</v>
      </c>
      <c r="Y32">
        <f t="shared" ca="1" si="2"/>
        <v>0</v>
      </c>
      <c r="AA32" s="63">
        <f t="shared" ca="1" si="4"/>
        <v>45.675053586247436</v>
      </c>
      <c r="AB32" s="63">
        <f t="shared" ca="1" si="5"/>
        <v>45.675053586247436</v>
      </c>
      <c r="AC32" s="3">
        <f t="shared" ca="1" si="6"/>
        <v>0</v>
      </c>
    </row>
    <row r="33" spans="1:29">
      <c r="A33" s="9" t="s">
        <v>124</v>
      </c>
      <c r="B33" s="10" t="str">
        <f>CurrentEstablishStage</f>
        <v>Seedling</v>
      </c>
      <c r="H33" t="b">
        <f t="shared" ca="1" si="3"/>
        <v>1</v>
      </c>
      <c r="I33" t="b">
        <f t="shared" ca="1" si="0"/>
        <v>1</v>
      </c>
      <c r="J33" s="2">
        <f ca="1"/>
        <v>45256</v>
      </c>
      <c r="K33">
        <f ca="1"/>
        <v>44.870762951486874</v>
      </c>
      <c r="L33">
        <f ca="1"/>
        <v>0.48515609673292381</v>
      </c>
      <c r="M33">
        <f ca="1"/>
        <v>-0.10476972537928653</v>
      </c>
      <c r="N33" s="4">
        <f ca="1"/>
        <v>0.24228013715921076</v>
      </c>
      <c r="O33">
        <f ca="1"/>
        <v>0</v>
      </c>
      <c r="P33">
        <f ca="1"/>
        <v>8.5308505948724136</v>
      </c>
      <c r="Q33">
        <f ca="1"/>
        <v>6.6535882076999329</v>
      </c>
      <c r="R33">
        <f ca="1"/>
        <v>0</v>
      </c>
      <c r="S33">
        <f ca="1"/>
        <v>0.76705054106160953</v>
      </c>
      <c r="T33">
        <f ca="1"/>
        <v>0</v>
      </c>
      <c r="U33">
        <f ca="1"/>
        <v>0</v>
      </c>
      <c r="V33">
        <f ca="1"/>
        <v>0.42857236712310354</v>
      </c>
      <c r="X33" s="2">
        <f t="shared" ca="1" si="1"/>
        <v>45256</v>
      </c>
      <c r="Y33">
        <f t="shared" ca="1" si="2"/>
        <v>0</v>
      </c>
      <c r="AA33" s="63">
        <f t="shared" ca="1" si="4"/>
        <v>45.355919048219796</v>
      </c>
      <c r="AB33" s="63">
        <f t="shared" ca="1" si="5"/>
        <v>45.355919048219796</v>
      </c>
      <c r="AC33" s="3">
        <f t="shared" ca="1" si="6"/>
        <v>0</v>
      </c>
    </row>
    <row r="34" spans="1:29">
      <c r="A34" s="9" t="s">
        <v>125</v>
      </c>
      <c r="B34" s="36">
        <f>CurrentHarvestDate</f>
        <v>45301</v>
      </c>
      <c r="H34" t="b">
        <f t="shared" ca="1" si="3"/>
        <v>1</v>
      </c>
      <c r="I34" t="b">
        <f t="shared" ca="1" si="0"/>
        <v>1</v>
      </c>
      <c r="J34" s="2">
        <f ca="1"/>
        <v>45257</v>
      </c>
      <c r="K34">
        <f ca="1"/>
        <v>44.514325271566634</v>
      </c>
      <c r="L34">
        <f ca="1"/>
        <v>0.49555336442940146</v>
      </c>
      <c r="M34">
        <f ca="1"/>
        <v>-9.5861717700972626E-2</v>
      </c>
      <c r="N34" s="4">
        <f ca="1"/>
        <v>0.23497740221013019</v>
      </c>
      <c r="O34">
        <f ca="1"/>
        <v>0</v>
      </c>
      <c r="P34">
        <f ca="1"/>
        <v>9.026403959301815</v>
      </c>
      <c r="Q34">
        <f ca="1"/>
        <v>7.0400922245250923</v>
      </c>
      <c r="R34">
        <f ca="1"/>
        <v>0</v>
      </c>
      <c r="S34">
        <f ca="1"/>
        <v>0.76594994946118722</v>
      </c>
      <c r="T34">
        <f ca="1"/>
        <v>0</v>
      </c>
      <c r="U34">
        <f ca="1"/>
        <v>0</v>
      </c>
      <c r="V34">
        <f ca="1"/>
        <v>0.46354172970832391</v>
      </c>
      <c r="X34" s="2">
        <f t="shared" ca="1" si="1"/>
        <v>45257</v>
      </c>
      <c r="Y34">
        <f t="shared" ca="1" si="2"/>
        <v>0</v>
      </c>
      <c r="AA34" s="63">
        <f t="shared" ca="1" si="4"/>
        <v>45.009878635996031</v>
      </c>
      <c r="AB34" s="63">
        <f t="shared" ca="1" si="5"/>
        <v>45.009878635996031</v>
      </c>
      <c r="AC34" s="3">
        <f t="shared" ca="1" si="6"/>
        <v>0</v>
      </c>
    </row>
    <row r="35" spans="1:29">
      <c r="A35" s="9" t="s">
        <v>126</v>
      </c>
      <c r="B35" s="10" t="str">
        <f>CurrentHarvestStage</f>
        <v>Vegetative</v>
      </c>
      <c r="H35" t="b">
        <f t="shared" ca="1" si="3"/>
        <v>1</v>
      </c>
      <c r="I35" t="b">
        <f t="shared" ca="1" si="0"/>
        <v>1</v>
      </c>
      <c r="J35" s="2">
        <f ca="1"/>
        <v>45258</v>
      </c>
      <c r="K35">
        <f ca="1"/>
        <v>44.145416687661786</v>
      </c>
      <c r="L35">
        <f ca="1"/>
        <v>0.51877416951913702</v>
      </c>
      <c r="M35">
        <f ca="1"/>
        <v>-8.9425693268232465E-2</v>
      </c>
      <c r="N35" s="4">
        <f ca="1"/>
        <v>0.23929127888252433</v>
      </c>
      <c r="O35">
        <f ca="1"/>
        <v>0</v>
      </c>
      <c r="P35">
        <f ca="1"/>
        <v>9.5451781288209521</v>
      </c>
      <c r="Q35">
        <f ca="1"/>
        <v>7.4447071756820797</v>
      </c>
      <c r="R35">
        <f ca="1"/>
        <v>0</v>
      </c>
      <c r="S35">
        <f ca="1"/>
        <v>0.7848131501641693</v>
      </c>
      <c r="T35">
        <f ca="1"/>
        <v>0</v>
      </c>
      <c r="U35">
        <f ca="1"/>
        <v>0</v>
      </c>
      <c r="V35">
        <f ca="1"/>
        <v>0.49836942547914392</v>
      </c>
      <c r="X35" s="2">
        <f t="shared" ca="1" si="1"/>
        <v>45258</v>
      </c>
      <c r="Y35">
        <f t="shared" ca="1" si="2"/>
        <v>0</v>
      </c>
      <c r="AA35" s="63">
        <f t="shared" ca="1" si="4"/>
        <v>44.664190857180927</v>
      </c>
      <c r="AB35" s="63">
        <f t="shared" ca="1" si="5"/>
        <v>44.664190857180927</v>
      </c>
      <c r="AC35" s="3">
        <f t="shared" ca="1" si="6"/>
        <v>0</v>
      </c>
    </row>
    <row r="36" spans="1:29">
      <c r="A36" s="9" t="s">
        <v>164</v>
      </c>
      <c r="B36" s="10" t="str">
        <f>CurrentResidueRemoval</f>
        <v>None removed</v>
      </c>
      <c r="H36" t="b">
        <f t="shared" ca="1" si="3"/>
        <v>1</v>
      </c>
      <c r="I36" t="b">
        <f t="shared" ca="1" si="0"/>
        <v>1</v>
      </c>
      <c r="J36" s="2">
        <f ca="1"/>
        <v>45259</v>
      </c>
      <c r="K36">
        <f ca="1"/>
        <v>43.745340247679756</v>
      </c>
      <c r="L36">
        <f ca="1"/>
        <v>0.55287950978931732</v>
      </c>
      <c r="M36">
        <f ca="1"/>
        <v>-8.4430000525666848E-2</v>
      </c>
      <c r="N36" s="4">
        <f ca="1"/>
        <v>0.23723307033295185</v>
      </c>
      <c r="O36">
        <f ca="1"/>
        <v>0</v>
      </c>
      <c r="P36">
        <f ca="1"/>
        <v>10.098057638610269</v>
      </c>
      <c r="Q36">
        <f ca="1"/>
        <v>7.8759223922308497</v>
      </c>
      <c r="R36">
        <f ca="1"/>
        <v>0</v>
      </c>
      <c r="S36">
        <f ca="1"/>
        <v>0.77136868002345471</v>
      </c>
      <c r="T36">
        <f ca="1"/>
        <v>0</v>
      </c>
      <c r="U36">
        <f ca="1"/>
        <v>0</v>
      </c>
      <c r="V36">
        <f ca="1"/>
        <v>0.53330873244187915</v>
      </c>
      <c r="X36" s="2">
        <f t="shared" ca="1" si="1"/>
        <v>45259</v>
      </c>
      <c r="Y36">
        <f t="shared" ca="1" si="2"/>
        <v>0</v>
      </c>
      <c r="AA36" s="63">
        <f t="shared" ca="1" si="4"/>
        <v>44.298219757469077</v>
      </c>
      <c r="AB36" s="63">
        <f t="shared" ca="1" si="5"/>
        <v>44.29821975746907</v>
      </c>
      <c r="AC36" s="3">
        <f t="shared" ca="1" si="6"/>
        <v>0</v>
      </c>
    </row>
    <row r="37" spans="1:29" ht="15" thickBot="1">
      <c r="A37" s="9" t="s">
        <v>167</v>
      </c>
      <c r="B37" s="10" t="str">
        <f>CurrentResidueIncorporation</f>
        <v>Full (Plough)</v>
      </c>
      <c r="H37" t="b">
        <f t="shared" ca="1" si="3"/>
        <v>1</v>
      </c>
      <c r="I37" t="b">
        <f t="shared" ca="1" si="0"/>
        <v>1</v>
      </c>
      <c r="J37" s="2">
        <f ca="1"/>
        <v>45260</v>
      </c>
      <c r="K37">
        <f ca="1"/>
        <v>43.305307185898009</v>
      </c>
      <c r="L37">
        <f ca="1"/>
        <v>0.59894605518502431</v>
      </c>
      <c r="M37">
        <f ca="1"/>
        <v>-8.0490242450366623E-2</v>
      </c>
      <c r="N37">
        <f ca="1"/>
        <v>0.2394032358536447</v>
      </c>
      <c r="O37">
        <f ca="1"/>
        <v>0</v>
      </c>
      <c r="P37">
        <f ca="1"/>
        <v>10.697003693795294</v>
      </c>
      <c r="Q37">
        <f ca="1"/>
        <v>8.3430669478069142</v>
      </c>
      <c r="R37">
        <f ca="1"/>
        <v>0</v>
      </c>
      <c r="S37">
        <f ca="1"/>
        <v>0.76102397216011697</v>
      </c>
      <c r="T37">
        <f ca="1"/>
        <v>0</v>
      </c>
      <c r="U37">
        <f ca="1"/>
        <v>0</v>
      </c>
      <c r="V37">
        <f ca="1"/>
        <v>0.56851771692445874</v>
      </c>
      <c r="X37" s="2">
        <f t="shared" ca="1" si="1"/>
        <v>45260</v>
      </c>
      <c r="Y37">
        <f t="shared" ca="1" si="2"/>
        <v>0</v>
      </c>
      <c r="AA37" s="63">
        <f t="shared" ca="1" si="4"/>
        <v>43.904253241083033</v>
      </c>
      <c r="AB37" s="63">
        <f t="shared" ca="1" si="5"/>
        <v>43.904253241083033</v>
      </c>
      <c r="AC37" s="3">
        <f t="shared" ca="1" si="6"/>
        <v>0</v>
      </c>
    </row>
    <row r="38" spans="1:29">
      <c r="A38" s="5" t="s">
        <v>142</v>
      </c>
      <c r="B38" s="31" t="str">
        <f>FollowingCropFullName</f>
        <v>Oat Fodder General</v>
      </c>
      <c r="H38" t="b">
        <f t="shared" ca="1" si="3"/>
        <v>1</v>
      </c>
      <c r="I38" t="b">
        <f t="shared" ca="1" si="0"/>
        <v>1</v>
      </c>
      <c r="J38" s="2">
        <f ca="1"/>
        <v>45261</v>
      </c>
      <c r="K38">
        <f ca="1"/>
        <v>42.816832571191959</v>
      </c>
      <c r="L38">
        <f ca="1"/>
        <v>0.64728294175429113</v>
      </c>
      <c r="M38">
        <f ca="1"/>
        <v>-7.6377278299072593E-2</v>
      </c>
      <c r="N38">
        <f ca="1"/>
        <v>0.23518560534731078</v>
      </c>
      <c r="O38">
        <f ca="1"/>
        <v>0</v>
      </c>
      <c r="P38">
        <f ca="1"/>
        <v>11.344286635549585</v>
      </c>
      <c r="Q38">
        <f ca="1"/>
        <v>8.8479115820442438</v>
      </c>
      <c r="R38">
        <f ca="1"/>
        <v>0</v>
      </c>
      <c r="S38">
        <f ca="1"/>
        <v>0.73229351059424852</v>
      </c>
      <c r="T38">
        <f ca="1"/>
        <v>0</v>
      </c>
      <c r="U38">
        <f ca="1"/>
        <v>0</v>
      </c>
      <c r="V38">
        <f ca="1"/>
        <v>0.60346295227691105</v>
      </c>
      <c r="X38" s="2">
        <f t="shared" ca="1" si="1"/>
        <v>45261</v>
      </c>
      <c r="Y38">
        <f t="shared" ca="1" si="2"/>
        <v>0</v>
      </c>
      <c r="AA38" s="63">
        <f t="shared" ca="1" si="4"/>
        <v>43.46411551294625</v>
      </c>
      <c r="AB38" s="63">
        <f t="shared" ca="1" si="5"/>
        <v>43.46411551294625</v>
      </c>
      <c r="AC38" s="3">
        <f t="shared" ca="1" si="6"/>
        <v>0</v>
      </c>
    </row>
    <row r="39" spans="1:29">
      <c r="A39" s="6" t="s">
        <v>239</v>
      </c>
      <c r="B39" s="32">
        <f>FollowingYIeld</f>
        <v>10</v>
      </c>
      <c r="H39" t="b">
        <f t="shared" ca="1" si="3"/>
        <v>1</v>
      </c>
      <c r="I39" t="b">
        <f t="shared" ca="1" si="0"/>
        <v>1</v>
      </c>
      <c r="J39" s="2">
        <f ca="1"/>
        <v>45262</v>
      </c>
      <c r="K39">
        <f ca="1"/>
        <v>42.286486722021735</v>
      </c>
      <c r="L39">
        <f ca="1"/>
        <v>0.7099091474667496</v>
      </c>
      <c r="M39">
        <f ca="1"/>
        <v>-7.3053702085661421E-2</v>
      </c>
      <c r="N39">
        <f ca="1"/>
        <v>0.25261700038218199</v>
      </c>
      <c r="O39">
        <f ca="1"/>
        <v>0</v>
      </c>
      <c r="P39">
        <f ca="1"/>
        <v>12.054195783016334</v>
      </c>
      <c r="Q39">
        <f ca="1"/>
        <v>9.4016011678121814</v>
      </c>
      <c r="R39">
        <f ca="1"/>
        <v>0</v>
      </c>
      <c r="S39">
        <f ca="1"/>
        <v>0.76182407786903128</v>
      </c>
      <c r="T39">
        <f ca="1"/>
        <v>0</v>
      </c>
      <c r="U39">
        <f ca="1"/>
        <v>0</v>
      </c>
      <c r="V39">
        <f ca="1"/>
        <v>0.63817789412554093</v>
      </c>
      <c r="X39" s="2">
        <f t="shared" ca="1" si="1"/>
        <v>45262</v>
      </c>
      <c r="Y39">
        <f t="shared" ca="1" si="2"/>
        <v>0</v>
      </c>
      <c r="AA39" s="63">
        <f t="shared" ca="1" si="4"/>
        <v>42.996395869488481</v>
      </c>
      <c r="AB39" s="63">
        <f t="shared" ca="1" si="5"/>
        <v>42.996395869488481</v>
      </c>
      <c r="AC39" s="3">
        <f t="shared" ca="1" si="6"/>
        <v>0</v>
      </c>
    </row>
    <row r="40" spans="1:29">
      <c r="A40" s="6" t="s">
        <v>234</v>
      </c>
      <c r="B40" s="32">
        <f>FollowingPopulation</f>
        <v>1</v>
      </c>
      <c r="H40" t="b">
        <f t="shared" ca="1" si="3"/>
        <v>1</v>
      </c>
      <c r="I40" t="b">
        <f t="shared" ca="1" si="0"/>
        <v>1</v>
      </c>
      <c r="J40" s="2">
        <f ca="1"/>
        <v>45263</v>
      </c>
      <c r="K40">
        <f ca="1"/>
        <v>41.69569302979059</v>
      </c>
      <c r="L40">
        <f ca="1"/>
        <v>0.77072944531627741</v>
      </c>
      <c r="M40">
        <f ca="1"/>
        <v>-6.905261367664739E-2</v>
      </c>
      <c r="N40">
        <f ca="1"/>
        <v>0.24898836676177899</v>
      </c>
      <c r="O40">
        <f ca="1"/>
        <v>0</v>
      </c>
      <c r="P40">
        <f ca="1"/>
        <v>12.824925228332612</v>
      </c>
      <c r="Q40">
        <f ca="1"/>
        <v>10.002727197585322</v>
      </c>
      <c r="R40">
        <f ca="1"/>
        <v>0</v>
      </c>
      <c r="S40">
        <f ca="1"/>
        <v>0.73354034416045244</v>
      </c>
      <c r="T40">
        <f ca="1"/>
        <v>0</v>
      </c>
      <c r="U40">
        <f ca="1"/>
        <v>0</v>
      </c>
      <c r="V40">
        <f ca="1"/>
        <v>0.67182538064007458</v>
      </c>
      <c r="X40" s="2">
        <f t="shared" ca="1" si="1"/>
        <v>45263</v>
      </c>
      <c r="Y40">
        <f t="shared" ca="1" si="2"/>
        <v>0</v>
      </c>
      <c r="AA40" s="63">
        <f t="shared" ca="1" si="4"/>
        <v>42.466422475106867</v>
      </c>
      <c r="AB40" s="63">
        <f t="shared" ca="1" si="5"/>
        <v>42.466422475106867</v>
      </c>
      <c r="AC40" s="3">
        <f t="shared" ca="1" si="6"/>
        <v>0</v>
      </c>
    </row>
    <row r="41" spans="1:29">
      <c r="A41" s="6" t="s">
        <v>235</v>
      </c>
      <c r="B41" s="32" t="str">
        <f>FollowingUnits</f>
        <v>t/ha</v>
      </c>
      <c r="H41" t="b">
        <f t="shared" ca="1" si="3"/>
        <v>1</v>
      </c>
      <c r="I41" t="b">
        <f t="shared" ca="1" si="0"/>
        <v>1</v>
      </c>
      <c r="J41" s="2">
        <f ca="1"/>
        <v>45264</v>
      </c>
      <c r="K41">
        <f ca="1"/>
        <v>41.075577928694635</v>
      </c>
      <c r="L41">
        <f ca="1"/>
        <v>0.81987644416079064</v>
      </c>
      <c r="M41">
        <f ca="1"/>
        <v>-6.4010771562630353E-2</v>
      </c>
      <c r="N41">
        <f ca="1"/>
        <v>0.26377211462746392</v>
      </c>
      <c r="O41">
        <f ca="1"/>
        <v>0</v>
      </c>
      <c r="P41">
        <f ca="1"/>
        <v>13.644801672493402</v>
      </c>
      <c r="Q41">
        <f ca="1"/>
        <v>10.64218514846282</v>
      </c>
      <c r="R41">
        <f ca="1"/>
        <v>0</v>
      </c>
      <c r="S41">
        <f ca="1"/>
        <v>0.7744026287875615</v>
      </c>
      <c r="T41">
        <f ca="1"/>
        <v>0</v>
      </c>
      <c r="U41">
        <f ca="1"/>
        <v>0</v>
      </c>
      <c r="V41">
        <f ca="1"/>
        <v>0.70337429279962482</v>
      </c>
      <c r="X41" s="2">
        <f t="shared" ca="1" si="1"/>
        <v>45264</v>
      </c>
      <c r="Y41">
        <f t="shared" ca="1" si="2"/>
        <v>0</v>
      </c>
      <c r="AA41" s="63">
        <f t="shared" ca="1" si="4"/>
        <v>41.895454372855426</v>
      </c>
      <c r="AB41" s="63">
        <f t="shared" ca="1" si="5"/>
        <v>41.895454372855426</v>
      </c>
      <c r="AC41" s="3">
        <f t="shared" ca="1" si="6"/>
        <v>0</v>
      </c>
    </row>
    <row r="42" spans="1:29">
      <c r="A42" s="6" t="s">
        <v>127</v>
      </c>
      <c r="B42" s="32">
        <f>FollowingFieldLoss</f>
        <v>0</v>
      </c>
      <c r="H42" t="b">
        <f t="shared" ca="1" si="3"/>
        <v>1</v>
      </c>
      <c r="I42" t="b">
        <f t="shared" ca="1" si="0"/>
        <v>1</v>
      </c>
      <c r="J42" s="2">
        <f ca="1"/>
        <v>45265</v>
      </c>
      <c r="K42">
        <f ca="1"/>
        <v>40.429700353852496</v>
      </c>
      <c r="L42">
        <f ca="1"/>
        <v>0.85450709401734137</v>
      </c>
      <c r="M42">
        <f ca="1"/>
        <v>-5.8294148202406859E-2</v>
      </c>
      <c r="N42">
        <f ca="1"/>
        <v>0.26692366737761358</v>
      </c>
      <c r="O42">
        <f ca="1"/>
        <v>0</v>
      </c>
      <c r="P42">
        <f ca="1"/>
        <v>14.499308766510744</v>
      </c>
      <c r="Q42">
        <f ca="1"/>
        <v>11.308653076944312</v>
      </c>
      <c r="R42">
        <f ca="1"/>
        <v>0</v>
      </c>
      <c r="S42">
        <f ca="1"/>
        <v>0.79426459156573692</v>
      </c>
      <c r="T42">
        <f ca="1"/>
        <v>0</v>
      </c>
      <c r="U42">
        <f ca="1"/>
        <v>0</v>
      </c>
      <c r="V42">
        <f ca="1"/>
        <v>0.7320789310941499</v>
      </c>
      <c r="X42" s="2">
        <f t="shared" ca="1" si="1"/>
        <v>45265</v>
      </c>
      <c r="Y42">
        <f t="shared" ca="1" si="2"/>
        <v>0</v>
      </c>
      <c r="AA42" s="63">
        <f t="shared" ca="1" si="4"/>
        <v>41.284207447869839</v>
      </c>
      <c r="AB42" s="63">
        <f t="shared" ca="1" si="5"/>
        <v>41.284207447869839</v>
      </c>
      <c r="AC42" s="3">
        <f t="shared" ca="1" si="6"/>
        <v>0</v>
      </c>
    </row>
    <row r="43" spans="1:29">
      <c r="A43" s="6" t="s">
        <v>128</v>
      </c>
      <c r="B43" s="32">
        <f>FollowingDressingLoss</f>
        <v>0</v>
      </c>
      <c r="H43" t="b">
        <f t="shared" ca="1" si="3"/>
        <v>1</v>
      </c>
      <c r="I43" t="b">
        <f t="shared" ca="1" si="0"/>
        <v>1</v>
      </c>
      <c r="J43" s="2">
        <f ca="1"/>
        <v>45266</v>
      </c>
      <c r="K43">
        <f ca="1"/>
        <v>39.737375431044157</v>
      </c>
      <c r="L43">
        <f ca="1"/>
        <v>0.9058385053800837</v>
      </c>
      <c r="M43">
        <f ca="1"/>
        <v>-5.3763661263112716E-2</v>
      </c>
      <c r="N43">
        <f ca="1"/>
        <v>0.26727724383485307</v>
      </c>
      <c r="O43">
        <f ca="1"/>
        <v>0</v>
      </c>
      <c r="P43">
        <f ca="1"/>
        <v>15.405147271890828</v>
      </c>
      <c r="Q43">
        <f ca="1"/>
        <v>12.015156646600087</v>
      </c>
      <c r="R43">
        <f ca="1"/>
        <v>0</v>
      </c>
      <c r="S43">
        <f ca="1"/>
        <v>0.79347389918945754</v>
      </c>
      <c r="T43">
        <f ca="1"/>
        <v>0</v>
      </c>
      <c r="U43">
        <f ca="1"/>
        <v>0</v>
      </c>
      <c r="V43">
        <f ca="1"/>
        <v>0.7584174420885631</v>
      </c>
      <c r="X43" s="2">
        <f t="shared" ca="1" si="1"/>
        <v>45266</v>
      </c>
      <c r="Y43">
        <f t="shared" ca="1" si="2"/>
        <v>0</v>
      </c>
      <c r="AA43" s="63">
        <f t="shared" ca="1" si="4"/>
        <v>40.643213936424239</v>
      </c>
      <c r="AB43" s="63">
        <f t="shared" ca="1" si="5"/>
        <v>40.643213936424239</v>
      </c>
      <c r="AC43" s="3">
        <f t="shared" ca="1" si="6"/>
        <v>0</v>
      </c>
    </row>
    <row r="44" spans="1:29">
      <c r="A44" s="6" t="s">
        <v>129</v>
      </c>
      <c r="B44" s="32">
        <f>FollowingMoistureLoss</f>
        <v>0</v>
      </c>
      <c r="H44" t="b">
        <f t="shared" ca="1" si="3"/>
        <v>1</v>
      </c>
      <c r="I44" t="b">
        <f t="shared" ca="1" si="0"/>
        <v>1</v>
      </c>
      <c r="J44" s="2">
        <f ca="1"/>
        <v>45267</v>
      </c>
      <c r="K44">
        <f ca="1"/>
        <v>39.033441245930206</v>
      </c>
      <c r="L44">
        <f ca="1"/>
        <v>0.91352447916900381</v>
      </c>
      <c r="M44">
        <f ca="1"/>
        <v>-4.767570157398282E-2</v>
      </c>
      <c r="N44">
        <f ca="1"/>
        <v>0.25726599562904418</v>
      </c>
      <c r="O44">
        <f ca="1"/>
        <v>0</v>
      </c>
      <c r="P44">
        <f ca="1"/>
        <v>16.318671751059831</v>
      </c>
      <c r="Q44">
        <f ca="1"/>
        <v>12.727654847623265</v>
      </c>
      <c r="R44">
        <f ca="1"/>
        <v>0</v>
      </c>
      <c r="S44">
        <f ca="1"/>
        <v>0.79575688637704445</v>
      </c>
      <c r="T44">
        <f ca="1"/>
        <v>0</v>
      </c>
      <c r="U44">
        <f ca="1"/>
        <v>0</v>
      </c>
      <c r="V44">
        <f ca="1"/>
        <v>0.78129016904928206</v>
      </c>
      <c r="X44" s="2">
        <f t="shared" ca="1" si="1"/>
        <v>45267</v>
      </c>
      <c r="Y44">
        <f t="shared" ca="1" si="2"/>
        <v>0</v>
      </c>
      <c r="AA44" s="63">
        <f t="shared" ca="1" si="4"/>
        <v>39.946965725099219</v>
      </c>
      <c r="AB44" s="63">
        <f t="shared" ca="1" si="5"/>
        <v>39.946965725099211</v>
      </c>
      <c r="AC44" s="3">
        <f t="shared" ca="1" si="6"/>
        <v>0</v>
      </c>
    </row>
    <row r="45" spans="1:29">
      <c r="A45" s="6" t="s">
        <v>130</v>
      </c>
      <c r="B45" s="34">
        <f>FollowingEstablishDate</f>
        <v>45316</v>
      </c>
      <c r="H45" t="b">
        <f t="shared" ca="1" si="3"/>
        <v>1</v>
      </c>
      <c r="I45" t="b">
        <f t="array" aca="1" ref="I45" ca="1">AND(IF(J45&gt;($J$3-1),TRUE,FALSE),IF(J45&lt;($J$4+1),TRUE,FALSE))</f>
        <v>1</v>
      </c>
      <c r="J45" s="2">
        <f ca="1"/>
        <v>45268</v>
      </c>
      <c r="K45">
        <f ca="1"/>
        <v>38.28064040940852</v>
      </c>
      <c r="L45">
        <f ca="1"/>
        <v>0.95802644751721999</v>
      </c>
      <c r="M45">
        <f ca="1"/>
        <v>-4.3632349928370395E-2</v>
      </c>
      <c r="N45">
        <f ca="1"/>
        <v>0.2488579609239065</v>
      </c>
      <c r="O45">
        <f ca="1"/>
        <v>0</v>
      </c>
      <c r="P45">
        <f ca="1"/>
        <v>17.276698198577051</v>
      </c>
      <c r="Q45">
        <f ca="1"/>
        <v>13.474862104739762</v>
      </c>
      <c r="R45">
        <f ca="1"/>
        <v>0</v>
      </c>
      <c r="S45">
        <f ca="1"/>
        <v>0.77340375499311298</v>
      </c>
      <c r="T45">
        <f ca="1"/>
        <v>0</v>
      </c>
      <c r="U45">
        <f ca="1"/>
        <v>0</v>
      </c>
      <c r="V45">
        <f ca="1"/>
        <v>0.80187732844798809</v>
      </c>
      <c r="X45" s="2">
        <f t="shared" ca="1" si="1"/>
        <v>45268</v>
      </c>
      <c r="Y45">
        <f t="shared" ca="1" si="2"/>
        <v>0</v>
      </c>
      <c r="AA45" s="63">
        <f t="shared" ca="1" si="4"/>
        <v>39.23866685692574</v>
      </c>
      <c r="AB45" s="63">
        <f t="shared" ca="1" si="5"/>
        <v>39.23866685692574</v>
      </c>
      <c r="AC45" s="3">
        <f t="shared" ca="1" si="6"/>
        <v>0</v>
      </c>
    </row>
    <row r="46" spans="1:29">
      <c r="A46" s="6" t="s">
        <v>131</v>
      </c>
      <c r="B46" s="32" t="str">
        <f>FollowingEstablishStage</f>
        <v>Seed</v>
      </c>
      <c r="H46" t="b">
        <f t="shared" ca="1" si="3"/>
        <v>1</v>
      </c>
      <c r="I46" t="b">
        <f t="shared" ca="1" si="0"/>
        <v>1</v>
      </c>
      <c r="J46" s="2">
        <f ca="1"/>
        <v>45269</v>
      </c>
      <c r="K46">
        <f ca="1"/>
        <v>37.433293332922801</v>
      </c>
      <c r="L46">
        <f ca="1"/>
        <v>1.0513487831969535</v>
      </c>
      <c r="M46">
        <f ca="1"/>
        <v>-4.1192845610762419E-2</v>
      </c>
      <c r="N46">
        <f ca="1"/>
        <v>0.2451945523219958</v>
      </c>
      <c r="O46">
        <f ca="1"/>
        <v>0</v>
      </c>
      <c r="P46">
        <f ca="1"/>
        <v>18.328046981774005</v>
      </c>
      <c r="Q46">
        <f ca="1"/>
        <v>14.294855584670531</v>
      </c>
      <c r="R46">
        <f ca="1"/>
        <v>0</v>
      </c>
      <c r="S46">
        <f ca="1"/>
        <v>0.73439676289674338</v>
      </c>
      <c r="T46">
        <f ca="1"/>
        <v>0</v>
      </c>
      <c r="U46">
        <f ca="1"/>
        <v>0</v>
      </c>
      <c r="V46">
        <f ca="1"/>
        <v>0.82109114702923114</v>
      </c>
      <c r="X46" s="2">
        <f t="shared" ca="1" si="1"/>
        <v>45269</v>
      </c>
      <c r="Y46">
        <f t="shared" ca="1" si="2"/>
        <v>0</v>
      </c>
      <c r="AA46" s="63">
        <f t="shared" ca="1" si="4"/>
        <v>38.484642116119751</v>
      </c>
      <c r="AB46" s="63">
        <f t="shared" ca="1" si="5"/>
        <v>38.484642116119758</v>
      </c>
      <c r="AC46" s="3">
        <f t="shared" ca="1" si="6"/>
        <v>0</v>
      </c>
    </row>
    <row r="47" spans="1:29">
      <c r="A47" s="6" t="s">
        <v>132</v>
      </c>
      <c r="B47" s="34">
        <f>FollowingHarvestDate</f>
        <v>45436</v>
      </c>
      <c r="H47" t="b">
        <f t="shared" ca="1" si="3"/>
        <v>1</v>
      </c>
      <c r="I47" t="b">
        <f t="shared" ca="1" si="0"/>
        <v>1</v>
      </c>
      <c r="J47" s="2">
        <f ca="1"/>
        <v>45270</v>
      </c>
      <c r="K47">
        <f ca="1"/>
        <v>36.535677095064287</v>
      </c>
      <c r="L47">
        <f ca="1"/>
        <v>1.0994386180462961</v>
      </c>
      <c r="M47">
        <f ca="1"/>
        <v>-3.7260454231782703E-2</v>
      </c>
      <c r="N47">
        <f ca="1"/>
        <v>0.23908283441955983</v>
      </c>
      <c r="O47">
        <f ca="1"/>
        <v>0</v>
      </c>
      <c r="P47">
        <f ca="1"/>
        <v>19.427485599820301</v>
      </c>
      <c r="Q47">
        <f ca="1"/>
        <v>15.152356456684357</v>
      </c>
      <c r="R47">
        <f ca="1"/>
        <v>0</v>
      </c>
      <c r="S47">
        <f ca="1"/>
        <v>0.7206728876886821</v>
      </c>
      <c r="T47">
        <f ca="1"/>
        <v>0</v>
      </c>
      <c r="U47">
        <f ca="1"/>
        <v>0</v>
      </c>
      <c r="V47">
        <f ca="1"/>
        <v>0.83803537030694863</v>
      </c>
      <c r="X47" s="2">
        <f t="shared" ca="1" si="1"/>
        <v>45270</v>
      </c>
      <c r="Y47">
        <f t="shared" ca="1" si="2"/>
        <v>0</v>
      </c>
      <c r="AA47" s="63">
        <f t="shared" ca="1" si="4"/>
        <v>37.635115713110579</v>
      </c>
      <c r="AB47" s="63">
        <f t="shared" ca="1" si="5"/>
        <v>37.635115713110579</v>
      </c>
      <c r="AC47" s="3">
        <f t="shared" ca="1" si="6"/>
        <v>0</v>
      </c>
    </row>
    <row r="48" spans="1:29">
      <c r="A48" s="6" t="s">
        <v>133</v>
      </c>
      <c r="B48" s="32" t="str">
        <f>FollowingHarvestStage</f>
        <v>EarlyReproductive</v>
      </c>
      <c r="H48" t="b">
        <f t="shared" ca="1" si="3"/>
        <v>1</v>
      </c>
      <c r="I48" t="b">
        <f t="shared" ca="1" si="0"/>
        <v>1</v>
      </c>
      <c r="J48" s="2">
        <f ca="1"/>
        <v>45271</v>
      </c>
      <c r="K48">
        <f ca="1"/>
        <v>35.522602151994832</v>
      </c>
      <c r="L48">
        <f ca="1"/>
        <v>1.2135798995514762</v>
      </c>
      <c r="M48">
        <f ca="1"/>
        <v>-3.5011731254531497E-2</v>
      </c>
      <c r="N48">
        <f ca="1"/>
        <v>0.23551668773655449</v>
      </c>
      <c r="O48">
        <f ca="1"/>
        <v>0</v>
      </c>
      <c r="P48">
        <f ca="1"/>
        <v>20.641065499371777</v>
      </c>
      <c r="Q48">
        <f ca="1"/>
        <v>16.098881169426452</v>
      </c>
      <c r="R48">
        <f ca="1"/>
        <v>0</v>
      </c>
      <c r="S48">
        <f ca="1"/>
        <v>0.67748533839198988</v>
      </c>
      <c r="T48">
        <f ca="1"/>
        <v>0</v>
      </c>
      <c r="U48">
        <f ca="1"/>
        <v>0</v>
      </c>
      <c r="V48">
        <f ca="1"/>
        <v>0.85367439042307525</v>
      </c>
      <c r="X48" s="2">
        <f t="shared" ca="1" si="1"/>
        <v>45271</v>
      </c>
      <c r="Y48">
        <f t="shared" ca="1" si="2"/>
        <v>0</v>
      </c>
      <c r="AA48" s="63">
        <f t="shared" ca="1" si="4"/>
        <v>36.736182051546315</v>
      </c>
      <c r="AB48" s="63">
        <f t="shared" ca="1" si="5"/>
        <v>36.736182051546308</v>
      </c>
      <c r="AC48" s="3">
        <f t="shared" ca="1" si="6"/>
        <v>0</v>
      </c>
    </row>
    <row r="49" spans="1:29" ht="15" thickBot="1">
      <c r="A49" s="7" t="s">
        <v>165</v>
      </c>
      <c r="B49" s="33" t="str">
        <f>FollowingResidueRemoval</f>
        <v>None removed</v>
      </c>
      <c r="H49" t="b">
        <f t="shared" ca="1" si="3"/>
        <v>1</v>
      </c>
      <c r="I49" t="b">
        <f t="shared" ca="1" si="0"/>
        <v>1</v>
      </c>
      <c r="J49" s="2">
        <f ca="1"/>
        <v>45272</v>
      </c>
      <c r="K49">
        <f ca="1"/>
        <v>34.395264021129108</v>
      </c>
      <c r="L49">
        <f ca="1"/>
        <v>1.330191250099368</v>
      </c>
      <c r="M49">
        <f ca="1"/>
        <v>-3.2439335148209736E-2</v>
      </c>
      <c r="N49">
        <f ca="1"/>
        <v>0.23529245438185933</v>
      </c>
      <c r="O49">
        <f ca="1"/>
        <v>0</v>
      </c>
      <c r="P49">
        <f ca="1"/>
        <v>21.971256749471145</v>
      </c>
      <c r="Q49">
        <f ca="1"/>
        <v>17.136356239141836</v>
      </c>
      <c r="R49">
        <f ca="1"/>
        <v>0</v>
      </c>
      <c r="S49">
        <f ca="1"/>
        <v>0.65014922972848499</v>
      </c>
      <c r="T49">
        <f ca="1"/>
        <v>0</v>
      </c>
      <c r="U49">
        <f ca="1"/>
        <v>0</v>
      </c>
      <c r="V49">
        <f ca="1"/>
        <v>0.86783101960612674</v>
      </c>
      <c r="X49" s="2">
        <f t="shared" ca="1" si="1"/>
        <v>45272</v>
      </c>
      <c r="Y49">
        <f t="shared" ca="1" si="2"/>
        <v>0</v>
      </c>
      <c r="AA49" s="63">
        <f t="shared" ca="1" si="4"/>
        <v>35.725455271228476</v>
      </c>
      <c r="AB49" s="63">
        <f t="shared" ca="1" si="5"/>
        <v>35.725455271228476</v>
      </c>
      <c r="AC49" s="3">
        <f t="shared" ca="1" si="6"/>
        <v>0</v>
      </c>
    </row>
    <row r="50" spans="1:29">
      <c r="A50" s="6" t="s">
        <v>168</v>
      </c>
      <c r="B50" t="str">
        <f>FollowingResidueIncorporation</f>
        <v>Full (Plough)</v>
      </c>
      <c r="H50" t="b">
        <f t="shared" ca="1" si="3"/>
        <v>1</v>
      </c>
      <c r="I50" t="b">
        <f t="shared" ca="1" si="0"/>
        <v>1</v>
      </c>
      <c r="J50" s="2">
        <f ca="1"/>
        <v>45273</v>
      </c>
      <c r="K50">
        <f ca="1"/>
        <v>33.209854043220645</v>
      </c>
      <c r="L50">
        <f ca="1"/>
        <v>1.3777779229582485</v>
      </c>
      <c r="M50">
        <f ca="1"/>
        <v>-2.8456172293120474E-2</v>
      </c>
      <c r="N50">
        <f ca="1"/>
        <v>0.22082411734291046</v>
      </c>
      <c r="O50">
        <f ca="1"/>
        <v>0</v>
      </c>
      <c r="P50">
        <f ca="1"/>
        <v>23.349034672429394</v>
      </c>
      <c r="Q50">
        <f ca="1"/>
        <v>18.210946262619021</v>
      </c>
      <c r="R50">
        <f ca="1"/>
        <v>0</v>
      </c>
      <c r="S50">
        <f ca="1"/>
        <v>0.6158171705824862</v>
      </c>
      <c r="T50">
        <f ca="1"/>
        <v>0</v>
      </c>
      <c r="U50">
        <f ca="1"/>
        <v>0</v>
      </c>
      <c r="V50">
        <f ca="1"/>
        <v>0.87986782915871165</v>
      </c>
      <c r="X50" s="2">
        <f t="shared" ca="1" si="1"/>
        <v>45273</v>
      </c>
      <c r="Y50">
        <f t="shared" ca="1" si="2"/>
        <v>0</v>
      </c>
      <c r="AA50" s="63">
        <f t="shared" ca="1" si="4"/>
        <v>34.587631966178897</v>
      </c>
      <c r="AB50" s="63">
        <f t="shared" ca="1" si="5"/>
        <v>34.58763196617889</v>
      </c>
      <c r="AC50" s="3">
        <f t="shared" ca="1" si="6"/>
        <v>0</v>
      </c>
    </row>
    <row r="51" spans="1:29">
      <c r="A51" s="12"/>
      <c r="B51" s="13"/>
      <c r="H51" t="b">
        <f t="shared" ca="1" si="3"/>
        <v>1</v>
      </c>
      <c r="I51" t="b">
        <f t="shared" ca="1" si="0"/>
        <v>1</v>
      </c>
      <c r="J51" s="2">
        <f ca="1"/>
        <v>45274</v>
      </c>
      <c r="K51">
        <f ca="1"/>
        <v>31.963412153906955</v>
      </c>
      <c r="L51">
        <f ca="1"/>
        <v>1.4419844723210069</v>
      </c>
      <c r="M51">
        <f ca="1"/>
        <v>-2.5078978126295226E-2</v>
      </c>
      <c r="N51">
        <f ca="1"/>
        <v>0.22062156113361051</v>
      </c>
      <c r="O51">
        <f ca="1"/>
        <v>0</v>
      </c>
      <c r="P51">
        <f ca="1"/>
        <v>24.7910191447504</v>
      </c>
      <c r="Q51">
        <f ca="1"/>
        <v>19.335613817632623</v>
      </c>
      <c r="R51">
        <f ca="1"/>
        <v>0</v>
      </c>
      <c r="S51">
        <f ca="1"/>
        <v>0.61975654833813532</v>
      </c>
      <c r="T51">
        <f ca="1"/>
        <v>0</v>
      </c>
      <c r="U51">
        <f ca="1"/>
        <v>0</v>
      </c>
      <c r="V51">
        <f ca="1"/>
        <v>0.89019978365825958</v>
      </c>
      <c r="X51" s="2">
        <f t="shared" ca="1" si="1"/>
        <v>45274</v>
      </c>
      <c r="Y51">
        <f t="shared" ca="1" si="2"/>
        <v>0</v>
      </c>
      <c r="AA51" s="63">
        <f t="shared" ca="1" si="4"/>
        <v>33.405396626227962</v>
      </c>
      <c r="AB51" s="63">
        <f t="shared" ca="1" si="5"/>
        <v>33.405396626227962</v>
      </c>
      <c r="AC51" s="3">
        <f t="shared" ca="1" si="6"/>
        <v>0</v>
      </c>
    </row>
    <row r="52" spans="1:29" ht="15" thickBot="1">
      <c r="A52" s="14"/>
      <c r="B52" s="15"/>
      <c r="H52" t="b">
        <f t="shared" ca="1" si="3"/>
        <v>1</v>
      </c>
      <c r="I52" t="b">
        <f t="shared" ca="1" si="0"/>
        <v>1</v>
      </c>
      <c r="J52" s="2">
        <f ca="1"/>
        <v>45275</v>
      </c>
      <c r="K52">
        <f ca="1"/>
        <v>30.656391352174335</v>
      </c>
      <c r="L52">
        <f ca="1"/>
        <v>1.4968517142875832</v>
      </c>
      <c r="M52">
        <f ca="1"/>
        <v>-2.182338966930697E-2</v>
      </c>
      <c r="N52">
        <f ca="1"/>
        <v>0.21165430222427425</v>
      </c>
      <c r="O52">
        <f ca="1"/>
        <v>0</v>
      </c>
      <c r="P52">
        <f ca="1"/>
        <v>26.287870859037984</v>
      </c>
      <c r="Q52">
        <f ca="1"/>
        <v>20.503074764709289</v>
      </c>
      <c r="R52">
        <f ca="1"/>
        <v>0</v>
      </c>
      <c r="S52">
        <f ca="1"/>
        <v>0.59794667389373779</v>
      </c>
      <c r="T52">
        <f ca="1"/>
        <v>0</v>
      </c>
      <c r="U52">
        <f ca="1"/>
        <v>0</v>
      </c>
      <c r="V52">
        <f ca="1"/>
        <v>0.89898923741195802</v>
      </c>
      <c r="X52" s="2">
        <f t="shared" ca="1" si="1"/>
        <v>45275</v>
      </c>
      <c r="Y52">
        <f t="shared" ca="1" si="2"/>
        <v>0</v>
      </c>
      <c r="AA52" s="63">
        <f t="shared" ca="1" si="4"/>
        <v>32.153243066461918</v>
      </c>
      <c r="AB52" s="63">
        <f t="shared" ca="1" si="5"/>
        <v>32.153243066461918</v>
      </c>
      <c r="AC52" s="3">
        <f t="shared" ca="1" si="6"/>
        <v>0</v>
      </c>
    </row>
    <row r="53" spans="1:29">
      <c r="H53" t="b">
        <f t="shared" ca="1" si="3"/>
        <v>1</v>
      </c>
      <c r="I53" t="b">
        <f t="shared" ca="1" si="0"/>
        <v>1</v>
      </c>
      <c r="J53" s="2">
        <f ca="1"/>
        <v>45276</v>
      </c>
      <c r="K53">
        <f ca="1"/>
        <v>50.556126672002954</v>
      </c>
      <c r="L53">
        <f ca="1"/>
        <v>1.5857512573597603</v>
      </c>
      <c r="M53">
        <f ca="1"/>
        <v>-1.9152172783443611E-2</v>
      </c>
      <c r="N53">
        <f ca="1"/>
        <v>0.21991434383177541</v>
      </c>
      <c r="O53">
        <f ca="1"/>
        <v>21.284724406140047</v>
      </c>
      <c r="P53">
        <f ca="1"/>
        <v>27.873622116397744</v>
      </c>
      <c r="Q53">
        <f ca="1"/>
        <v>21.73987240276147</v>
      </c>
      <c r="R53">
        <f ca="1"/>
        <v>0</v>
      </c>
      <c r="S53">
        <f ca="1"/>
        <v>0.62082840242174242</v>
      </c>
      <c r="T53">
        <f ca="1"/>
        <v>0</v>
      </c>
      <c r="U53">
        <f ca="1"/>
        <v>0</v>
      </c>
      <c r="V53">
        <f ca="1"/>
        <v>0.90660810824344962</v>
      </c>
      <c r="X53" s="2">
        <f t="shared" ca="1" si="1"/>
        <v>45276</v>
      </c>
      <c r="Y53">
        <f t="shared" ca="1" si="2"/>
        <v>21.284724406140047</v>
      </c>
      <c r="AA53" s="63">
        <f t="shared" ca="1" si="4"/>
        <v>52.141877929362714</v>
      </c>
      <c r="AB53" s="63">
        <f t="shared" ca="1" si="5"/>
        <v>52.141877929362714</v>
      </c>
      <c r="AC53" s="3">
        <f t="shared" ca="1" si="6"/>
        <v>0</v>
      </c>
    </row>
    <row r="54" spans="1:29">
      <c r="H54" t="b">
        <f t="shared" ca="1" si="3"/>
        <v>1</v>
      </c>
      <c r="I54" t="b">
        <f t="shared" ca="1" si="0"/>
        <v>1</v>
      </c>
      <c r="J54" s="2">
        <f ca="1"/>
        <v>45277</v>
      </c>
      <c r="K54">
        <f ca="1"/>
        <v>49.093627591060745</v>
      </c>
      <c r="L54">
        <f ca="1"/>
        <v>1.670177073526915</v>
      </c>
      <c r="M54">
        <f ca="1"/>
        <v>-1.6523941724472024E-2</v>
      </c>
      <c r="N54">
        <f ca="1"/>
        <v>0.22420193430917951</v>
      </c>
      <c r="O54">
        <f ca="1"/>
        <v>0</v>
      </c>
      <c r="P54">
        <f ca="1"/>
        <v>29.543799189924659</v>
      </c>
      <c r="Q54">
        <f ca="1"/>
        <v>23.042517474035943</v>
      </c>
      <c r="R54">
        <f ca="1"/>
        <v>0</v>
      </c>
      <c r="S54">
        <f ca="1"/>
        <v>0.63298059913013782</v>
      </c>
      <c r="T54">
        <f ca="1"/>
        <v>0</v>
      </c>
      <c r="U54">
        <f ca="1"/>
        <v>0</v>
      </c>
      <c r="V54">
        <f ca="1"/>
        <v>0.91315561716545079</v>
      </c>
      <c r="X54" s="2">
        <f t="shared" ca="1" si="1"/>
        <v>45277</v>
      </c>
      <c r="Y54">
        <f t="shared" ca="1" si="2"/>
        <v>0</v>
      </c>
      <c r="AA54" s="63">
        <f t="shared" ca="1" si="4"/>
        <v>50.76380466458766</v>
      </c>
      <c r="AB54" s="63">
        <f t="shared" ca="1" si="5"/>
        <v>50.76380466458766</v>
      </c>
      <c r="AC54" s="3">
        <f t="shared" ca="1" si="6"/>
        <v>0</v>
      </c>
    </row>
    <row r="55" spans="1:29">
      <c r="H55" t="b">
        <f t="shared" ca="1" si="3"/>
        <v>1</v>
      </c>
      <c r="I55" t="b">
        <f t="shared" ca="1" si="0"/>
        <v>1</v>
      </c>
      <c r="J55" s="2">
        <f ca="1"/>
        <v>45278</v>
      </c>
      <c r="K55">
        <f ca="1"/>
        <v>47.594748771871927</v>
      </c>
      <c r="L55">
        <f ca="1"/>
        <v>1.7071493008674956</v>
      </c>
      <c r="M55">
        <f ca="1"/>
        <v>-1.3731152225579635E-2</v>
      </c>
      <c r="N55">
        <f ca="1"/>
        <v>0.22200163390426292</v>
      </c>
      <c r="O55">
        <f ca="1"/>
        <v>0</v>
      </c>
      <c r="P55">
        <f ca="1"/>
        <v>31.250948490792155</v>
      </c>
      <c r="Q55">
        <f ca="1"/>
        <v>24.373998822901957</v>
      </c>
      <c r="R55">
        <f ca="1"/>
        <v>0</v>
      </c>
      <c r="S55">
        <f ca="1"/>
        <v>0.6430607273867246</v>
      </c>
      <c r="T55">
        <f ca="1"/>
        <v>0</v>
      </c>
      <c r="U55">
        <f ca="1"/>
        <v>0</v>
      </c>
      <c r="V55">
        <f ca="1"/>
        <v>0.91862152820375409</v>
      </c>
      <c r="X55" s="2">
        <f t="shared" ca="1" si="1"/>
        <v>45278</v>
      </c>
      <c r="Y55">
        <f t="shared" ca="1" si="2"/>
        <v>0</v>
      </c>
      <c r="AA55" s="63">
        <f t="shared" ca="1" si="4"/>
        <v>49.301898072739426</v>
      </c>
      <c r="AB55" s="63">
        <f t="shared" ca="1" si="5"/>
        <v>49.301898072739419</v>
      </c>
      <c r="AC55" s="3">
        <f t="shared" ca="1" si="6"/>
        <v>0</v>
      </c>
    </row>
    <row r="56" spans="1:29">
      <c r="H56" t="b">
        <f t="shared" ca="1" si="3"/>
        <v>1</v>
      </c>
      <c r="I56" t="b">
        <f t="shared" ca="1" si="0"/>
        <v>1</v>
      </c>
      <c r="J56" s="2">
        <f ca="1"/>
        <v>45279</v>
      </c>
      <c r="K56">
        <f ca="1"/>
        <v>45.995854185374959</v>
      </c>
      <c r="L56">
        <f ca="1"/>
        <v>1.8137047927456322</v>
      </c>
      <c r="M56">
        <f ca="1"/>
        <v>-1.1574001950568125E-2</v>
      </c>
      <c r="N56">
        <f ca="1"/>
        <v>0.22638420819923341</v>
      </c>
      <c r="O56">
        <f ca="1"/>
        <v>0</v>
      </c>
      <c r="P56">
        <f ca="1"/>
        <v>33.064653283537787</v>
      </c>
      <c r="Q56">
        <f ca="1"/>
        <v>25.788587519193818</v>
      </c>
      <c r="R56">
        <f ca="1"/>
        <v>0</v>
      </c>
      <c r="S56">
        <f ca="1"/>
        <v>0.64721322884642019</v>
      </c>
      <c r="T56">
        <f ca="1"/>
        <v>0</v>
      </c>
      <c r="U56">
        <f ca="1"/>
        <v>0</v>
      </c>
      <c r="V56">
        <f ca="1"/>
        <v>0.92336584335702088</v>
      </c>
      <c r="X56" s="2">
        <f t="shared" ca="1" si="1"/>
        <v>45279</v>
      </c>
      <c r="Y56">
        <f t="shared" ca="1" si="2"/>
        <v>0</v>
      </c>
      <c r="AA56" s="63">
        <f t="shared" ca="1" si="4"/>
        <v>47.809558978120592</v>
      </c>
      <c r="AB56" s="63">
        <f t="shared" ca="1" si="5"/>
        <v>47.809558978120592</v>
      </c>
      <c r="AC56" s="3">
        <f t="shared" ca="1" si="6"/>
        <v>0</v>
      </c>
    </row>
    <row r="57" spans="1:29">
      <c r="H57" t="b">
        <f t="shared" ca="1" si="3"/>
        <v>1</v>
      </c>
      <c r="I57" t="b">
        <f t="shared" ca="1" si="0"/>
        <v>1</v>
      </c>
      <c r="J57" s="2">
        <f ca="1"/>
        <v>45280</v>
      </c>
      <c r="K57">
        <f ca="1"/>
        <v>44.263680167346863</v>
      </c>
      <c r="L57">
        <f ca="1"/>
        <v>1.9414663341543701</v>
      </c>
      <c r="M57">
        <f ca="1"/>
        <v>-9.5293053033325137E-3</v>
      </c>
      <c r="N57">
        <f ca="1"/>
        <v>0.21882162142960504</v>
      </c>
      <c r="O57">
        <f ca="1"/>
        <v>0</v>
      </c>
      <c r="P57">
        <f ca="1"/>
        <v>35.006119617692157</v>
      </c>
      <c r="Q57">
        <f ca="1"/>
        <v>27.302823100149869</v>
      </c>
      <c r="R57">
        <f ca="1"/>
        <v>0</v>
      </c>
      <c r="S57">
        <f ca="1"/>
        <v>0.60552696792423966</v>
      </c>
      <c r="T57">
        <f ca="1"/>
        <v>0</v>
      </c>
      <c r="U57">
        <f ca="1"/>
        <v>0</v>
      </c>
      <c r="V57">
        <f ca="1"/>
        <v>0.92749709521295587</v>
      </c>
      <c r="X57" s="2">
        <f t="shared" ca="1" si="1"/>
        <v>45280</v>
      </c>
      <c r="Y57">
        <f t="shared" ca="1" si="2"/>
        <v>0</v>
      </c>
      <c r="AA57" s="63">
        <f t="shared" ca="1" si="4"/>
        <v>46.205146501501233</v>
      </c>
      <c r="AB57" s="63">
        <f t="shared" ca="1" si="5"/>
        <v>46.205146501501233</v>
      </c>
      <c r="AC57" s="3">
        <f t="shared" ca="1" si="6"/>
        <v>0</v>
      </c>
    </row>
    <row r="58" spans="1:29">
      <c r="H58" t="b">
        <f t="shared" ca="1" si="3"/>
        <v>1</v>
      </c>
      <c r="I58" t="b">
        <f t="shared" ca="1" si="0"/>
        <v>1</v>
      </c>
      <c r="J58" s="2">
        <f ca="1"/>
        <v>45281</v>
      </c>
      <c r="K58">
        <f ca="1"/>
        <v>42.445286942879591</v>
      </c>
      <c r="L58">
        <f ca="1"/>
        <v>2.0292073480636006</v>
      </c>
      <c r="M58">
        <f ca="1"/>
        <v>-7.373334545787813E-3</v>
      </c>
      <c r="N58">
        <f ca="1"/>
        <v>0.21818745814211674</v>
      </c>
      <c r="O58">
        <f ca="1"/>
        <v>0</v>
      </c>
      <c r="P58">
        <f ca="1"/>
        <v>37.035326965755758</v>
      </c>
      <c r="Q58">
        <f ca="1"/>
        <v>28.885491783876351</v>
      </c>
      <c r="R58">
        <f ca="1"/>
        <v>0</v>
      </c>
      <c r="S58">
        <f ca="1"/>
        <v>0.60335157025979425</v>
      </c>
      <c r="T58">
        <f ca="1"/>
        <v>0</v>
      </c>
      <c r="U58">
        <f ca="1"/>
        <v>0</v>
      </c>
      <c r="V58">
        <f ca="1"/>
        <v>0.93100072950255408</v>
      </c>
      <c r="X58" s="2">
        <f t="shared" ca="1" si="1"/>
        <v>45281</v>
      </c>
      <c r="Y58">
        <f t="shared" ca="1" si="2"/>
        <v>0</v>
      </c>
      <c r="AA58" s="63">
        <f t="shared" ca="1" si="4"/>
        <v>44.474494290943191</v>
      </c>
      <c r="AB58" s="63">
        <f t="shared" ca="1" si="5"/>
        <v>44.474494290943191</v>
      </c>
      <c r="AC58" s="3">
        <f t="shared" ca="1" si="6"/>
        <v>0</v>
      </c>
    </row>
    <row r="59" spans="1:29">
      <c r="H59" t="b">
        <f t="shared" ca="1" si="3"/>
        <v>1</v>
      </c>
      <c r="I59" t="b">
        <f t="shared" ca="1" si="0"/>
        <v>1</v>
      </c>
      <c r="J59" s="2">
        <f ca="1"/>
        <v>45282</v>
      </c>
      <c r="K59">
        <f ca="1"/>
        <v>40.504681273463774</v>
      </c>
      <c r="L59">
        <f ca="1"/>
        <v>2.1459559386148115</v>
      </c>
      <c r="M59">
        <f ca="1"/>
        <v>-5.3975782188793175E-3</v>
      </c>
      <c r="N59">
        <f ca="1"/>
        <v>0.2107478474178808</v>
      </c>
      <c r="O59">
        <f ca="1"/>
        <v>0</v>
      </c>
      <c r="P59">
        <f ca="1"/>
        <v>39.181282904370569</v>
      </c>
      <c r="Q59">
        <f ca="1"/>
        <v>30.559217864133029</v>
      </c>
      <c r="R59">
        <f ca="1"/>
        <v>0</v>
      </c>
      <c r="S59">
        <f ca="1"/>
        <v>0.56811322027725886</v>
      </c>
      <c r="T59">
        <f ca="1"/>
        <v>0</v>
      </c>
      <c r="U59">
        <f ca="1"/>
        <v>0</v>
      </c>
      <c r="V59">
        <f ca="1"/>
        <v>0.93400369219107271</v>
      </c>
      <c r="X59" s="2">
        <f t="shared" ca="1" si="1"/>
        <v>45282</v>
      </c>
      <c r="Y59">
        <f t="shared" ca="1" si="2"/>
        <v>0</v>
      </c>
      <c r="AA59" s="63">
        <f t="shared" ca="1" si="4"/>
        <v>42.650637212078593</v>
      </c>
      <c r="AB59" s="63">
        <f t="shared" ca="1" si="5"/>
        <v>42.650637212078585</v>
      </c>
      <c r="AC59" s="3">
        <f t="shared" ca="1" si="6"/>
        <v>0</v>
      </c>
    </row>
    <row r="60" spans="1:29">
      <c r="A60" s="1"/>
      <c r="B60" s="1"/>
      <c r="H60" t="b">
        <f t="shared" ca="1" si="3"/>
        <v>1</v>
      </c>
      <c r="I60" t="b">
        <f t="shared" ca="1" si="0"/>
        <v>1</v>
      </c>
      <c r="J60" s="2">
        <f ca="1"/>
        <v>45283</v>
      </c>
      <c r="K60">
        <f ca="1"/>
        <v>38.531232589368777</v>
      </c>
      <c r="L60">
        <f ca="1"/>
        <v>2.1679232485933326</v>
      </c>
      <c r="M60">
        <f ca="1"/>
        <v>-3.3903761840594626E-3</v>
      </c>
      <c r="N60">
        <f ca="1"/>
        <v>0.19786494068239638</v>
      </c>
      <c r="O60">
        <f ca="1"/>
        <v>0</v>
      </c>
      <c r="P60">
        <f ca="1"/>
        <v>41.349206152963902</v>
      </c>
      <c r="Q60">
        <f ca="1"/>
        <v>32.250077222367388</v>
      </c>
      <c r="R60">
        <f ca="1"/>
        <v>0</v>
      </c>
      <c r="S60">
        <f ca="1"/>
        <v>0.54267421687245976</v>
      </c>
      <c r="T60">
        <f ca="1"/>
        <v>0</v>
      </c>
      <c r="U60">
        <f ca="1"/>
        <v>0</v>
      </c>
      <c r="V60">
        <f ca="1"/>
        <v>0.93646782025053432</v>
      </c>
      <c r="X60" s="2">
        <f t="shared" ca="1" si="1"/>
        <v>45283</v>
      </c>
      <c r="Y60">
        <f t="shared" ca="1" si="2"/>
        <v>0</v>
      </c>
      <c r="AA60" s="63">
        <f t="shared" ca="1" si="4"/>
        <v>40.69915583796211</v>
      </c>
      <c r="AB60" s="63">
        <f t="shared" ca="1" si="5"/>
        <v>40.69915583796211</v>
      </c>
      <c r="AC60" s="3">
        <f t="shared" ca="1" si="6"/>
        <v>0</v>
      </c>
    </row>
    <row r="61" spans="1:29">
      <c r="H61" t="b">
        <f t="shared" ca="1" si="3"/>
        <v>1</v>
      </c>
      <c r="I61" t="b">
        <f t="shared" ca="1" si="0"/>
        <v>1</v>
      </c>
      <c r="J61" s="2">
        <f ca="1"/>
        <v>45284</v>
      </c>
      <c r="K61">
        <f ca="1"/>
        <v>36.446501332078917</v>
      </c>
      <c r="L61">
        <f ca="1"/>
        <v>2.280667069268425</v>
      </c>
      <c r="M61">
        <f ca="1"/>
        <v>-1.6703248723910491E-3</v>
      </c>
      <c r="N61">
        <f ca="1"/>
        <v>0.19760613685095665</v>
      </c>
      <c r="O61">
        <f ca="1"/>
        <v>0</v>
      </c>
      <c r="P61">
        <f ca="1"/>
        <v>43.629873222232327</v>
      </c>
      <c r="Q61">
        <f ca="1"/>
        <v>34.028870479735517</v>
      </c>
      <c r="R61">
        <f ca="1"/>
        <v>0</v>
      </c>
      <c r="S61">
        <f ca="1"/>
        <v>0.53352539179213565</v>
      </c>
      <c r="T61">
        <f ca="1"/>
        <v>0</v>
      </c>
      <c r="U61">
        <f ca="1"/>
        <v>0</v>
      </c>
      <c r="V61">
        <f ca="1"/>
        <v>0.93857923918651687</v>
      </c>
      <c r="X61" s="2">
        <f t="shared" ca="1" si="1"/>
        <v>45284</v>
      </c>
      <c r="Y61">
        <f t="shared" ca="1" si="2"/>
        <v>0</v>
      </c>
      <c r="AA61" s="63">
        <f t="shared" ca="1" si="4"/>
        <v>38.727168401347342</v>
      </c>
      <c r="AB61" s="63">
        <f t="shared" ca="1" si="5"/>
        <v>38.727168401347342</v>
      </c>
      <c r="AC61" s="3">
        <f t="shared" ca="1" si="6"/>
        <v>0</v>
      </c>
    </row>
    <row r="62" spans="1:29">
      <c r="H62" t="b">
        <f t="shared" ca="1" si="3"/>
        <v>1</v>
      </c>
      <c r="I62" t="b">
        <f t="shared" ca="1" si="0"/>
        <v>1</v>
      </c>
      <c r="J62" s="2">
        <f ca="1"/>
        <v>45285</v>
      </c>
      <c r="K62">
        <f ca="1"/>
        <v>34.233462950201833</v>
      </c>
      <c r="L62">
        <f ca="1"/>
        <v>2.4178480375314351</v>
      </c>
      <c r="M62">
        <f ca="1"/>
        <v>-5.2147910398758768E-6</v>
      </c>
      <c r="N62">
        <f ca="1"/>
        <v>0.2048148704453901</v>
      </c>
      <c r="O62">
        <f ca="1"/>
        <v>0</v>
      </c>
      <c r="P62">
        <f ca="1"/>
        <v>46.047721259763762</v>
      </c>
      <c r="Q62">
        <f ca="1"/>
        <v>35.91465724995502</v>
      </c>
      <c r="R62">
        <f ca="1"/>
        <v>0</v>
      </c>
      <c r="S62">
        <f ca="1"/>
        <v>0.54605962914550521</v>
      </c>
      <c r="T62">
        <f ca="1"/>
        <v>0</v>
      </c>
      <c r="U62">
        <f ca="1"/>
        <v>0</v>
      </c>
      <c r="V62">
        <f ca="1"/>
        <v>0.94039805901895424</v>
      </c>
      <c r="X62" s="2">
        <f t="shared" ca="1" si="1"/>
        <v>45285</v>
      </c>
      <c r="Y62">
        <f t="shared" ca="1" si="2"/>
        <v>0</v>
      </c>
      <c r="AA62" s="63">
        <f t="shared" ca="1" si="4"/>
        <v>36.651310987733268</v>
      </c>
      <c r="AB62" s="63">
        <f t="shared" ca="1" si="5"/>
        <v>36.651310987733268</v>
      </c>
      <c r="AC62" s="3">
        <f t="shared" ca="1" si="6"/>
        <v>0</v>
      </c>
    </row>
    <row r="63" spans="1:29">
      <c r="H63" t="b">
        <f t="shared" ca="1" si="3"/>
        <v>1</v>
      </c>
      <c r="I63" t="b">
        <f t="shared" ca="1" si="0"/>
        <v>1</v>
      </c>
      <c r="J63" s="2">
        <f ca="1"/>
        <v>45286</v>
      </c>
      <c r="K63">
        <f ca="1"/>
        <v>31.976123241164302</v>
      </c>
      <c r="L63">
        <f ca="1"/>
        <v>2.4492196653784646</v>
      </c>
      <c r="M63">
        <f ca="1"/>
        <v>1.5472881485001366E-3</v>
      </c>
      <c r="N63">
        <f ca="1"/>
        <v>0.19033266819243247</v>
      </c>
      <c r="O63">
        <f ca="1"/>
        <v>0</v>
      </c>
      <c r="P63">
        <f ca="1"/>
        <v>48.496940925142226</v>
      </c>
      <c r="Q63">
        <f ca="1"/>
        <v>37.824912142172209</v>
      </c>
      <c r="R63">
        <f ca="1"/>
        <v>0</v>
      </c>
      <c r="S63">
        <f ca="1"/>
        <v>0.50748184762807291</v>
      </c>
      <c r="T63">
        <f ca="1"/>
        <v>0</v>
      </c>
      <c r="U63">
        <f ca="1"/>
        <v>0</v>
      </c>
      <c r="V63">
        <f ca="1"/>
        <v>0.94189703270273173</v>
      </c>
      <c r="X63" s="2">
        <f t="shared" ca="1" si="1"/>
        <v>45286</v>
      </c>
      <c r="Y63">
        <f t="shared" ca="1" si="2"/>
        <v>0</v>
      </c>
      <c r="AA63" s="63">
        <f t="shared" ca="1" si="4"/>
        <v>34.425342906542767</v>
      </c>
      <c r="AB63" s="63">
        <f t="shared" ca="1" si="5"/>
        <v>34.425342906542767</v>
      </c>
      <c r="AC63" s="3">
        <f t="shared" ca="1" si="6"/>
        <v>0</v>
      </c>
    </row>
    <row r="64" spans="1:29">
      <c r="H64" t="b">
        <f t="shared" ca="1" si="3"/>
        <v>1</v>
      </c>
      <c r="I64" t="b">
        <f t="shared" ca="1" si="0"/>
        <v>1</v>
      </c>
      <c r="J64" s="2">
        <f ca="1"/>
        <v>45287</v>
      </c>
      <c r="K64">
        <f ca="1"/>
        <v>51.078119852890268</v>
      </c>
      <c r="L64">
        <f ca="1"/>
        <v>2.5493126211168402</v>
      </c>
      <c r="M64">
        <f ca="1"/>
        <v>2.8868469605276559E-3</v>
      </c>
      <c r="N64">
        <f ca="1"/>
        <v>0.18561271712578134</v>
      </c>
      <c r="O64">
        <f ca="1"/>
        <v>21.462809668756496</v>
      </c>
      <c r="P64">
        <f ca="1"/>
        <v>51.046253546259067</v>
      </c>
      <c r="Q64">
        <f ca="1"/>
        <v>39.813233963656096</v>
      </c>
      <c r="R64">
        <f ca="1"/>
        <v>0</v>
      </c>
      <c r="S64">
        <f ca="1"/>
        <v>0.48425300204463961</v>
      </c>
      <c r="T64">
        <f ca="1"/>
        <v>0</v>
      </c>
      <c r="U64">
        <f ca="1"/>
        <v>0</v>
      </c>
      <c r="V64">
        <f ca="1"/>
        <v>0.94317037459408382</v>
      </c>
      <c r="X64" s="2">
        <f t="shared" ca="1" si="1"/>
        <v>45287</v>
      </c>
      <c r="Y64">
        <f t="shared" ca="1" si="2"/>
        <v>21.462809668756496</v>
      </c>
      <c r="AA64" s="63">
        <f t="shared" ca="1" si="4"/>
        <v>53.627432474007108</v>
      </c>
      <c r="AB64" s="63">
        <f t="shared" ca="1" si="5"/>
        <v>53.627432474007108</v>
      </c>
      <c r="AC64" s="3">
        <f t="shared" ca="1" si="6"/>
        <v>0</v>
      </c>
    </row>
    <row r="65" spans="8:29">
      <c r="H65" t="b">
        <f t="shared" ca="1" si="3"/>
        <v>1</v>
      </c>
      <c r="I65" t="b">
        <f t="shared" ca="1" si="0"/>
        <v>1</v>
      </c>
      <c r="J65" s="2">
        <f ca="1"/>
        <v>45288</v>
      </c>
      <c r="K65">
        <f ca="1"/>
        <v>48.461351382133863</v>
      </c>
      <c r="L65">
        <f ca="1"/>
        <v>2.8085850179968475</v>
      </c>
      <c r="M65">
        <f ca="1"/>
        <v>4.0396121269052898E-3</v>
      </c>
      <c r="N65">
        <f ca="1"/>
        <v>0.18777693511353827</v>
      </c>
      <c r="O65">
        <f ca="1"/>
        <v>0</v>
      </c>
      <c r="P65">
        <f ca="1"/>
        <v>53.854838564255914</v>
      </c>
      <c r="Q65">
        <f ca="1"/>
        <v>42.003773810561711</v>
      </c>
      <c r="R65">
        <f ca="1"/>
        <v>0</v>
      </c>
      <c r="S65">
        <f ca="1"/>
        <v>0.44635155432085327</v>
      </c>
      <c r="T65">
        <f ca="1"/>
        <v>0</v>
      </c>
      <c r="U65">
        <f ca="1"/>
        <v>0</v>
      </c>
      <c r="V65">
        <f ca="1"/>
        <v>0.94430880168632725</v>
      </c>
      <c r="X65" s="2">
        <f t="shared" ca="1" si="1"/>
        <v>45288</v>
      </c>
      <c r="Y65">
        <f t="shared" ca="1" si="2"/>
        <v>0</v>
      </c>
      <c r="AA65" s="63">
        <f t="shared" ca="1" si="4"/>
        <v>51.26993640013071</v>
      </c>
      <c r="AB65" s="63">
        <f t="shared" ca="1" si="5"/>
        <v>51.26993640013071</v>
      </c>
      <c r="AC65" s="3">
        <f t="shared" ca="1" si="6"/>
        <v>0</v>
      </c>
    </row>
    <row r="66" spans="8:29">
      <c r="H66" t="b">
        <f t="shared" ca="1" si="3"/>
        <v>1</v>
      </c>
      <c r="I66" t="b">
        <f t="shared" ca="1" si="0"/>
        <v>1</v>
      </c>
      <c r="J66" s="2">
        <f ca="1"/>
        <v>45289</v>
      </c>
      <c r="K66">
        <f ca="1"/>
        <v>45.682767496064962</v>
      </c>
      <c r="L66">
        <f ca="1"/>
        <v>2.9761992401950792</v>
      </c>
      <c r="M66">
        <f ca="1"/>
        <v>5.298590558097338E-3</v>
      </c>
      <c r="N66">
        <f ca="1"/>
        <v>0.19231676356807925</v>
      </c>
      <c r="O66">
        <f ca="1"/>
        <v>0</v>
      </c>
      <c r="P66">
        <f ca="1"/>
        <v>56.831037804450993</v>
      </c>
      <c r="Q66">
        <f ca="1"/>
        <v>44.325043412942279</v>
      </c>
      <c r="R66">
        <f ca="1"/>
        <v>0</v>
      </c>
      <c r="S66">
        <f ca="1"/>
        <v>0.44574598549151678</v>
      </c>
      <c r="T66">
        <f ca="1"/>
        <v>0</v>
      </c>
      <c r="U66">
        <f ca="1"/>
        <v>0</v>
      </c>
      <c r="V66">
        <f ca="1"/>
        <v>0.94528025076804012</v>
      </c>
      <c r="X66" s="2">
        <f t="shared" ca="1" si="1"/>
        <v>45289</v>
      </c>
      <c r="Y66">
        <f t="shared" ca="1" si="2"/>
        <v>0</v>
      </c>
      <c r="AA66" s="63">
        <f t="shared" ca="1" si="4"/>
        <v>48.658966736260041</v>
      </c>
      <c r="AB66" s="63">
        <f t="shared" ca="1" si="5"/>
        <v>48.658966736260041</v>
      </c>
      <c r="AC66" s="3">
        <f t="shared" ca="1" si="6"/>
        <v>0</v>
      </c>
    </row>
    <row r="67" spans="8:29">
      <c r="H67" t="b">
        <f t="shared" ca="1" si="3"/>
        <v>1</v>
      </c>
      <c r="I67" t="b">
        <f t="shared" ca="1" si="0"/>
        <v>1</v>
      </c>
      <c r="J67" s="2">
        <f ca="1"/>
        <v>45290</v>
      </c>
      <c r="K67">
        <f ca="1"/>
        <v>42.866852392882393</v>
      </c>
      <c r="L67">
        <f ca="1"/>
        <v>3.0167947459266529</v>
      </c>
      <c r="M67">
        <f ca="1"/>
        <v>6.6184069182124716E-3</v>
      </c>
      <c r="N67">
        <f ca="1"/>
        <v>0.19426123582587126</v>
      </c>
      <c r="O67">
        <f ca="1"/>
        <v>0</v>
      </c>
      <c r="P67">
        <f ca="1"/>
        <v>59.847832550377646</v>
      </c>
      <c r="Q67">
        <f ca="1"/>
        <v>46.677975248205399</v>
      </c>
      <c r="R67">
        <f ca="1"/>
        <v>0</v>
      </c>
      <c r="S67">
        <f ca="1"/>
        <v>0.46675711694967675</v>
      </c>
      <c r="T67">
        <f ca="1"/>
        <v>0</v>
      </c>
      <c r="U67">
        <f ca="1"/>
        <v>0</v>
      </c>
      <c r="V67">
        <f ca="1"/>
        <v>0.9460739485984716</v>
      </c>
      <c r="X67" s="2">
        <f t="shared" ca="1" si="1"/>
        <v>45290</v>
      </c>
      <c r="Y67">
        <f t="shared" ca="1" si="2"/>
        <v>0</v>
      </c>
      <c r="AA67" s="63">
        <f t="shared" ca="1" si="4"/>
        <v>45.883647138809046</v>
      </c>
      <c r="AB67" s="63">
        <f t="shared" ca="1" si="5"/>
        <v>45.883647138809046</v>
      </c>
      <c r="AC67" s="3">
        <f t="shared" ca="1" si="6"/>
        <v>0</v>
      </c>
    </row>
    <row r="68" spans="8:29">
      <c r="H68" t="b">
        <f t="shared" ca="1" si="3"/>
        <v>1</v>
      </c>
      <c r="I68" t="b">
        <f t="shared" ca="1" si="0"/>
        <v>1</v>
      </c>
      <c r="J68" s="2">
        <f ca="1"/>
        <v>45291</v>
      </c>
      <c r="K68">
        <f ca="1"/>
        <v>40.066829453700656</v>
      </c>
      <c r="L68">
        <f ca="1"/>
        <v>3.0197520889169596</v>
      </c>
      <c r="M68">
        <f ca="1"/>
        <v>8.0907041795814649E-3</v>
      </c>
      <c r="N68">
        <f ca="1"/>
        <v>0.21163844555564465</v>
      </c>
      <c r="O68">
        <f ca="1"/>
        <v>0</v>
      </c>
      <c r="P68">
        <f ca="1"/>
        <v>62.867584639294606</v>
      </c>
      <c r="Q68">
        <f ca="1"/>
        <v>49.033213646246487</v>
      </c>
      <c r="R68">
        <f ca="1"/>
        <v>0</v>
      </c>
      <c r="S68">
        <f ca="1"/>
        <v>0.55182004008440311</v>
      </c>
      <c r="T68">
        <f ca="1"/>
        <v>0</v>
      </c>
      <c r="U68">
        <f ca="1"/>
        <v>0</v>
      </c>
      <c r="V68">
        <f ca="1"/>
        <v>0.94671858826037469</v>
      </c>
      <c r="X68" s="2">
        <f t="shared" ca="1" si="1"/>
        <v>45291</v>
      </c>
      <c r="Y68">
        <f t="shared" ca="1" si="2"/>
        <v>0</v>
      </c>
      <c r="AA68" s="63">
        <f t="shared" ca="1" si="4"/>
        <v>43.086581542617616</v>
      </c>
      <c r="AB68" s="63">
        <f t="shared" ca="1" si="5"/>
        <v>43.086581542617616</v>
      </c>
      <c r="AC68" s="3">
        <f t="shared" ca="1" si="6"/>
        <v>0</v>
      </c>
    </row>
    <row r="69" spans="8:29">
      <c r="H69" t="b">
        <f t="shared" ca="1" si="3"/>
        <v>1</v>
      </c>
      <c r="I69" t="b">
        <f t="shared" ca="1" si="0"/>
        <v>1</v>
      </c>
      <c r="J69" s="2">
        <f ca="1"/>
        <v>45292</v>
      </c>
      <c r="K69">
        <f ca="1"/>
        <v>37.226014993555104</v>
      </c>
      <c r="L69">
        <f ca="1"/>
        <v>3.0555344478820388</v>
      </c>
      <c r="M69">
        <f ca="1"/>
        <v>9.0884521665648421E-3</v>
      </c>
      <c r="N69">
        <f ca="1"/>
        <v>0.20563153556991937</v>
      </c>
      <c r="O69">
        <f ca="1"/>
        <v>0</v>
      </c>
      <c r="P69">
        <f ca="1"/>
        <v>65.923119087176644</v>
      </c>
      <c r="Q69">
        <f ca="1"/>
        <v>51.416360290834149</v>
      </c>
      <c r="R69">
        <f ca="1"/>
        <v>0</v>
      </c>
      <c r="S69">
        <f ca="1"/>
        <v>0.53985500205363524</v>
      </c>
      <c r="T69">
        <f ca="1"/>
        <v>0</v>
      </c>
      <c r="U69">
        <f ca="1"/>
        <v>0</v>
      </c>
      <c r="V69">
        <f ca="1"/>
        <v>0.94725114676359412</v>
      </c>
      <c r="X69" s="2">
        <f t="shared" ca="1" si="1"/>
        <v>45292</v>
      </c>
      <c r="Y69">
        <f t="shared" ca="1" si="2"/>
        <v>0</v>
      </c>
      <c r="AA69" s="63">
        <f t="shared" ca="1" si="4"/>
        <v>40.281549441437143</v>
      </c>
      <c r="AB69" s="63">
        <f t="shared" ca="1" si="5"/>
        <v>40.281549441437143</v>
      </c>
      <c r="AC69" s="3">
        <f t="shared" ca="1" si="6"/>
        <v>0</v>
      </c>
    </row>
    <row r="70" spans="8:29">
      <c r="H70" t="b">
        <f t="shared" ca="1" si="3"/>
        <v>1</v>
      </c>
      <c r="I70" t="b">
        <f t="shared" ca="1" si="0"/>
        <v>1</v>
      </c>
      <c r="J70" s="2">
        <f ca="1"/>
        <v>45293</v>
      </c>
      <c r="K70">
        <f ca="1"/>
        <v>34.220293933849476</v>
      </c>
      <c r="L70">
        <f ca="1"/>
        <v>3.2182593491649101</v>
      </c>
      <c r="M70">
        <f ca="1"/>
        <v>1.0370154538547283E-2</v>
      </c>
      <c r="N70">
        <f ca="1"/>
        <v>0.20216813492073335</v>
      </c>
      <c r="O70">
        <f ca="1"/>
        <v>0</v>
      </c>
      <c r="P70">
        <f ca="1"/>
        <v>69.141378436341554</v>
      </c>
      <c r="Q70">
        <f ca="1"/>
        <v>53.926423292968337</v>
      </c>
      <c r="R70">
        <f ca="1"/>
        <v>0</v>
      </c>
      <c r="S70">
        <f ca="1"/>
        <v>0.50582037305041527</v>
      </c>
      <c r="T70">
        <f ca="1"/>
        <v>0</v>
      </c>
      <c r="U70">
        <f ca="1"/>
        <v>0</v>
      </c>
      <c r="V70">
        <f ca="1"/>
        <v>0.94770939742621485</v>
      </c>
      <c r="X70" s="2">
        <f t="shared" ca="1" si="1"/>
        <v>45293</v>
      </c>
      <c r="Y70">
        <f t="shared" ca="1" si="2"/>
        <v>0</v>
      </c>
      <c r="AA70" s="63">
        <f t="shared" ca="1" si="4"/>
        <v>37.438553283014386</v>
      </c>
      <c r="AB70" s="63">
        <f t="shared" ca="1" si="5"/>
        <v>37.438553283014386</v>
      </c>
      <c r="AC70" s="3">
        <f t="shared" ca="1" si="6"/>
        <v>0</v>
      </c>
    </row>
    <row r="71" spans="8:29">
      <c r="H71" t="b">
        <f t="shared" ca="1" si="3"/>
        <v>1</v>
      </c>
      <c r="I71" t="b">
        <f t="shared" ref="I71:I134" ca="1" si="7">AND(IF(J71&gt;($J$3-1),TRUE,FALSE),IF(J71&lt;($J$4+1),TRUE,FALSE))</f>
        <v>1</v>
      </c>
      <c r="J71" s="2">
        <f ca="1"/>
        <v>45294</v>
      </c>
      <c r="K71">
        <f ca="1"/>
        <v>31.18130121323594</v>
      </c>
      <c r="L71">
        <f ca="1"/>
        <v>3.2405219823615141</v>
      </c>
      <c r="M71">
        <f ca="1"/>
        <v>1.0567291524671951E-2</v>
      </c>
      <c r="N71">
        <f ca="1"/>
        <v>0.19096197022330683</v>
      </c>
      <c r="O71">
        <f ca="1"/>
        <v>0</v>
      </c>
      <c r="P71">
        <f ca="1"/>
        <v>72.381900418703069</v>
      </c>
      <c r="Q71">
        <f ca="1"/>
        <v>56.453849908737766</v>
      </c>
      <c r="R71">
        <f ca="1"/>
        <v>0</v>
      </c>
      <c r="S71">
        <f ca="1"/>
        <v>0.47268242570250496</v>
      </c>
      <c r="T71">
        <f ca="1"/>
        <v>0</v>
      </c>
      <c r="U71">
        <f ca="1"/>
        <v>0</v>
      </c>
      <c r="V71">
        <f ca="1"/>
        <v>0.9480865839794822</v>
      </c>
      <c r="X71" s="2">
        <f t="shared" ref="X71:X134" ca="1" si="8">IFERROR(J71,$X$5)</f>
        <v>45294</v>
      </c>
      <c r="Y71">
        <f t="shared" ref="Y71:Y134" ca="1" si="9">IFERROR(O71,0)</f>
        <v>0</v>
      </c>
      <c r="AA71" s="63">
        <f t="shared" ca="1" si="4"/>
        <v>34.421823195597455</v>
      </c>
      <c r="AB71" s="63">
        <f t="shared" ca="1" si="5"/>
        <v>34.421823195597455</v>
      </c>
      <c r="AC71" s="3">
        <f t="shared" ca="1" si="6"/>
        <v>0</v>
      </c>
    </row>
    <row r="72" spans="8:29">
      <c r="H72" t="b">
        <f t="shared" ref="H72:H135" ca="1" si="10">IF(J72&lt;$J$4,TRUE,FALSE)</f>
        <v>1</v>
      </c>
      <c r="I72" t="b">
        <f t="shared" ca="1" si="7"/>
        <v>1</v>
      </c>
      <c r="J72" s="2">
        <f ca="1"/>
        <v>45295</v>
      </c>
      <c r="K72">
        <f ca="1"/>
        <v>47.871712911950908</v>
      </c>
      <c r="L72">
        <f ca="1"/>
        <v>3.3624952582582921</v>
      </c>
      <c r="M72">
        <f ca="1"/>
        <v>1.0824635342607358E-2</v>
      </c>
      <c r="N72">
        <f ca="1"/>
        <v>0.1872773179439704</v>
      </c>
      <c r="O72">
        <f ca="1"/>
        <v>19.854805003686678</v>
      </c>
      <c r="P72">
        <f ca="1"/>
        <v>75.744395676961361</v>
      </c>
      <c r="Q72">
        <f ca="1"/>
        <v>59.076408884538104</v>
      </c>
      <c r="R72">
        <f ca="1"/>
        <v>0</v>
      </c>
      <c r="S72">
        <f ca="1"/>
        <v>0.44370339538804815</v>
      </c>
      <c r="T72">
        <f ca="1"/>
        <v>0</v>
      </c>
      <c r="U72">
        <f ca="1"/>
        <v>0</v>
      </c>
      <c r="V72">
        <f ca="1"/>
        <v>0.94840713808635579</v>
      </c>
      <c r="X72" s="2">
        <f t="shared" ca="1" si="8"/>
        <v>45295</v>
      </c>
      <c r="Y72">
        <f t="shared" ca="1" si="9"/>
        <v>19.854805003686678</v>
      </c>
      <c r="AA72" s="63">
        <f t="shared" ca="1" si="4"/>
        <v>51.2342081702092</v>
      </c>
      <c r="AB72" s="63">
        <f t="shared" ca="1" si="5"/>
        <v>51.2342081702092</v>
      </c>
      <c r="AC72" s="3">
        <f t="shared" ca="1" si="6"/>
        <v>0</v>
      </c>
    </row>
    <row r="73" spans="8:29">
      <c r="H73" t="b">
        <f t="shared" ca="1" si="10"/>
        <v>1</v>
      </c>
      <c r="I73" t="b">
        <f t="shared" ca="1" si="7"/>
        <v>1</v>
      </c>
      <c r="J73" s="2">
        <f ca="1"/>
        <v>45296</v>
      </c>
      <c r="K73">
        <f ca="1"/>
        <v>44.750055182720821</v>
      </c>
      <c r="L73">
        <f ca="1"/>
        <v>3.3089747984662239</v>
      </c>
      <c r="M73">
        <f ca="1"/>
        <v>1.0617274541126598E-2</v>
      </c>
      <c r="N73">
        <f ca="1"/>
        <v>0.1766997946950099</v>
      </c>
      <c r="O73">
        <f ca="1"/>
        <v>0</v>
      </c>
      <c r="P73">
        <f ca="1"/>
        <v>79.053370475427585</v>
      </c>
      <c r="Q73">
        <f ca="1"/>
        <v>61.65722488334184</v>
      </c>
      <c r="R73">
        <f ca="1"/>
        <v>0</v>
      </c>
      <c r="S73">
        <f ca="1"/>
        <v>0.42254229505348279</v>
      </c>
      <c r="T73">
        <f ca="1"/>
        <v>0</v>
      </c>
      <c r="U73">
        <f ca="1"/>
        <v>0</v>
      </c>
      <c r="V73">
        <f ca="1"/>
        <v>0.94866641300673826</v>
      </c>
      <c r="X73" s="2">
        <f t="shared" ca="1" si="8"/>
        <v>45296</v>
      </c>
      <c r="Y73">
        <f t="shared" ca="1" si="9"/>
        <v>0</v>
      </c>
      <c r="AA73" s="63">
        <f t="shared" ref="AA73:AA136" ca="1" si="11">K72+M73+N73+O73</f>
        <v>48.059029981187045</v>
      </c>
      <c r="AB73" s="63">
        <f t="shared" ref="AB73:AB136" ca="1" si="12">K73+L73+R73</f>
        <v>48.059029981187045</v>
      </c>
      <c r="AC73" s="3">
        <f t="shared" ref="AC73:AC136" ca="1" si="13">AB73-AA73</f>
        <v>0</v>
      </c>
    </row>
    <row r="74" spans="8:29">
      <c r="H74" t="b">
        <f t="shared" ca="1" si="10"/>
        <v>1</v>
      </c>
      <c r="I74" t="b">
        <f t="shared" ca="1" si="7"/>
        <v>1</v>
      </c>
      <c r="J74" s="2">
        <f ca="1"/>
        <v>45297</v>
      </c>
      <c r="K74">
        <f ca="1"/>
        <v>41.561007893998273</v>
      </c>
      <c r="L74">
        <f ca="1"/>
        <v>3.3739866226596149</v>
      </c>
      <c r="M74">
        <f ca="1"/>
        <v>1.0776770707202843E-2</v>
      </c>
      <c r="N74">
        <f ca="1"/>
        <v>0.17416256322986293</v>
      </c>
      <c r="O74">
        <f ca="1"/>
        <v>0</v>
      </c>
      <c r="P74">
        <f ca="1"/>
        <v>82.427357098087199</v>
      </c>
      <c r="Q74">
        <f ca="1"/>
        <v>64.288746483187779</v>
      </c>
      <c r="R74">
        <f ca="1"/>
        <v>0</v>
      </c>
      <c r="S74">
        <f ca="1"/>
        <v>0.40636830176687572</v>
      </c>
      <c r="T74">
        <f ca="1"/>
        <v>0</v>
      </c>
      <c r="U74">
        <f ca="1"/>
        <v>0</v>
      </c>
      <c r="V74">
        <f ca="1"/>
        <v>0.94888478780532359</v>
      </c>
      <c r="X74" s="2">
        <f t="shared" ca="1" si="8"/>
        <v>45297</v>
      </c>
      <c r="Y74">
        <f t="shared" ca="1" si="9"/>
        <v>0</v>
      </c>
      <c r="AA74" s="63">
        <f t="shared" ca="1" si="11"/>
        <v>44.934994516657888</v>
      </c>
      <c r="AB74" s="63">
        <f t="shared" ca="1" si="12"/>
        <v>44.934994516657888</v>
      </c>
      <c r="AC74" s="3">
        <f t="shared" ca="1" si="13"/>
        <v>0</v>
      </c>
    </row>
    <row r="75" spans="8:29">
      <c r="H75" t="b">
        <f t="shared" ca="1" si="10"/>
        <v>1</v>
      </c>
      <c r="I75" t="b">
        <f t="shared" ca="1" si="7"/>
        <v>1</v>
      </c>
      <c r="J75" s="2">
        <f ca="1"/>
        <v>45298</v>
      </c>
      <c r="K75">
        <f ca="1"/>
        <v>38.219102404377608</v>
      </c>
      <c r="L75">
        <f ca="1"/>
        <v>3.5286538541282937</v>
      </c>
      <c r="M75">
        <f ca="1"/>
        <v>1.1036045982376841E-2</v>
      </c>
      <c r="N75">
        <f ca="1"/>
        <v>0.17571231852524674</v>
      </c>
      <c r="O75">
        <f ca="1"/>
        <v>0</v>
      </c>
      <c r="P75">
        <f ca="1"/>
        <v>85.956010952215493</v>
      </c>
      <c r="Q75">
        <f ca="1"/>
        <v>67.040899907020432</v>
      </c>
      <c r="R75">
        <f ca="1"/>
        <v>0</v>
      </c>
      <c r="S75">
        <f ca="1"/>
        <v>0.38702476354030946</v>
      </c>
      <c r="T75">
        <f ca="1"/>
        <v>0</v>
      </c>
      <c r="U75">
        <f ca="1"/>
        <v>0</v>
      </c>
      <c r="V75">
        <f ca="1"/>
        <v>0.94907318253985551</v>
      </c>
      <c r="X75" s="2">
        <f t="shared" ca="1" si="8"/>
        <v>45298</v>
      </c>
      <c r="Y75">
        <f t="shared" ca="1" si="9"/>
        <v>0</v>
      </c>
      <c r="AA75" s="63">
        <f t="shared" ca="1" si="11"/>
        <v>41.747756258505902</v>
      </c>
      <c r="AB75" s="63">
        <f t="shared" ca="1" si="12"/>
        <v>41.747756258505902</v>
      </c>
      <c r="AC75" s="3">
        <f t="shared" ca="1" si="13"/>
        <v>0</v>
      </c>
    </row>
    <row r="76" spans="8:29">
      <c r="H76" t="b">
        <f t="shared" ca="1" si="10"/>
        <v>1</v>
      </c>
      <c r="I76" t="b">
        <f t="shared" ca="1" si="7"/>
        <v>1</v>
      </c>
      <c r="J76" s="2">
        <f ca="1"/>
        <v>45299</v>
      </c>
      <c r="K76">
        <f ca="1"/>
        <v>34.79421945578067</v>
      </c>
      <c r="L76">
        <f ca="1"/>
        <v>3.6152519207456635</v>
      </c>
      <c r="M76">
        <f ca="1"/>
        <v>1.1657571891783292E-2</v>
      </c>
      <c r="N76">
        <f ca="1"/>
        <v>0.17871140025694082</v>
      </c>
      <c r="O76">
        <f ca="1"/>
        <v>0</v>
      </c>
      <c r="P76">
        <f ca="1"/>
        <v>89.571262872961157</v>
      </c>
      <c r="Q76">
        <f ca="1"/>
        <v>69.860594998409809</v>
      </c>
      <c r="R76">
        <f ca="1"/>
        <v>0</v>
      </c>
      <c r="S76">
        <f ca="1"/>
        <v>0.38802865444769863</v>
      </c>
      <c r="T76">
        <f ca="1"/>
        <v>0</v>
      </c>
      <c r="U76">
        <f ca="1"/>
        <v>0</v>
      </c>
      <c r="V76">
        <f ca="1"/>
        <v>0.94923204538507788</v>
      </c>
      <c r="X76" s="2">
        <f t="shared" ca="1" si="8"/>
        <v>45299</v>
      </c>
      <c r="Y76">
        <f t="shared" ca="1" si="9"/>
        <v>0</v>
      </c>
      <c r="AA76" s="63">
        <f t="shared" ca="1" si="11"/>
        <v>38.409471376526334</v>
      </c>
      <c r="AB76" s="63">
        <f t="shared" ca="1" si="12"/>
        <v>38.409471376526334</v>
      </c>
      <c r="AC76" s="3">
        <f t="shared" ca="1" si="13"/>
        <v>0</v>
      </c>
    </row>
    <row r="77" spans="8:29">
      <c r="H77" t="b">
        <f t="shared" ca="1" si="10"/>
        <v>1</v>
      </c>
      <c r="I77" t="b">
        <f t="shared" ca="1" si="7"/>
        <v>1</v>
      </c>
      <c r="J77" s="2">
        <f ca="1"/>
        <v>45300</v>
      </c>
      <c r="K77">
        <f ca="1"/>
        <v>31.293749977768954</v>
      </c>
      <c r="L77">
        <f ca="1"/>
        <v>3.6958176220828705</v>
      </c>
      <c r="M77">
        <f ca="1"/>
        <v>1.2428668151037492E-2</v>
      </c>
      <c r="N77">
        <f ca="1"/>
        <v>0.18291947592011915</v>
      </c>
      <c r="O77">
        <f ca="1"/>
        <v>0</v>
      </c>
      <c r="P77">
        <f ca="1"/>
        <v>93.267080495044027</v>
      </c>
      <c r="Q77">
        <f ca="1"/>
        <v>72.7431268485023</v>
      </c>
      <c r="R77">
        <f ca="1"/>
        <v>0</v>
      </c>
      <c r="S77">
        <f ca="1"/>
        <v>0.3935934570006786</v>
      </c>
      <c r="T77">
        <f ca="1"/>
        <v>0</v>
      </c>
      <c r="U77">
        <f ca="1"/>
        <v>0</v>
      </c>
      <c r="V77">
        <f ca="1"/>
        <v>0.94936565944166018</v>
      </c>
      <c r="X77" s="2">
        <f t="shared" ca="1" si="8"/>
        <v>45300</v>
      </c>
      <c r="Y77">
        <f t="shared" ca="1" si="9"/>
        <v>0</v>
      </c>
      <c r="AA77" s="63">
        <f t="shared" ca="1" si="11"/>
        <v>34.989567599851824</v>
      </c>
      <c r="AB77" s="63">
        <f t="shared" ca="1" si="12"/>
        <v>34.989567599851824</v>
      </c>
      <c r="AC77" s="3">
        <f t="shared" ca="1" si="13"/>
        <v>0</v>
      </c>
    </row>
    <row r="78" spans="8:29">
      <c r="H78" t="b">
        <f t="shared" ca="1" si="10"/>
        <v>0</v>
      </c>
      <c r="I78" t="b">
        <f t="shared" ca="1" si="7"/>
        <v>1</v>
      </c>
      <c r="J78" s="2">
        <f ca="1"/>
        <v>45301</v>
      </c>
      <c r="K78">
        <f ca="1"/>
        <v>27.818805954977659</v>
      </c>
      <c r="L78">
        <f ca="1"/>
        <v>3.662919504956065</v>
      </c>
      <c r="M78">
        <f ca="1"/>
        <v>1.1980685609173314E-2</v>
      </c>
      <c r="N78">
        <f ca="1"/>
        <v>0.17599479655559713</v>
      </c>
      <c r="O78">
        <f ca="1"/>
        <v>0</v>
      </c>
      <c r="P78">
        <f ca="1"/>
        <v>96.930000000000092</v>
      </c>
      <c r="Q78">
        <f ca="1"/>
        <v>75.600000000000065</v>
      </c>
      <c r="R78">
        <f ca="1"/>
        <v>0</v>
      </c>
      <c r="S78">
        <f ca="1"/>
        <v>0.37211462089005198</v>
      </c>
      <c r="T78">
        <f ca="1"/>
        <v>0</v>
      </c>
      <c r="U78">
        <f ca="1"/>
        <v>0</v>
      </c>
      <c r="V78">
        <f ca="1"/>
        <v>0.94947486029492256</v>
      </c>
      <c r="X78" s="2">
        <f t="shared" ca="1" si="8"/>
        <v>45301</v>
      </c>
      <c r="Y78">
        <f t="shared" ca="1" si="9"/>
        <v>0</v>
      </c>
      <c r="AA78" s="63">
        <f t="shared" ca="1" si="11"/>
        <v>31.481725459933724</v>
      </c>
      <c r="AB78" s="63">
        <f t="shared" ca="1" si="12"/>
        <v>31.481725459933724</v>
      </c>
      <c r="AC78" s="3">
        <f t="shared" ca="1" si="13"/>
        <v>0</v>
      </c>
    </row>
    <row r="79" spans="8:29">
      <c r="H79" t="b">
        <f t="shared" ca="1" si="10"/>
        <v>0</v>
      </c>
      <c r="I79" t="b">
        <f t="shared" ca="1" si="7"/>
        <v>0</v>
      </c>
      <c r="J79" s="2">
        <f ca="1"/>
        <v>45302</v>
      </c>
      <c r="K79">
        <f ca="1"/>
        <v>28.635677357760713</v>
      </c>
      <c r="L79">
        <f ca="1"/>
        <v>0</v>
      </c>
      <c r="M79">
        <f ca="1"/>
        <v>0.64536577269069362</v>
      </c>
      <c r="N79">
        <f ca="1"/>
        <v>0.17150563009236167</v>
      </c>
      <c r="O79">
        <f ca="1"/>
        <v>0</v>
      </c>
      <c r="P79">
        <f ca="1"/>
        <v>0</v>
      </c>
      <c r="Q79">
        <f ca="1"/>
        <v>0</v>
      </c>
      <c r="R79">
        <f ca="1"/>
        <v>0</v>
      </c>
      <c r="S79">
        <f ca="1"/>
        <v>0.36687705675926507</v>
      </c>
      <c r="T79">
        <f ca="1"/>
        <v>0</v>
      </c>
      <c r="U79">
        <f ca="1"/>
        <v>0</v>
      </c>
      <c r="V79">
        <f ca="1"/>
        <v>0</v>
      </c>
      <c r="X79" s="2">
        <f t="shared" ca="1" si="8"/>
        <v>45302</v>
      </c>
      <c r="Y79">
        <f t="shared" ca="1" si="9"/>
        <v>0</v>
      </c>
      <c r="AA79" s="63">
        <f t="shared" ca="1" si="11"/>
        <v>28.635677357760713</v>
      </c>
      <c r="AB79" s="63">
        <f t="shared" ca="1" si="12"/>
        <v>28.635677357760713</v>
      </c>
      <c r="AC79" s="3">
        <f t="shared" ca="1" si="13"/>
        <v>0</v>
      </c>
    </row>
    <row r="80" spans="8:29">
      <c r="H80" t="b">
        <f t="shared" ca="1" si="10"/>
        <v>0</v>
      </c>
      <c r="I80" t="b">
        <f t="shared" ca="1" si="7"/>
        <v>0</v>
      </c>
      <c r="J80" s="2">
        <f ca="1"/>
        <v>45303</v>
      </c>
      <c r="K80">
        <f ca="1"/>
        <v>29.396200873800485</v>
      </c>
      <c r="L80">
        <f ca="1"/>
        <v>0</v>
      </c>
      <c r="M80">
        <f ca="1"/>
        <v>0.58924671346313406</v>
      </c>
      <c r="N80">
        <f ca="1"/>
        <v>0.17127680257663913</v>
      </c>
      <c r="O80">
        <f ca="1"/>
        <v>0</v>
      </c>
      <c r="P80">
        <f ca="1"/>
        <v>0</v>
      </c>
      <c r="Q80">
        <f ca="1"/>
        <v>0</v>
      </c>
      <c r="R80">
        <f ca="1"/>
        <v>0</v>
      </c>
      <c r="S80">
        <f ca="1"/>
        <v>0.35848014868785616</v>
      </c>
      <c r="T80">
        <f ca="1"/>
        <v>0</v>
      </c>
      <c r="U80">
        <f ca="1"/>
        <v>0</v>
      </c>
      <c r="V80">
        <f ca="1"/>
        <v>0</v>
      </c>
      <c r="X80" s="2">
        <f t="shared" ca="1" si="8"/>
        <v>45303</v>
      </c>
      <c r="Y80">
        <f t="shared" ca="1" si="9"/>
        <v>0</v>
      </c>
      <c r="AA80" s="63">
        <f t="shared" ca="1" si="11"/>
        <v>29.396200873800485</v>
      </c>
      <c r="AB80" s="63">
        <f t="shared" ca="1" si="12"/>
        <v>29.396200873800485</v>
      </c>
      <c r="AC80" s="3">
        <f t="shared" ca="1" si="13"/>
        <v>0</v>
      </c>
    </row>
    <row r="81" spans="8:29">
      <c r="H81" t="b">
        <f t="shared" ca="1" si="10"/>
        <v>0</v>
      </c>
      <c r="I81" t="b">
        <f t="shared" ca="1" si="7"/>
        <v>0</v>
      </c>
      <c r="J81" s="2">
        <f ca="1"/>
        <v>45304</v>
      </c>
      <c r="K81">
        <f ca="1"/>
        <v>30.176898122578415</v>
      </c>
      <c r="L81">
        <f ca="1"/>
        <v>0</v>
      </c>
      <c r="M81">
        <f ca="1"/>
        <v>0.6002145397791887</v>
      </c>
      <c r="N81">
        <f ca="1"/>
        <v>0.18048270899874036</v>
      </c>
      <c r="O81">
        <f ca="1"/>
        <v>0</v>
      </c>
      <c r="P81">
        <f ca="1"/>
        <v>0</v>
      </c>
      <c r="Q81">
        <f ca="1"/>
        <v>0</v>
      </c>
      <c r="R81">
        <f ca="1"/>
        <v>0</v>
      </c>
      <c r="S81">
        <f ca="1"/>
        <v>0.39116236916847658</v>
      </c>
      <c r="T81">
        <f ca="1"/>
        <v>0</v>
      </c>
      <c r="U81">
        <f ca="1"/>
        <v>0</v>
      </c>
      <c r="V81">
        <f ca="1"/>
        <v>0</v>
      </c>
      <c r="X81" s="2">
        <f t="shared" ca="1" si="8"/>
        <v>45304</v>
      </c>
      <c r="Y81">
        <f t="shared" ca="1" si="9"/>
        <v>0</v>
      </c>
      <c r="AA81" s="63">
        <f t="shared" ca="1" si="11"/>
        <v>30.176898122578415</v>
      </c>
      <c r="AB81" s="63">
        <f t="shared" ca="1" si="12"/>
        <v>30.176898122578415</v>
      </c>
      <c r="AC81" s="3">
        <f t="shared" ca="1" si="13"/>
        <v>0</v>
      </c>
    </row>
    <row r="82" spans="8:29">
      <c r="H82" t="b">
        <f t="shared" ca="1" si="10"/>
        <v>0</v>
      </c>
      <c r="I82" t="b">
        <f t="shared" ca="1" si="7"/>
        <v>0</v>
      </c>
      <c r="J82" s="2">
        <f ca="1"/>
        <v>45305</v>
      </c>
      <c r="K82">
        <f ca="1"/>
        <v>30.931997360276576</v>
      </c>
      <c r="L82">
        <f ca="1"/>
        <v>0</v>
      </c>
      <c r="M82">
        <f ca="1"/>
        <v>0.56993992450362052</v>
      </c>
      <c r="N82">
        <f ca="1"/>
        <v>0.18515931319453857</v>
      </c>
      <c r="O82">
        <f ca="1"/>
        <v>0</v>
      </c>
      <c r="P82">
        <f ca="1"/>
        <v>0</v>
      </c>
      <c r="Q82">
        <f ca="1"/>
        <v>0</v>
      </c>
      <c r="R82">
        <f ca="1"/>
        <v>0</v>
      </c>
      <c r="S82">
        <f ca="1"/>
        <v>0.39858311672517133</v>
      </c>
      <c r="T82">
        <f ca="1"/>
        <v>0</v>
      </c>
      <c r="U82">
        <f ca="1"/>
        <v>0</v>
      </c>
      <c r="V82">
        <f ca="1"/>
        <v>0</v>
      </c>
      <c r="X82" s="2">
        <f t="shared" ca="1" si="8"/>
        <v>45305</v>
      </c>
      <c r="Y82">
        <f t="shared" ca="1" si="9"/>
        <v>0</v>
      </c>
      <c r="AA82" s="63">
        <f t="shared" ca="1" si="11"/>
        <v>30.931997360276576</v>
      </c>
      <c r="AB82" s="63">
        <f t="shared" ca="1" si="12"/>
        <v>30.931997360276576</v>
      </c>
      <c r="AC82" s="3">
        <f t="shared" ca="1" si="13"/>
        <v>0</v>
      </c>
    </row>
    <row r="83" spans="8:29">
      <c r="H83" t="b">
        <f t="shared" ca="1" si="10"/>
        <v>0</v>
      </c>
      <c r="I83" t="b">
        <f t="shared" ca="1" si="7"/>
        <v>0</v>
      </c>
      <c r="J83" s="2">
        <f ca="1"/>
        <v>45306</v>
      </c>
      <c r="K83">
        <f ca="1"/>
        <v>31.626101725378891</v>
      </c>
      <c r="L83">
        <f ca="1"/>
        <v>0</v>
      </c>
      <c r="M83">
        <f ca="1"/>
        <v>0.51117000801953072</v>
      </c>
      <c r="N83">
        <f ca="1"/>
        <v>0.18293435708278682</v>
      </c>
      <c r="O83">
        <f ca="1"/>
        <v>0</v>
      </c>
      <c r="P83">
        <f ca="1"/>
        <v>0</v>
      </c>
      <c r="Q83">
        <f ca="1"/>
        <v>0</v>
      </c>
      <c r="R83">
        <f ca="1"/>
        <v>0</v>
      </c>
      <c r="S83">
        <f ca="1"/>
        <v>0.39071303094328058</v>
      </c>
      <c r="T83">
        <f ca="1"/>
        <v>0</v>
      </c>
      <c r="U83">
        <f ca="1"/>
        <v>0</v>
      </c>
      <c r="V83">
        <f ca="1"/>
        <v>0</v>
      </c>
      <c r="X83" s="2">
        <f t="shared" ca="1" si="8"/>
        <v>45306</v>
      </c>
      <c r="Y83">
        <f t="shared" ca="1" si="9"/>
        <v>0</v>
      </c>
      <c r="AA83" s="63">
        <f t="shared" ca="1" si="11"/>
        <v>31.626101725378891</v>
      </c>
      <c r="AB83" s="63">
        <f t="shared" ca="1" si="12"/>
        <v>31.626101725378891</v>
      </c>
      <c r="AC83" s="3">
        <f t="shared" ca="1" si="13"/>
        <v>0</v>
      </c>
    </row>
    <row r="84" spans="8:29">
      <c r="H84" t="b">
        <f t="shared" ca="1" si="10"/>
        <v>0</v>
      </c>
      <c r="I84" t="b">
        <f t="shared" ca="1" si="7"/>
        <v>0</v>
      </c>
      <c r="J84" s="2">
        <f ca="1"/>
        <v>45307</v>
      </c>
      <c r="K84">
        <f ca="1"/>
        <v>32.303700384937642</v>
      </c>
      <c r="L84">
        <f ca="1"/>
        <v>0</v>
      </c>
      <c r="M84">
        <f ca="1"/>
        <v>0.49043399021518708</v>
      </c>
      <c r="N84">
        <f ca="1"/>
        <v>0.18716466934356565</v>
      </c>
      <c r="O84">
        <f ca="1"/>
        <v>0</v>
      </c>
      <c r="P84">
        <f ca="1"/>
        <v>0</v>
      </c>
      <c r="Q84">
        <f ca="1"/>
        <v>0</v>
      </c>
      <c r="R84">
        <f ca="1"/>
        <v>0</v>
      </c>
      <c r="S84">
        <f ca="1"/>
        <v>0.41003476037679321</v>
      </c>
      <c r="T84">
        <f ca="1"/>
        <v>0</v>
      </c>
      <c r="U84">
        <f ca="1"/>
        <v>0</v>
      </c>
      <c r="V84">
        <f ca="1"/>
        <v>0</v>
      </c>
      <c r="X84" s="2">
        <f t="shared" ca="1" si="8"/>
        <v>45307</v>
      </c>
      <c r="Y84">
        <f t="shared" ca="1" si="9"/>
        <v>0</v>
      </c>
      <c r="AA84" s="63">
        <f t="shared" ca="1" si="11"/>
        <v>32.303700384937642</v>
      </c>
      <c r="AB84" s="63">
        <f t="shared" ca="1" si="12"/>
        <v>32.303700384937642</v>
      </c>
      <c r="AC84" s="3">
        <f t="shared" ca="1" si="13"/>
        <v>0</v>
      </c>
    </row>
    <row r="85" spans="8:29">
      <c r="H85" t="b">
        <f t="shared" ca="1" si="10"/>
        <v>0</v>
      </c>
      <c r="I85" t="b">
        <f t="shared" ca="1" si="7"/>
        <v>0</v>
      </c>
      <c r="J85" s="2">
        <f ca="1"/>
        <v>45308</v>
      </c>
      <c r="K85">
        <f ca="1"/>
        <v>32.950279184981255</v>
      </c>
      <c r="L85">
        <f ca="1"/>
        <v>0</v>
      </c>
      <c r="M85">
        <f ca="1"/>
        <v>0.45849471547460929</v>
      </c>
      <c r="N85">
        <f ca="1"/>
        <v>0.18808408456900905</v>
      </c>
      <c r="O85">
        <f ca="1"/>
        <v>0</v>
      </c>
      <c r="P85">
        <f ca="1"/>
        <v>0</v>
      </c>
      <c r="Q85">
        <f ca="1"/>
        <v>0</v>
      </c>
      <c r="R85">
        <f ca="1"/>
        <v>0</v>
      </c>
      <c r="S85">
        <f ca="1"/>
        <v>0.42668411617156821</v>
      </c>
      <c r="T85">
        <f ca="1"/>
        <v>0</v>
      </c>
      <c r="U85">
        <f ca="1"/>
        <v>0</v>
      </c>
      <c r="V85">
        <f ca="1"/>
        <v>0</v>
      </c>
      <c r="X85" s="2">
        <f t="shared" ca="1" si="8"/>
        <v>45308</v>
      </c>
      <c r="Y85">
        <f t="shared" ca="1" si="9"/>
        <v>0</v>
      </c>
      <c r="AA85" s="63">
        <f t="shared" ca="1" si="11"/>
        <v>32.950279184981255</v>
      </c>
      <c r="AB85" s="63">
        <f t="shared" ca="1" si="12"/>
        <v>32.950279184981255</v>
      </c>
      <c r="AC85" s="3">
        <f t="shared" ca="1" si="13"/>
        <v>0</v>
      </c>
    </row>
    <row r="86" spans="8:29">
      <c r="H86" t="b">
        <f t="shared" ca="1" si="10"/>
        <v>0</v>
      </c>
      <c r="I86" t="b">
        <f t="shared" ca="1" si="7"/>
        <v>0</v>
      </c>
      <c r="J86" s="2">
        <f ca="1"/>
        <v>45309</v>
      </c>
      <c r="K86">
        <f ca="1"/>
        <v>33.563106185514783</v>
      </c>
      <c r="L86">
        <f ca="1"/>
        <v>0</v>
      </c>
      <c r="M86">
        <f ca="1"/>
        <v>0.4230059578465859</v>
      </c>
      <c r="N86">
        <f ca="1"/>
        <v>0.18982104268694752</v>
      </c>
      <c r="O86">
        <f ca="1"/>
        <v>0</v>
      </c>
      <c r="P86">
        <f ca="1"/>
        <v>0</v>
      </c>
      <c r="Q86">
        <f ca="1"/>
        <v>0</v>
      </c>
      <c r="R86">
        <f ca="1"/>
        <v>0</v>
      </c>
      <c r="S86">
        <f ca="1"/>
        <v>0.43096578115406969</v>
      </c>
      <c r="T86">
        <f ca="1"/>
        <v>0</v>
      </c>
      <c r="U86">
        <f ca="1"/>
        <v>0</v>
      </c>
      <c r="V86">
        <f ca="1"/>
        <v>0</v>
      </c>
      <c r="X86" s="2">
        <f t="shared" ca="1" si="8"/>
        <v>45309</v>
      </c>
      <c r="Y86">
        <f t="shared" ca="1" si="9"/>
        <v>0</v>
      </c>
      <c r="AA86" s="63">
        <f t="shared" ca="1" si="11"/>
        <v>33.563106185514783</v>
      </c>
      <c r="AB86" s="63">
        <f t="shared" ca="1" si="12"/>
        <v>33.563106185514783</v>
      </c>
      <c r="AC86" s="3">
        <f t="shared" ca="1" si="13"/>
        <v>0</v>
      </c>
    </row>
    <row r="87" spans="8:29">
      <c r="H87" t="b">
        <f t="shared" ca="1" si="10"/>
        <v>0</v>
      </c>
      <c r="I87" t="b">
        <f t="shared" ca="1" si="7"/>
        <v>0</v>
      </c>
      <c r="J87" s="2">
        <f ca="1"/>
        <v>45310</v>
      </c>
      <c r="K87">
        <f ca="1"/>
        <v>34.153494043454629</v>
      </c>
      <c r="L87">
        <f ca="1"/>
        <v>0</v>
      </c>
      <c r="M87">
        <f ca="1"/>
        <v>0.39548933445688661</v>
      </c>
      <c r="N87">
        <f ca="1"/>
        <v>0.19489852348295877</v>
      </c>
      <c r="O87">
        <f ca="1"/>
        <v>0</v>
      </c>
      <c r="P87">
        <f ca="1"/>
        <v>0</v>
      </c>
      <c r="Q87">
        <f ca="1"/>
        <v>0</v>
      </c>
      <c r="R87">
        <f ca="1"/>
        <v>0</v>
      </c>
      <c r="S87">
        <f ca="1"/>
        <v>0.43484724664368124</v>
      </c>
      <c r="T87">
        <f ca="1"/>
        <v>0</v>
      </c>
      <c r="U87">
        <f ca="1"/>
        <v>0</v>
      </c>
      <c r="V87">
        <f ca="1"/>
        <v>0</v>
      </c>
      <c r="X87" s="2">
        <f t="shared" ca="1" si="8"/>
        <v>45310</v>
      </c>
      <c r="Y87">
        <f t="shared" ca="1" si="9"/>
        <v>0</v>
      </c>
      <c r="AA87" s="63">
        <f t="shared" ca="1" si="11"/>
        <v>34.153494043454629</v>
      </c>
      <c r="AB87" s="63">
        <f t="shared" ca="1" si="12"/>
        <v>34.153494043454629</v>
      </c>
      <c r="AC87" s="3">
        <f t="shared" ca="1" si="13"/>
        <v>0</v>
      </c>
    </row>
    <row r="88" spans="8:29">
      <c r="H88" t="b">
        <f t="shared" ca="1" si="10"/>
        <v>0</v>
      </c>
      <c r="I88" t="b">
        <f t="shared" ca="1" si="7"/>
        <v>0</v>
      </c>
      <c r="J88" s="2">
        <f ca="1"/>
        <v>45311</v>
      </c>
      <c r="K88">
        <f ca="1"/>
        <v>34.691697071106233</v>
      </c>
      <c r="L88">
        <f ca="1"/>
        <v>0</v>
      </c>
      <c r="M88">
        <f ca="1"/>
        <v>0.34732566636963114</v>
      </c>
      <c r="N88">
        <f ca="1"/>
        <v>0.1908773612819725</v>
      </c>
      <c r="O88">
        <f ca="1"/>
        <v>0</v>
      </c>
      <c r="P88">
        <f ca="1"/>
        <v>0</v>
      </c>
      <c r="Q88">
        <f ca="1"/>
        <v>0</v>
      </c>
      <c r="R88">
        <f ca="1"/>
        <v>0</v>
      </c>
      <c r="S88">
        <f ca="1"/>
        <v>0.42258355189666952</v>
      </c>
      <c r="T88">
        <f ca="1"/>
        <v>0</v>
      </c>
      <c r="U88">
        <f ca="1"/>
        <v>0</v>
      </c>
      <c r="V88">
        <f ca="1"/>
        <v>0</v>
      </c>
      <c r="X88" s="2">
        <f t="shared" ca="1" si="8"/>
        <v>45311</v>
      </c>
      <c r="Y88">
        <f t="shared" ca="1" si="9"/>
        <v>0</v>
      </c>
      <c r="AA88" s="63">
        <f t="shared" ca="1" si="11"/>
        <v>34.691697071106226</v>
      </c>
      <c r="AB88" s="63">
        <f t="shared" ca="1" si="12"/>
        <v>34.691697071106233</v>
      </c>
      <c r="AC88" s="3">
        <f t="shared" ca="1" si="13"/>
        <v>0</v>
      </c>
    </row>
    <row r="89" spans="8:29">
      <c r="H89" t="b">
        <f t="shared" ca="1" si="10"/>
        <v>0</v>
      </c>
      <c r="I89" t="b">
        <f t="shared" ca="1" si="7"/>
        <v>0</v>
      </c>
      <c r="J89" s="2">
        <f ca="1"/>
        <v>45312</v>
      </c>
      <c r="K89">
        <f ca="1"/>
        <v>35.289089378527379</v>
      </c>
      <c r="L89">
        <f ca="1"/>
        <v>0</v>
      </c>
      <c r="M89">
        <f ca="1"/>
        <v>0.37618167085559762</v>
      </c>
      <c r="N89">
        <f ca="1"/>
        <v>0.22121063656555082</v>
      </c>
      <c r="O89">
        <f ca="1"/>
        <v>0</v>
      </c>
      <c r="P89">
        <f ca="1"/>
        <v>0</v>
      </c>
      <c r="Q89">
        <f ca="1"/>
        <v>0</v>
      </c>
      <c r="R89">
        <f ca="1"/>
        <v>0</v>
      </c>
      <c r="S89">
        <f ca="1"/>
        <v>0.52286000250209563</v>
      </c>
      <c r="T89">
        <f ca="1"/>
        <v>0</v>
      </c>
      <c r="U89">
        <f ca="1"/>
        <v>0</v>
      </c>
      <c r="V89">
        <f ca="1"/>
        <v>0</v>
      </c>
      <c r="X89" s="2">
        <f t="shared" ca="1" si="8"/>
        <v>45312</v>
      </c>
      <c r="Y89">
        <f t="shared" ca="1" si="9"/>
        <v>0</v>
      </c>
      <c r="AA89" s="63">
        <f t="shared" ca="1" si="11"/>
        <v>35.289089378527386</v>
      </c>
      <c r="AB89" s="63">
        <f t="shared" ca="1" si="12"/>
        <v>35.289089378527379</v>
      </c>
      <c r="AC89" s="3">
        <f t="shared" ca="1" si="13"/>
        <v>0</v>
      </c>
    </row>
    <row r="90" spans="8:29">
      <c r="H90" t="b">
        <f t="shared" ca="1" si="10"/>
        <v>0</v>
      </c>
      <c r="I90" t="b">
        <f t="shared" ca="1" si="7"/>
        <v>0</v>
      </c>
      <c r="J90" s="2">
        <f ca="1"/>
        <v>45313</v>
      </c>
      <c r="K90">
        <f ca="1"/>
        <v>35.856719899939868</v>
      </c>
      <c r="L90">
        <f ca="1"/>
        <v>0</v>
      </c>
      <c r="M90">
        <f ca="1"/>
        <v>0.33756298983654887</v>
      </c>
      <c r="N90">
        <f ca="1"/>
        <v>0.23006753157594262</v>
      </c>
      <c r="O90">
        <f ca="1"/>
        <v>0</v>
      </c>
      <c r="P90">
        <f ca="1"/>
        <v>0</v>
      </c>
      <c r="Q90">
        <f ca="1"/>
        <v>0</v>
      </c>
      <c r="R90">
        <f ca="1"/>
        <v>0</v>
      </c>
      <c r="S90">
        <f ca="1"/>
        <v>0.54752129931863402</v>
      </c>
      <c r="T90">
        <f ca="1"/>
        <v>0</v>
      </c>
      <c r="U90">
        <f ca="1"/>
        <v>0</v>
      </c>
      <c r="V90">
        <f ca="1"/>
        <v>0</v>
      </c>
      <c r="X90" s="2">
        <f t="shared" ca="1" si="8"/>
        <v>45313</v>
      </c>
      <c r="Y90">
        <f t="shared" ca="1" si="9"/>
        <v>0</v>
      </c>
      <c r="AA90" s="63">
        <f t="shared" ca="1" si="11"/>
        <v>35.856719899939868</v>
      </c>
      <c r="AB90" s="63">
        <f t="shared" ca="1" si="12"/>
        <v>35.856719899939868</v>
      </c>
      <c r="AC90" s="3">
        <f t="shared" ca="1" si="13"/>
        <v>0</v>
      </c>
    </row>
    <row r="91" spans="8:29">
      <c r="H91" t="b">
        <f t="shared" ca="1" si="10"/>
        <v>0</v>
      </c>
      <c r="I91" t="b">
        <f t="shared" ca="1" si="7"/>
        <v>0</v>
      </c>
      <c r="J91" s="2">
        <f ca="1"/>
        <v>45314</v>
      </c>
      <c r="K91">
        <f ca="1"/>
        <v>36.38861779240338</v>
      </c>
      <c r="L91">
        <f ca="1"/>
        <v>0</v>
      </c>
      <c r="M91">
        <f ca="1"/>
        <v>0.30132135269845151</v>
      </c>
      <c r="N91">
        <f ca="1"/>
        <v>0.2305765397650627</v>
      </c>
      <c r="O91">
        <f ca="1"/>
        <v>0</v>
      </c>
      <c r="P91">
        <f ca="1"/>
        <v>0</v>
      </c>
      <c r="Q91">
        <f ca="1"/>
        <v>0</v>
      </c>
      <c r="R91">
        <f ca="1"/>
        <v>0</v>
      </c>
      <c r="S91">
        <f ca="1"/>
        <v>0.54808693450011237</v>
      </c>
      <c r="T91">
        <f ca="1"/>
        <v>0</v>
      </c>
      <c r="U91">
        <f ca="1"/>
        <v>0</v>
      </c>
      <c r="V91">
        <f ca="1"/>
        <v>0</v>
      </c>
      <c r="X91" s="2">
        <f t="shared" ca="1" si="8"/>
        <v>45314</v>
      </c>
      <c r="Y91">
        <f t="shared" ca="1" si="9"/>
        <v>0</v>
      </c>
      <c r="AA91" s="63">
        <f t="shared" ca="1" si="11"/>
        <v>36.38861779240338</v>
      </c>
      <c r="AB91" s="63">
        <f t="shared" ca="1" si="12"/>
        <v>36.38861779240338</v>
      </c>
      <c r="AC91" s="3">
        <f t="shared" ca="1" si="13"/>
        <v>0</v>
      </c>
    </row>
    <row r="92" spans="8:29">
      <c r="H92" t="b">
        <f t="shared" ca="1" si="10"/>
        <v>0</v>
      </c>
      <c r="I92" t="b">
        <f t="shared" ca="1" si="7"/>
        <v>0</v>
      </c>
      <c r="J92" s="2">
        <f ca="1"/>
        <v>45315</v>
      </c>
      <c r="K92">
        <f ca="1"/>
        <v>36.89449240344581</v>
      </c>
      <c r="L92">
        <f ca="1"/>
        <v>0</v>
      </c>
      <c r="M92">
        <f ca="1"/>
        <v>0.26933168079787873</v>
      </c>
      <c r="N92">
        <f ca="1"/>
        <v>0.23654293024455408</v>
      </c>
      <c r="O92">
        <f ca="1"/>
        <v>0</v>
      </c>
      <c r="P92">
        <f ca="1"/>
        <v>0</v>
      </c>
      <c r="Q92">
        <f ca="1"/>
        <v>0</v>
      </c>
      <c r="R92">
        <f ca="1"/>
        <v>0</v>
      </c>
      <c r="S92">
        <f ca="1"/>
        <v>0.5651099003250295</v>
      </c>
      <c r="T92">
        <f ca="1"/>
        <v>0</v>
      </c>
      <c r="U92">
        <f ca="1"/>
        <v>0</v>
      </c>
      <c r="V92">
        <f ca="1"/>
        <v>0</v>
      </c>
      <c r="X92" s="2">
        <f t="shared" ca="1" si="8"/>
        <v>45315</v>
      </c>
      <c r="Y92">
        <f t="shared" ca="1" si="9"/>
        <v>0</v>
      </c>
      <c r="AA92" s="63">
        <f t="shared" ca="1" si="11"/>
        <v>36.89449240344581</v>
      </c>
      <c r="AB92" s="63">
        <f t="shared" ca="1" si="12"/>
        <v>36.89449240344581</v>
      </c>
      <c r="AC92" s="3">
        <f t="shared" ca="1" si="13"/>
        <v>0</v>
      </c>
    </row>
    <row r="93" spans="8:29">
      <c r="H93" t="b">
        <f t="shared" ca="1" si="10"/>
        <v>0</v>
      </c>
      <c r="I93" t="b">
        <f t="shared" ca="1" si="7"/>
        <v>0</v>
      </c>
      <c r="J93" s="2">
        <f ca="1"/>
        <v>45316</v>
      </c>
      <c r="K93">
        <f ca="1"/>
        <v>37.384070976465097</v>
      </c>
      <c r="L93">
        <f ca="1"/>
        <v>0</v>
      </c>
      <c r="M93">
        <f ca="1"/>
        <v>0.24375753569599645</v>
      </c>
      <c r="N93">
        <f ca="1"/>
        <v>0.24582103732328706</v>
      </c>
      <c r="O93">
        <f ca="1"/>
        <v>0</v>
      </c>
      <c r="P93">
        <f ca="1"/>
        <v>1.3643302726702207</v>
      </c>
      <c r="Q93">
        <f ca="1"/>
        <v>1.2481095457390539</v>
      </c>
      <c r="R93">
        <f ca="1"/>
        <v>0</v>
      </c>
      <c r="S93">
        <f ca="1"/>
        <v>0.58146497510149153</v>
      </c>
      <c r="T93">
        <f ca="1"/>
        <v>0</v>
      </c>
      <c r="U93">
        <f ca="1"/>
        <v>0</v>
      </c>
      <c r="V93">
        <f ca="1"/>
        <v>7.6856000655110826E-3</v>
      </c>
      <c r="X93" s="2">
        <f t="shared" ca="1" si="8"/>
        <v>45316</v>
      </c>
      <c r="Y93">
        <f t="shared" ca="1" si="9"/>
        <v>0</v>
      </c>
      <c r="AA93" s="63">
        <f t="shared" ca="1" si="11"/>
        <v>37.384070976465097</v>
      </c>
      <c r="AB93" s="63">
        <f t="shared" ca="1" si="12"/>
        <v>37.384070976465097</v>
      </c>
      <c r="AC93" s="3">
        <f t="shared" ca="1" si="13"/>
        <v>0</v>
      </c>
    </row>
    <row r="94" spans="8:29">
      <c r="H94" t="b">
        <f t="shared" ca="1" si="10"/>
        <v>0</v>
      </c>
      <c r="I94" t="b">
        <f t="shared" ca="1" si="7"/>
        <v>0</v>
      </c>
      <c r="J94" s="2">
        <f ca="1"/>
        <v>45317</v>
      </c>
      <c r="K94">
        <f ca="1"/>
        <v>37.766051084755254</v>
      </c>
      <c r="L94">
        <f ca="1"/>
        <v>7.8094620946554061E-2</v>
      </c>
      <c r="M94">
        <f ca="1"/>
        <v>0.21874816515066087</v>
      </c>
      <c r="N94">
        <f ca="1"/>
        <v>0.24132656408604741</v>
      </c>
      <c r="O94">
        <f ca="1"/>
        <v>0</v>
      </c>
      <c r="P94">
        <f ca="1"/>
        <v>1.4424248936167747</v>
      </c>
      <c r="Q94">
        <f ca="1"/>
        <v>1.3195516619383088</v>
      </c>
      <c r="R94">
        <f ca="1"/>
        <v>0</v>
      </c>
      <c r="S94">
        <f ca="1"/>
        <v>0.56110181849211604</v>
      </c>
      <c r="T94">
        <f ca="1"/>
        <v>0</v>
      </c>
      <c r="U94">
        <f ca="1"/>
        <v>0</v>
      </c>
      <c r="V94">
        <f ca="1"/>
        <v>8.8318743904248764E-3</v>
      </c>
      <c r="X94" s="2">
        <f t="shared" ca="1" si="8"/>
        <v>45317</v>
      </c>
      <c r="Y94">
        <f t="shared" ca="1" si="9"/>
        <v>0</v>
      </c>
      <c r="AA94" s="63">
        <f t="shared" ca="1" si="11"/>
        <v>37.844145705701798</v>
      </c>
      <c r="AB94" s="63">
        <f t="shared" ca="1" si="12"/>
        <v>37.844145705701806</v>
      </c>
      <c r="AC94" s="3">
        <f t="shared" ca="1" si="13"/>
        <v>0</v>
      </c>
    </row>
    <row r="95" spans="8:29">
      <c r="H95" t="b">
        <f t="shared" ca="1" si="10"/>
        <v>0</v>
      </c>
      <c r="I95" t="b">
        <f t="shared" ca="1" si="7"/>
        <v>0</v>
      </c>
      <c r="J95" s="2">
        <f ca="1"/>
        <v>45318</v>
      </c>
      <c r="K95">
        <f ca="1"/>
        <v>38.111152410838351</v>
      </c>
      <c r="L95">
        <f ca="1"/>
        <v>8.1088395114433887E-2</v>
      </c>
      <c r="M95">
        <f ca="1"/>
        <v>0.19057345176891971</v>
      </c>
      <c r="N95">
        <f ca="1"/>
        <v>0.23561626942861394</v>
      </c>
      <c r="O95">
        <f ca="1"/>
        <v>0</v>
      </c>
      <c r="P95">
        <f ca="1"/>
        <v>1.5235132887312086</v>
      </c>
      <c r="Q95">
        <f ca="1"/>
        <v>1.3937325270985501</v>
      </c>
      <c r="R95">
        <f ca="1"/>
        <v>0</v>
      </c>
      <c r="S95">
        <f ca="1"/>
        <v>0.5610653639817349</v>
      </c>
      <c r="T95">
        <f ca="1"/>
        <v>0</v>
      </c>
      <c r="U95">
        <f ca="1"/>
        <v>0</v>
      </c>
      <c r="V95">
        <f ca="1"/>
        <v>1.0123464941384011E-2</v>
      </c>
      <c r="X95" s="2">
        <f t="shared" ca="1" si="8"/>
        <v>45318</v>
      </c>
      <c r="Y95">
        <f t="shared" ca="1" si="9"/>
        <v>0</v>
      </c>
      <c r="AA95" s="63">
        <f t="shared" ca="1" si="11"/>
        <v>38.192240805952785</v>
      </c>
      <c r="AB95" s="63">
        <f t="shared" ca="1" si="12"/>
        <v>38.192240805952785</v>
      </c>
      <c r="AC95" s="3">
        <f t="shared" ca="1" si="13"/>
        <v>0</v>
      </c>
    </row>
    <row r="96" spans="8:29">
      <c r="H96" t="b">
        <f t="shared" ca="1" si="10"/>
        <v>0</v>
      </c>
      <c r="I96" t="b">
        <f t="shared" ca="1" si="7"/>
        <v>0</v>
      </c>
      <c r="J96" s="2">
        <f ca="1"/>
        <v>45319</v>
      </c>
      <c r="K96">
        <f ca="1"/>
        <v>38.43091208103116</v>
      </c>
      <c r="L96">
        <f ca="1"/>
        <v>8.634590961511357E-2</v>
      </c>
      <c r="M96">
        <f ca="1"/>
        <v>0.17205322748378471</v>
      </c>
      <c r="N96">
        <f ca="1"/>
        <v>0.23405235232413535</v>
      </c>
      <c r="O96">
        <f ca="1"/>
        <v>0</v>
      </c>
      <c r="P96">
        <f ca="1"/>
        <v>1.6098591983463222</v>
      </c>
      <c r="Q96">
        <f ca="1"/>
        <v>1.4727230444131167</v>
      </c>
      <c r="R96">
        <f ca="1"/>
        <v>0</v>
      </c>
      <c r="S96">
        <f ca="1"/>
        <v>0.54731407324130255</v>
      </c>
      <c r="T96">
        <f ca="1"/>
        <v>0</v>
      </c>
      <c r="U96">
        <f ca="1"/>
        <v>0</v>
      </c>
      <c r="V96">
        <f ca="1"/>
        <v>1.1614980031632017E-2</v>
      </c>
      <c r="X96" s="2">
        <f t="shared" ca="1" si="8"/>
        <v>45319</v>
      </c>
      <c r="Y96">
        <f t="shared" ca="1" si="9"/>
        <v>0</v>
      </c>
      <c r="AA96" s="63">
        <f t="shared" ca="1" si="11"/>
        <v>38.517257990646272</v>
      </c>
      <c r="AB96" s="63">
        <f t="shared" ca="1" si="12"/>
        <v>38.517257990646272</v>
      </c>
      <c r="AC96" s="3">
        <f t="shared" ca="1" si="13"/>
        <v>0</v>
      </c>
    </row>
    <row r="97" spans="8:29">
      <c r="H97" t="b">
        <f t="shared" ca="1" si="10"/>
        <v>0</v>
      </c>
      <c r="I97" t="b">
        <f t="shared" ca="1" si="7"/>
        <v>0</v>
      </c>
      <c r="J97" s="2">
        <f ca="1"/>
        <v>45320</v>
      </c>
      <c r="K97">
        <f ca="1"/>
        <v>38.730202028303403</v>
      </c>
      <c r="L97">
        <f ca="1"/>
        <v>9.2364825318269617E-2</v>
      </c>
      <c r="M97">
        <f ca="1"/>
        <v>0.15614025866441228</v>
      </c>
      <c r="N97">
        <f ca="1"/>
        <v>0.23551451392609929</v>
      </c>
      <c r="O97">
        <f ca="1"/>
        <v>0</v>
      </c>
      <c r="P97">
        <f ca="1"/>
        <v>1.7022240236645918</v>
      </c>
      <c r="Q97">
        <f ca="1"/>
        <v>1.5572197549820523</v>
      </c>
      <c r="R97">
        <f ca="1"/>
        <v>0</v>
      </c>
      <c r="S97">
        <f ca="1"/>
        <v>0.53895588081115808</v>
      </c>
      <c r="T97">
        <f ca="1"/>
        <v>0</v>
      </c>
      <c r="U97">
        <f ca="1"/>
        <v>0</v>
      </c>
      <c r="V97">
        <f ca="1"/>
        <v>1.3346078082422649E-2</v>
      </c>
      <c r="X97" s="2">
        <f t="shared" ca="1" si="8"/>
        <v>45320</v>
      </c>
      <c r="Y97">
        <f t="shared" ca="1" si="9"/>
        <v>0</v>
      </c>
      <c r="AA97" s="63">
        <f t="shared" ca="1" si="11"/>
        <v>38.822566853621673</v>
      </c>
      <c r="AB97" s="63">
        <f t="shared" ca="1" si="12"/>
        <v>38.822566853621673</v>
      </c>
      <c r="AC97" s="3">
        <f t="shared" ca="1" si="13"/>
        <v>0</v>
      </c>
    </row>
    <row r="98" spans="8:29">
      <c r="H98" t="b">
        <f t="shared" ca="1" si="10"/>
        <v>0</v>
      </c>
      <c r="I98" t="b">
        <f t="shared" ca="1" si="7"/>
        <v>0</v>
      </c>
      <c r="J98" s="2">
        <f ca="1"/>
        <v>45321</v>
      </c>
      <c r="K98">
        <f ca="1"/>
        <v>39.015818263288665</v>
      </c>
      <c r="L98">
        <f ca="1"/>
        <v>9.8850290287640474E-2</v>
      </c>
      <c r="M98">
        <f ca="1"/>
        <v>0.1416438532304003</v>
      </c>
      <c r="N98">
        <f ca="1"/>
        <v>0.24282267204250516</v>
      </c>
      <c r="O98">
        <f ca="1"/>
        <v>0</v>
      </c>
      <c r="P98">
        <f ca="1"/>
        <v>1.8010743139522323</v>
      </c>
      <c r="Q98">
        <f ca="1"/>
        <v>1.647649464985931</v>
      </c>
      <c r="R98">
        <f ca="1"/>
        <v>0</v>
      </c>
      <c r="S98">
        <f ca="1"/>
        <v>0.54902676134385164</v>
      </c>
      <c r="T98">
        <f ca="1"/>
        <v>0</v>
      </c>
      <c r="U98">
        <f ca="1"/>
        <v>0</v>
      </c>
      <c r="V98">
        <f ca="1"/>
        <v>1.5357350726274137E-2</v>
      </c>
      <c r="X98" s="2">
        <f t="shared" ca="1" si="8"/>
        <v>45321</v>
      </c>
      <c r="Y98">
        <f t="shared" ca="1" si="9"/>
        <v>0</v>
      </c>
      <c r="AA98" s="63">
        <f t="shared" ca="1" si="11"/>
        <v>39.114668553576308</v>
      </c>
      <c r="AB98" s="63">
        <f t="shared" ca="1" si="12"/>
        <v>39.114668553576308</v>
      </c>
      <c r="AC98" s="3">
        <f t="shared" ca="1" si="13"/>
        <v>0</v>
      </c>
    </row>
    <row r="99" spans="8:29">
      <c r="H99" t="b">
        <f t="shared" ca="1" si="10"/>
        <v>0</v>
      </c>
      <c r="I99" t="b">
        <f t="shared" ca="1" si="7"/>
        <v>0</v>
      </c>
      <c r="J99" s="2">
        <f ca="1"/>
        <v>45322</v>
      </c>
      <c r="K99">
        <f ca="1"/>
        <v>39.281444214306738</v>
      </c>
      <c r="L99">
        <f ca="1"/>
        <v>0.10420660549848337</v>
      </c>
      <c r="M99">
        <f ca="1"/>
        <v>0.12598660871839051</v>
      </c>
      <c r="N99">
        <f ca="1"/>
        <v>0.24384594779816357</v>
      </c>
      <c r="O99">
        <f ca="1"/>
        <v>0</v>
      </c>
      <c r="P99">
        <f ca="1"/>
        <v>1.9052809194507156</v>
      </c>
      <c r="Q99">
        <f ca="1"/>
        <v>1.7429792114975065</v>
      </c>
      <c r="R99">
        <f ca="1"/>
        <v>0</v>
      </c>
      <c r="S99">
        <f ca="1"/>
        <v>0.55541736933239416</v>
      </c>
      <c r="T99">
        <f ca="1"/>
        <v>0</v>
      </c>
      <c r="U99">
        <f ca="1"/>
        <v>0</v>
      </c>
      <c r="V99">
        <f ca="1"/>
        <v>1.765878361383123E-2</v>
      </c>
      <c r="X99" s="2">
        <f t="shared" ca="1" si="8"/>
        <v>45322</v>
      </c>
      <c r="Y99">
        <f t="shared" ca="1" si="9"/>
        <v>0</v>
      </c>
      <c r="AA99" s="63">
        <f t="shared" ca="1" si="11"/>
        <v>39.385650819805221</v>
      </c>
      <c r="AB99" s="63">
        <f t="shared" ca="1" si="12"/>
        <v>39.385650819805221</v>
      </c>
      <c r="AC99" s="3">
        <f t="shared" ca="1" si="13"/>
        <v>0</v>
      </c>
    </row>
    <row r="100" spans="8:29">
      <c r="H100" t="b">
        <f t="shared" ca="1" si="10"/>
        <v>0</v>
      </c>
      <c r="I100" t="b">
        <f t="shared" ca="1" si="7"/>
        <v>0</v>
      </c>
      <c r="J100" s="2">
        <f ca="1"/>
        <v>45323</v>
      </c>
      <c r="K100">
        <f ca="1"/>
        <v>39.522620281525953</v>
      </c>
      <c r="L100">
        <f ca="1"/>
        <v>0.11074810459259932</v>
      </c>
      <c r="M100">
        <f ca="1"/>
        <v>0.11353636474541418</v>
      </c>
      <c r="N100">
        <f ca="1"/>
        <v>0.23838780706640345</v>
      </c>
      <c r="O100">
        <f ca="1"/>
        <v>0</v>
      </c>
      <c r="P100">
        <f ca="1"/>
        <v>2.016029024043315</v>
      </c>
      <c r="Q100">
        <f ca="1"/>
        <v>1.8442932182914769</v>
      </c>
      <c r="R100">
        <f ca="1"/>
        <v>0</v>
      </c>
      <c r="S100">
        <f ca="1"/>
        <v>0.5329807660947492</v>
      </c>
      <c r="T100">
        <f ca="1"/>
        <v>0</v>
      </c>
      <c r="U100">
        <f ca="1"/>
        <v>0</v>
      </c>
      <c r="V100">
        <f ca="1"/>
        <v>2.0312355311027739E-2</v>
      </c>
      <c r="X100" s="2">
        <f t="shared" ca="1" si="8"/>
        <v>45323</v>
      </c>
      <c r="Y100">
        <f t="shared" ca="1" si="9"/>
        <v>0</v>
      </c>
      <c r="AA100" s="63">
        <f t="shared" ca="1" si="11"/>
        <v>39.633368386118555</v>
      </c>
      <c r="AB100" s="63">
        <f t="shared" ca="1" si="12"/>
        <v>39.633368386118555</v>
      </c>
      <c r="AC100" s="3">
        <f t="shared" ca="1" si="13"/>
        <v>0</v>
      </c>
    </row>
    <row r="101" spans="8:29">
      <c r="H101" t="b">
        <f t="shared" ca="1" si="10"/>
        <v>0</v>
      </c>
      <c r="I101" t="b">
        <f t="shared" ca="1" si="7"/>
        <v>0</v>
      </c>
      <c r="J101" s="2">
        <f ca="1"/>
        <v>45324</v>
      </c>
      <c r="K101">
        <f ca="1"/>
        <v>39.749209374896949</v>
      </c>
      <c r="L101">
        <f ca="1"/>
        <v>0.11577409654873616</v>
      </c>
      <c r="M101">
        <f ca="1"/>
        <v>0.10035995989924373</v>
      </c>
      <c r="N101">
        <f ca="1"/>
        <v>0.2420032300204841</v>
      </c>
      <c r="O101">
        <f ca="1"/>
        <v>0</v>
      </c>
      <c r="P101">
        <f ca="1"/>
        <v>2.1318031205920511</v>
      </c>
      <c r="Q101">
        <f ca="1"/>
        <v>1.9502050769860617</v>
      </c>
      <c r="R101">
        <f ca="1"/>
        <v>0</v>
      </c>
      <c r="S101">
        <f ca="1"/>
        <v>0.55617772020059508</v>
      </c>
      <c r="T101">
        <f ca="1"/>
        <v>0</v>
      </c>
      <c r="U101">
        <f ca="1"/>
        <v>0</v>
      </c>
      <c r="V101">
        <f ca="1"/>
        <v>2.3319003051522038E-2</v>
      </c>
      <c r="X101" s="2">
        <f t="shared" ca="1" si="8"/>
        <v>45324</v>
      </c>
      <c r="Y101">
        <f t="shared" ca="1" si="9"/>
        <v>0</v>
      </c>
      <c r="AA101" s="63">
        <f t="shared" ca="1" si="11"/>
        <v>39.864983471445683</v>
      </c>
      <c r="AB101" s="63">
        <f t="shared" ca="1" si="12"/>
        <v>39.864983471445683</v>
      </c>
      <c r="AC101" s="3">
        <f t="shared" ca="1" si="13"/>
        <v>0</v>
      </c>
    </row>
    <row r="102" spans="8:29">
      <c r="H102" t="b">
        <f t="shared" ca="1" si="10"/>
        <v>0</v>
      </c>
      <c r="I102" t="b">
        <f t="shared" ca="1" si="7"/>
        <v>0</v>
      </c>
      <c r="J102" s="2">
        <f ca="1"/>
        <v>45325</v>
      </c>
      <c r="K102">
        <f ca="1"/>
        <v>39.948871055394257</v>
      </c>
      <c r="L102">
        <f ca="1"/>
        <v>0.12092947281792732</v>
      </c>
      <c r="M102">
        <f ca="1"/>
        <v>8.9097517696643536E-2</v>
      </c>
      <c r="N102">
        <f ca="1"/>
        <v>0.23149363561859237</v>
      </c>
      <c r="O102">
        <f ca="1"/>
        <v>0</v>
      </c>
      <c r="P102">
        <f ca="1"/>
        <v>2.2527325934099784</v>
      </c>
      <c r="Q102">
        <f ca="1"/>
        <v>2.0608331502676469</v>
      </c>
      <c r="R102">
        <f ca="1"/>
        <v>0</v>
      </c>
      <c r="S102">
        <f ca="1"/>
        <v>0.53466513119736436</v>
      </c>
      <c r="T102">
        <f ca="1"/>
        <v>0</v>
      </c>
      <c r="U102">
        <f ca="1"/>
        <v>0</v>
      </c>
      <c r="V102">
        <f ca="1"/>
        <v>2.6717217276116829E-2</v>
      </c>
      <c r="X102" s="2">
        <f t="shared" ca="1" si="8"/>
        <v>45325</v>
      </c>
      <c r="Y102">
        <f t="shared" ca="1" si="9"/>
        <v>0</v>
      </c>
      <c r="AA102" s="63">
        <f t="shared" ca="1" si="11"/>
        <v>40.069800528212184</v>
      </c>
      <c r="AB102" s="63">
        <f t="shared" ca="1" si="12"/>
        <v>40.069800528212184</v>
      </c>
      <c r="AC102" s="3">
        <f t="shared" ca="1" si="13"/>
        <v>0</v>
      </c>
    </row>
    <row r="103" spans="8:29">
      <c r="H103" t="b">
        <f t="shared" ca="1" si="10"/>
        <v>0</v>
      </c>
      <c r="I103" t="b">
        <f t="shared" ca="1" si="7"/>
        <v>0</v>
      </c>
      <c r="J103" s="2">
        <f ca="1"/>
        <v>45326</v>
      </c>
      <c r="K103">
        <f ca="1"/>
        <v>40.136590403847705</v>
      </c>
      <c r="L103">
        <f ca="1"/>
        <v>0.12349885035942076</v>
      </c>
      <c r="M103">
        <f ca="1"/>
        <v>7.7381794973524265E-2</v>
      </c>
      <c r="N103">
        <f ca="1"/>
        <v>0.23383640383934234</v>
      </c>
      <c r="O103">
        <f ca="1"/>
        <v>0</v>
      </c>
      <c r="P103">
        <f ca="1"/>
        <v>2.3762314437693992</v>
      </c>
      <c r="Q103">
        <f ca="1"/>
        <v>2.173811728189043</v>
      </c>
      <c r="R103">
        <f ca="1"/>
        <v>0</v>
      </c>
      <c r="S103">
        <f ca="1"/>
        <v>0.57626748642783443</v>
      </c>
      <c r="T103">
        <f ca="1"/>
        <v>0</v>
      </c>
      <c r="U103">
        <f ca="1"/>
        <v>0</v>
      </c>
      <c r="V103">
        <f ca="1"/>
        <v>3.0462679453284233E-2</v>
      </c>
      <c r="X103" s="2">
        <f t="shared" ca="1" si="8"/>
        <v>45326</v>
      </c>
      <c r="Y103">
        <f t="shared" ca="1" si="9"/>
        <v>0</v>
      </c>
      <c r="AA103" s="63">
        <f t="shared" ca="1" si="11"/>
        <v>40.260089254207124</v>
      </c>
      <c r="AB103" s="63">
        <f t="shared" ca="1" si="12"/>
        <v>40.260089254207124</v>
      </c>
      <c r="AC103" s="3">
        <f t="shared" ca="1" si="13"/>
        <v>0</v>
      </c>
    </row>
    <row r="104" spans="8:29">
      <c r="H104" t="b">
        <f t="shared" ca="1" si="10"/>
        <v>0</v>
      </c>
      <c r="I104" t="b">
        <f t="shared" ca="1" si="7"/>
        <v>0</v>
      </c>
      <c r="J104" s="2">
        <f ca="1"/>
        <v>45327</v>
      </c>
      <c r="K104">
        <f ca="1"/>
        <v>40.317282852868445</v>
      </c>
      <c r="L104">
        <f ca="1"/>
        <v>0.13353946497669478</v>
      </c>
      <c r="M104">
        <f ca="1"/>
        <v>7.2746373275240472E-2</v>
      </c>
      <c r="N104">
        <f ca="1"/>
        <v>0.24148554072218673</v>
      </c>
      <c r="O104">
        <f ca="1"/>
        <v>0</v>
      </c>
      <c r="P104">
        <f ca="1"/>
        <v>2.509770908746094</v>
      </c>
      <c r="Q104">
        <f ca="1"/>
        <v>2.2959756091121677</v>
      </c>
      <c r="R104">
        <f ca="1"/>
        <v>0</v>
      </c>
      <c r="S104">
        <f ca="1"/>
        <v>0.57463502321344184</v>
      </c>
      <c r="T104">
        <f ca="1"/>
        <v>0</v>
      </c>
      <c r="U104">
        <f ca="1"/>
        <v>0</v>
      </c>
      <c r="V104">
        <f ca="1"/>
        <v>3.4828346292736442E-2</v>
      </c>
      <c r="X104" s="2">
        <f t="shared" ca="1" si="8"/>
        <v>45327</v>
      </c>
      <c r="Y104">
        <f t="shared" ca="1" si="9"/>
        <v>0</v>
      </c>
      <c r="AA104" s="63">
        <f t="shared" ca="1" si="11"/>
        <v>40.45082231784513</v>
      </c>
      <c r="AB104" s="63">
        <f t="shared" ca="1" si="12"/>
        <v>40.450822317845137</v>
      </c>
      <c r="AC104" s="3">
        <f t="shared" ca="1" si="13"/>
        <v>0</v>
      </c>
    </row>
    <row r="105" spans="8:29">
      <c r="H105" t="b">
        <f t="shared" ca="1" si="10"/>
        <v>0</v>
      </c>
      <c r="I105" t="b">
        <f t="shared" ca="1" si="7"/>
        <v>0</v>
      </c>
      <c r="J105" s="2">
        <f ca="1"/>
        <v>45328</v>
      </c>
      <c r="K105">
        <f ca="1"/>
        <v>40.471318451754655</v>
      </c>
      <c r="L105">
        <f ca="1"/>
        <v>0.14003408326699862</v>
      </c>
      <c r="M105">
        <f ca="1"/>
        <v>6.5792215450034774E-2</v>
      </c>
      <c r="N105">
        <f ca="1"/>
        <v>0.22827746670317073</v>
      </c>
      <c r="O105">
        <f ca="1"/>
        <v>0</v>
      </c>
      <c r="P105">
        <f ca="1"/>
        <v>2.6498049920130926</v>
      </c>
      <c r="Q105">
        <f ca="1"/>
        <v>2.4240808630638297</v>
      </c>
      <c r="R105">
        <f ca="1"/>
        <v>0</v>
      </c>
      <c r="S105">
        <f ca="1"/>
        <v>0.53888821310250234</v>
      </c>
      <c r="T105">
        <f ca="1"/>
        <v>0</v>
      </c>
      <c r="U105">
        <f ca="1"/>
        <v>0</v>
      </c>
      <c r="V105">
        <f ca="1"/>
        <v>3.9760902610243232E-2</v>
      </c>
      <c r="X105" s="2">
        <f t="shared" ca="1" si="8"/>
        <v>45328</v>
      </c>
      <c r="Y105">
        <f t="shared" ca="1" si="9"/>
        <v>0</v>
      </c>
      <c r="AA105" s="63">
        <f t="shared" ca="1" si="11"/>
        <v>40.611352535021645</v>
      </c>
      <c r="AB105" s="63">
        <f t="shared" ca="1" si="12"/>
        <v>40.611352535021652</v>
      </c>
      <c r="AC105" s="3">
        <f t="shared" ca="1" si="13"/>
        <v>0</v>
      </c>
    </row>
    <row r="106" spans="8:29">
      <c r="H106" t="b">
        <f t="shared" ca="1" si="10"/>
        <v>0</v>
      </c>
      <c r="I106" t="b">
        <f t="shared" ca="1" si="7"/>
        <v>0</v>
      </c>
      <c r="J106" s="2">
        <f ca="1"/>
        <v>45329</v>
      </c>
      <c r="K106">
        <f ca="1"/>
        <v>40.606301945799309</v>
      </c>
      <c r="L106">
        <f ca="1"/>
        <v>0.14860827283607936</v>
      </c>
      <c r="M106">
        <f ca="1"/>
        <v>6.0682453668309932E-2</v>
      </c>
      <c r="N106">
        <f ca="1"/>
        <v>0.22290931321241994</v>
      </c>
      <c r="O106">
        <f ca="1"/>
        <v>0</v>
      </c>
      <c r="P106">
        <f ca="1"/>
        <v>2.798413264849172</v>
      </c>
      <c r="Q106">
        <f ca="1"/>
        <v>2.560029912658317</v>
      </c>
      <c r="R106">
        <f ca="1"/>
        <v>0</v>
      </c>
      <c r="S106">
        <f ca="1"/>
        <v>0.51485747880403221</v>
      </c>
      <c r="T106">
        <f ca="1"/>
        <v>0</v>
      </c>
      <c r="U106">
        <f ca="1"/>
        <v>0</v>
      </c>
      <c r="V106">
        <f ca="1"/>
        <v>4.5393594354746471E-2</v>
      </c>
      <c r="X106" s="2">
        <f t="shared" ca="1" si="8"/>
        <v>45329</v>
      </c>
      <c r="Y106">
        <f t="shared" ca="1" si="9"/>
        <v>0</v>
      </c>
      <c r="AA106" s="63">
        <f t="shared" ca="1" si="11"/>
        <v>40.754910218635381</v>
      </c>
      <c r="AB106" s="63">
        <f t="shared" ca="1" si="12"/>
        <v>40.754910218635388</v>
      </c>
      <c r="AC106" s="3">
        <f t="shared" ca="1" si="13"/>
        <v>0</v>
      </c>
    </row>
    <row r="107" spans="8:29">
      <c r="H107" t="b">
        <f t="shared" ca="1" si="10"/>
        <v>0</v>
      </c>
      <c r="I107" t="b">
        <f t="shared" ca="1" si="7"/>
        <v>0</v>
      </c>
      <c r="J107" s="2">
        <f ca="1"/>
        <v>45330</v>
      </c>
      <c r="K107">
        <f ca="1"/>
        <v>40.72749607713088</v>
      </c>
      <c r="L107">
        <f ca="1"/>
        <v>0.15664512248240037</v>
      </c>
      <c r="M107">
        <f ca="1"/>
        <v>5.5667471337226715E-2</v>
      </c>
      <c r="N107">
        <f ca="1"/>
        <v>0.22217178247674244</v>
      </c>
      <c r="O107">
        <f ca="1"/>
        <v>0</v>
      </c>
      <c r="P107">
        <f ca="1"/>
        <v>2.9550583873315723</v>
      </c>
      <c r="Q107">
        <f ca="1"/>
        <v>2.7033311913736977</v>
      </c>
      <c r="R107">
        <f ca="1"/>
        <v>0</v>
      </c>
      <c r="S107">
        <f ca="1"/>
        <v>0.5134468841707468</v>
      </c>
      <c r="T107">
        <f ca="1"/>
        <v>0</v>
      </c>
      <c r="U107">
        <f ca="1"/>
        <v>0</v>
      </c>
      <c r="V107">
        <f ca="1"/>
        <v>5.1774118822671508E-2</v>
      </c>
      <c r="X107" s="2">
        <f t="shared" ca="1" si="8"/>
        <v>45330</v>
      </c>
      <c r="Y107">
        <f t="shared" ca="1" si="9"/>
        <v>0</v>
      </c>
      <c r="AA107" s="63">
        <f t="shared" ca="1" si="11"/>
        <v>40.884141199613275</v>
      </c>
      <c r="AB107" s="63">
        <f t="shared" ca="1" si="12"/>
        <v>40.884141199613282</v>
      </c>
      <c r="AC107" s="3">
        <f t="shared" ca="1" si="13"/>
        <v>0</v>
      </c>
    </row>
    <row r="108" spans="8:29">
      <c r="H108" t="b">
        <f t="shared" ca="1" si="10"/>
        <v>0</v>
      </c>
      <c r="I108" t="b">
        <f t="shared" ca="1" si="7"/>
        <v>0</v>
      </c>
      <c r="J108" s="2">
        <f ca="1"/>
        <v>45331</v>
      </c>
      <c r="K108">
        <f ca="1"/>
        <v>40.83143086102082</v>
      </c>
      <c r="L108">
        <f ca="1"/>
        <v>0.16642205155038692</v>
      </c>
      <c r="M108">
        <f ca="1"/>
        <v>5.1340677671944945E-2</v>
      </c>
      <c r="N108">
        <f ca="1"/>
        <v>0.21901615776838029</v>
      </c>
      <c r="O108">
        <f ca="1"/>
        <v>0</v>
      </c>
      <c r="P108">
        <f ca="1"/>
        <v>3.1214804388819593</v>
      </c>
      <c r="Q108">
        <f ca="1"/>
        <v>2.8555765496438661</v>
      </c>
      <c r="R108">
        <f ca="1"/>
        <v>0</v>
      </c>
      <c r="S108">
        <f ca="1"/>
        <v>0.49542152287038838</v>
      </c>
      <c r="T108">
        <f ca="1"/>
        <v>0</v>
      </c>
      <c r="U108">
        <f ca="1"/>
        <v>0</v>
      </c>
      <c r="V108">
        <f ca="1"/>
        <v>5.9048177903086342E-2</v>
      </c>
      <c r="X108" s="2">
        <f t="shared" ca="1" si="8"/>
        <v>45331</v>
      </c>
      <c r="Y108">
        <f t="shared" ca="1" si="9"/>
        <v>0</v>
      </c>
      <c r="AA108" s="63">
        <f t="shared" ca="1" si="11"/>
        <v>40.997852912571204</v>
      </c>
      <c r="AB108" s="63">
        <f t="shared" ca="1" si="12"/>
        <v>40.997852912571204</v>
      </c>
      <c r="AC108" s="3">
        <f t="shared" ca="1" si="13"/>
        <v>0</v>
      </c>
    </row>
    <row r="109" spans="8:29">
      <c r="H109" t="b">
        <f t="shared" ca="1" si="10"/>
        <v>0</v>
      </c>
      <c r="I109" t="b">
        <f t="shared" ca="1" si="7"/>
        <v>0</v>
      </c>
      <c r="J109" s="2">
        <f ca="1"/>
        <v>45332</v>
      </c>
      <c r="K109">
        <f ca="1"/>
        <v>40.923001587210841</v>
      </c>
      <c r="L109">
        <f ca="1"/>
        <v>0.17909563315367416</v>
      </c>
      <c r="M109">
        <f ca="1"/>
        <v>4.8015532981290576E-2</v>
      </c>
      <c r="N109">
        <f ca="1"/>
        <v>0.2226508263624013</v>
      </c>
      <c r="O109">
        <f ca="1"/>
        <v>0</v>
      </c>
      <c r="P109">
        <f ca="1"/>
        <v>3.3005760720356334</v>
      </c>
      <c r="Q109">
        <f ca="1"/>
        <v>3.019415888121487</v>
      </c>
      <c r="R109">
        <f ca="1"/>
        <v>0</v>
      </c>
      <c r="S109">
        <f ca="1"/>
        <v>0.48767423314555008</v>
      </c>
      <c r="T109">
        <f ca="1"/>
        <v>0</v>
      </c>
      <c r="U109">
        <f ca="1"/>
        <v>0</v>
      </c>
      <c r="V109">
        <f ca="1"/>
        <v>6.7439478504547221E-2</v>
      </c>
      <c r="X109" s="2">
        <f t="shared" ca="1" si="8"/>
        <v>45332</v>
      </c>
      <c r="Y109">
        <f t="shared" ca="1" si="9"/>
        <v>0</v>
      </c>
      <c r="AA109" s="63">
        <f t="shared" ca="1" si="11"/>
        <v>41.102097220364513</v>
      </c>
      <c r="AB109" s="63">
        <f t="shared" ca="1" si="12"/>
        <v>41.102097220364513</v>
      </c>
      <c r="AC109" s="3">
        <f t="shared" ca="1" si="13"/>
        <v>0</v>
      </c>
    </row>
    <row r="110" spans="8:29">
      <c r="H110" t="b">
        <f t="shared" ca="1" si="10"/>
        <v>0</v>
      </c>
      <c r="I110" t="b">
        <f t="shared" ca="1" si="7"/>
        <v>0</v>
      </c>
      <c r="J110" s="2">
        <f ca="1"/>
        <v>45333</v>
      </c>
      <c r="K110">
        <f ca="1"/>
        <v>41.005193825224879</v>
      </c>
      <c r="L110">
        <f ca="1"/>
        <v>0.19106254829894409</v>
      </c>
      <c r="M110">
        <f ca="1"/>
        <v>4.5758582156512517E-2</v>
      </c>
      <c r="N110">
        <f ca="1"/>
        <v>0.22749620415647243</v>
      </c>
      <c r="O110">
        <f ca="1"/>
        <v>0</v>
      </c>
      <c r="P110">
        <f ca="1"/>
        <v>3.4916386203345775</v>
      </c>
      <c r="Q110">
        <f ca="1"/>
        <v>3.194202737861632</v>
      </c>
      <c r="R110">
        <f ca="1"/>
        <v>0</v>
      </c>
      <c r="S110">
        <f ca="1"/>
        <v>0.49375344281888989</v>
      </c>
      <c r="T110">
        <f ca="1"/>
        <v>0</v>
      </c>
      <c r="U110">
        <f ca="1"/>
        <v>0</v>
      </c>
      <c r="V110">
        <f ca="1"/>
        <v>7.7023211845059517E-2</v>
      </c>
      <c r="X110" s="2">
        <f t="shared" ca="1" si="8"/>
        <v>45333</v>
      </c>
      <c r="Y110">
        <f t="shared" ca="1" si="9"/>
        <v>0</v>
      </c>
      <c r="AA110" s="63">
        <f t="shared" ca="1" si="11"/>
        <v>41.196256373523831</v>
      </c>
      <c r="AB110" s="63">
        <f t="shared" ca="1" si="12"/>
        <v>41.196256373523823</v>
      </c>
      <c r="AC110" s="3">
        <f t="shared" ca="1" si="13"/>
        <v>0</v>
      </c>
    </row>
    <row r="111" spans="8:29">
      <c r="H111" t="b">
        <f t="shared" ca="1" si="10"/>
        <v>0</v>
      </c>
      <c r="I111" t="b">
        <f t="shared" ca="1" si="7"/>
        <v>0</v>
      </c>
      <c r="J111" s="2">
        <f ca="1"/>
        <v>45334</v>
      </c>
      <c r="K111">
        <f ca="1"/>
        <v>41.076176285677654</v>
      </c>
      <c r="L111">
        <f ca="1"/>
        <v>0.2011750982228353</v>
      </c>
      <c r="M111">
        <f ca="1"/>
        <v>4.2986166387911418E-2</v>
      </c>
      <c r="N111">
        <f ca="1"/>
        <v>0.22917139228769348</v>
      </c>
      <c r="O111">
        <f ca="1"/>
        <v>0</v>
      </c>
      <c r="P111">
        <f ca="1"/>
        <v>3.6928137185574128</v>
      </c>
      <c r="Q111">
        <f ca="1"/>
        <v>3.378240698087708</v>
      </c>
      <c r="R111">
        <f ca="1"/>
        <v>0</v>
      </c>
      <c r="S111">
        <f ca="1"/>
        <v>0.50312696988654826</v>
      </c>
      <c r="T111">
        <f ca="1"/>
        <v>0</v>
      </c>
      <c r="U111">
        <f ca="1"/>
        <v>0</v>
      </c>
      <c r="V111">
        <f ca="1"/>
        <v>8.7800116671487682E-2</v>
      </c>
      <c r="X111" s="2">
        <f t="shared" ca="1" si="8"/>
        <v>45334</v>
      </c>
      <c r="Y111">
        <f t="shared" ca="1" si="9"/>
        <v>0</v>
      </c>
      <c r="AA111" s="63">
        <f t="shared" ca="1" si="11"/>
        <v>41.277351383900488</v>
      </c>
      <c r="AB111" s="63">
        <f t="shared" ca="1" si="12"/>
        <v>41.277351383900488</v>
      </c>
      <c r="AC111" s="3">
        <f t="shared" ca="1" si="13"/>
        <v>0</v>
      </c>
    </row>
    <row r="112" spans="8:29">
      <c r="H112" t="b">
        <f t="shared" ca="1" si="10"/>
        <v>0</v>
      </c>
      <c r="I112" t="b">
        <f t="shared" ca="1" si="7"/>
        <v>0</v>
      </c>
      <c r="J112" s="2">
        <f ca="1"/>
        <v>45335</v>
      </c>
      <c r="K112">
        <f ca="1"/>
        <v>41.122434726944419</v>
      </c>
      <c r="L112">
        <f ca="1"/>
        <v>0.21031818625118426</v>
      </c>
      <c r="M112">
        <f ca="1"/>
        <v>3.8011649109214396E-2</v>
      </c>
      <c r="N112">
        <f ca="1"/>
        <v>0.21856497840873618</v>
      </c>
      <c r="O112">
        <f ca="1"/>
        <v>0</v>
      </c>
      <c r="P112">
        <f ca="1"/>
        <v>3.9031319048085971</v>
      </c>
      <c r="Q112">
        <f ca="1"/>
        <v>3.5706428906952725</v>
      </c>
      <c r="R112">
        <f ca="1"/>
        <v>0</v>
      </c>
      <c r="S112">
        <f ca="1"/>
        <v>0.47789878262140306</v>
      </c>
      <c r="T112">
        <f ca="1"/>
        <v>0</v>
      </c>
      <c r="U112">
        <f ca="1"/>
        <v>0</v>
      </c>
      <c r="V112">
        <f ca="1"/>
        <v>9.9791897597056464E-2</v>
      </c>
      <c r="X112" s="2">
        <f t="shared" ca="1" si="8"/>
        <v>45335</v>
      </c>
      <c r="Y112">
        <f t="shared" ca="1" si="9"/>
        <v>0</v>
      </c>
      <c r="AA112" s="63">
        <f t="shared" ca="1" si="11"/>
        <v>41.332752913195606</v>
      </c>
      <c r="AB112" s="63">
        <f t="shared" ca="1" si="12"/>
        <v>41.332752913195606</v>
      </c>
      <c r="AC112" s="3">
        <f t="shared" ca="1" si="13"/>
        <v>0</v>
      </c>
    </row>
    <row r="113" spans="8:29">
      <c r="H113" t="b">
        <f t="shared" ca="1" si="10"/>
        <v>0</v>
      </c>
      <c r="I113" t="b">
        <f t="shared" ca="1" si="7"/>
        <v>0</v>
      </c>
      <c r="J113" s="2">
        <f ca="1"/>
        <v>45336</v>
      </c>
      <c r="K113">
        <f ca="1"/>
        <v>41.153233469488001</v>
      </c>
      <c r="L113">
        <f ca="1"/>
        <v>0.22226844148239078</v>
      </c>
      <c r="M113">
        <f ca="1"/>
        <v>3.5573813453434688E-2</v>
      </c>
      <c r="N113">
        <f ca="1"/>
        <v>0.21749337057254012</v>
      </c>
      <c r="O113">
        <f ca="1"/>
        <v>0</v>
      </c>
      <c r="P113">
        <f ca="1"/>
        <v>4.1254003462909878</v>
      </c>
      <c r="Q113">
        <f ca="1"/>
        <v>3.7739773538291632</v>
      </c>
      <c r="R113">
        <f ca="1"/>
        <v>0</v>
      </c>
      <c r="S113">
        <f ca="1"/>
        <v>0.47303465621644236</v>
      </c>
      <c r="T113">
        <f ca="1"/>
        <v>0</v>
      </c>
      <c r="U113">
        <f ca="1"/>
        <v>0</v>
      </c>
      <c r="V113">
        <f ca="1"/>
        <v>0.11323273432700204</v>
      </c>
      <c r="X113" s="2">
        <f t="shared" ca="1" si="8"/>
        <v>45336</v>
      </c>
      <c r="Y113">
        <f t="shared" ca="1" si="9"/>
        <v>0</v>
      </c>
      <c r="AA113" s="63">
        <f t="shared" ca="1" si="11"/>
        <v>41.375501910970392</v>
      </c>
      <c r="AB113" s="63">
        <f t="shared" ca="1" si="12"/>
        <v>41.375501910970392</v>
      </c>
      <c r="AC113" s="3">
        <f t="shared" ca="1" si="13"/>
        <v>0</v>
      </c>
    </row>
    <row r="114" spans="8:29">
      <c r="H114" t="b">
        <f t="shared" ca="1" si="10"/>
        <v>0</v>
      </c>
      <c r="I114" t="b">
        <f t="shared" ca="1" si="7"/>
        <v>0</v>
      </c>
      <c r="J114" s="2">
        <f ca="1"/>
        <v>45337</v>
      </c>
      <c r="K114">
        <f ca="1"/>
        <v>41.171535801426344</v>
      </c>
      <c r="L114">
        <f ca="1"/>
        <v>0.23180476203533651</v>
      </c>
      <c r="M114">
        <f ca="1"/>
        <v>3.3795667829779497E-2</v>
      </c>
      <c r="N114">
        <f ca="1"/>
        <v>0.21631142614390275</v>
      </c>
      <c r="O114">
        <f ca="1"/>
        <v>0</v>
      </c>
      <c r="P114">
        <f ca="1"/>
        <v>4.3572051083263243</v>
      </c>
      <c r="Q114">
        <f ca="1"/>
        <v>3.9860357842837111</v>
      </c>
      <c r="R114">
        <f ca="1"/>
        <v>0</v>
      </c>
      <c r="S114">
        <f ca="1"/>
        <v>0.48152978095496884</v>
      </c>
      <c r="T114">
        <f ca="1"/>
        <v>0</v>
      </c>
      <c r="U114">
        <f ca="1"/>
        <v>0</v>
      </c>
      <c r="V114">
        <f ca="1"/>
        <v>0.12804057117194481</v>
      </c>
      <c r="X114" s="2">
        <f t="shared" ca="1" si="8"/>
        <v>45337</v>
      </c>
      <c r="Y114">
        <f t="shared" ca="1" si="9"/>
        <v>0</v>
      </c>
      <c r="AA114" s="63">
        <f t="shared" ca="1" si="11"/>
        <v>41.403340563461683</v>
      </c>
      <c r="AB114" s="63">
        <f t="shared" ca="1" si="12"/>
        <v>41.403340563461683</v>
      </c>
      <c r="AC114" s="3">
        <f t="shared" ca="1" si="13"/>
        <v>0</v>
      </c>
    </row>
    <row r="115" spans="8:29">
      <c r="H115" t="b">
        <f t="shared" ca="1" si="10"/>
        <v>0</v>
      </c>
      <c r="I115" t="b">
        <f t="shared" ca="1" si="7"/>
        <v>0</v>
      </c>
      <c r="J115" s="2">
        <f ca="1"/>
        <v>45338</v>
      </c>
      <c r="K115">
        <f ca="1"/>
        <v>41.173243286821354</v>
      </c>
      <c r="L115">
        <f ca="1"/>
        <v>0.24321549622290917</v>
      </c>
      <c r="M115">
        <f ca="1"/>
        <v>3.1619447733211459E-2</v>
      </c>
      <c r="N115">
        <f ca="1"/>
        <v>0.21330353388470613</v>
      </c>
      <c r="O115">
        <f ca="1"/>
        <v>0</v>
      </c>
      <c r="P115">
        <f ca="1"/>
        <v>4.6004206045492335</v>
      </c>
      <c r="Q115">
        <f ca="1"/>
        <v>4.2085329234209654</v>
      </c>
      <c r="R115">
        <f ca="1"/>
        <v>0</v>
      </c>
      <c r="S115">
        <f ca="1"/>
        <v>0.47634662220188861</v>
      </c>
      <c r="T115">
        <f ca="1"/>
        <v>0</v>
      </c>
      <c r="U115">
        <f ca="1"/>
        <v>0</v>
      </c>
      <c r="V115">
        <f ca="1"/>
        <v>0.14438020522795056</v>
      </c>
      <c r="X115" s="2">
        <f t="shared" ca="1" si="8"/>
        <v>45338</v>
      </c>
      <c r="Y115">
        <f t="shared" ca="1" si="9"/>
        <v>0</v>
      </c>
      <c r="AA115" s="63">
        <f t="shared" ca="1" si="11"/>
        <v>41.416458783044263</v>
      </c>
      <c r="AB115" s="63">
        <f t="shared" ca="1" si="12"/>
        <v>41.416458783044263</v>
      </c>
      <c r="AC115" s="3">
        <f t="shared" ca="1" si="13"/>
        <v>0</v>
      </c>
    </row>
    <row r="116" spans="8:29">
      <c r="H116" t="b">
        <f t="shared" ca="1" si="10"/>
        <v>0</v>
      </c>
      <c r="I116" t="b">
        <f t="shared" ca="1" si="7"/>
        <v>0</v>
      </c>
      <c r="J116" s="2">
        <f ca="1"/>
        <v>45339</v>
      </c>
      <c r="K116">
        <f ca="1"/>
        <v>41.172312124537612</v>
      </c>
      <c r="L116">
        <f ca="1"/>
        <v>0.25671521364425587</v>
      </c>
      <c r="M116">
        <f ca="1"/>
        <v>3.1749694426685515E-2</v>
      </c>
      <c r="N116">
        <f ca="1"/>
        <v>0.22403435693382676</v>
      </c>
      <c r="O116">
        <f ca="1"/>
        <v>0</v>
      </c>
      <c r="P116">
        <f ca="1"/>
        <v>4.8571358181934894</v>
      </c>
      <c r="Q116">
        <f ca="1"/>
        <v>4.443379804051081</v>
      </c>
      <c r="R116">
        <f ca="1"/>
        <v>0</v>
      </c>
      <c r="S116">
        <f ca="1"/>
        <v>0.51263032077014425</v>
      </c>
      <c r="T116">
        <f ca="1"/>
        <v>0</v>
      </c>
      <c r="U116">
        <f ca="1"/>
        <v>0</v>
      </c>
      <c r="V116">
        <f ca="1"/>
        <v>0.16243623473695545</v>
      </c>
      <c r="X116" s="2">
        <f t="shared" ca="1" si="8"/>
        <v>45339</v>
      </c>
      <c r="Y116">
        <f t="shared" ca="1" si="9"/>
        <v>0</v>
      </c>
      <c r="AA116" s="63">
        <f t="shared" ca="1" si="11"/>
        <v>41.429027338181868</v>
      </c>
      <c r="AB116" s="63">
        <f t="shared" ca="1" si="12"/>
        <v>41.429027338181868</v>
      </c>
      <c r="AC116" s="3">
        <f t="shared" ca="1" si="13"/>
        <v>0</v>
      </c>
    </row>
    <row r="117" spans="8:29">
      <c r="H117" t="b">
        <f t="shared" ca="1" si="10"/>
        <v>0</v>
      </c>
      <c r="I117" t="b">
        <f t="shared" ca="1" si="7"/>
        <v>0</v>
      </c>
      <c r="J117" s="2">
        <f ca="1"/>
        <v>45340</v>
      </c>
      <c r="K117">
        <f ca="1"/>
        <v>41.152417628234943</v>
      </c>
      <c r="L117">
        <f ca="1"/>
        <v>0.27266840444560891</v>
      </c>
      <c r="M117">
        <f ca="1"/>
        <v>3.061512673243616E-2</v>
      </c>
      <c r="N117">
        <f ca="1"/>
        <v>0.22215878141050649</v>
      </c>
      <c r="O117">
        <f ca="1"/>
        <v>0</v>
      </c>
      <c r="P117">
        <f ca="1"/>
        <v>5.1298042226390983</v>
      </c>
      <c r="Q117">
        <f ca="1"/>
        <v>4.692820899969842</v>
      </c>
      <c r="R117">
        <f ca="1"/>
        <v>0</v>
      </c>
      <c r="S117">
        <f ca="1"/>
        <v>0.49857054177885224</v>
      </c>
      <c r="T117">
        <f ca="1"/>
        <v>0</v>
      </c>
      <c r="U117">
        <f ca="1"/>
        <v>0</v>
      </c>
      <c r="V117">
        <f ca="1"/>
        <v>0.1824199689836577</v>
      </c>
      <c r="X117" s="2">
        <f t="shared" ca="1" si="8"/>
        <v>45340</v>
      </c>
      <c r="Y117">
        <f t="shared" ca="1" si="9"/>
        <v>0</v>
      </c>
      <c r="AA117" s="63">
        <f t="shared" ca="1" si="11"/>
        <v>41.425086032680554</v>
      </c>
      <c r="AB117" s="63">
        <f t="shared" ca="1" si="12"/>
        <v>41.425086032680554</v>
      </c>
      <c r="AC117" s="3">
        <f t="shared" ca="1" si="13"/>
        <v>0</v>
      </c>
    </row>
    <row r="118" spans="8:29">
      <c r="H118" t="b">
        <f t="shared" ca="1" si="10"/>
        <v>0</v>
      </c>
      <c r="I118" t="b">
        <f t="shared" ca="1" si="7"/>
        <v>0</v>
      </c>
      <c r="J118" s="2">
        <f ca="1"/>
        <v>45341</v>
      </c>
      <c r="K118">
        <f ca="1"/>
        <v>41.112781442682873</v>
      </c>
      <c r="L118">
        <f ca="1"/>
        <v>0.28753434020714153</v>
      </c>
      <c r="M118">
        <f ca="1"/>
        <v>2.8808919732971283E-2</v>
      </c>
      <c r="N118">
        <f ca="1"/>
        <v>0.21908923492209326</v>
      </c>
      <c r="O118">
        <f ca="1"/>
        <v>0</v>
      </c>
      <c r="P118">
        <f ca="1"/>
        <v>5.4173385628462398</v>
      </c>
      <c r="Q118">
        <f ca="1"/>
        <v>4.9558615741593375</v>
      </c>
      <c r="R118">
        <f ca="1"/>
        <v>0</v>
      </c>
      <c r="S118">
        <f ca="1"/>
        <v>0.48797072704906752</v>
      </c>
      <c r="T118">
        <f ca="1"/>
        <v>0</v>
      </c>
      <c r="U118">
        <f ca="1"/>
        <v>0</v>
      </c>
      <c r="V118">
        <f ca="1"/>
        <v>0.20426263205537828</v>
      </c>
      <c r="X118" s="2">
        <f t="shared" ca="1" si="8"/>
        <v>45341</v>
      </c>
      <c r="Y118">
        <f t="shared" ca="1" si="9"/>
        <v>0</v>
      </c>
      <c r="AA118" s="63">
        <f t="shared" ca="1" si="11"/>
        <v>41.400315782890011</v>
      </c>
      <c r="AB118" s="63">
        <f t="shared" ca="1" si="12"/>
        <v>41.400315782890019</v>
      </c>
      <c r="AC118" s="3">
        <f t="shared" ca="1" si="13"/>
        <v>0</v>
      </c>
    </row>
    <row r="119" spans="8:29">
      <c r="H119" t="b">
        <f t="shared" ca="1" si="10"/>
        <v>0</v>
      </c>
      <c r="I119" t="b">
        <f t="shared" ca="1" si="7"/>
        <v>0</v>
      </c>
      <c r="J119" s="2">
        <f ca="1"/>
        <v>45342</v>
      </c>
      <c r="K119">
        <f ca="1"/>
        <v>41.064761192933879</v>
      </c>
      <c r="L119">
        <f ca="1"/>
        <v>0.30460262226088286</v>
      </c>
      <c r="M119">
        <f ca="1"/>
        <v>2.8650178895735401E-2</v>
      </c>
      <c r="N119">
        <f ca="1"/>
        <v>0.22793219361615052</v>
      </c>
      <c r="O119">
        <f ca="1"/>
        <v>0</v>
      </c>
      <c r="P119">
        <f ca="1"/>
        <v>5.7219411851071227</v>
      </c>
      <c r="Q119">
        <f ca="1"/>
        <v>5.234516565635035</v>
      </c>
      <c r="R119">
        <f ca="1"/>
        <v>0</v>
      </c>
      <c r="S119">
        <f ca="1"/>
        <v>0.51313347734318349</v>
      </c>
      <c r="T119">
        <f ca="1"/>
        <v>0</v>
      </c>
      <c r="U119">
        <f ca="1"/>
        <v>0</v>
      </c>
      <c r="V119">
        <f ca="1"/>
        <v>0.22810572597136444</v>
      </c>
      <c r="X119" s="2">
        <f t="shared" ca="1" si="8"/>
        <v>45342</v>
      </c>
      <c r="Y119">
        <f t="shared" ca="1" si="9"/>
        <v>0</v>
      </c>
      <c r="AA119" s="63">
        <f t="shared" ca="1" si="11"/>
        <v>41.36936381519476</v>
      </c>
      <c r="AB119" s="63">
        <f t="shared" ca="1" si="12"/>
        <v>41.36936381519476</v>
      </c>
      <c r="AC119" s="3">
        <f t="shared" ca="1" si="13"/>
        <v>0</v>
      </c>
    </row>
    <row r="120" spans="8:29">
      <c r="H120" t="b">
        <f t="shared" ca="1" si="10"/>
        <v>0</v>
      </c>
      <c r="I120" t="b">
        <f t="shared" ca="1" si="7"/>
        <v>0</v>
      </c>
      <c r="J120" s="2">
        <f ca="1"/>
        <v>45343</v>
      </c>
      <c r="K120">
        <f ca="1"/>
        <v>41.001983390086814</v>
      </c>
      <c r="L120">
        <f ca="1"/>
        <v>0.31999452451323585</v>
      </c>
      <c r="M120">
        <f ca="1"/>
        <v>2.7574068952476161E-2</v>
      </c>
      <c r="N120">
        <f ca="1"/>
        <v>0.22964265271369116</v>
      </c>
      <c r="O120">
        <f ca="1"/>
        <v>0</v>
      </c>
      <c r="P120">
        <f ca="1"/>
        <v>6.0419357096203585</v>
      </c>
      <c r="Q120">
        <f ca="1"/>
        <v>5.5272522973193654</v>
      </c>
      <c r="R120">
        <f ca="1"/>
        <v>0</v>
      </c>
      <c r="S120">
        <f ca="1"/>
        <v>0.52260623313729704</v>
      </c>
      <c r="T120">
        <f ca="1"/>
        <v>0</v>
      </c>
      <c r="U120">
        <f ca="1"/>
        <v>0</v>
      </c>
      <c r="V120">
        <f ca="1"/>
        <v>0.25374844121926943</v>
      </c>
      <c r="X120" s="2">
        <f t="shared" ca="1" si="8"/>
        <v>45343</v>
      </c>
      <c r="Y120">
        <f t="shared" ca="1" si="9"/>
        <v>0</v>
      </c>
      <c r="AA120" s="63">
        <f t="shared" ca="1" si="11"/>
        <v>41.321977914600048</v>
      </c>
      <c r="AB120" s="63">
        <f t="shared" ca="1" si="12"/>
        <v>41.321977914600048</v>
      </c>
      <c r="AC120" s="3">
        <f t="shared" ca="1" si="13"/>
        <v>0</v>
      </c>
    </row>
    <row r="121" spans="8:29">
      <c r="H121" t="b">
        <f t="shared" ca="1" si="10"/>
        <v>0</v>
      </c>
      <c r="I121" t="b">
        <f t="shared" ca="1" si="7"/>
        <v>0</v>
      </c>
      <c r="J121" s="2">
        <f ca="1"/>
        <v>45344</v>
      </c>
      <c r="K121">
        <f ca="1"/>
        <v>40.917162485459457</v>
      </c>
      <c r="L121">
        <f ca="1"/>
        <v>0.33354111983367485</v>
      </c>
      <c r="M121">
        <f ca="1"/>
        <v>2.6365729663408111E-2</v>
      </c>
      <c r="N121">
        <f ca="1"/>
        <v>0.22235448554290937</v>
      </c>
      <c r="O121">
        <f ca="1"/>
        <v>0</v>
      </c>
      <c r="P121">
        <f ca="1"/>
        <v>6.3754768294540334</v>
      </c>
      <c r="Q121">
        <f ca="1"/>
        <v>5.8323806550931341</v>
      </c>
      <c r="R121">
        <f ca="1"/>
        <v>0</v>
      </c>
      <c r="S121">
        <f ca="1"/>
        <v>0.50966875985922888</v>
      </c>
      <c r="T121">
        <f ca="1"/>
        <v>0</v>
      </c>
      <c r="U121">
        <f ca="1"/>
        <v>0</v>
      </c>
      <c r="V121">
        <f ca="1"/>
        <v>0.28091727699709496</v>
      </c>
      <c r="X121" s="2">
        <f t="shared" ca="1" si="8"/>
        <v>45344</v>
      </c>
      <c r="Y121">
        <f t="shared" ca="1" si="9"/>
        <v>0</v>
      </c>
      <c r="AA121" s="63">
        <f t="shared" ca="1" si="11"/>
        <v>41.250703605293133</v>
      </c>
      <c r="AB121" s="63">
        <f t="shared" ca="1" si="12"/>
        <v>41.250703605293133</v>
      </c>
      <c r="AC121" s="3">
        <f t="shared" ca="1" si="13"/>
        <v>0</v>
      </c>
    </row>
    <row r="122" spans="8:29">
      <c r="H122" t="b">
        <f t="shared" ca="1" si="10"/>
        <v>0</v>
      </c>
      <c r="I122" t="b">
        <f t="shared" ca="1" si="7"/>
        <v>0</v>
      </c>
      <c r="J122" s="2">
        <f ca="1"/>
        <v>45345</v>
      </c>
      <c r="K122">
        <f ca="1"/>
        <v>40.816890550355893</v>
      </c>
      <c r="L122">
        <f ca="1"/>
        <v>0.3511036552086173</v>
      </c>
      <c r="M122">
        <f ca="1"/>
        <v>2.5633254239565417E-2</v>
      </c>
      <c r="N122">
        <f ca="1"/>
        <v>0.22519846586549241</v>
      </c>
      <c r="O122">
        <f ca="1"/>
        <v>0</v>
      </c>
      <c r="P122">
        <f ca="1"/>
        <v>6.7265804846626507</v>
      </c>
      <c r="Q122">
        <f ca="1"/>
        <v>6.1535754804136102</v>
      </c>
      <c r="R122">
        <f ca="1"/>
        <v>0</v>
      </c>
      <c r="S122">
        <f ca="1"/>
        <v>0.51984708650558931</v>
      </c>
      <c r="T122">
        <f ca="1"/>
        <v>0</v>
      </c>
      <c r="U122">
        <f ca="1"/>
        <v>0</v>
      </c>
      <c r="V122">
        <f ca="1"/>
        <v>0.30977206171642885</v>
      </c>
      <c r="X122" s="2">
        <f t="shared" ca="1" si="8"/>
        <v>45345</v>
      </c>
      <c r="Y122">
        <f t="shared" ca="1" si="9"/>
        <v>0</v>
      </c>
      <c r="AA122" s="63">
        <f t="shared" ca="1" si="11"/>
        <v>41.167994205564511</v>
      </c>
      <c r="AB122" s="63">
        <f t="shared" ca="1" si="12"/>
        <v>41.167994205564511</v>
      </c>
      <c r="AC122" s="3">
        <f t="shared" ca="1" si="13"/>
        <v>0</v>
      </c>
    </row>
    <row r="123" spans="8:29">
      <c r="H123" t="b">
        <f t="shared" ca="1" si="10"/>
        <v>0</v>
      </c>
      <c r="I123" t="b">
        <f t="shared" ca="1" si="7"/>
        <v>0</v>
      </c>
      <c r="J123" s="2">
        <f ca="1"/>
        <v>45346</v>
      </c>
      <c r="K123">
        <f ca="1"/>
        <v>40.693883703624834</v>
      </c>
      <c r="L123">
        <f ca="1"/>
        <v>0.36122249704139797</v>
      </c>
      <c r="M123">
        <f ca="1"/>
        <v>2.4269620713713635E-2</v>
      </c>
      <c r="N123">
        <f ca="1"/>
        <v>0.21394602959662057</v>
      </c>
      <c r="O123">
        <f ca="1"/>
        <v>0</v>
      </c>
      <c r="P123">
        <f ca="1"/>
        <v>7.0878029817040487</v>
      </c>
      <c r="Q123">
        <f ca="1"/>
        <v>6.4840271721514808</v>
      </c>
      <c r="R123">
        <f ca="1"/>
        <v>0</v>
      </c>
      <c r="S123">
        <f ca="1"/>
        <v>0.5047775031748426</v>
      </c>
      <c r="T123">
        <f ca="1"/>
        <v>0</v>
      </c>
      <c r="U123">
        <f ca="1"/>
        <v>0</v>
      </c>
      <c r="V123">
        <f ca="1"/>
        <v>0.33949221597593476</v>
      </c>
      <c r="X123" s="2">
        <f t="shared" ca="1" si="8"/>
        <v>45346</v>
      </c>
      <c r="Y123">
        <f t="shared" ca="1" si="9"/>
        <v>0</v>
      </c>
      <c r="AA123" s="63">
        <f t="shared" ca="1" si="11"/>
        <v>41.055106200666224</v>
      </c>
      <c r="AB123" s="63">
        <f t="shared" ca="1" si="12"/>
        <v>41.055106200666231</v>
      </c>
      <c r="AC123" s="3">
        <f t="shared" ca="1" si="13"/>
        <v>0</v>
      </c>
    </row>
    <row r="124" spans="8:29">
      <c r="H124" t="b">
        <f t="shared" ca="1" si="10"/>
        <v>0</v>
      </c>
      <c r="I124" t="b">
        <f t="shared" ca="1" si="7"/>
        <v>0</v>
      </c>
      <c r="J124" s="2">
        <f ca="1"/>
        <v>45347</v>
      </c>
      <c r="K124">
        <f ca="1"/>
        <v>40.546631687971285</v>
      </c>
      <c r="L124">
        <f ca="1"/>
        <v>0.36969313920785662</v>
      </c>
      <c r="M124">
        <f ca="1"/>
        <v>2.2135970395792626E-2</v>
      </c>
      <c r="N124">
        <f ca="1"/>
        <v>0.20030515315850739</v>
      </c>
      <c r="O124">
        <f ca="1"/>
        <v>0</v>
      </c>
      <c r="P124">
        <f ca="1"/>
        <v>7.4574961209119053</v>
      </c>
      <c r="Q124">
        <f ca="1"/>
        <v>6.8222279328342239</v>
      </c>
      <c r="R124">
        <f ca="1"/>
        <v>0</v>
      </c>
      <c r="S124">
        <f ca="1"/>
        <v>0.48221813871081043</v>
      </c>
      <c r="T124">
        <f ca="1"/>
        <v>0</v>
      </c>
      <c r="U124">
        <f ca="1"/>
        <v>0</v>
      </c>
      <c r="V124">
        <f ca="1"/>
        <v>0.36970851686938266</v>
      </c>
      <c r="X124" s="2">
        <f t="shared" ca="1" si="8"/>
        <v>45347</v>
      </c>
      <c r="Y124">
        <f t="shared" ca="1" si="9"/>
        <v>0</v>
      </c>
      <c r="AA124" s="63">
        <f t="shared" ca="1" si="11"/>
        <v>40.916324827179139</v>
      </c>
      <c r="AB124" s="63">
        <f t="shared" ca="1" si="12"/>
        <v>40.916324827179139</v>
      </c>
      <c r="AC124" s="3">
        <f t="shared" ca="1" si="13"/>
        <v>0</v>
      </c>
    </row>
    <row r="125" spans="8:29">
      <c r="H125" t="b">
        <f t="shared" ca="1" si="10"/>
        <v>0</v>
      </c>
      <c r="I125" t="b">
        <f t="shared" ca="1" si="7"/>
        <v>0</v>
      </c>
      <c r="J125" s="2">
        <f ca="1"/>
        <v>45348</v>
      </c>
      <c r="K125">
        <f ca="1"/>
        <v>40.376274533192401</v>
      </c>
      <c r="L125">
        <f ca="1"/>
        <v>0.39055241062874835</v>
      </c>
      <c r="M125">
        <f ca="1"/>
        <v>2.1339564671562172E-2</v>
      </c>
      <c r="N125">
        <f ca="1"/>
        <v>0.19885569117830301</v>
      </c>
      <c r="O125">
        <f ca="1"/>
        <v>0</v>
      </c>
      <c r="P125">
        <f ca="1"/>
        <v>7.8480485315406536</v>
      </c>
      <c r="Q125">
        <f ca="1"/>
        <v>7.1795110640390423</v>
      </c>
      <c r="R125">
        <f ca="1"/>
        <v>0</v>
      </c>
      <c r="S125">
        <f ca="1"/>
        <v>0.47038256758487412</v>
      </c>
      <c r="T125">
        <f ca="1"/>
        <v>0</v>
      </c>
      <c r="U125">
        <f ca="1"/>
        <v>0</v>
      </c>
      <c r="V125">
        <f ca="1"/>
        <v>0.40117225526947742</v>
      </c>
      <c r="X125" s="2">
        <f t="shared" ca="1" si="8"/>
        <v>45348</v>
      </c>
      <c r="Y125">
        <f t="shared" ca="1" si="9"/>
        <v>0</v>
      </c>
      <c r="AA125" s="63">
        <f t="shared" ca="1" si="11"/>
        <v>40.766826943821151</v>
      </c>
      <c r="AB125" s="63">
        <f t="shared" ca="1" si="12"/>
        <v>40.766826943821151</v>
      </c>
      <c r="AC125" s="3">
        <f t="shared" ca="1" si="13"/>
        <v>0</v>
      </c>
    </row>
    <row r="126" spans="8:29">
      <c r="H126" t="b">
        <f t="shared" ca="1" si="10"/>
        <v>0</v>
      </c>
      <c r="I126" t="b">
        <f t="shared" ca="1" si="7"/>
        <v>0</v>
      </c>
      <c r="J126" s="2">
        <f ca="1"/>
        <v>45349</v>
      </c>
      <c r="K126">
        <f ca="1"/>
        <v>40.180095835869778</v>
      </c>
      <c r="L126">
        <f ca="1"/>
        <v>0.41260566553288669</v>
      </c>
      <c r="M126">
        <f ca="1"/>
        <v>2.0355108402974054E-2</v>
      </c>
      <c r="N126">
        <f ca="1"/>
        <v>0.19607185980729216</v>
      </c>
      <c r="O126">
        <f ca="1"/>
        <v>0</v>
      </c>
      <c r="P126">
        <f ca="1"/>
        <v>8.2606541970735403</v>
      </c>
      <c r="Q126">
        <f ca="1"/>
        <v>7.5569688395450543</v>
      </c>
      <c r="R126">
        <f ca="1"/>
        <v>0</v>
      </c>
      <c r="S126">
        <f ca="1"/>
        <v>0.45324270784162884</v>
      </c>
      <c r="T126">
        <f ca="1"/>
        <v>0</v>
      </c>
      <c r="U126">
        <f ca="1"/>
        <v>0</v>
      </c>
      <c r="V126">
        <f ca="1"/>
        <v>0.43366714270716705</v>
      </c>
      <c r="X126" s="2">
        <f t="shared" ca="1" si="8"/>
        <v>45349</v>
      </c>
      <c r="Y126">
        <f t="shared" ca="1" si="9"/>
        <v>0</v>
      </c>
      <c r="AA126" s="63">
        <f t="shared" ca="1" si="11"/>
        <v>40.592701501402665</v>
      </c>
      <c r="AB126" s="63">
        <f t="shared" ca="1" si="12"/>
        <v>40.592701501402665</v>
      </c>
      <c r="AC126" s="3">
        <f t="shared" ca="1" si="13"/>
        <v>0</v>
      </c>
    </row>
    <row r="127" spans="8:29">
      <c r="H127" t="b">
        <f t="shared" ca="1" si="10"/>
        <v>0</v>
      </c>
      <c r="I127" t="b">
        <f t="shared" ca="1" si="7"/>
        <v>0</v>
      </c>
      <c r="J127" s="2">
        <f ca="1"/>
        <v>45350</v>
      </c>
      <c r="K127">
        <f ca="1"/>
        <v>39.969654586621147</v>
      </c>
      <c r="L127">
        <f ca="1"/>
        <v>0.42680927786670253</v>
      </c>
      <c r="M127">
        <f ca="1"/>
        <v>2.0317156460103902E-2</v>
      </c>
      <c r="N127">
        <f ca="1"/>
        <v>0.19605087215797132</v>
      </c>
      <c r="O127">
        <f ca="1"/>
        <v>0</v>
      </c>
      <c r="P127">
        <f ca="1"/>
        <v>8.6874634749402428</v>
      </c>
      <c r="Q127">
        <f ca="1"/>
        <v>7.9474202900379254</v>
      </c>
      <c r="R127">
        <f ca="1"/>
        <v>0</v>
      </c>
      <c r="S127">
        <f ca="1"/>
        <v>0.4686299796589441</v>
      </c>
      <c r="T127">
        <f ca="1"/>
        <v>0</v>
      </c>
      <c r="U127">
        <f ca="1"/>
        <v>0</v>
      </c>
      <c r="V127">
        <f ca="1"/>
        <v>0.46625756412490033</v>
      </c>
      <c r="X127" s="2">
        <f t="shared" ca="1" si="8"/>
        <v>45350</v>
      </c>
      <c r="Y127">
        <f t="shared" ca="1" si="9"/>
        <v>0</v>
      </c>
      <c r="AA127" s="63">
        <f t="shared" ca="1" si="11"/>
        <v>40.396463864487849</v>
      </c>
      <c r="AB127" s="63">
        <f t="shared" ca="1" si="12"/>
        <v>40.396463864487849</v>
      </c>
      <c r="AC127" s="3">
        <f t="shared" ca="1" si="13"/>
        <v>0</v>
      </c>
    </row>
    <row r="128" spans="8:29">
      <c r="H128" t="b">
        <f t="shared" ca="1" si="10"/>
        <v>0</v>
      </c>
      <c r="I128" t="b">
        <f t="shared" ca="1" si="7"/>
        <v>0</v>
      </c>
      <c r="J128" s="2">
        <f ca="1"/>
        <v>45351</v>
      </c>
      <c r="K128">
        <f ca="1"/>
        <v>39.744163186618771</v>
      </c>
      <c r="L128">
        <f ca="1"/>
        <v>0.44927802516269111</v>
      </c>
      <c r="M128">
        <f ca="1"/>
        <v>2.1031057115640905E-2</v>
      </c>
      <c r="N128">
        <f ca="1"/>
        <v>0.20275556804467018</v>
      </c>
      <c r="O128">
        <f ca="1"/>
        <v>0</v>
      </c>
      <c r="P128">
        <f ca="1"/>
        <v>9.136741500102934</v>
      </c>
      <c r="Q128">
        <f ca="1"/>
        <v>8.3584264834274968</v>
      </c>
      <c r="R128">
        <f ca="1"/>
        <v>0</v>
      </c>
      <c r="S128">
        <f ca="1"/>
        <v>0.49093080441299969</v>
      </c>
      <c r="T128">
        <f ca="1"/>
        <v>0</v>
      </c>
      <c r="U128">
        <f ca="1"/>
        <v>0</v>
      </c>
      <c r="V128">
        <f ca="1"/>
        <v>0.49924684830285299</v>
      </c>
      <c r="X128" s="2">
        <f t="shared" ca="1" si="8"/>
        <v>45351</v>
      </c>
      <c r="Y128">
        <f t="shared" ca="1" si="9"/>
        <v>0</v>
      </c>
      <c r="AA128" s="63">
        <f t="shared" ca="1" si="11"/>
        <v>40.193441211781462</v>
      </c>
      <c r="AB128" s="63">
        <f t="shared" ca="1" si="12"/>
        <v>40.193441211781462</v>
      </c>
      <c r="AC128" s="3">
        <f t="shared" ca="1" si="13"/>
        <v>0</v>
      </c>
    </row>
    <row r="129" spans="8:29">
      <c r="H129" t="b">
        <f t="shared" ca="1" si="10"/>
        <v>0</v>
      </c>
      <c r="I129" t="b">
        <f t="shared" ca="1" si="7"/>
        <v>0</v>
      </c>
      <c r="J129" s="2">
        <f ca="1"/>
        <v>45352</v>
      </c>
      <c r="K129">
        <f ca="1"/>
        <v>39.490474981802024</v>
      </c>
      <c r="L129">
        <f ca="1"/>
        <v>0.48158579858311512</v>
      </c>
      <c r="M129">
        <f ca="1"/>
        <v>2.0985273779984936E-2</v>
      </c>
      <c r="N129">
        <f ca="1"/>
        <v>0.20691231998638729</v>
      </c>
      <c r="O129">
        <f ca="1"/>
        <v>0</v>
      </c>
      <c r="P129">
        <f ca="1"/>
        <v>9.6183272986860491</v>
      </c>
      <c r="Q129">
        <f ca="1"/>
        <v>8.7989883065757564</v>
      </c>
      <c r="R129">
        <f ca="1"/>
        <v>0</v>
      </c>
      <c r="S129">
        <f ca="1"/>
        <v>0.48436066266377809</v>
      </c>
      <c r="T129">
        <f ca="1"/>
        <v>0</v>
      </c>
      <c r="U129">
        <f ca="1"/>
        <v>0</v>
      </c>
      <c r="V129">
        <f ca="1"/>
        <v>0.53294346081220656</v>
      </c>
      <c r="X129" s="2">
        <f t="shared" ca="1" si="8"/>
        <v>45352</v>
      </c>
      <c r="Y129">
        <f t="shared" ca="1" si="9"/>
        <v>0</v>
      </c>
      <c r="AA129" s="63">
        <f t="shared" ca="1" si="11"/>
        <v>39.972060780385142</v>
      </c>
      <c r="AB129" s="63">
        <f t="shared" ca="1" si="12"/>
        <v>39.972060780385135</v>
      </c>
      <c r="AC129" s="3">
        <f t="shared" ca="1" si="13"/>
        <v>0</v>
      </c>
    </row>
    <row r="130" spans="8:29">
      <c r="H130" t="b">
        <f t="shared" ca="1" si="10"/>
        <v>0</v>
      </c>
      <c r="I130" t="b">
        <f t="shared" ca="1" si="7"/>
        <v>0</v>
      </c>
      <c r="J130" s="2">
        <f ca="1"/>
        <v>45353</v>
      </c>
      <c r="K130">
        <f ca="1"/>
        <v>39.215217897758265</v>
      </c>
      <c r="L130">
        <f ca="1"/>
        <v>0.50723279189123005</v>
      </c>
      <c r="M130">
        <f ca="1"/>
        <v>2.1212203623627524E-2</v>
      </c>
      <c r="N130">
        <f ca="1"/>
        <v>0.21076350422383827</v>
      </c>
      <c r="O130">
        <f ca="1"/>
        <v>0</v>
      </c>
      <c r="P130">
        <f ca="1"/>
        <v>10.125560090577279</v>
      </c>
      <c r="Q130">
        <f ca="1"/>
        <v>9.2630123791577343</v>
      </c>
      <c r="R130">
        <f ca="1"/>
        <v>0</v>
      </c>
      <c r="S130">
        <f ca="1"/>
        <v>0.49505733063969498</v>
      </c>
      <c r="T130">
        <f ca="1"/>
        <v>0</v>
      </c>
      <c r="U130">
        <f ca="1"/>
        <v>0</v>
      </c>
      <c r="V130">
        <f ca="1"/>
        <v>0.56644853898742564</v>
      </c>
      <c r="X130" s="2">
        <f t="shared" ca="1" si="8"/>
        <v>45353</v>
      </c>
      <c r="Y130">
        <f t="shared" ca="1" si="9"/>
        <v>0</v>
      </c>
      <c r="AA130" s="63">
        <f t="shared" ca="1" si="11"/>
        <v>39.722450689649492</v>
      </c>
      <c r="AB130" s="63">
        <f t="shared" ca="1" si="12"/>
        <v>39.722450689649492</v>
      </c>
      <c r="AC130" s="3">
        <f t="shared" ca="1" si="13"/>
        <v>0</v>
      </c>
    </row>
    <row r="131" spans="8:29">
      <c r="H131" t="b">
        <f t="shared" ca="1" si="10"/>
        <v>0</v>
      </c>
      <c r="I131" t="b">
        <f t="shared" ca="1" si="7"/>
        <v>0</v>
      </c>
      <c r="J131" s="2">
        <f ca="1"/>
        <v>45354</v>
      </c>
      <c r="K131">
        <f ca="1"/>
        <v>38.933584007382514</v>
      </c>
      <c r="L131">
        <f ca="1"/>
        <v>0.51122418184382212</v>
      </c>
      <c r="M131">
        <f ca="1"/>
        <v>2.007449404052597E-2</v>
      </c>
      <c r="N131">
        <f ca="1"/>
        <v>0.20951579742753881</v>
      </c>
      <c r="O131">
        <f ca="1"/>
        <v>0</v>
      </c>
      <c r="P131">
        <f ca="1"/>
        <v>10.636784272421101</v>
      </c>
      <c r="Q131">
        <f ca="1"/>
        <v>9.7306878344000456</v>
      </c>
      <c r="R131">
        <f ca="1"/>
        <v>0</v>
      </c>
      <c r="S131">
        <f ca="1"/>
        <v>0.53170660761258293</v>
      </c>
      <c r="T131">
        <f ca="1"/>
        <v>0</v>
      </c>
      <c r="U131">
        <f ca="1"/>
        <v>0</v>
      </c>
      <c r="V131">
        <f ca="1"/>
        <v>0.59809101178922397</v>
      </c>
      <c r="X131" s="2">
        <f t="shared" ca="1" si="8"/>
        <v>45354</v>
      </c>
      <c r="Y131">
        <f t="shared" ca="1" si="9"/>
        <v>0</v>
      </c>
      <c r="AA131" s="63">
        <f t="shared" ca="1" si="11"/>
        <v>39.444808189226336</v>
      </c>
      <c r="AB131" s="63">
        <f t="shared" ca="1" si="12"/>
        <v>39.444808189226336</v>
      </c>
      <c r="AC131" s="3">
        <f t="shared" ca="1" si="13"/>
        <v>0</v>
      </c>
    </row>
    <row r="132" spans="8:29">
      <c r="H132" t="b">
        <f t="shared" ca="1" si="10"/>
        <v>0</v>
      </c>
      <c r="I132" t="b">
        <f t="shared" ca="1" si="7"/>
        <v>0</v>
      </c>
      <c r="J132" s="2">
        <f ca="1"/>
        <v>45355</v>
      </c>
      <c r="K132">
        <f ca="1"/>
        <v>38.626581205308042</v>
      </c>
      <c r="L132">
        <f ca="1"/>
        <v>0.53302636618576571</v>
      </c>
      <c r="M132">
        <f ca="1"/>
        <v>1.9694248797723191E-2</v>
      </c>
      <c r="N132">
        <f ca="1"/>
        <v>0.20632931531356424</v>
      </c>
      <c r="O132">
        <f ca="1"/>
        <v>0</v>
      </c>
      <c r="P132">
        <f ca="1"/>
        <v>11.169810638606867</v>
      </c>
      <c r="Q132">
        <f ca="1"/>
        <v>10.21830825087369</v>
      </c>
      <c r="R132">
        <f ca="1"/>
        <v>0</v>
      </c>
      <c r="S132">
        <f ca="1"/>
        <v>0.5246795774315437</v>
      </c>
      <c r="T132">
        <f ca="1"/>
        <v>0</v>
      </c>
      <c r="U132">
        <f ca="1"/>
        <v>0</v>
      </c>
      <c r="V132">
        <f ca="1"/>
        <v>0.62880212870321173</v>
      </c>
      <c r="X132" s="2">
        <f t="shared" ca="1" si="8"/>
        <v>45355</v>
      </c>
      <c r="Y132">
        <f t="shared" ca="1" si="9"/>
        <v>0</v>
      </c>
      <c r="AA132" s="63">
        <f t="shared" ca="1" si="11"/>
        <v>39.159607571493808</v>
      </c>
      <c r="AB132" s="63">
        <f t="shared" ca="1" si="12"/>
        <v>39.159607571493808</v>
      </c>
      <c r="AC132" s="3">
        <f t="shared" ca="1" si="13"/>
        <v>0</v>
      </c>
    </row>
    <row r="133" spans="8:29">
      <c r="H133" t="b">
        <f t="shared" ca="1" si="10"/>
        <v>0</v>
      </c>
      <c r="I133" t="b">
        <f t="shared" ca="1" si="7"/>
        <v>0</v>
      </c>
      <c r="J133" s="2">
        <f ca="1"/>
        <v>45356</v>
      </c>
      <c r="K133">
        <f ca="1"/>
        <v>38.284412112001888</v>
      </c>
      <c r="L133">
        <f ca="1"/>
        <v>0.57106377887224546</v>
      </c>
      <c r="M133">
        <f ca="1"/>
        <v>1.9994664776135096E-2</v>
      </c>
      <c r="N133">
        <f ca="1"/>
        <v>0.20890002078995182</v>
      </c>
      <c r="O133">
        <f ca="1"/>
        <v>0</v>
      </c>
      <c r="P133">
        <f ca="1"/>
        <v>11.740874417479112</v>
      </c>
      <c r="Q133">
        <f ca="1"/>
        <v>10.740725855990151</v>
      </c>
      <c r="R133">
        <f ca="1"/>
        <v>0</v>
      </c>
      <c r="S133">
        <f ca="1"/>
        <v>0.51079640103431545</v>
      </c>
      <c r="T133">
        <f ca="1"/>
        <v>0</v>
      </c>
      <c r="U133">
        <f ca="1"/>
        <v>0</v>
      </c>
      <c r="V133">
        <f ca="1"/>
        <v>0.65917161846775862</v>
      </c>
      <c r="X133" s="2">
        <f t="shared" ca="1" si="8"/>
        <v>45356</v>
      </c>
      <c r="Y133">
        <f t="shared" ca="1" si="9"/>
        <v>0</v>
      </c>
      <c r="AA133" s="63">
        <f t="shared" ca="1" si="11"/>
        <v>38.855475890874132</v>
      </c>
      <c r="AB133" s="63">
        <f t="shared" ca="1" si="12"/>
        <v>38.855475890874132</v>
      </c>
      <c r="AC133" s="3">
        <f t="shared" ca="1" si="13"/>
        <v>0</v>
      </c>
    </row>
    <row r="134" spans="8:29">
      <c r="H134" t="b">
        <f t="shared" ca="1" si="10"/>
        <v>0</v>
      </c>
      <c r="I134" t="b">
        <f t="shared" ca="1" si="7"/>
        <v>0</v>
      </c>
      <c r="J134" s="2">
        <f ca="1"/>
        <v>45357</v>
      </c>
      <c r="K134">
        <f ca="1"/>
        <v>37.923984001934826</v>
      </c>
      <c r="L134">
        <f ca="1"/>
        <v>0.5792831608471527</v>
      </c>
      <c r="M134">
        <f ca="1"/>
        <v>1.8974815975463244E-2</v>
      </c>
      <c r="N134">
        <f ca="1"/>
        <v>0.19988023480462866</v>
      </c>
      <c r="O134">
        <f ca="1"/>
        <v>0</v>
      </c>
      <c r="P134">
        <f ca="1"/>
        <v>12.320157578326265</v>
      </c>
      <c r="Q134">
        <f ca="1"/>
        <v>11.27066267350588</v>
      </c>
      <c r="R134">
        <f ca="1"/>
        <v>0</v>
      </c>
      <c r="S134">
        <f ca="1"/>
        <v>0.50979186007665467</v>
      </c>
      <c r="T134">
        <f ca="1"/>
        <v>0</v>
      </c>
      <c r="U134">
        <f ca="1"/>
        <v>0</v>
      </c>
      <c r="V134">
        <f ca="1"/>
        <v>0.68740475035783644</v>
      </c>
      <c r="X134" s="2">
        <f t="shared" ca="1" si="8"/>
        <v>45357</v>
      </c>
      <c r="Y134">
        <f t="shared" ca="1" si="9"/>
        <v>0</v>
      </c>
      <c r="AA134" s="63">
        <f t="shared" ca="1" si="11"/>
        <v>38.503267162781981</v>
      </c>
      <c r="AB134" s="63">
        <f t="shared" ca="1" si="12"/>
        <v>38.503267162781981</v>
      </c>
      <c r="AC134" s="3">
        <f t="shared" ca="1" si="13"/>
        <v>0</v>
      </c>
    </row>
    <row r="135" spans="8:29">
      <c r="H135" t="b">
        <f t="shared" ca="1" si="10"/>
        <v>0</v>
      </c>
      <c r="I135" t="b">
        <f t="shared" ref="I135:I198" ca="1" si="14">AND(IF(J135&gt;($J$3-1),TRUE,FALSE),IF(J135&lt;($J$4+1),TRUE,FALSE))</f>
        <v>0</v>
      </c>
      <c r="J135" s="2">
        <f ca="1"/>
        <v>45358</v>
      </c>
      <c r="K135">
        <f ca="1"/>
        <v>37.520540658752175</v>
      </c>
      <c r="L135">
        <f ca="1"/>
        <v>0.61801682371524613</v>
      </c>
      <c r="M135">
        <f ca="1"/>
        <v>1.8279881277134535E-2</v>
      </c>
      <c r="N135">
        <f ca="1"/>
        <v>0.19629359925545356</v>
      </c>
      <c r="O135">
        <f ca="1"/>
        <v>0</v>
      </c>
      <c r="P135">
        <f ca="1"/>
        <v>12.938174402041511</v>
      </c>
      <c r="Q135">
        <f ca="1"/>
        <v>11.836033619645381</v>
      </c>
      <c r="R135">
        <f ca="1"/>
        <v>0</v>
      </c>
      <c r="S135">
        <f ca="1"/>
        <v>0.47589206771074299</v>
      </c>
      <c r="T135">
        <f ca="1"/>
        <v>0</v>
      </c>
      <c r="U135">
        <f ca="1"/>
        <v>0</v>
      </c>
      <c r="V135">
        <f ca="1"/>
        <v>0.71482802574522852</v>
      </c>
      <c r="X135" s="2">
        <f t="shared" ref="X135:X198" ca="1" si="15">IFERROR(J135,$X$5)</f>
        <v>45358</v>
      </c>
      <c r="Y135">
        <f t="shared" ref="Y135:Y198" ca="1" si="16">IFERROR(O135,0)</f>
        <v>0</v>
      </c>
      <c r="AA135" s="63">
        <f t="shared" ca="1" si="11"/>
        <v>38.138557482467419</v>
      </c>
      <c r="AB135" s="63">
        <f t="shared" ca="1" si="12"/>
        <v>38.138557482467419</v>
      </c>
      <c r="AC135" s="3">
        <f t="shared" ca="1" si="13"/>
        <v>0</v>
      </c>
    </row>
    <row r="136" spans="8:29">
      <c r="H136" t="b">
        <f t="shared" ref="H136:H199" ca="1" si="17">IF(J136&lt;$J$4,TRUE,FALSE)</f>
        <v>0</v>
      </c>
      <c r="I136" t="b">
        <f t="shared" ca="1" si="14"/>
        <v>0</v>
      </c>
      <c r="J136" s="2">
        <f ca="1"/>
        <v>45359</v>
      </c>
      <c r="K136">
        <f ca="1"/>
        <v>37.083998847739153</v>
      </c>
      <c r="L136">
        <f ca="1"/>
        <v>0.65543887099774878</v>
      </c>
      <c r="M136">
        <f ca="1"/>
        <v>1.8454731696671445E-2</v>
      </c>
      <c r="N136">
        <f ca="1"/>
        <v>0.20044232828805414</v>
      </c>
      <c r="O136">
        <f ca="1"/>
        <v>0</v>
      </c>
      <c r="P136">
        <f ca="1"/>
        <v>13.59361327303926</v>
      </c>
      <c r="Q136">
        <f ca="1"/>
        <v>12.435638809039618</v>
      </c>
      <c r="R136">
        <f ca="1"/>
        <v>0</v>
      </c>
      <c r="S136">
        <f ca="1"/>
        <v>0.47818344873843516</v>
      </c>
      <c r="T136">
        <f ca="1"/>
        <v>0</v>
      </c>
      <c r="U136">
        <f ca="1"/>
        <v>0</v>
      </c>
      <c r="V136">
        <f ca="1"/>
        <v>0.74108536859121121</v>
      </c>
      <c r="X136" s="2">
        <f t="shared" ca="1" si="15"/>
        <v>45359</v>
      </c>
      <c r="Y136">
        <f t="shared" ca="1" si="16"/>
        <v>0</v>
      </c>
      <c r="AA136" s="63">
        <f t="shared" ca="1" si="11"/>
        <v>37.739437718736902</v>
      </c>
      <c r="AB136" s="63">
        <f t="shared" ca="1" si="12"/>
        <v>37.739437718736902</v>
      </c>
      <c r="AC136" s="3">
        <f t="shared" ca="1" si="13"/>
        <v>0</v>
      </c>
    </row>
    <row r="137" spans="8:29">
      <c r="H137" t="b">
        <f t="shared" ca="1" si="17"/>
        <v>0</v>
      </c>
      <c r="I137" t="b">
        <f t="shared" ca="1" si="14"/>
        <v>0</v>
      </c>
      <c r="J137" s="2">
        <f ca="1"/>
        <v>45360</v>
      </c>
      <c r="K137">
        <f ca="1"/>
        <v>36.615475222933881</v>
      </c>
      <c r="L137">
        <f ca="1"/>
        <v>0.67532227712944604</v>
      </c>
      <c r="M137">
        <f ca="1"/>
        <v>1.6935488511863994E-2</v>
      </c>
      <c r="N137">
        <f ca="1"/>
        <v>0.18986316381231319</v>
      </c>
      <c r="O137">
        <f ca="1"/>
        <v>0</v>
      </c>
      <c r="P137">
        <f ca="1"/>
        <v>14.268935550168706</v>
      </c>
      <c r="Q137">
        <f ca="1"/>
        <v>13.05343363293211</v>
      </c>
      <c r="R137">
        <f ca="1"/>
        <v>0</v>
      </c>
      <c r="S137">
        <f ca="1"/>
        <v>0.45257696261121116</v>
      </c>
      <c r="T137">
        <f ca="1"/>
        <v>0</v>
      </c>
      <c r="U137">
        <f ca="1"/>
        <v>0</v>
      </c>
      <c r="V137">
        <f ca="1"/>
        <v>0.76535467319140615</v>
      </c>
      <c r="X137" s="2">
        <f t="shared" ca="1" si="15"/>
        <v>45360</v>
      </c>
      <c r="Y137">
        <f t="shared" ca="1" si="16"/>
        <v>0</v>
      </c>
      <c r="AA137" s="63">
        <f t="shared" ref="AA137:AA200" ca="1" si="18">K136+M137+N137+O137</f>
        <v>37.290797500063327</v>
      </c>
      <c r="AB137" s="63">
        <f t="shared" ref="AB137:AB200" ca="1" si="19">K137+L137+R137</f>
        <v>37.290797500063327</v>
      </c>
      <c r="AC137" s="3">
        <f t="shared" ref="AC137:AC200" ca="1" si="20">AB137-AA137</f>
        <v>0</v>
      </c>
    </row>
    <row r="138" spans="8:29">
      <c r="H138" t="b">
        <f t="shared" ca="1" si="17"/>
        <v>0</v>
      </c>
      <c r="I138" t="b">
        <f t="shared" ca="1" si="14"/>
        <v>0</v>
      </c>
      <c r="J138" s="2">
        <f ca="1"/>
        <v>45361</v>
      </c>
      <c r="K138">
        <f ca="1"/>
        <v>36.136903803322944</v>
      </c>
      <c r="L138">
        <f ca="1"/>
        <v>0.69929146280565213</v>
      </c>
      <c r="M138">
        <f ca="1"/>
        <v>1.8280656774980031E-2</v>
      </c>
      <c r="N138">
        <f ca="1"/>
        <v>0.20243938641973891</v>
      </c>
      <c r="O138">
        <f ca="1"/>
        <v>0</v>
      </c>
      <c r="P138">
        <f ca="1"/>
        <v>14.968227012974358</v>
      </c>
      <c r="Q138">
        <f ca="1"/>
        <v>13.693155822980247</v>
      </c>
      <c r="R138">
        <f ca="1"/>
        <v>0</v>
      </c>
      <c r="S138">
        <f ca="1"/>
        <v>0.51141175142110562</v>
      </c>
      <c r="T138">
        <f ca="1"/>
        <v>0</v>
      </c>
      <c r="U138">
        <f ca="1"/>
        <v>0</v>
      </c>
      <c r="V138">
        <f ca="1"/>
        <v>0.78779480582287542</v>
      </c>
      <c r="X138" s="2">
        <f t="shared" ca="1" si="15"/>
        <v>45361</v>
      </c>
      <c r="Y138">
        <f t="shared" ca="1" si="16"/>
        <v>0</v>
      </c>
      <c r="AA138" s="63">
        <f t="shared" ca="1" si="18"/>
        <v>36.836195266128598</v>
      </c>
      <c r="AB138" s="63">
        <f t="shared" ca="1" si="19"/>
        <v>36.836195266128598</v>
      </c>
      <c r="AC138" s="3">
        <f t="shared" ca="1" si="20"/>
        <v>0</v>
      </c>
    </row>
    <row r="139" spans="8:29">
      <c r="H139" t="b">
        <f t="shared" ca="1" si="17"/>
        <v>0</v>
      </c>
      <c r="I139" t="b">
        <f t="shared" ca="1" si="14"/>
        <v>0</v>
      </c>
      <c r="J139" s="2">
        <f ca="1"/>
        <v>45362</v>
      </c>
      <c r="K139">
        <f ca="1"/>
        <v>35.62169550808111</v>
      </c>
      <c r="L139">
        <f ca="1"/>
        <v>0.73804624897443283</v>
      </c>
      <c r="M139">
        <f ca="1"/>
        <v>1.8290472678639702E-2</v>
      </c>
      <c r="N139">
        <f ca="1"/>
        <v>0.20454748105396581</v>
      </c>
      <c r="O139">
        <f ca="1"/>
        <v>0</v>
      </c>
      <c r="P139">
        <f ca="1"/>
        <v>15.706273261948791</v>
      </c>
      <c r="Q139">
        <f ca="1"/>
        <v>14.36833146556056</v>
      </c>
      <c r="R139">
        <f ca="1"/>
        <v>0</v>
      </c>
      <c r="S139">
        <f ca="1"/>
        <v>0.50899742070905141</v>
      </c>
      <c r="T139">
        <f ca="1"/>
        <v>0</v>
      </c>
      <c r="U139">
        <f ca="1"/>
        <v>0</v>
      </c>
      <c r="V139">
        <f ca="1"/>
        <v>0.80882648346794106</v>
      </c>
      <c r="X139" s="2">
        <f t="shared" ca="1" si="15"/>
        <v>45362</v>
      </c>
      <c r="Y139">
        <f t="shared" ca="1" si="16"/>
        <v>0</v>
      </c>
      <c r="AA139" s="63">
        <f t="shared" ca="1" si="18"/>
        <v>36.359741757055545</v>
      </c>
      <c r="AB139" s="63">
        <f t="shared" ca="1" si="19"/>
        <v>36.359741757055545</v>
      </c>
      <c r="AC139" s="3">
        <f t="shared" ca="1" si="20"/>
        <v>0</v>
      </c>
    </row>
    <row r="140" spans="8:29">
      <c r="H140" t="b">
        <f t="shared" ca="1" si="17"/>
        <v>0</v>
      </c>
      <c r="I140" t="b">
        <f t="shared" ca="1" si="14"/>
        <v>0</v>
      </c>
      <c r="J140" s="2">
        <f ca="1"/>
        <v>45363</v>
      </c>
      <c r="K140">
        <f ca="1"/>
        <v>35.077416757344025</v>
      </c>
      <c r="L140">
        <f ca="1"/>
        <v>0.75497560941722597</v>
      </c>
      <c r="M140">
        <f ca="1"/>
        <v>1.7197248293172152E-2</v>
      </c>
      <c r="N140">
        <f ca="1"/>
        <v>0.1934996103869637</v>
      </c>
      <c r="O140">
        <f ca="1"/>
        <v>0</v>
      </c>
      <c r="P140">
        <f ca="1"/>
        <v>16.461248871366017</v>
      </c>
      <c r="Q140">
        <f ca="1"/>
        <v>15.05899433787928</v>
      </c>
      <c r="R140">
        <f ca="1"/>
        <v>0</v>
      </c>
      <c r="S140">
        <f ca="1"/>
        <v>0.48799758887371186</v>
      </c>
      <c r="T140">
        <f ca="1"/>
        <v>0</v>
      </c>
      <c r="U140">
        <f ca="1"/>
        <v>0</v>
      </c>
      <c r="V140">
        <f ca="1"/>
        <v>0.82784792519770978</v>
      </c>
      <c r="X140" s="2">
        <f t="shared" ca="1" si="15"/>
        <v>45363</v>
      </c>
      <c r="Y140">
        <f t="shared" ca="1" si="16"/>
        <v>0</v>
      </c>
      <c r="AA140" s="63">
        <f t="shared" ca="1" si="18"/>
        <v>35.832392366761248</v>
      </c>
      <c r="AB140" s="63">
        <f t="shared" ca="1" si="19"/>
        <v>35.832392366761255</v>
      </c>
      <c r="AC140" s="3">
        <f t="shared" ca="1" si="20"/>
        <v>0</v>
      </c>
    </row>
    <row r="141" spans="8:29">
      <c r="H141" t="b">
        <f t="shared" ca="1" si="17"/>
        <v>0</v>
      </c>
      <c r="I141" t="b">
        <f t="shared" ca="1" si="14"/>
        <v>0</v>
      </c>
      <c r="J141" s="2">
        <f ca="1"/>
        <v>45364</v>
      </c>
      <c r="K141">
        <f ca="1"/>
        <v>34.494744346279802</v>
      </c>
      <c r="L141">
        <f ca="1"/>
        <v>0.78773286836549161</v>
      </c>
      <c r="M141">
        <f ca="1"/>
        <v>1.6339293837612345E-2</v>
      </c>
      <c r="N141">
        <f ca="1"/>
        <v>0.18872116346365633</v>
      </c>
      <c r="O141">
        <f ca="1"/>
        <v>0</v>
      </c>
      <c r="P141">
        <f ca="1"/>
        <v>17.248981739731509</v>
      </c>
      <c r="Q141">
        <f ca="1"/>
        <v>15.779624035976603</v>
      </c>
      <c r="R141">
        <f ca="1"/>
        <v>0</v>
      </c>
      <c r="S141">
        <f ca="1"/>
        <v>0.46885910575045159</v>
      </c>
      <c r="T141">
        <f ca="1"/>
        <v>0</v>
      </c>
      <c r="U141">
        <f ca="1"/>
        <v>0</v>
      </c>
      <c r="V141">
        <f ca="1"/>
        <v>0.84533866308604988</v>
      </c>
      <c r="X141" s="2">
        <f t="shared" ca="1" si="15"/>
        <v>45364</v>
      </c>
      <c r="Y141">
        <f t="shared" ca="1" si="16"/>
        <v>0</v>
      </c>
      <c r="AA141" s="63">
        <f t="shared" ca="1" si="18"/>
        <v>35.28247721464529</v>
      </c>
      <c r="AB141" s="63">
        <f t="shared" ca="1" si="19"/>
        <v>35.282477214645297</v>
      </c>
      <c r="AC141" s="3">
        <f t="shared" ca="1" si="20"/>
        <v>0</v>
      </c>
    </row>
    <row r="142" spans="8:29">
      <c r="H142" t="b">
        <f t="shared" ca="1" si="17"/>
        <v>0</v>
      </c>
      <c r="I142" t="b">
        <f t="shared" ca="1" si="14"/>
        <v>0</v>
      </c>
      <c r="J142" s="2">
        <f ca="1"/>
        <v>45365</v>
      </c>
      <c r="K142">
        <f ca="1"/>
        <v>33.88411175058215</v>
      </c>
      <c r="L142">
        <f ca="1"/>
        <v>0.81400328069521777</v>
      </c>
      <c r="M142">
        <f ca="1"/>
        <v>1.6099865018386339E-2</v>
      </c>
      <c r="N142">
        <f ca="1"/>
        <v>0.1872708199791826</v>
      </c>
      <c r="O142">
        <f ca="1"/>
        <v>0</v>
      </c>
      <c r="P142">
        <f ca="1"/>
        <v>18.062985020426726</v>
      </c>
      <c r="Q142">
        <f ca="1"/>
        <v>16.524286296464449</v>
      </c>
      <c r="R142">
        <f ca="1"/>
        <v>0</v>
      </c>
      <c r="S142">
        <f ca="1"/>
        <v>0.47228169936959458</v>
      </c>
      <c r="T142">
        <f ca="1"/>
        <v>0</v>
      </c>
      <c r="U142">
        <f ca="1"/>
        <v>0</v>
      </c>
      <c r="V142">
        <f ca="1"/>
        <v>0.86121197935817517</v>
      </c>
      <c r="X142" s="2">
        <f t="shared" ca="1" si="15"/>
        <v>45365</v>
      </c>
      <c r="Y142">
        <f t="shared" ca="1" si="16"/>
        <v>0</v>
      </c>
      <c r="AA142" s="63">
        <f t="shared" ca="1" si="18"/>
        <v>34.698115031277375</v>
      </c>
      <c r="AB142" s="63">
        <f t="shared" ca="1" si="19"/>
        <v>34.698115031277368</v>
      </c>
      <c r="AC142" s="3">
        <f t="shared" ca="1" si="20"/>
        <v>0</v>
      </c>
    </row>
    <row r="143" spans="8:29">
      <c r="H143" t="b">
        <f t="shared" ca="1" si="17"/>
        <v>0</v>
      </c>
      <c r="I143" t="b">
        <f t="shared" ca="1" si="14"/>
        <v>0</v>
      </c>
      <c r="J143" s="2">
        <f ca="1"/>
        <v>45366</v>
      </c>
      <c r="K143">
        <f ca="1"/>
        <v>33.234360913992617</v>
      </c>
      <c r="L143">
        <f ca="1"/>
        <v>0.85517658202816094</v>
      </c>
      <c r="M143">
        <f ca="1"/>
        <v>1.6087156015153425E-2</v>
      </c>
      <c r="N143">
        <f ca="1"/>
        <v>0.18933858942347606</v>
      </c>
      <c r="O143">
        <f ca="1"/>
        <v>0</v>
      </c>
      <c r="P143">
        <f ca="1"/>
        <v>18.918161602454887</v>
      </c>
      <c r="Q143">
        <f ca="1"/>
        <v>17.306614502986509</v>
      </c>
      <c r="R143">
        <f ca="1"/>
        <v>0</v>
      </c>
      <c r="S143">
        <f ca="1"/>
        <v>0.47253093840048499</v>
      </c>
      <c r="T143">
        <f ca="1"/>
        <v>0</v>
      </c>
      <c r="U143">
        <f ca="1"/>
        <v>0</v>
      </c>
      <c r="V143">
        <f ca="1"/>
        <v>0.87580568768870581</v>
      </c>
      <c r="X143" s="2">
        <f t="shared" ca="1" si="15"/>
        <v>45366</v>
      </c>
      <c r="Y143">
        <f t="shared" ca="1" si="16"/>
        <v>0</v>
      </c>
      <c r="AA143" s="63">
        <f t="shared" ca="1" si="18"/>
        <v>34.089537496020782</v>
      </c>
      <c r="AB143" s="63">
        <f t="shared" ca="1" si="19"/>
        <v>34.089537496020782</v>
      </c>
      <c r="AC143" s="3">
        <f t="shared" ca="1" si="20"/>
        <v>0</v>
      </c>
    </row>
    <row r="144" spans="8:29">
      <c r="H144" t="b">
        <f t="shared" ca="1" si="17"/>
        <v>0</v>
      </c>
      <c r="I144" t="b">
        <f t="shared" ca="1" si="14"/>
        <v>0</v>
      </c>
      <c r="J144" s="2">
        <f ca="1"/>
        <v>45367</v>
      </c>
      <c r="K144">
        <f ca="1"/>
        <v>32.546761148725324</v>
      </c>
      <c r="L144">
        <f ca="1"/>
        <v>0.89004985314154439</v>
      </c>
      <c r="M144">
        <f ca="1"/>
        <v>1.558794366206584E-2</v>
      </c>
      <c r="N144">
        <f ca="1"/>
        <v>0.1868621442121883</v>
      </c>
      <c r="O144">
        <f ca="1"/>
        <v>0</v>
      </c>
      <c r="P144">
        <f ca="1"/>
        <v>19.808211455596432</v>
      </c>
      <c r="Q144">
        <f ca="1"/>
        <v>18.120845294564141</v>
      </c>
      <c r="R144">
        <f ca="1"/>
        <v>0</v>
      </c>
      <c r="S144">
        <f ca="1"/>
        <v>0.46358496058328269</v>
      </c>
      <c r="T144">
        <f ca="1"/>
        <v>0</v>
      </c>
      <c r="U144">
        <f ca="1"/>
        <v>0</v>
      </c>
      <c r="V144">
        <f ca="1"/>
        <v>0.88904828593656526</v>
      </c>
      <c r="X144" s="2">
        <f t="shared" ca="1" si="15"/>
        <v>45367</v>
      </c>
      <c r="Y144">
        <f t="shared" ca="1" si="16"/>
        <v>0</v>
      </c>
      <c r="AA144" s="63">
        <f t="shared" ca="1" si="18"/>
        <v>33.436811001866872</v>
      </c>
      <c r="AB144" s="63">
        <f t="shared" ca="1" si="19"/>
        <v>33.436811001866872</v>
      </c>
      <c r="AC144" s="3">
        <f t="shared" ca="1" si="20"/>
        <v>0</v>
      </c>
    </row>
    <row r="145" spans="8:29">
      <c r="H145" t="b">
        <f t="shared" ca="1" si="17"/>
        <v>0</v>
      </c>
      <c r="I145" t="b">
        <f t="shared" ca="1" si="14"/>
        <v>0</v>
      </c>
      <c r="J145" s="2">
        <f ca="1"/>
        <v>45368</v>
      </c>
      <c r="K145">
        <f ca="1"/>
        <v>31.819754085719154</v>
      </c>
      <c r="L145">
        <f ca="1"/>
        <v>0.92265894098004253</v>
      </c>
      <c r="M145">
        <f ca="1"/>
        <v>1.4674328691726579E-2</v>
      </c>
      <c r="N145">
        <f ca="1"/>
        <v>0.18097754928214585</v>
      </c>
      <c r="O145">
        <f ca="1"/>
        <v>0</v>
      </c>
      <c r="P145">
        <f ca="1"/>
        <v>20.730870396576474</v>
      </c>
      <c r="Q145">
        <f ca="1"/>
        <v>18.964907362794037</v>
      </c>
      <c r="R145">
        <f ca="1"/>
        <v>0</v>
      </c>
      <c r="S145">
        <f ca="1"/>
        <v>0.4435682412547316</v>
      </c>
      <c r="T145">
        <f ca="1"/>
        <v>0</v>
      </c>
      <c r="U145">
        <f ca="1"/>
        <v>0</v>
      </c>
      <c r="V145">
        <f ca="1"/>
        <v>0.9009869025625844</v>
      </c>
      <c r="X145" s="2">
        <f t="shared" ca="1" si="15"/>
        <v>45368</v>
      </c>
      <c r="Y145">
        <f t="shared" ca="1" si="16"/>
        <v>0</v>
      </c>
      <c r="AA145" s="63">
        <f t="shared" ca="1" si="18"/>
        <v>32.742413026699197</v>
      </c>
      <c r="AB145" s="63">
        <f t="shared" ca="1" si="19"/>
        <v>32.742413026699197</v>
      </c>
      <c r="AC145" s="3">
        <f t="shared" ca="1" si="20"/>
        <v>0</v>
      </c>
    </row>
    <row r="146" spans="8:29">
      <c r="H146" t="b">
        <f t="shared" ca="1" si="17"/>
        <v>0</v>
      </c>
      <c r="I146" t="b">
        <f t="shared" ca="1" si="14"/>
        <v>0</v>
      </c>
      <c r="J146" s="2">
        <f ca="1"/>
        <v>45369</v>
      </c>
      <c r="K146">
        <f ca="1"/>
        <v>31.067527772951141</v>
      </c>
      <c r="L146">
        <f ca="1"/>
        <v>0.93524938186760309</v>
      </c>
      <c r="M146">
        <f ca="1"/>
        <v>1.3340023963920089E-2</v>
      </c>
      <c r="N146">
        <f ca="1"/>
        <v>0.16968304513567195</v>
      </c>
      <c r="O146">
        <f ca="1"/>
        <v>0</v>
      </c>
      <c r="P146">
        <f ca="1"/>
        <v>21.666119778444077</v>
      </c>
      <c r="Q146">
        <f ca="1"/>
        <v>19.820487352872917</v>
      </c>
      <c r="R146">
        <f ca="1"/>
        <v>0</v>
      </c>
      <c r="S146">
        <f ca="1"/>
        <v>0.42023150100749601</v>
      </c>
      <c r="T146">
        <f ca="1"/>
        <v>0</v>
      </c>
      <c r="U146">
        <f ca="1"/>
        <v>0</v>
      </c>
      <c r="V146">
        <f ca="1"/>
        <v>0.91150673930191839</v>
      </c>
      <c r="X146" s="2">
        <f t="shared" ca="1" si="15"/>
        <v>45369</v>
      </c>
      <c r="Y146">
        <f t="shared" ca="1" si="16"/>
        <v>0</v>
      </c>
      <c r="AA146" s="63">
        <f t="shared" ca="1" si="18"/>
        <v>32.002777154818745</v>
      </c>
      <c r="AB146" s="63">
        <f t="shared" ca="1" si="19"/>
        <v>32.002777154818745</v>
      </c>
      <c r="AC146" s="3">
        <f t="shared" ca="1" si="20"/>
        <v>0</v>
      </c>
    </row>
    <row r="147" spans="8:29">
      <c r="H147" t="b">
        <f t="shared" ca="1" si="17"/>
        <v>0</v>
      </c>
      <c r="I147" t="b">
        <f t="shared" ca="1" si="14"/>
        <v>0</v>
      </c>
      <c r="J147" s="2">
        <f ca="1"/>
        <v>45370</v>
      </c>
      <c r="K147">
        <f ca="1"/>
        <v>30.278927090615205</v>
      </c>
      <c r="L147">
        <f ca="1"/>
        <v>0.97477809353750899</v>
      </c>
      <c r="M147">
        <f ca="1"/>
        <v>1.3579942892287811E-2</v>
      </c>
      <c r="N147">
        <f ca="1"/>
        <v>0.17259746830928438</v>
      </c>
      <c r="O147">
        <f ca="1"/>
        <v>0</v>
      </c>
      <c r="P147">
        <f ca="1"/>
        <v>22.640897871981586</v>
      </c>
      <c r="Q147">
        <f ca="1"/>
        <v>20.712228793997966</v>
      </c>
      <c r="R147">
        <f ca="1"/>
        <v>0</v>
      </c>
      <c r="S147">
        <f ca="1"/>
        <v>0.43053880570819325</v>
      </c>
      <c r="T147">
        <f ca="1"/>
        <v>0</v>
      </c>
      <c r="U147">
        <f ca="1"/>
        <v>0</v>
      </c>
      <c r="V147">
        <f ca="1"/>
        <v>0.92103312188496167</v>
      </c>
      <c r="X147" s="2">
        <f t="shared" ca="1" si="15"/>
        <v>45370</v>
      </c>
      <c r="Y147">
        <f t="shared" ca="1" si="16"/>
        <v>0</v>
      </c>
      <c r="AA147" s="63">
        <f t="shared" ca="1" si="18"/>
        <v>31.253705184152714</v>
      </c>
      <c r="AB147" s="63">
        <f t="shared" ca="1" si="19"/>
        <v>31.253705184152714</v>
      </c>
      <c r="AC147" s="3">
        <f t="shared" ca="1" si="20"/>
        <v>0</v>
      </c>
    </row>
    <row r="148" spans="8:29">
      <c r="H148" t="b">
        <f t="shared" ca="1" si="17"/>
        <v>0</v>
      </c>
      <c r="I148" t="b">
        <f t="shared" ca="1" si="14"/>
        <v>0</v>
      </c>
      <c r="J148" s="2">
        <f ca="1"/>
        <v>45371</v>
      </c>
      <c r="K148">
        <f ca="1"/>
        <v>29.431514235542995</v>
      </c>
      <c r="L148">
        <f ca="1"/>
        <v>1.0293572896259668</v>
      </c>
      <c r="M148">
        <f ca="1"/>
        <v>1.2682312250264616E-2</v>
      </c>
      <c r="N148">
        <f ca="1"/>
        <v>0.16926212230349472</v>
      </c>
      <c r="O148">
        <f ca="1"/>
        <v>0</v>
      </c>
      <c r="P148">
        <f ca="1"/>
        <v>23.670255161607553</v>
      </c>
      <c r="Q148">
        <f ca="1"/>
        <v>21.653900092285429</v>
      </c>
      <c r="R148">
        <f ca="1"/>
        <v>0</v>
      </c>
      <c r="S148">
        <f ca="1"/>
        <v>0.39823611780097096</v>
      </c>
      <c r="T148">
        <f ca="1"/>
        <v>0</v>
      </c>
      <c r="U148">
        <f ca="1"/>
        <v>0</v>
      </c>
      <c r="V148">
        <f ca="1"/>
        <v>0.92974529970634257</v>
      </c>
      <c r="X148" s="2">
        <f t="shared" ca="1" si="15"/>
        <v>45371</v>
      </c>
      <c r="Y148">
        <f t="shared" ca="1" si="16"/>
        <v>0</v>
      </c>
      <c r="AA148" s="63">
        <f t="shared" ca="1" si="18"/>
        <v>30.460871525168962</v>
      </c>
      <c r="AB148" s="63">
        <f t="shared" ca="1" si="19"/>
        <v>30.460871525168962</v>
      </c>
      <c r="AC148" s="3">
        <f t="shared" ca="1" si="20"/>
        <v>0</v>
      </c>
    </row>
    <row r="149" spans="8:29">
      <c r="H149" t="b">
        <f t="shared" ca="1" si="17"/>
        <v>0</v>
      </c>
      <c r="I149" t="b">
        <f t="shared" ca="1" si="14"/>
        <v>0</v>
      </c>
      <c r="J149" s="2">
        <f ca="1"/>
        <v>45372</v>
      </c>
      <c r="K149">
        <f ca="1"/>
        <v>28.549825881145793</v>
      </c>
      <c r="L149">
        <f ca="1"/>
        <v>1.0625067661228584</v>
      </c>
      <c r="M149">
        <f ca="1"/>
        <v>1.2531795661546496E-2</v>
      </c>
      <c r="N149">
        <f ca="1"/>
        <v>0.16828661606411205</v>
      </c>
      <c r="O149">
        <f ca="1"/>
        <v>0</v>
      </c>
      <c r="P149">
        <f ca="1"/>
        <v>24.732761927730412</v>
      </c>
      <c r="Q149">
        <f ca="1"/>
        <v>22.6258970227756</v>
      </c>
      <c r="R149">
        <f ca="1"/>
        <v>0</v>
      </c>
      <c r="S149">
        <f ca="1"/>
        <v>0.40033882327371029</v>
      </c>
      <c r="T149">
        <f ca="1"/>
        <v>0</v>
      </c>
      <c r="U149">
        <f ca="1"/>
        <v>0</v>
      </c>
      <c r="V149">
        <f ca="1"/>
        <v>0.9375149538584242</v>
      </c>
      <c r="X149" s="2">
        <f t="shared" ca="1" si="15"/>
        <v>45372</v>
      </c>
      <c r="Y149">
        <f t="shared" ca="1" si="16"/>
        <v>0</v>
      </c>
      <c r="AA149" s="63">
        <f t="shared" ca="1" si="18"/>
        <v>29.612332647268655</v>
      </c>
      <c r="AB149" s="63">
        <f t="shared" ca="1" si="19"/>
        <v>29.612332647268651</v>
      </c>
      <c r="AC149" s="3">
        <f t="shared" ca="1" si="20"/>
        <v>0</v>
      </c>
    </row>
    <row r="150" spans="8:29">
      <c r="H150" t="b">
        <f t="shared" ca="1" si="17"/>
        <v>0</v>
      </c>
      <c r="I150" t="b">
        <f t="shared" ca="1" si="14"/>
        <v>0</v>
      </c>
      <c r="J150" s="2">
        <f ca="1"/>
        <v>45373</v>
      </c>
      <c r="K150">
        <f ca="1"/>
        <v>27.645914630663146</v>
      </c>
      <c r="L150">
        <f ca="1"/>
        <v>1.0809614712699123</v>
      </c>
      <c r="M150">
        <f ca="1"/>
        <v>1.2250290548955434E-2</v>
      </c>
      <c r="N150">
        <f ca="1"/>
        <v>0.1647999302383098</v>
      </c>
      <c r="O150">
        <f ca="1"/>
        <v>0</v>
      </c>
      <c r="P150">
        <f ca="1"/>
        <v>25.813723399000324</v>
      </c>
      <c r="Q150">
        <f ca="1"/>
        <v>23.614776590937335</v>
      </c>
      <c r="R150">
        <f ca="1"/>
        <v>0</v>
      </c>
      <c r="S150">
        <f ca="1"/>
        <v>0.40453786913059991</v>
      </c>
      <c r="T150">
        <f ca="1"/>
        <v>0</v>
      </c>
      <c r="U150">
        <f ca="1"/>
        <v>0</v>
      </c>
      <c r="V150">
        <f ca="1"/>
        <v>0.94434781899596243</v>
      </c>
      <c r="X150" s="2">
        <f t="shared" ca="1" si="15"/>
        <v>45373</v>
      </c>
      <c r="Y150">
        <f t="shared" ca="1" si="16"/>
        <v>0</v>
      </c>
      <c r="AA150" s="63">
        <f t="shared" ca="1" si="18"/>
        <v>28.726876101933058</v>
      </c>
      <c r="AB150" s="63">
        <f t="shared" ca="1" si="19"/>
        <v>28.726876101933058</v>
      </c>
      <c r="AC150" s="3">
        <f t="shared" ca="1" si="20"/>
        <v>0</v>
      </c>
    </row>
    <row r="151" spans="8:29">
      <c r="H151" t="b">
        <f t="shared" ca="1" si="17"/>
        <v>0</v>
      </c>
      <c r="I151" t="b">
        <f t="shared" ca="1" si="14"/>
        <v>0</v>
      </c>
      <c r="J151" s="2">
        <f ca="1"/>
        <v>45374</v>
      </c>
      <c r="K151">
        <f ca="1"/>
        <v>26.703310767360442</v>
      </c>
      <c r="L151">
        <f ca="1"/>
        <v>1.1152856141596459</v>
      </c>
      <c r="M151">
        <f ca="1"/>
        <v>1.1664846457654754E-2</v>
      </c>
      <c r="N151">
        <f ca="1"/>
        <v>0.16101690439928462</v>
      </c>
      <c r="O151">
        <f ca="1"/>
        <v>0</v>
      </c>
      <c r="P151">
        <f ca="1"/>
        <v>26.92900901315997</v>
      </c>
      <c r="Q151">
        <f ca="1"/>
        <v>24.635056393520415</v>
      </c>
      <c r="R151">
        <f ca="1"/>
        <v>0</v>
      </c>
      <c r="S151">
        <f ca="1"/>
        <v>0.39101217722951015</v>
      </c>
      <c r="T151">
        <f ca="1"/>
        <v>0</v>
      </c>
      <c r="U151">
        <f ca="1"/>
        <v>0</v>
      </c>
      <c r="V151">
        <f ca="1"/>
        <v>0.95044577928858343</v>
      </c>
      <c r="X151" s="2">
        <f t="shared" ca="1" si="15"/>
        <v>45374</v>
      </c>
      <c r="Y151">
        <f t="shared" ca="1" si="16"/>
        <v>0</v>
      </c>
      <c r="AA151" s="63">
        <f t="shared" ca="1" si="18"/>
        <v>27.818596381520088</v>
      </c>
      <c r="AB151" s="63">
        <f t="shared" ca="1" si="19"/>
        <v>27.818596381520088</v>
      </c>
      <c r="AC151" s="3">
        <f t="shared" ca="1" si="20"/>
        <v>0</v>
      </c>
    </row>
    <row r="152" spans="8:29">
      <c r="H152" t="b">
        <f t="shared" ca="1" si="17"/>
        <v>0</v>
      </c>
      <c r="I152" t="b">
        <f t="shared" ca="1" si="14"/>
        <v>0</v>
      </c>
      <c r="J152" s="2">
        <f ca="1"/>
        <v>45375</v>
      </c>
      <c r="K152">
        <f ca="1"/>
        <v>25.716403674718389</v>
      </c>
      <c r="L152">
        <f ca="1"/>
        <v>1.1567567890590773</v>
      </c>
      <c r="M152">
        <f ca="1"/>
        <v>1.1187727300966621E-2</v>
      </c>
      <c r="N152">
        <f ca="1"/>
        <v>0.15866196911605676</v>
      </c>
      <c r="O152">
        <f ca="1"/>
        <v>0</v>
      </c>
      <c r="P152">
        <f ca="1"/>
        <v>28.085765802219047</v>
      </c>
      <c r="Q152">
        <f ca="1"/>
        <v>25.693274641289275</v>
      </c>
      <c r="R152">
        <f ca="1"/>
        <v>0</v>
      </c>
      <c r="S152">
        <f ca="1"/>
        <v>0.37794556806154389</v>
      </c>
      <c r="T152">
        <f ca="1"/>
        <v>0</v>
      </c>
      <c r="U152">
        <f ca="1"/>
        <v>0</v>
      </c>
      <c r="V152">
        <f ca="1"/>
        <v>0.95591285183883712</v>
      </c>
      <c r="X152" s="2">
        <f t="shared" ca="1" si="15"/>
        <v>45375</v>
      </c>
      <c r="Y152">
        <f t="shared" ca="1" si="16"/>
        <v>0</v>
      </c>
      <c r="AA152" s="63">
        <f t="shared" ca="1" si="18"/>
        <v>26.873160463777467</v>
      </c>
      <c r="AB152" s="63">
        <f t="shared" ca="1" si="19"/>
        <v>26.873160463777467</v>
      </c>
      <c r="AC152" s="3">
        <f t="shared" ca="1" si="20"/>
        <v>0</v>
      </c>
    </row>
    <row r="153" spans="8:29">
      <c r="H153" t="b">
        <f t="shared" ca="1" si="17"/>
        <v>0</v>
      </c>
      <c r="I153" t="b">
        <f t="shared" ca="1" si="14"/>
        <v>0</v>
      </c>
      <c r="J153" s="2">
        <f ca="1"/>
        <v>45376</v>
      </c>
      <c r="K153">
        <f ca="1"/>
        <v>24.687504644866575</v>
      </c>
      <c r="L153">
        <f ca="1"/>
        <v>1.202697917568667</v>
      </c>
      <c r="M153">
        <f ca="1"/>
        <v>1.1539831808471845E-2</v>
      </c>
      <c r="N153">
        <f ca="1"/>
        <v>0.16225905590838108</v>
      </c>
      <c r="O153">
        <f ca="1"/>
        <v>0</v>
      </c>
      <c r="P153">
        <f ca="1"/>
        <v>29.288463719787714</v>
      </c>
      <c r="Q153">
        <f ca="1"/>
        <v>26.793520514028021</v>
      </c>
      <c r="R153">
        <f ca="1"/>
        <v>0</v>
      </c>
      <c r="S153">
        <f ca="1"/>
        <v>0.39156773800196826</v>
      </c>
      <c r="T153">
        <f ca="1"/>
        <v>0</v>
      </c>
      <c r="U153">
        <f ca="1"/>
        <v>0</v>
      </c>
      <c r="V153">
        <f ca="1"/>
        <v>0.96082066936987598</v>
      </c>
      <c r="X153" s="2">
        <f t="shared" ca="1" si="15"/>
        <v>45376</v>
      </c>
      <c r="Y153">
        <f t="shared" ca="1" si="16"/>
        <v>0</v>
      </c>
      <c r="AA153" s="63">
        <f t="shared" ca="1" si="18"/>
        <v>25.890202562435245</v>
      </c>
      <c r="AB153" s="63">
        <f t="shared" ca="1" si="19"/>
        <v>25.890202562435242</v>
      </c>
      <c r="AC153" s="3">
        <f t="shared" ca="1" si="20"/>
        <v>0</v>
      </c>
    </row>
    <row r="154" spans="8:29">
      <c r="H154" t="b">
        <f t="shared" ca="1" si="17"/>
        <v>0</v>
      </c>
      <c r="I154" t="b">
        <f t="shared" ca="1" si="14"/>
        <v>0</v>
      </c>
      <c r="J154" s="2">
        <f ca="1"/>
        <v>45377</v>
      </c>
      <c r="K154">
        <f ca="1"/>
        <v>23.601642207255772</v>
      </c>
      <c r="L154">
        <f ca="1"/>
        <v>1.2557892477989796</v>
      </c>
      <c r="M154">
        <f ca="1"/>
        <v>1.0812021322459842E-2</v>
      </c>
      <c r="N154">
        <f ca="1"/>
        <v>0.15911478886571767</v>
      </c>
      <c r="O154">
        <f ca="1"/>
        <v>0</v>
      </c>
      <c r="P154">
        <f ca="1"/>
        <v>30.544252967586694</v>
      </c>
      <c r="Q154">
        <f ca="1"/>
        <v>27.94233512219968</v>
      </c>
      <c r="R154">
        <f ca="1"/>
        <v>0</v>
      </c>
      <c r="S154">
        <f ca="1"/>
        <v>0.36646241744688979</v>
      </c>
      <c r="T154">
        <f ca="1"/>
        <v>0</v>
      </c>
      <c r="U154">
        <f ca="1"/>
        <v>0</v>
      </c>
      <c r="V154">
        <f ca="1"/>
        <v>0.96523837973442805</v>
      </c>
      <c r="X154" s="2">
        <f t="shared" ca="1" si="15"/>
        <v>45377</v>
      </c>
      <c r="Y154">
        <f t="shared" ca="1" si="16"/>
        <v>0</v>
      </c>
      <c r="AA154" s="63">
        <f t="shared" ca="1" si="18"/>
        <v>24.857431455054755</v>
      </c>
      <c r="AB154" s="63">
        <f t="shared" ca="1" si="19"/>
        <v>24.857431455054751</v>
      </c>
      <c r="AC154" s="3">
        <f t="shared" ca="1" si="20"/>
        <v>0</v>
      </c>
    </row>
    <row r="155" spans="8:29">
      <c r="H155" t="b">
        <f t="shared" ca="1" si="17"/>
        <v>0</v>
      </c>
      <c r="I155" t="b">
        <f t="shared" ca="1" si="14"/>
        <v>0</v>
      </c>
      <c r="J155" s="2">
        <f ca="1"/>
        <v>45378</v>
      </c>
      <c r="K155">
        <f ca="1"/>
        <v>22.476718656082351</v>
      </c>
      <c r="L155">
        <f ca="1"/>
        <v>1.2937791801976708</v>
      </c>
      <c r="M155">
        <f ca="1"/>
        <v>1.0654273178263729E-2</v>
      </c>
      <c r="N155">
        <f ca="1"/>
        <v>0.15820135584598638</v>
      </c>
      <c r="O155">
        <f ca="1"/>
        <v>0</v>
      </c>
      <c r="P155">
        <f ca="1"/>
        <v>31.838032147784364</v>
      </c>
      <c r="Q155">
        <f ca="1"/>
        <v>29.125903483343478</v>
      </c>
      <c r="R155">
        <f ca="1"/>
        <v>0</v>
      </c>
      <c r="S155">
        <f ca="1"/>
        <v>0.36617884772002496</v>
      </c>
      <c r="T155">
        <f ca="1"/>
        <v>0</v>
      </c>
      <c r="U155">
        <f ca="1"/>
        <v>0</v>
      </c>
      <c r="V155">
        <f ca="1"/>
        <v>0.96915884868970159</v>
      </c>
      <c r="X155" s="2">
        <f t="shared" ca="1" si="15"/>
        <v>45378</v>
      </c>
      <c r="Y155">
        <f t="shared" ca="1" si="16"/>
        <v>0</v>
      </c>
      <c r="AA155" s="63">
        <f t="shared" ca="1" si="18"/>
        <v>23.770497836280022</v>
      </c>
      <c r="AB155" s="63">
        <f t="shared" ca="1" si="19"/>
        <v>23.770497836280022</v>
      </c>
      <c r="AC155" s="3">
        <f t="shared" ca="1" si="20"/>
        <v>0</v>
      </c>
    </row>
    <row r="156" spans="8:29">
      <c r="H156" t="b">
        <f t="shared" ca="1" si="17"/>
        <v>0</v>
      </c>
      <c r="I156" t="b">
        <f t="shared" ca="1" si="14"/>
        <v>0</v>
      </c>
      <c r="J156" s="2">
        <f ca="1"/>
        <v>45379</v>
      </c>
      <c r="K156">
        <f ca="1"/>
        <v>21.296133092473568</v>
      </c>
      <c r="L156">
        <f ca="1"/>
        <v>1.3532455947657205</v>
      </c>
      <c r="M156">
        <f ca="1"/>
        <v>1.0869730740883377E-2</v>
      </c>
      <c r="N156">
        <f ca="1"/>
        <v>0.16179030041605547</v>
      </c>
      <c r="O156">
        <f ca="1"/>
        <v>0</v>
      </c>
      <c r="P156">
        <f ca="1"/>
        <v>33.191277742550085</v>
      </c>
      <c r="Q156">
        <f ca="1"/>
        <v>30.363872601518043</v>
      </c>
      <c r="R156">
        <f ca="1"/>
        <v>0</v>
      </c>
      <c r="S156">
        <f ca="1"/>
        <v>0.37186697923455803</v>
      </c>
      <c r="T156">
        <f ca="1"/>
        <v>0</v>
      </c>
      <c r="U156">
        <f ca="1"/>
        <v>0</v>
      </c>
      <c r="V156">
        <f ca="1"/>
        <v>0.9726880669038257</v>
      </c>
      <c r="X156" s="2">
        <f t="shared" ca="1" si="15"/>
        <v>45379</v>
      </c>
      <c r="Y156">
        <f t="shared" ca="1" si="16"/>
        <v>0</v>
      </c>
      <c r="AA156" s="63">
        <f t="shared" ca="1" si="18"/>
        <v>22.649378687239288</v>
      </c>
      <c r="AB156" s="63">
        <f t="shared" ca="1" si="19"/>
        <v>22.649378687239288</v>
      </c>
      <c r="AC156" s="3">
        <f t="shared" ca="1" si="20"/>
        <v>0</v>
      </c>
    </row>
    <row r="157" spans="8:29">
      <c r="H157" t="b">
        <f t="shared" ca="1" si="17"/>
        <v>0</v>
      </c>
      <c r="I157" t="b">
        <f t="shared" ca="1" si="14"/>
        <v>0</v>
      </c>
      <c r="J157" s="2">
        <f ca="1"/>
        <v>45380</v>
      </c>
      <c r="K157">
        <f ca="1"/>
        <v>20.079577598067029</v>
      </c>
      <c r="L157">
        <f ca="1"/>
        <v>1.3820208360194286</v>
      </c>
      <c r="M157">
        <f ca="1"/>
        <v>1.0045565139765067E-2</v>
      </c>
      <c r="N157">
        <f ca="1"/>
        <v>0.15541977647312283</v>
      </c>
      <c r="O157">
        <f ca="1"/>
        <v>0</v>
      </c>
      <c r="P157">
        <f ca="1"/>
        <v>34.573298578569513</v>
      </c>
      <c r="Q157">
        <f ca="1"/>
        <v>31.628165736691368</v>
      </c>
      <c r="R157">
        <f ca="1"/>
        <v>0</v>
      </c>
      <c r="S157">
        <f ca="1"/>
        <v>0.35167210142941757</v>
      </c>
      <c r="T157">
        <f ca="1"/>
        <v>0</v>
      </c>
      <c r="U157">
        <f ca="1"/>
        <v>0</v>
      </c>
      <c r="V157">
        <f ca="1"/>
        <v>0.97578942267359792</v>
      </c>
      <c r="X157" s="2">
        <f t="shared" ca="1" si="15"/>
        <v>45380</v>
      </c>
      <c r="Y157">
        <f t="shared" ca="1" si="16"/>
        <v>0</v>
      </c>
      <c r="AA157" s="63">
        <f t="shared" ca="1" si="18"/>
        <v>21.461598434086458</v>
      </c>
      <c r="AB157" s="63">
        <f t="shared" ca="1" si="19"/>
        <v>21.461598434086458</v>
      </c>
      <c r="AC157" s="3">
        <f t="shared" ca="1" si="20"/>
        <v>0</v>
      </c>
    </row>
    <row r="158" spans="8:29">
      <c r="H158" t="b">
        <f t="shared" ca="1" si="17"/>
        <v>0</v>
      </c>
      <c r="I158" t="b">
        <f t="shared" ca="1" si="14"/>
        <v>0</v>
      </c>
      <c r="J158" s="2">
        <f ca="1"/>
        <v>45381</v>
      </c>
      <c r="K158">
        <f ca="1"/>
        <v>18.836222042892935</v>
      </c>
      <c r="L158">
        <f ca="1"/>
        <v>1.4079973445353247</v>
      </c>
      <c r="M158">
        <f ca="1"/>
        <v>1.0070441961783416E-2</v>
      </c>
      <c r="N158">
        <f ca="1"/>
        <v>0.15457134739944689</v>
      </c>
      <c r="O158">
        <f ca="1"/>
        <v>0</v>
      </c>
      <c r="P158">
        <f ca="1"/>
        <v>35.981295923104838</v>
      </c>
      <c r="Q158">
        <f ca="1"/>
        <v>32.916222566692198</v>
      </c>
      <c r="R158">
        <f ca="1"/>
        <v>0</v>
      </c>
      <c r="S158">
        <f ca="1"/>
        <v>0.36117973825878835</v>
      </c>
      <c r="T158">
        <f ca="1"/>
        <v>0</v>
      </c>
      <c r="U158">
        <f ca="1"/>
        <v>0</v>
      </c>
      <c r="V158">
        <f ca="1"/>
        <v>0.97851301497065524</v>
      </c>
      <c r="X158" s="2">
        <f t="shared" ca="1" si="15"/>
        <v>45381</v>
      </c>
      <c r="Y158">
        <f t="shared" ca="1" si="16"/>
        <v>0</v>
      </c>
      <c r="AA158" s="63">
        <f t="shared" ca="1" si="18"/>
        <v>20.244219387428259</v>
      </c>
      <c r="AB158" s="63">
        <f t="shared" ca="1" si="19"/>
        <v>20.244219387428259</v>
      </c>
      <c r="AC158" s="3">
        <f t="shared" ca="1" si="20"/>
        <v>0</v>
      </c>
    </row>
    <row r="159" spans="8:29">
      <c r="H159" t="b">
        <f t="shared" ca="1" si="17"/>
        <v>0</v>
      </c>
      <c r="I159" t="b">
        <f t="shared" ca="1" si="14"/>
        <v>0</v>
      </c>
      <c r="J159" s="2">
        <f ca="1"/>
        <v>45382</v>
      </c>
      <c r="K159">
        <f ca="1"/>
        <v>17.568531026987998</v>
      </c>
      <c r="L159">
        <f ca="1"/>
        <v>1.4265257356153214</v>
      </c>
      <c r="M159">
        <f ca="1"/>
        <v>9.5187987767149096E-3</v>
      </c>
      <c r="N159">
        <f ca="1"/>
        <v>0.14931592093367149</v>
      </c>
      <c r="O159">
        <f ca="1"/>
        <v>0</v>
      </c>
      <c r="P159">
        <f ca="1"/>
        <v>37.40782165872016</v>
      </c>
      <c r="Q159">
        <f ca="1"/>
        <v>34.221229443347696</v>
      </c>
      <c r="R159">
        <f ca="1"/>
        <v>0</v>
      </c>
      <c r="S159">
        <f ca="1"/>
        <v>0.35142840257632663</v>
      </c>
      <c r="T159">
        <f ca="1"/>
        <v>0</v>
      </c>
      <c r="U159">
        <f ca="1"/>
        <v>0</v>
      </c>
      <c r="V159">
        <f ca="1"/>
        <v>0.98089701633748405</v>
      </c>
      <c r="X159" s="2">
        <f t="shared" ca="1" si="15"/>
        <v>45382</v>
      </c>
      <c r="Y159">
        <f t="shared" ca="1" si="16"/>
        <v>0</v>
      </c>
      <c r="AA159" s="63">
        <f t="shared" ca="1" si="18"/>
        <v>18.995056762603319</v>
      </c>
      <c r="AB159" s="63">
        <f t="shared" ca="1" si="19"/>
        <v>18.995056762603319</v>
      </c>
      <c r="AC159" s="3">
        <f t="shared" ca="1" si="20"/>
        <v>0</v>
      </c>
    </row>
    <row r="160" spans="8:29">
      <c r="H160" t="b">
        <f t="shared" ca="1" si="17"/>
        <v>0</v>
      </c>
      <c r="I160" t="b">
        <f t="shared" ca="1" si="14"/>
        <v>0</v>
      </c>
      <c r="J160" s="2">
        <f ca="1"/>
        <v>45383</v>
      </c>
      <c r="K160">
        <f ca="1"/>
        <v>16.268295780844639</v>
      </c>
      <c r="L160">
        <f ca="1"/>
        <v>1.4610026798477094</v>
      </c>
      <c r="M160">
        <f ca="1"/>
        <v>9.7743098198694867E-3</v>
      </c>
      <c r="N160">
        <f ca="1"/>
        <v>0.15099312388448435</v>
      </c>
      <c r="O160">
        <f ca="1"/>
        <v>0</v>
      </c>
      <c r="P160">
        <f ca="1"/>
        <v>38.868824338567869</v>
      </c>
      <c r="Q160">
        <f ca="1"/>
        <v>35.557776339356529</v>
      </c>
      <c r="R160">
        <f ca="1"/>
        <v>0</v>
      </c>
      <c r="S160">
        <f ca="1"/>
        <v>0.36635790728670248</v>
      </c>
      <c r="T160">
        <f ca="1"/>
        <v>0</v>
      </c>
      <c r="U160">
        <f ca="1"/>
        <v>0</v>
      </c>
      <c r="V160">
        <f ca="1"/>
        <v>0.98301025410690535</v>
      </c>
      <c r="X160" s="2">
        <f t="shared" ca="1" si="15"/>
        <v>45383</v>
      </c>
      <c r="Y160">
        <f t="shared" ca="1" si="16"/>
        <v>0</v>
      </c>
      <c r="AA160" s="63">
        <f t="shared" ca="1" si="18"/>
        <v>17.729298460692348</v>
      </c>
      <c r="AB160" s="63">
        <f t="shared" ca="1" si="19"/>
        <v>17.729298460692348</v>
      </c>
      <c r="AC160" s="3">
        <f t="shared" ca="1" si="20"/>
        <v>0</v>
      </c>
    </row>
    <row r="161" spans="8:29">
      <c r="H161" t="b">
        <f t="shared" ca="1" si="17"/>
        <v>0</v>
      </c>
      <c r="I161" t="b">
        <f t="shared" ca="1" si="14"/>
        <v>0</v>
      </c>
      <c r="J161" s="2">
        <f ca="1"/>
        <v>45384</v>
      </c>
      <c r="K161">
        <f ca="1"/>
        <v>14.915024241588579</v>
      </c>
      <c r="L161">
        <f ca="1"/>
        <v>1.5170723093018097</v>
      </c>
      <c r="M161">
        <f ca="1"/>
        <v>9.9380798673545101E-3</v>
      </c>
      <c r="N161">
        <f ca="1"/>
        <v>0.15386269017839674</v>
      </c>
      <c r="O161">
        <f ca="1"/>
        <v>0</v>
      </c>
      <c r="P161">
        <f ca="1"/>
        <v>40.385896647869679</v>
      </c>
      <c r="Q161">
        <f ca="1"/>
        <v>36.945616563051153</v>
      </c>
      <c r="R161">
        <f ca="1"/>
        <v>0</v>
      </c>
      <c r="S161">
        <f ca="1"/>
        <v>0.37205914113661021</v>
      </c>
      <c r="T161">
        <f ca="1"/>
        <v>0</v>
      </c>
      <c r="U161">
        <f ca="1"/>
        <v>0</v>
      </c>
      <c r="V161">
        <f ca="1"/>
        <v>0.98490941915287167</v>
      </c>
      <c r="X161" s="2">
        <f t="shared" ca="1" si="15"/>
        <v>45384</v>
      </c>
      <c r="Y161">
        <f t="shared" ca="1" si="16"/>
        <v>0</v>
      </c>
      <c r="AA161" s="63">
        <f t="shared" ca="1" si="18"/>
        <v>16.432096550890389</v>
      </c>
      <c r="AB161" s="63">
        <f t="shared" ca="1" si="19"/>
        <v>16.432096550890389</v>
      </c>
      <c r="AC161" s="3">
        <f t="shared" ca="1" si="20"/>
        <v>0</v>
      </c>
    </row>
    <row r="162" spans="8:29">
      <c r="H162" t="b">
        <f t="shared" ca="1" si="17"/>
        <v>0</v>
      </c>
      <c r="I162" t="b">
        <f t="shared" ca="1" si="14"/>
        <v>0</v>
      </c>
      <c r="J162" s="2">
        <f ca="1"/>
        <v>45385</v>
      </c>
      <c r="K162">
        <f ca="1"/>
        <v>13.548216657504504</v>
      </c>
      <c r="L162">
        <f ca="1"/>
        <v>1.5222617105102785</v>
      </c>
      <c r="M162">
        <f ca="1"/>
        <v>9.1806006805974505E-3</v>
      </c>
      <c r="N162">
        <f ca="1"/>
        <v>0.14627352574560679</v>
      </c>
      <c r="O162">
        <f ca="1"/>
        <v>0</v>
      </c>
      <c r="P162">
        <f ca="1"/>
        <v>41.908158358379957</v>
      </c>
      <c r="Q162">
        <f ca="1"/>
        <v>38.338204127851292</v>
      </c>
      <c r="R162">
        <f ca="1"/>
        <v>0</v>
      </c>
      <c r="S162">
        <f ca="1"/>
        <v>0.35659185790658671</v>
      </c>
      <c r="T162">
        <f ca="1"/>
        <v>0</v>
      </c>
      <c r="U162">
        <f ca="1"/>
        <v>0</v>
      </c>
      <c r="V162">
        <f ca="1"/>
        <v>0.98656095757167583</v>
      </c>
      <c r="X162" s="2">
        <f t="shared" ca="1" si="15"/>
        <v>45385</v>
      </c>
      <c r="Y162">
        <f t="shared" ca="1" si="16"/>
        <v>0</v>
      </c>
      <c r="AA162" s="63">
        <f t="shared" ca="1" si="18"/>
        <v>15.070478368014783</v>
      </c>
      <c r="AB162" s="63">
        <f t="shared" ca="1" si="19"/>
        <v>15.070478368014783</v>
      </c>
      <c r="AC162" s="3">
        <f t="shared" ca="1" si="20"/>
        <v>0</v>
      </c>
    </row>
    <row r="163" spans="8:29">
      <c r="H163" t="b">
        <f t="shared" ca="1" si="17"/>
        <v>0</v>
      </c>
      <c r="I163" t="b">
        <f t="shared" ca="1" si="14"/>
        <v>0</v>
      </c>
      <c r="J163" s="2">
        <f ca="1"/>
        <v>45386</v>
      </c>
      <c r="K163">
        <f ca="1"/>
        <v>12.139058265572899</v>
      </c>
      <c r="L163">
        <f ca="1"/>
        <v>1.5623104908632115</v>
      </c>
      <c r="M163">
        <f ca="1"/>
        <v>8.8295588524465174E-3</v>
      </c>
      <c r="N163">
        <f ca="1"/>
        <v>0.1443225400791612</v>
      </c>
      <c r="O163">
        <f ca="1"/>
        <v>0</v>
      </c>
      <c r="P163">
        <f ca="1"/>
        <v>43.470468849243169</v>
      </c>
      <c r="Q163">
        <f ca="1"/>
        <v>39.767428910233562</v>
      </c>
      <c r="R163">
        <f ca="1"/>
        <v>0</v>
      </c>
      <c r="S163">
        <f ca="1"/>
        <v>0.34619583553402578</v>
      </c>
      <c r="T163">
        <f ca="1"/>
        <v>0</v>
      </c>
      <c r="U163">
        <f ca="1"/>
        <v>0</v>
      </c>
      <c r="V163">
        <f ca="1"/>
        <v>0.98803309141972961</v>
      </c>
      <c r="X163" s="2">
        <f t="shared" ca="1" si="15"/>
        <v>45386</v>
      </c>
      <c r="Y163">
        <f t="shared" ca="1" si="16"/>
        <v>0</v>
      </c>
      <c r="AA163" s="63">
        <f t="shared" ca="1" si="18"/>
        <v>13.701368756436112</v>
      </c>
      <c r="AB163" s="63">
        <f t="shared" ca="1" si="19"/>
        <v>13.701368756436111</v>
      </c>
      <c r="AC163" s="3">
        <f t="shared" ca="1" si="20"/>
        <v>0</v>
      </c>
    </row>
    <row r="164" spans="8:29">
      <c r="H164" t="b">
        <f t="shared" ca="1" si="17"/>
        <v>0</v>
      </c>
      <c r="I164" t="b">
        <f t="shared" ca="1" si="14"/>
        <v>0</v>
      </c>
      <c r="J164" s="2">
        <f ca="1"/>
        <v>45387</v>
      </c>
      <c r="K164">
        <f ca="1"/>
        <v>10.690590101099795</v>
      </c>
      <c r="L164">
        <f ca="1"/>
        <v>1.6041605574192417</v>
      </c>
      <c r="M164">
        <f ca="1"/>
        <v>9.0705968672750714E-3</v>
      </c>
      <c r="N164">
        <f ca="1"/>
        <v>0.14662179607886366</v>
      </c>
      <c r="O164">
        <f ca="1"/>
        <v>0</v>
      </c>
      <c r="P164">
        <f ca="1"/>
        <v>45.07462940666241</v>
      </c>
      <c r="Q164">
        <f ca="1"/>
        <v>41.234938753502284</v>
      </c>
      <c r="R164">
        <f ca="1"/>
        <v>0</v>
      </c>
      <c r="S164">
        <f ca="1"/>
        <v>0.35853875937230084</v>
      </c>
      <c r="T164">
        <f ca="1"/>
        <v>0</v>
      </c>
      <c r="U164">
        <f ca="1"/>
        <v>0</v>
      </c>
      <c r="V164">
        <f ca="1"/>
        <v>0.98934646773674828</v>
      </c>
      <c r="X164" s="2">
        <f t="shared" ca="1" si="15"/>
        <v>45387</v>
      </c>
      <c r="Y164">
        <f t="shared" ca="1" si="16"/>
        <v>0</v>
      </c>
      <c r="AA164" s="63">
        <f t="shared" ca="1" si="18"/>
        <v>12.294750658519037</v>
      </c>
      <c r="AB164" s="63">
        <f t="shared" ca="1" si="19"/>
        <v>12.294750658519037</v>
      </c>
      <c r="AC164" s="3">
        <f t="shared" ca="1" si="20"/>
        <v>0</v>
      </c>
    </row>
    <row r="165" spans="8:29">
      <c r="H165" t="b">
        <f t="shared" ca="1" si="17"/>
        <v>0</v>
      </c>
      <c r="I165" t="b">
        <f t="shared" ca="1" si="14"/>
        <v>0</v>
      </c>
      <c r="J165" s="2">
        <f ca="1"/>
        <v>45388</v>
      </c>
      <c r="K165">
        <f ca="1"/>
        <v>9.2047192426781397</v>
      </c>
      <c r="L165">
        <f ca="1"/>
        <v>1.6407579631330265</v>
      </c>
      <c r="M165">
        <f ca="1"/>
        <v>8.9358680122852974E-3</v>
      </c>
      <c r="N165">
        <f ca="1"/>
        <v>0.14595123669908616</v>
      </c>
      <c r="O165">
        <f ca="1"/>
        <v>0</v>
      </c>
      <c r="P165">
        <f ca="1"/>
        <v>46.715387369795437</v>
      </c>
      <c r="Q165">
        <f ca="1"/>
        <v>42.735928445701752</v>
      </c>
      <c r="R165">
        <f ca="1"/>
        <v>0</v>
      </c>
      <c r="S165">
        <f ca="1"/>
        <v>0.35739063078906652</v>
      </c>
      <c r="T165">
        <f ca="1"/>
        <v>0</v>
      </c>
      <c r="U165">
        <f ca="1"/>
        <v>0</v>
      </c>
      <c r="V165">
        <f ca="1"/>
        <v>0.9905143712255291</v>
      </c>
      <c r="X165" s="2">
        <f t="shared" ca="1" si="15"/>
        <v>45388</v>
      </c>
      <c r="Y165">
        <f t="shared" ca="1" si="16"/>
        <v>0</v>
      </c>
      <c r="AA165" s="63">
        <f t="shared" ca="1" si="18"/>
        <v>10.845477205811166</v>
      </c>
      <c r="AB165" s="63">
        <f t="shared" ca="1" si="19"/>
        <v>10.845477205811166</v>
      </c>
      <c r="AC165" s="3">
        <f t="shared" ca="1" si="20"/>
        <v>0</v>
      </c>
    </row>
    <row r="166" spans="8:29">
      <c r="H166" t="b">
        <f t="shared" ca="1" si="17"/>
        <v>0</v>
      </c>
      <c r="I166" t="b">
        <f t="shared" ca="1" si="14"/>
        <v>0</v>
      </c>
      <c r="J166" s="2">
        <f ca="1"/>
        <v>45389</v>
      </c>
      <c r="K166">
        <f ca="1"/>
        <v>7.7046981615674746</v>
      </c>
      <c r="L166">
        <f ca="1"/>
        <v>1.653717404666466</v>
      </c>
      <c r="M166">
        <f ca="1"/>
        <v>8.9454628860199392E-3</v>
      </c>
      <c r="N166">
        <f ca="1"/>
        <v>0.14475086066978063</v>
      </c>
      <c r="O166">
        <f ca="1"/>
        <v>0</v>
      </c>
      <c r="P166">
        <f ca="1"/>
        <v>48.369104774461903</v>
      </c>
      <c r="Q166">
        <f ca="1"/>
        <v>44.248773627007736</v>
      </c>
      <c r="R166">
        <f ca="1"/>
        <v>0</v>
      </c>
      <c r="S166">
        <f ca="1"/>
        <v>0.36759809912006142</v>
      </c>
      <c r="T166">
        <f ca="1"/>
        <v>0</v>
      </c>
      <c r="U166">
        <f ca="1"/>
        <v>0</v>
      </c>
      <c r="V166">
        <f ca="1"/>
        <v>0.99153960630225291</v>
      </c>
      <c r="X166" s="2">
        <f t="shared" ca="1" si="15"/>
        <v>45389</v>
      </c>
      <c r="Y166">
        <f t="shared" ca="1" si="16"/>
        <v>0</v>
      </c>
      <c r="AA166" s="63">
        <f t="shared" ca="1" si="18"/>
        <v>9.3584155662339406</v>
      </c>
      <c r="AB166" s="63">
        <f t="shared" ca="1" si="19"/>
        <v>9.3584155662339406</v>
      </c>
      <c r="AC166" s="3">
        <f t="shared" ca="1" si="20"/>
        <v>0</v>
      </c>
    </row>
    <row r="167" spans="8:29">
      <c r="H167" t="b">
        <f t="shared" ca="1" si="17"/>
        <v>0</v>
      </c>
      <c r="I167" t="b">
        <f t="shared" ca="1" si="14"/>
        <v>0</v>
      </c>
      <c r="J167" s="2">
        <f ca="1"/>
        <v>45390</v>
      </c>
      <c r="K167">
        <f ca="1"/>
        <v>6.2005137909378583</v>
      </c>
      <c r="L167">
        <f ca="1"/>
        <v>1.6611772617515612</v>
      </c>
      <c r="M167">
        <f ca="1"/>
        <v>9.4853162806947111E-3</v>
      </c>
      <c r="N167">
        <f ca="1"/>
        <v>0.14750757484124991</v>
      </c>
      <c r="O167">
        <f ca="1"/>
        <v>0</v>
      </c>
      <c r="P167">
        <f ca="1"/>
        <v>50.030282036213464</v>
      </c>
      <c r="Q167">
        <f ca="1"/>
        <v>45.768443196091575</v>
      </c>
      <c r="R167">
        <f ca="1"/>
        <v>0</v>
      </c>
      <c r="S167">
        <f ca="1"/>
        <v>0.40149227132822185</v>
      </c>
      <c r="T167">
        <f ca="1"/>
        <v>0</v>
      </c>
      <c r="U167">
        <f ca="1"/>
        <v>0</v>
      </c>
      <c r="V167">
        <f ca="1"/>
        <v>0.99243918426640532</v>
      </c>
      <c r="X167" s="2">
        <f t="shared" ca="1" si="15"/>
        <v>45390</v>
      </c>
      <c r="Y167">
        <f t="shared" ca="1" si="16"/>
        <v>0</v>
      </c>
      <c r="AA167" s="63">
        <f t="shared" ca="1" si="18"/>
        <v>7.8616910526894195</v>
      </c>
      <c r="AB167" s="63">
        <f t="shared" ca="1" si="19"/>
        <v>7.8616910526894195</v>
      </c>
      <c r="AC167" s="3">
        <f t="shared" ca="1" si="20"/>
        <v>0</v>
      </c>
    </row>
    <row r="168" spans="8:29">
      <c r="H168" t="b">
        <f t="shared" ca="1" si="17"/>
        <v>0</v>
      </c>
      <c r="I168" t="b">
        <f t="shared" ca="1" si="14"/>
        <v>0</v>
      </c>
      <c r="J168" s="2">
        <f ca="1"/>
        <v>45391</v>
      </c>
      <c r="K168">
        <f ca="1"/>
        <v>4.6692934772550734</v>
      </c>
      <c r="L168">
        <f ca="1"/>
        <v>1.6879699675062909</v>
      </c>
      <c r="M168">
        <f ca="1"/>
        <v>9.4426826543143605E-3</v>
      </c>
      <c r="N168">
        <f ca="1"/>
        <v>0.14730697116919131</v>
      </c>
      <c r="O168">
        <f ca="1"/>
        <v>0</v>
      </c>
      <c r="P168">
        <f ca="1"/>
        <v>51.718252003719755</v>
      </c>
      <c r="Q168">
        <f ca="1"/>
        <v>47.312623129328806</v>
      </c>
      <c r="R168">
        <f ca="1"/>
        <v>0</v>
      </c>
      <c r="S168">
        <f ca="1"/>
        <v>0.40619773744806892</v>
      </c>
      <c r="T168">
        <f ca="1"/>
        <v>0</v>
      </c>
      <c r="U168">
        <f ca="1"/>
        <v>0</v>
      </c>
      <c r="V168">
        <f ca="1"/>
        <v>0.99323940276216283</v>
      </c>
      <c r="X168" s="2">
        <f t="shared" ca="1" si="15"/>
        <v>45391</v>
      </c>
      <c r="Y168">
        <f t="shared" ca="1" si="16"/>
        <v>0</v>
      </c>
      <c r="AA168" s="63">
        <f t="shared" ca="1" si="18"/>
        <v>6.3572634447613643</v>
      </c>
      <c r="AB168" s="63">
        <f t="shared" ca="1" si="19"/>
        <v>6.3572634447613643</v>
      </c>
      <c r="AC168" s="3">
        <f t="shared" ca="1" si="20"/>
        <v>0</v>
      </c>
    </row>
    <row r="169" spans="8:29">
      <c r="H169" t="b">
        <f t="shared" ca="1" si="17"/>
        <v>0</v>
      </c>
      <c r="I169" t="b">
        <f t="shared" ca="1" si="14"/>
        <v>0</v>
      </c>
      <c r="J169" s="2">
        <f ca="1"/>
        <v>45392</v>
      </c>
      <c r="K169">
        <f ca="1"/>
        <v>3.1298077788746586</v>
      </c>
      <c r="L169">
        <f ca="1"/>
        <v>1.6935016485317718</v>
      </c>
      <c r="M169">
        <f ca="1"/>
        <v>9.257434030177869E-3</v>
      </c>
      <c r="N169">
        <f ca="1"/>
        <v>0.1447585161211794</v>
      </c>
      <c r="O169">
        <f ca="1"/>
        <v>0</v>
      </c>
      <c r="P169">
        <f ca="1"/>
        <v>53.411753652251527</v>
      </c>
      <c r="Q169">
        <f ca="1"/>
        <v>48.861863526318992</v>
      </c>
      <c r="R169">
        <f ca="1"/>
        <v>0</v>
      </c>
      <c r="S169">
        <f ca="1"/>
        <v>0.40981608236987127</v>
      </c>
      <c r="T169">
        <f ca="1"/>
        <v>0</v>
      </c>
      <c r="U169">
        <f ca="1"/>
        <v>0</v>
      </c>
      <c r="V169">
        <f ca="1"/>
        <v>0.99394372373884587</v>
      </c>
      <c r="X169" s="2">
        <f t="shared" ca="1" si="15"/>
        <v>45392</v>
      </c>
      <c r="Y169">
        <f t="shared" ca="1" si="16"/>
        <v>0</v>
      </c>
      <c r="AA169" s="63">
        <f t="shared" ca="1" si="18"/>
        <v>4.8233094274064303</v>
      </c>
      <c r="AB169" s="63">
        <f t="shared" ca="1" si="19"/>
        <v>4.8233094274064303</v>
      </c>
      <c r="AC169" s="3">
        <f t="shared" ca="1" si="20"/>
        <v>0</v>
      </c>
    </row>
    <row r="170" spans="8:29">
      <c r="H170" t="b">
        <f t="shared" ca="1" si="17"/>
        <v>0</v>
      </c>
      <c r="I170" t="b">
        <f t="shared" ca="1" si="14"/>
        <v>0</v>
      </c>
      <c r="J170" s="2">
        <f ca="1"/>
        <v>45393</v>
      </c>
      <c r="K170">
        <f ca="1"/>
        <v>1.5562830670580121</v>
      </c>
      <c r="L170">
        <f ca="1"/>
        <v>1.7329780483286257</v>
      </c>
      <c r="M170">
        <f ca="1"/>
        <v>9.7173409722843829E-3</v>
      </c>
      <c r="N170">
        <f ca="1"/>
        <v>0.14973599553969494</v>
      </c>
      <c r="O170">
        <f ca="1"/>
        <v>0</v>
      </c>
      <c r="P170">
        <f ca="1"/>
        <v>55.144731700580152</v>
      </c>
      <c r="Q170">
        <f ca="1"/>
        <v>50.447217518678876</v>
      </c>
      <c r="R170">
        <f ca="1"/>
        <v>0</v>
      </c>
      <c r="S170">
        <f ca="1"/>
        <v>0.4331210735385515</v>
      </c>
      <c r="T170">
        <f ca="1"/>
        <v>0</v>
      </c>
      <c r="U170">
        <f ca="1"/>
        <v>0</v>
      </c>
      <c r="V170">
        <f ca="1"/>
        <v>0.99457701602716087</v>
      </c>
      <c r="X170" s="2">
        <f t="shared" ca="1" si="15"/>
        <v>45393</v>
      </c>
      <c r="Y170">
        <f t="shared" ca="1" si="16"/>
        <v>0</v>
      </c>
      <c r="AA170" s="63">
        <f t="shared" ca="1" si="18"/>
        <v>3.2892611153866378</v>
      </c>
      <c r="AB170" s="63">
        <f t="shared" ca="1" si="19"/>
        <v>3.2892611153866378</v>
      </c>
      <c r="AC170" s="3">
        <f t="shared" ca="1" si="20"/>
        <v>0</v>
      </c>
    </row>
    <row r="171" spans="8:29">
      <c r="H171" t="b">
        <f t="shared" ca="1" si="17"/>
        <v>0</v>
      </c>
      <c r="I171" t="b">
        <f t="shared" ca="1" si="14"/>
        <v>0</v>
      </c>
      <c r="J171" s="2">
        <f ca="1"/>
        <v>45394</v>
      </c>
      <c r="K171">
        <f ca="1"/>
        <v>-7.7610259366422518E-2</v>
      </c>
      <c r="L171">
        <f ca="1"/>
        <v>1.7963812595172257</v>
      </c>
      <c r="M171">
        <f ca="1"/>
        <v>9.7632267722147503E-3</v>
      </c>
      <c r="N171">
        <f ca="1"/>
        <v>0.15272470632057633</v>
      </c>
      <c r="O171">
        <f ca="1"/>
        <v>0</v>
      </c>
      <c r="P171">
        <f ca="1"/>
        <v>56.941112960097378</v>
      </c>
      <c r="Q171">
        <f ca="1"/>
        <v>52.090573707940933</v>
      </c>
      <c r="R171">
        <f ca="1"/>
        <v>0</v>
      </c>
      <c r="S171">
        <f ca="1"/>
        <v>0.43201343662809133</v>
      </c>
      <c r="T171">
        <f ca="1"/>
        <v>0</v>
      </c>
      <c r="U171">
        <f ca="1"/>
        <v>0</v>
      </c>
      <c r="V171">
        <f ca="1"/>
        <v>0.99515346954757844</v>
      </c>
      <c r="X171" s="2">
        <f t="shared" ca="1" si="15"/>
        <v>45394</v>
      </c>
      <c r="Y171">
        <f t="shared" ca="1" si="16"/>
        <v>0</v>
      </c>
      <c r="AA171" s="63">
        <f t="shared" ca="1" si="18"/>
        <v>1.7187710001508032</v>
      </c>
      <c r="AB171" s="63">
        <f t="shared" ca="1" si="19"/>
        <v>1.7187710001508032</v>
      </c>
      <c r="AC171" s="3">
        <f t="shared" ca="1" si="20"/>
        <v>0</v>
      </c>
    </row>
    <row r="172" spans="8:29">
      <c r="H172" t="b">
        <f t="shared" ca="1" si="17"/>
        <v>0</v>
      </c>
      <c r="I172" t="b">
        <f t="shared" ca="1" si="14"/>
        <v>0</v>
      </c>
      <c r="J172" s="2">
        <f ca="1"/>
        <v>45395</v>
      </c>
      <c r="K172">
        <f ca="1"/>
        <v>-1.709258767267462</v>
      </c>
      <c r="L172">
        <f ca="1"/>
        <v>1.7933617107480728</v>
      </c>
      <c r="M172">
        <f ca="1"/>
        <v>9.7914343025387041E-3</v>
      </c>
      <c r="N172">
        <f ca="1"/>
        <v>0.15192176854449474</v>
      </c>
      <c r="O172">
        <f ca="1"/>
        <v>0</v>
      </c>
      <c r="P172">
        <f ca="1"/>
        <v>58.734474670845451</v>
      </c>
      <c r="Q172">
        <f ca="1"/>
        <v>53.731167569254914</v>
      </c>
      <c r="R172">
        <f ca="1"/>
        <v>0</v>
      </c>
      <c r="S172">
        <f ca="1"/>
        <v>0.44756249235720413</v>
      </c>
      <c r="T172">
        <f ca="1"/>
        <v>0</v>
      </c>
      <c r="U172">
        <f ca="1"/>
        <v>0</v>
      </c>
      <c r="V172">
        <f ca="1"/>
        <v>0.99565925396393529</v>
      </c>
      <c r="X172" s="2">
        <f t="shared" ca="1" si="15"/>
        <v>45395</v>
      </c>
      <c r="Y172">
        <f t="shared" ca="1" si="16"/>
        <v>0</v>
      </c>
      <c r="AA172" s="63">
        <f t="shared" ca="1" si="18"/>
        <v>8.4102943480610926E-2</v>
      </c>
      <c r="AB172" s="63">
        <f t="shared" ca="1" si="19"/>
        <v>8.410294348061087E-2</v>
      </c>
      <c r="AC172" s="3">
        <f t="shared" ca="1" si="20"/>
        <v>0</v>
      </c>
    </row>
    <row r="173" spans="8:29">
      <c r="H173" t="b">
        <f t="shared" ca="1" si="17"/>
        <v>0</v>
      </c>
      <c r="I173" t="b">
        <f t="shared" ca="1" si="14"/>
        <v>0</v>
      </c>
      <c r="J173" s="2">
        <f ca="1"/>
        <v>45396</v>
      </c>
      <c r="K173">
        <f ca="1"/>
        <v>-3.3514457839790994</v>
      </c>
      <c r="L173">
        <f ca="1"/>
        <v>1.803091930406147</v>
      </c>
      <c r="M173">
        <f ca="1"/>
        <v>9.726081971447087E-3</v>
      </c>
      <c r="N173">
        <f ca="1"/>
        <v>0.15117883172306235</v>
      </c>
      <c r="O173">
        <f ca="1"/>
        <v>0</v>
      </c>
      <c r="P173">
        <f ca="1"/>
        <v>60.537566601251598</v>
      </c>
      <c r="Q173">
        <f ca="1"/>
        <v>55.380662779663496</v>
      </c>
      <c r="R173">
        <f ca="1"/>
        <v>0</v>
      </c>
      <c r="S173">
        <f ca="1"/>
        <v>0.45521155914912032</v>
      </c>
      <c r="T173">
        <f ca="1"/>
        <v>0</v>
      </c>
      <c r="U173">
        <f ca="1"/>
        <v>0</v>
      </c>
      <c r="V173">
        <f ca="1"/>
        <v>0.99610742637088046</v>
      </c>
      <c r="X173" s="2">
        <f t="shared" ca="1" si="15"/>
        <v>45396</v>
      </c>
      <c r="Y173">
        <f t="shared" ca="1" si="16"/>
        <v>0</v>
      </c>
      <c r="AA173" s="63">
        <f t="shared" ca="1" si="18"/>
        <v>-1.5483538535729524</v>
      </c>
      <c r="AB173" s="63">
        <f t="shared" ca="1" si="19"/>
        <v>-1.5483538535729524</v>
      </c>
      <c r="AC173" s="3">
        <f t="shared" ca="1" si="20"/>
        <v>0</v>
      </c>
    </row>
    <row r="174" spans="8:29">
      <c r="H174" t="b">
        <f t="shared" ca="1" si="17"/>
        <v>0</v>
      </c>
      <c r="I174" t="b">
        <f t="shared" ca="1" si="14"/>
        <v>0</v>
      </c>
      <c r="J174" s="2">
        <f ca="1"/>
        <v>45397</v>
      </c>
      <c r="K174">
        <f ca="1"/>
        <v>-5.0726612401278564</v>
      </c>
      <c r="L174">
        <f ca="1"/>
        <v>1.8936458534164018</v>
      </c>
      <c r="M174">
        <f ca="1"/>
        <v>1.0426606194192445E-2</v>
      </c>
      <c r="N174">
        <f ca="1"/>
        <v>0.16200379107345256</v>
      </c>
      <c r="O174">
        <f ca="1"/>
        <v>0</v>
      </c>
      <c r="P174">
        <f ca="1"/>
        <v>62.431212454668</v>
      </c>
      <c r="Q174">
        <f ca="1"/>
        <v>57.112998060381457</v>
      </c>
      <c r="R174">
        <f ca="1"/>
        <v>0</v>
      </c>
      <c r="S174">
        <f ca="1"/>
        <v>0.47694540380468647</v>
      </c>
      <c r="T174">
        <f ca="1"/>
        <v>0</v>
      </c>
      <c r="U174">
        <f ca="1"/>
        <v>0</v>
      </c>
      <c r="V174">
        <f ca="1"/>
        <v>0.99652201910430849</v>
      </c>
      <c r="X174" s="2">
        <f t="shared" ca="1" si="15"/>
        <v>45397</v>
      </c>
      <c r="Y174">
        <f t="shared" ca="1" si="16"/>
        <v>0</v>
      </c>
      <c r="AA174" s="63">
        <f t="shared" ca="1" si="18"/>
        <v>-3.1790153867114546</v>
      </c>
      <c r="AB174" s="63">
        <f t="shared" ca="1" si="19"/>
        <v>-3.1790153867114546</v>
      </c>
      <c r="AC174" s="3">
        <f t="shared" ca="1" si="20"/>
        <v>0</v>
      </c>
    </row>
    <row r="175" spans="8:29">
      <c r="H175" t="b">
        <f t="shared" ca="1" si="17"/>
        <v>0</v>
      </c>
      <c r="I175" t="b">
        <f t="shared" ca="1" si="14"/>
        <v>0</v>
      </c>
      <c r="J175" s="2">
        <f ca="1"/>
        <v>45398</v>
      </c>
      <c r="K175">
        <f ca="1"/>
        <v>-6.7948224264191301</v>
      </c>
      <c r="L175">
        <f ca="1"/>
        <v>1.8931256000454226</v>
      </c>
      <c r="M175">
        <f ca="1"/>
        <v>1.0316000568676209E-2</v>
      </c>
      <c r="N175">
        <f ca="1"/>
        <v>0.16064841318547263</v>
      </c>
      <c r="O175">
        <f ca="1"/>
        <v>0</v>
      </c>
      <c r="P175">
        <f ca="1"/>
        <v>64.324338054713422</v>
      </c>
      <c r="Q175">
        <f ca="1"/>
        <v>58.844857405608217</v>
      </c>
      <c r="R175">
        <f ca="1"/>
        <v>0</v>
      </c>
      <c r="S175">
        <f ca="1"/>
        <v>0.48608787479679555</v>
      </c>
      <c r="T175">
        <f ca="1"/>
        <v>0</v>
      </c>
      <c r="U175">
        <f ca="1"/>
        <v>0</v>
      </c>
      <c r="V175">
        <f ca="1"/>
        <v>0.99688699692908678</v>
      </c>
      <c r="X175" s="2">
        <f t="shared" ca="1" si="15"/>
        <v>45398</v>
      </c>
      <c r="Y175">
        <f t="shared" ca="1" si="16"/>
        <v>0</v>
      </c>
      <c r="AA175" s="63">
        <f t="shared" ca="1" si="18"/>
        <v>-4.9016968263737075</v>
      </c>
      <c r="AB175" s="63">
        <f t="shared" ca="1" si="19"/>
        <v>-4.9016968263737075</v>
      </c>
      <c r="AC175" s="3">
        <f t="shared" ca="1" si="20"/>
        <v>0</v>
      </c>
    </row>
    <row r="176" spans="8:29">
      <c r="H176" t="b">
        <f t="shared" ca="1" si="17"/>
        <v>0</v>
      </c>
      <c r="I176" t="b">
        <f t="shared" ca="1" si="14"/>
        <v>0</v>
      </c>
      <c r="J176" s="2">
        <f ca="1"/>
        <v>45399</v>
      </c>
      <c r="K176">
        <f ca="1"/>
        <v>-8.5440669753747365</v>
      </c>
      <c r="L176">
        <f ca="1"/>
        <v>1.9226336155908683</v>
      </c>
      <c r="M176">
        <f ca="1"/>
        <v>1.0411379292528444E-2</v>
      </c>
      <c r="N176">
        <f ca="1"/>
        <v>0.16297768734273266</v>
      </c>
      <c r="O176">
        <f ca="1"/>
        <v>0</v>
      </c>
      <c r="P176">
        <f ca="1"/>
        <v>66.246971670304291</v>
      </c>
      <c r="Q176">
        <f ca="1"/>
        <v>60.603711120611713</v>
      </c>
      <c r="R176">
        <f ca="1"/>
        <v>0</v>
      </c>
      <c r="S176">
        <f ca="1"/>
        <v>0.49643797991430577</v>
      </c>
      <c r="T176">
        <f ca="1"/>
        <v>0</v>
      </c>
      <c r="U176">
        <f ca="1"/>
        <v>0</v>
      </c>
      <c r="V176">
        <f ca="1"/>
        <v>0.99721398176694898</v>
      </c>
      <c r="X176" s="2">
        <f t="shared" ca="1" si="15"/>
        <v>45399</v>
      </c>
      <c r="Y176">
        <f t="shared" ca="1" si="16"/>
        <v>0</v>
      </c>
      <c r="AA176" s="63">
        <f t="shared" ca="1" si="18"/>
        <v>-6.621433359783869</v>
      </c>
      <c r="AB176" s="63">
        <f t="shared" ca="1" si="19"/>
        <v>-6.6214333597838682</v>
      </c>
      <c r="AC176" s="3">
        <f t="shared" ca="1" si="20"/>
        <v>0</v>
      </c>
    </row>
    <row r="177" spans="8:29">
      <c r="H177" t="b">
        <f t="shared" ca="1" si="17"/>
        <v>0</v>
      </c>
      <c r="I177" t="b">
        <f t="shared" ca="1" si="14"/>
        <v>0</v>
      </c>
      <c r="J177" s="2">
        <f ca="1"/>
        <v>45400</v>
      </c>
      <c r="K177">
        <f ca="1"/>
        <v>-10.293896514150049</v>
      </c>
      <c r="L177">
        <f ca="1"/>
        <v>1.9203426050691377</v>
      </c>
      <c r="M177">
        <f ca="1"/>
        <v>1.0158335457564505E-2</v>
      </c>
      <c r="N177">
        <f ca="1"/>
        <v>0.1603547308362599</v>
      </c>
      <c r="O177">
        <f ca="1"/>
        <v>0</v>
      </c>
      <c r="P177">
        <f ca="1"/>
        <v>68.167314275373428</v>
      </c>
      <c r="Q177">
        <f ca="1"/>
        <v>62.360468985249021</v>
      </c>
      <c r="R177">
        <f ca="1"/>
        <v>0</v>
      </c>
      <c r="S177">
        <f ca="1"/>
        <v>0.49845150264445059</v>
      </c>
      <c r="T177">
        <f ca="1"/>
        <v>0</v>
      </c>
      <c r="U177">
        <f ca="1"/>
        <v>0</v>
      </c>
      <c r="V177">
        <f ca="1"/>
        <v>0.997502574205544</v>
      </c>
      <c r="X177" s="2">
        <f t="shared" ca="1" si="15"/>
        <v>45400</v>
      </c>
      <c r="Y177">
        <f t="shared" ca="1" si="16"/>
        <v>0</v>
      </c>
      <c r="AA177" s="63">
        <f t="shared" ca="1" si="18"/>
        <v>-8.3735539090809112</v>
      </c>
      <c r="AB177" s="63">
        <f t="shared" ca="1" si="19"/>
        <v>-8.3735539090809112</v>
      </c>
      <c r="AC177" s="3">
        <f t="shared" ca="1" si="20"/>
        <v>0</v>
      </c>
    </row>
    <row r="178" spans="8:29">
      <c r="H178" t="b">
        <f t="shared" ca="1" si="17"/>
        <v>0</v>
      </c>
      <c r="I178" t="b">
        <f t="shared" ca="1" si="14"/>
        <v>0</v>
      </c>
      <c r="J178" s="2">
        <f ca="1"/>
        <v>45401</v>
      </c>
      <c r="K178">
        <f ca="1"/>
        <v>-12.096049929494161</v>
      </c>
      <c r="L178">
        <f ca="1"/>
        <v>1.9735350660435813</v>
      </c>
      <c r="M178">
        <f ca="1"/>
        <v>1.000238434881684E-2</v>
      </c>
      <c r="N178">
        <f ca="1"/>
        <v>0.16137926635065264</v>
      </c>
      <c r="O178">
        <f ca="1"/>
        <v>0</v>
      </c>
      <c r="P178">
        <f ca="1"/>
        <v>70.14084934141701</v>
      </c>
      <c r="Q178">
        <f ca="1"/>
        <v>64.165888101222222</v>
      </c>
      <c r="R178">
        <f ca="1"/>
        <v>0</v>
      </c>
      <c r="S178">
        <f ca="1"/>
        <v>0.4895515142275873</v>
      </c>
      <c r="T178">
        <f ca="1"/>
        <v>0</v>
      </c>
      <c r="U178">
        <f ca="1"/>
        <v>0</v>
      </c>
      <c r="V178">
        <f ca="1"/>
        <v>0.99776488379218631</v>
      </c>
      <c r="X178" s="2">
        <f t="shared" ca="1" si="15"/>
        <v>45401</v>
      </c>
      <c r="Y178">
        <f t="shared" ca="1" si="16"/>
        <v>0</v>
      </c>
      <c r="AA178" s="63">
        <f t="shared" ca="1" si="18"/>
        <v>-10.122514863450581</v>
      </c>
      <c r="AB178" s="63">
        <f t="shared" ca="1" si="19"/>
        <v>-10.122514863450579</v>
      </c>
      <c r="AC178" s="3">
        <f t="shared" ca="1" si="20"/>
        <v>0</v>
      </c>
    </row>
    <row r="179" spans="8:29">
      <c r="H179" t="b">
        <f t="shared" ca="1" si="17"/>
        <v>0</v>
      </c>
      <c r="I179" t="b">
        <f t="shared" ca="1" si="14"/>
        <v>0</v>
      </c>
      <c r="J179" s="2">
        <f ca="1"/>
        <v>45402</v>
      </c>
      <c r="K179">
        <f ca="1"/>
        <v>-13.899255676736402</v>
      </c>
      <c r="L179">
        <f ca="1"/>
        <v>1.9780643416546866</v>
      </c>
      <c r="M179">
        <f ca="1"/>
        <v>9.981218557512328E-3</v>
      </c>
      <c r="N179">
        <f ca="1"/>
        <v>0.16487737585493339</v>
      </c>
      <c r="O179">
        <f ca="1"/>
        <v>0</v>
      </c>
      <c r="P179">
        <f ca="1"/>
        <v>72.118913683071696</v>
      </c>
      <c r="Q179">
        <f ca="1"/>
        <v>65.975450665624848</v>
      </c>
      <c r="R179">
        <f ca="1"/>
        <v>0</v>
      </c>
      <c r="S179">
        <f ca="1"/>
        <v>0.51519366000784494</v>
      </c>
      <c r="T179">
        <f ca="1"/>
        <v>0</v>
      </c>
      <c r="U179">
        <f ca="1"/>
        <v>0</v>
      </c>
      <c r="V179">
        <f ca="1"/>
        <v>0.99799753515306766</v>
      </c>
      <c r="X179" s="2">
        <f t="shared" ca="1" si="15"/>
        <v>45402</v>
      </c>
      <c r="Y179">
        <f t="shared" ca="1" si="16"/>
        <v>0</v>
      </c>
      <c r="AA179" s="63">
        <f t="shared" ca="1" si="18"/>
        <v>-11.921191335081714</v>
      </c>
      <c r="AB179" s="63">
        <f t="shared" ca="1" si="19"/>
        <v>-11.921191335081716</v>
      </c>
      <c r="AC179" s="3">
        <f t="shared" ca="1" si="20"/>
        <v>0</v>
      </c>
    </row>
    <row r="180" spans="8:29">
      <c r="H180" t="b">
        <f t="shared" ca="1" si="17"/>
        <v>0</v>
      </c>
      <c r="I180" t="b">
        <f t="shared" ca="1" si="14"/>
        <v>0</v>
      </c>
      <c r="J180" s="2">
        <f ca="1"/>
        <v>45403</v>
      </c>
      <c r="K180">
        <f ca="1"/>
        <v>-15.634584137786074</v>
      </c>
      <c r="L180">
        <f ca="1"/>
        <v>1.9039978244464209</v>
      </c>
      <c r="M180">
        <f ca="1"/>
        <v>9.3692600474897247E-3</v>
      </c>
      <c r="N180">
        <f ca="1"/>
        <v>0.15930010334925751</v>
      </c>
      <c r="O180">
        <f ca="1"/>
        <v>0</v>
      </c>
      <c r="P180">
        <f ca="1"/>
        <v>74.022911507518117</v>
      </c>
      <c r="Q180">
        <f ca="1"/>
        <v>67.717256082803615</v>
      </c>
      <c r="R180">
        <f ca="1"/>
        <v>0</v>
      </c>
      <c r="S180">
        <f ca="1"/>
        <v>0.53507155388919048</v>
      </c>
      <c r="T180">
        <f ca="1"/>
        <v>0</v>
      </c>
      <c r="U180">
        <f ca="1"/>
        <v>0</v>
      </c>
      <c r="V180">
        <f ca="1"/>
        <v>0.99819655287806053</v>
      </c>
      <c r="X180" s="2">
        <f t="shared" ca="1" si="15"/>
        <v>45403</v>
      </c>
      <c r="Y180">
        <f t="shared" ca="1" si="16"/>
        <v>0</v>
      </c>
      <c r="AA180" s="63">
        <f t="shared" ca="1" si="18"/>
        <v>-13.730586313339655</v>
      </c>
      <c r="AB180" s="63">
        <f t="shared" ca="1" si="19"/>
        <v>-13.730586313339654</v>
      </c>
      <c r="AC180" s="3">
        <f t="shared" ca="1" si="20"/>
        <v>0</v>
      </c>
    </row>
    <row r="181" spans="8:29">
      <c r="H181" t="b">
        <f t="shared" ca="1" si="17"/>
        <v>0</v>
      </c>
      <c r="I181" t="b">
        <f t="shared" ca="1" si="14"/>
        <v>0</v>
      </c>
      <c r="J181" s="2">
        <f ca="1"/>
        <v>45404</v>
      </c>
      <c r="K181">
        <f ca="1"/>
        <v>-17.406372134845043</v>
      </c>
      <c r="L181">
        <f ca="1"/>
        <v>1.9425916405439523</v>
      </c>
      <c r="M181">
        <f ca="1"/>
        <v>9.3496626197220323E-3</v>
      </c>
      <c r="N181">
        <f ca="1"/>
        <v>0.16145398086526175</v>
      </c>
      <c r="O181">
        <f ca="1"/>
        <v>0</v>
      </c>
      <c r="P181">
        <f ca="1"/>
        <v>75.965503148062069</v>
      </c>
      <c r="Q181">
        <f ca="1"/>
        <v>69.494367694708629</v>
      </c>
      <c r="R181">
        <f ca="1"/>
        <v>0</v>
      </c>
      <c r="S181">
        <f ca="1"/>
        <v>0.5357033296160294</v>
      </c>
      <c r="T181">
        <f ca="1"/>
        <v>0</v>
      </c>
      <c r="U181">
        <f ca="1"/>
        <v>0</v>
      </c>
      <c r="V181">
        <f ca="1"/>
        <v>0.99837757784922043</v>
      </c>
      <c r="X181" s="2">
        <f t="shared" ca="1" si="15"/>
        <v>45404</v>
      </c>
      <c r="Y181">
        <f t="shared" ca="1" si="16"/>
        <v>0</v>
      </c>
      <c r="AA181" s="63">
        <f t="shared" ca="1" si="18"/>
        <v>-15.463780494301091</v>
      </c>
      <c r="AB181" s="63">
        <f t="shared" ca="1" si="19"/>
        <v>-15.463780494301091</v>
      </c>
      <c r="AC181" s="3">
        <f t="shared" ca="1" si="20"/>
        <v>0</v>
      </c>
    </row>
    <row r="182" spans="8:29">
      <c r="H182" t="b">
        <f t="shared" ca="1" si="17"/>
        <v>0</v>
      </c>
      <c r="I182" t="b">
        <f t="shared" ca="1" si="14"/>
        <v>0</v>
      </c>
      <c r="J182" s="2">
        <f ca="1"/>
        <v>45405</v>
      </c>
      <c r="K182">
        <f ca="1"/>
        <v>-19.166167343826316</v>
      </c>
      <c r="L182">
        <f ca="1"/>
        <v>1.9346707921094435</v>
      </c>
      <c r="M182">
        <f ca="1"/>
        <v>9.1122791449391727E-3</v>
      </c>
      <c r="N182">
        <f ca="1"/>
        <v>0.16576330398322811</v>
      </c>
      <c r="O182">
        <f ca="1"/>
        <v>0</v>
      </c>
      <c r="P182">
        <f ca="1"/>
        <v>77.900173940171513</v>
      </c>
      <c r="Q182">
        <f ca="1"/>
        <v>71.26423319711985</v>
      </c>
      <c r="R182">
        <f ca="1"/>
        <v>0</v>
      </c>
      <c r="S182">
        <f ca="1"/>
        <v>0.56754454232851437</v>
      </c>
      <c r="T182">
        <f ca="1"/>
        <v>0</v>
      </c>
      <c r="U182">
        <f ca="1"/>
        <v>0</v>
      </c>
      <c r="V182">
        <f ca="1"/>
        <v>0.99853845850447087</v>
      </c>
      <c r="X182" s="2">
        <f t="shared" ca="1" si="15"/>
        <v>45405</v>
      </c>
      <c r="Y182">
        <f t="shared" ca="1" si="16"/>
        <v>0</v>
      </c>
      <c r="AA182" s="63">
        <f t="shared" ca="1" si="18"/>
        <v>-17.231496551716873</v>
      </c>
      <c r="AB182" s="63">
        <f t="shared" ca="1" si="19"/>
        <v>-17.231496551716873</v>
      </c>
      <c r="AC182" s="3">
        <f t="shared" ca="1" si="20"/>
        <v>0</v>
      </c>
    </row>
    <row r="183" spans="8:29">
      <c r="H183" t="b">
        <f t="shared" ca="1" si="17"/>
        <v>0</v>
      </c>
      <c r="I183" t="b">
        <f t="shared" ca="1" si="14"/>
        <v>0</v>
      </c>
      <c r="J183" s="2">
        <f ca="1"/>
        <v>45406</v>
      </c>
      <c r="K183">
        <f ca="1"/>
        <v>-20.959440439827901</v>
      </c>
      <c r="L183">
        <f ca="1"/>
        <v>1.9881196719875618</v>
      </c>
      <c r="M183">
        <f ca="1"/>
        <v>9.1739857669521641E-3</v>
      </c>
      <c r="N183">
        <f ca="1"/>
        <v>0.18567259021902588</v>
      </c>
      <c r="O183">
        <f ca="1"/>
        <v>0</v>
      </c>
      <c r="P183">
        <f ca="1"/>
        <v>79.888293612159075</v>
      </c>
      <c r="Q183">
        <f ca="1"/>
        <v>73.08299452667886</v>
      </c>
      <c r="R183">
        <f ca="1"/>
        <v>0</v>
      </c>
      <c r="S183">
        <f ca="1"/>
        <v>0.63498608962587144</v>
      </c>
      <c r="T183">
        <f ca="1"/>
        <v>0</v>
      </c>
      <c r="U183">
        <f ca="1"/>
        <v>0</v>
      </c>
      <c r="V183">
        <f ca="1"/>
        <v>0.99868606187264775</v>
      </c>
      <c r="X183" s="2">
        <f t="shared" ca="1" si="15"/>
        <v>45406</v>
      </c>
      <c r="Y183">
        <f t="shared" ca="1" si="16"/>
        <v>0</v>
      </c>
      <c r="AA183" s="63">
        <f t="shared" ca="1" si="18"/>
        <v>-18.971320767840339</v>
      </c>
      <c r="AB183" s="63">
        <f t="shared" ca="1" si="19"/>
        <v>-18.971320767840339</v>
      </c>
      <c r="AC183" s="3">
        <f t="shared" ca="1" si="20"/>
        <v>0</v>
      </c>
    </row>
    <row r="184" spans="8:29">
      <c r="H184" t="b">
        <f t="shared" ca="1" si="17"/>
        <v>0</v>
      </c>
      <c r="I184" t="b">
        <f t="shared" ca="1" si="14"/>
        <v>0</v>
      </c>
      <c r="J184" s="2">
        <f ca="1"/>
        <v>45407</v>
      </c>
      <c r="K184">
        <f ca="1"/>
        <v>-22.790891815677192</v>
      </c>
      <c r="L184">
        <f ca="1"/>
        <v>2.0340128521758771</v>
      </c>
      <c r="M184">
        <f ca="1"/>
        <v>9.2014113361473804E-3</v>
      </c>
      <c r="N184">
        <f ca="1"/>
        <v>0.19336006499044103</v>
      </c>
      <c r="O184">
        <f ca="1"/>
        <v>0</v>
      </c>
      <c r="P184">
        <f ca="1"/>
        <v>81.922306464334952</v>
      </c>
      <c r="Q184">
        <f ca="1"/>
        <v>74.943739617373083</v>
      </c>
      <c r="R184">
        <f ca="1"/>
        <v>0</v>
      </c>
      <c r="S184">
        <f ca="1"/>
        <v>0.65106058744212492</v>
      </c>
      <c r="T184">
        <f ca="1"/>
        <v>0</v>
      </c>
      <c r="U184">
        <f ca="1"/>
        <v>0</v>
      </c>
      <c r="V184">
        <f ca="1"/>
        <v>0.99882073325342857</v>
      </c>
      <c r="X184" s="2">
        <f t="shared" ca="1" si="15"/>
        <v>45407</v>
      </c>
      <c r="Y184">
        <f t="shared" ca="1" si="16"/>
        <v>0</v>
      </c>
      <c r="AA184" s="63">
        <f t="shared" ca="1" si="18"/>
        <v>-20.756878963501315</v>
      </c>
      <c r="AB184" s="63">
        <f t="shared" ca="1" si="19"/>
        <v>-20.756878963501315</v>
      </c>
      <c r="AC184" s="3">
        <f t="shared" ca="1" si="20"/>
        <v>0</v>
      </c>
    </row>
    <row r="185" spans="8:29">
      <c r="H185" t="b">
        <f t="shared" ca="1" si="17"/>
        <v>0</v>
      </c>
      <c r="I185" t="b">
        <f t="shared" ca="1" si="14"/>
        <v>0</v>
      </c>
      <c r="J185" s="2">
        <f ca="1"/>
        <v>45408</v>
      </c>
      <c r="K185">
        <f ca="1"/>
        <v>-24.680866494638796</v>
      </c>
      <c r="L185">
        <f ca="1"/>
        <v>2.1020730680135387</v>
      </c>
      <c r="M185">
        <f ca="1"/>
        <v>9.3349427306117505E-3</v>
      </c>
      <c r="N185">
        <f ca="1"/>
        <v>0.2027634463213249</v>
      </c>
      <c r="O185">
        <f ca="1"/>
        <v>0</v>
      </c>
      <c r="P185">
        <f ca="1"/>
        <v>84.02437953234849</v>
      </c>
      <c r="Q185">
        <f ca="1"/>
        <v>76.866747201815102</v>
      </c>
      <c r="R185">
        <f ca="1"/>
        <v>0</v>
      </c>
      <c r="S185">
        <f ca="1"/>
        <v>0.66198156272496134</v>
      </c>
      <c r="T185">
        <f ca="1"/>
        <v>0</v>
      </c>
      <c r="U185">
        <f ca="1"/>
        <v>0</v>
      </c>
      <c r="V185">
        <f ca="1"/>
        <v>0.99894466435344009</v>
      </c>
      <c r="X185" s="2">
        <f t="shared" ca="1" si="15"/>
        <v>45408</v>
      </c>
      <c r="Y185">
        <f t="shared" ca="1" si="16"/>
        <v>0</v>
      </c>
      <c r="AA185" s="63">
        <f t="shared" ca="1" si="18"/>
        <v>-22.578793426625257</v>
      </c>
      <c r="AB185" s="63">
        <f t="shared" ca="1" si="19"/>
        <v>-22.578793426625257</v>
      </c>
      <c r="AC185" s="3">
        <f t="shared" ca="1" si="20"/>
        <v>0</v>
      </c>
    </row>
    <row r="186" spans="8:29">
      <c r="H186" t="b">
        <f t="shared" ca="1" si="17"/>
        <v>0</v>
      </c>
      <c r="I186" t="b">
        <f t="shared" ca="1" si="14"/>
        <v>0</v>
      </c>
      <c r="J186" s="2">
        <f ca="1"/>
        <v>45409</v>
      </c>
      <c r="K186">
        <f ca="1"/>
        <v>-26.604692096350377</v>
      </c>
      <c r="L186">
        <f ca="1"/>
        <v>2.1471682807310373</v>
      </c>
      <c r="M186">
        <f ca="1"/>
        <v>9.3624647170926778E-3</v>
      </c>
      <c r="N186">
        <f ca="1"/>
        <v>0.21398021430236472</v>
      </c>
      <c r="O186">
        <f ca="1"/>
        <v>0</v>
      </c>
      <c r="P186">
        <f ca="1"/>
        <v>86.171547813079528</v>
      </c>
      <c r="Q186">
        <f ca="1"/>
        <v>78.831008554928317</v>
      </c>
      <c r="R186">
        <f ca="1"/>
        <v>0</v>
      </c>
      <c r="S186">
        <f ca="1"/>
        <v>0.68774898853375832</v>
      </c>
      <c r="T186">
        <f ca="1"/>
        <v>0</v>
      </c>
      <c r="U186">
        <f ca="1"/>
        <v>0</v>
      </c>
      <c r="V186">
        <f ca="1"/>
        <v>0.99905721672961401</v>
      </c>
      <c r="X186" s="2">
        <f t="shared" ca="1" si="15"/>
        <v>45409</v>
      </c>
      <c r="Y186">
        <f t="shared" ca="1" si="16"/>
        <v>0</v>
      </c>
      <c r="AA186" s="63">
        <f t="shared" ca="1" si="18"/>
        <v>-24.457523815619339</v>
      </c>
      <c r="AB186" s="63">
        <f t="shared" ca="1" si="19"/>
        <v>-24.457523815619339</v>
      </c>
      <c r="AC186" s="3">
        <f t="shared" ca="1" si="20"/>
        <v>0</v>
      </c>
    </row>
    <row r="187" spans="8:29">
      <c r="H187" t="b">
        <f t="shared" ca="1" si="17"/>
        <v>0</v>
      </c>
      <c r="I187" t="b">
        <f t="shared" ca="1" si="14"/>
        <v>0</v>
      </c>
      <c r="J187" s="2">
        <f ca="1"/>
        <v>45410</v>
      </c>
      <c r="K187">
        <f ca="1"/>
        <v>-28.42441452655747</v>
      </c>
      <c r="L187">
        <f ca="1"/>
        <v>2.0317337734091012</v>
      </c>
      <c r="M187">
        <f ca="1"/>
        <v>8.6726630968128049E-3</v>
      </c>
      <c r="N187">
        <f ca="1"/>
        <v>0.20333868010519396</v>
      </c>
      <c r="O187">
        <f ca="1"/>
        <v>0</v>
      </c>
      <c r="P187">
        <f ca="1"/>
        <v>88.203281586488629</v>
      </c>
      <c r="Q187">
        <f ca="1"/>
        <v>80.689668710602561</v>
      </c>
      <c r="R187">
        <f ca="1"/>
        <v>0</v>
      </c>
      <c r="S187">
        <f ca="1"/>
        <v>0.70578779459795382</v>
      </c>
      <c r="T187">
        <f ca="1"/>
        <v>0</v>
      </c>
      <c r="U187">
        <f ca="1"/>
        <v>0</v>
      </c>
      <c r="V187">
        <f ca="1"/>
        <v>0.99915222983063223</v>
      </c>
      <c r="X187" s="2">
        <f t="shared" ca="1" si="15"/>
        <v>45410</v>
      </c>
      <c r="Y187">
        <f t="shared" ca="1" si="16"/>
        <v>0</v>
      </c>
      <c r="AA187" s="63">
        <f t="shared" ca="1" si="18"/>
        <v>-26.392680753148369</v>
      </c>
      <c r="AB187" s="63">
        <f t="shared" ca="1" si="19"/>
        <v>-26.392680753148369</v>
      </c>
      <c r="AC187" s="3">
        <f t="shared" ca="1" si="20"/>
        <v>0</v>
      </c>
    </row>
    <row r="188" spans="8:29">
      <c r="H188" t="b">
        <f t="shared" ca="1" si="17"/>
        <v>0</v>
      </c>
      <c r="I188" t="b">
        <f t="shared" ca="1" si="14"/>
        <v>0</v>
      </c>
      <c r="J188" s="2">
        <f ca="1"/>
        <v>45411</v>
      </c>
      <c r="K188">
        <f ca="1"/>
        <v>-30.192219634662525</v>
      </c>
      <c r="L188">
        <f ca="1"/>
        <v>1.9836683400875899</v>
      </c>
      <c r="M188">
        <f ca="1"/>
        <v>8.3272358872799046E-3</v>
      </c>
      <c r="N188">
        <f ca="1"/>
        <v>0.2075359960952545</v>
      </c>
      <c r="O188">
        <f ca="1"/>
        <v>0</v>
      </c>
      <c r="P188">
        <f ca="1"/>
        <v>90.186949926576219</v>
      </c>
      <c r="Q188">
        <f ca="1"/>
        <v>82.504357895793802</v>
      </c>
      <c r="R188">
        <f ca="1"/>
        <v>0</v>
      </c>
      <c r="S188">
        <f ca="1"/>
        <v>0.74670278148746205</v>
      </c>
      <c r="T188">
        <f ca="1"/>
        <v>0</v>
      </c>
      <c r="U188">
        <f ca="1"/>
        <v>0</v>
      </c>
      <c r="V188">
        <f ca="1"/>
        <v>0.9992354723807203</v>
      </c>
      <c r="X188" s="2">
        <f t="shared" ca="1" si="15"/>
        <v>45411</v>
      </c>
      <c r="Y188">
        <f t="shared" ca="1" si="16"/>
        <v>0</v>
      </c>
      <c r="AA188" s="63">
        <f t="shared" ca="1" si="18"/>
        <v>-28.208551294574935</v>
      </c>
      <c r="AB188" s="63">
        <f t="shared" ca="1" si="19"/>
        <v>-28.208551294574935</v>
      </c>
      <c r="AC188" s="3">
        <f t="shared" ca="1" si="20"/>
        <v>0</v>
      </c>
    </row>
    <row r="189" spans="8:29">
      <c r="H189" t="b">
        <f t="shared" ca="1" si="17"/>
        <v>0</v>
      </c>
      <c r="I189" t="b">
        <f t="shared" ca="1" si="14"/>
        <v>0</v>
      </c>
      <c r="J189" s="2">
        <f ca="1"/>
        <v>45412</v>
      </c>
      <c r="K189">
        <f ca="1"/>
        <v>-31.968684459589841</v>
      </c>
      <c r="L189">
        <f ca="1"/>
        <v>1.9987201972081436</v>
      </c>
      <c r="M189">
        <f ca="1"/>
        <v>8.2610581440931696E-3</v>
      </c>
      <c r="N189">
        <f ca="1"/>
        <v>0.21399431413673417</v>
      </c>
      <c r="O189">
        <f ca="1"/>
        <v>0</v>
      </c>
      <c r="P189">
        <f ca="1"/>
        <v>92.185670123784362</v>
      </c>
      <c r="Q189">
        <f ca="1"/>
        <v>84.332816742869412</v>
      </c>
      <c r="R189">
        <f ca="1"/>
        <v>0</v>
      </c>
      <c r="S189">
        <f ca="1"/>
        <v>0.76549579093974096</v>
      </c>
      <c r="T189">
        <f ca="1"/>
        <v>0</v>
      </c>
      <c r="U189">
        <f ca="1"/>
        <v>0</v>
      </c>
      <c r="V189">
        <f ca="1"/>
        <v>0.99931089501288661</v>
      </c>
      <c r="X189" s="2">
        <f t="shared" ca="1" si="15"/>
        <v>45412</v>
      </c>
      <c r="Y189">
        <f t="shared" ca="1" si="16"/>
        <v>0</v>
      </c>
      <c r="AA189" s="63">
        <f t="shared" ca="1" si="18"/>
        <v>-29.969964262381698</v>
      </c>
      <c r="AB189" s="63">
        <f t="shared" ca="1" si="19"/>
        <v>-29.969964262381698</v>
      </c>
      <c r="AC189" s="3">
        <f t="shared" ca="1" si="20"/>
        <v>0</v>
      </c>
    </row>
    <row r="190" spans="8:29">
      <c r="H190" t="b">
        <f t="shared" ca="1" si="17"/>
        <v>0</v>
      </c>
      <c r="I190" t="b">
        <f t="shared" ca="1" si="14"/>
        <v>0</v>
      </c>
      <c r="J190" s="2">
        <f ca="1"/>
        <v>45413</v>
      </c>
      <c r="K190">
        <f ca="1"/>
        <v>-33.716601963788975</v>
      </c>
      <c r="L190">
        <f ca="1"/>
        <v>1.9884723533934192</v>
      </c>
      <c r="M190">
        <f ca="1"/>
        <v>8.0990314768696337E-3</v>
      </c>
      <c r="N190">
        <f ca="1"/>
        <v>0.23245581771741181</v>
      </c>
      <c r="O190">
        <f ca="1"/>
        <v>0</v>
      </c>
      <c r="P190">
        <f ca="1"/>
        <v>94.174142477177782</v>
      </c>
      <c r="Q190">
        <f ca="1"/>
        <v>86.151900710603371</v>
      </c>
      <c r="R190">
        <f ca="1"/>
        <v>0</v>
      </c>
      <c r="S190">
        <f ca="1"/>
        <v>0.83549987663611436</v>
      </c>
      <c r="T190">
        <f ca="1"/>
        <v>0</v>
      </c>
      <c r="U190">
        <f ca="1"/>
        <v>0</v>
      </c>
      <c r="V190">
        <f ca="1"/>
        <v>0.99937843342212285</v>
      </c>
      <c r="X190" s="2">
        <f t="shared" ca="1" si="15"/>
        <v>45413</v>
      </c>
      <c r="Y190">
        <f t="shared" ca="1" si="16"/>
        <v>0</v>
      </c>
      <c r="AA190" s="63">
        <f t="shared" ca="1" si="18"/>
        <v>-31.728129610395559</v>
      </c>
      <c r="AB190" s="63">
        <f t="shared" ca="1" si="19"/>
        <v>-31.728129610395555</v>
      </c>
      <c r="AC190" s="3">
        <f t="shared" ca="1" si="20"/>
        <v>0</v>
      </c>
    </row>
    <row r="191" spans="8:29">
      <c r="H191" t="b">
        <f t="shared" ca="1" si="17"/>
        <v>0</v>
      </c>
      <c r="I191" t="b">
        <f t="shared" ca="1" si="14"/>
        <v>0</v>
      </c>
      <c r="J191" s="2">
        <f ca="1"/>
        <v>45414</v>
      </c>
      <c r="K191">
        <f ca="1"/>
        <v>-35.45019392288269</v>
      </c>
      <c r="L191">
        <f ca="1"/>
        <v>1.9750857557511523</v>
      </c>
      <c r="M191">
        <f ca="1"/>
        <v>7.9349695983648161E-3</v>
      </c>
      <c r="N191">
        <f ca="1"/>
        <v>0.23355882705906797</v>
      </c>
      <c r="O191">
        <f ca="1"/>
        <v>0</v>
      </c>
      <c r="P191">
        <f ca="1"/>
        <v>96.149228232928934</v>
      </c>
      <c r="Q191">
        <f ca="1"/>
        <v>87.958738420494228</v>
      </c>
      <c r="R191">
        <f ca="1"/>
        <v>0</v>
      </c>
      <c r="S191">
        <f ca="1"/>
        <v>0.84641158268896433</v>
      </c>
      <c r="T191">
        <f ca="1"/>
        <v>0</v>
      </c>
      <c r="U191">
        <f ca="1"/>
        <v>0</v>
      </c>
      <c r="V191">
        <f ca="1"/>
        <v>0.99943891111077421</v>
      </c>
      <c r="X191" s="2">
        <f t="shared" ca="1" si="15"/>
        <v>45414</v>
      </c>
      <c r="Y191">
        <f t="shared" ca="1" si="16"/>
        <v>0</v>
      </c>
      <c r="AA191" s="63">
        <f t="shared" ca="1" si="18"/>
        <v>-33.475108167131538</v>
      </c>
      <c r="AB191" s="63">
        <f t="shared" ca="1" si="19"/>
        <v>-33.475108167131538</v>
      </c>
      <c r="AC191" s="3">
        <f t="shared" ca="1" si="20"/>
        <v>0</v>
      </c>
    </row>
    <row r="192" spans="8:29">
      <c r="H192" t="b">
        <f t="shared" ca="1" si="17"/>
        <v>0</v>
      </c>
      <c r="I192" t="b">
        <f t="shared" ca="1" si="14"/>
        <v>0</v>
      </c>
      <c r="J192" s="2">
        <f ca="1"/>
        <v>45415</v>
      </c>
      <c r="K192">
        <f ca="1"/>
        <v>-37.149092799657353</v>
      </c>
      <c r="L192">
        <f ca="1"/>
        <v>1.9363580387246628</v>
      </c>
      <c r="M192">
        <f ca="1"/>
        <v>7.6840634705463984E-3</v>
      </c>
      <c r="N192">
        <f ca="1"/>
        <v>0.2297750984794513</v>
      </c>
      <c r="O192">
        <f ca="1"/>
        <v>0</v>
      </c>
      <c r="P192">
        <f ca="1"/>
        <v>98.085586271653597</v>
      </c>
      <c r="Q192">
        <f ca="1"/>
        <v>89.730147441105316</v>
      </c>
      <c r="R192">
        <f ca="1"/>
        <v>0</v>
      </c>
      <c r="S192">
        <f ca="1"/>
        <v>0.85232289395498062</v>
      </c>
      <c r="T192">
        <f ca="1"/>
        <v>0</v>
      </c>
      <c r="U192">
        <f ca="1"/>
        <v>0</v>
      </c>
      <c r="V192">
        <f ca="1"/>
        <v>0.99949248320976858</v>
      </c>
      <c r="X192" s="2">
        <f t="shared" ca="1" si="15"/>
        <v>45415</v>
      </c>
      <c r="Y192">
        <f t="shared" ca="1" si="16"/>
        <v>0</v>
      </c>
      <c r="AA192" s="63">
        <f t="shared" ca="1" si="18"/>
        <v>-35.21273476093269</v>
      </c>
      <c r="AB192" s="63">
        <f t="shared" ca="1" si="19"/>
        <v>-35.21273476093269</v>
      </c>
      <c r="AC192" s="3">
        <f t="shared" ca="1" si="20"/>
        <v>0</v>
      </c>
    </row>
    <row r="193" spans="8:29">
      <c r="H193" t="b">
        <f t="shared" ca="1" si="17"/>
        <v>0</v>
      </c>
      <c r="I193" t="b">
        <f t="shared" ca="1" si="14"/>
        <v>0</v>
      </c>
      <c r="J193" s="2">
        <f ca="1"/>
        <v>45416</v>
      </c>
      <c r="K193">
        <f ca="1"/>
        <v>-38.851655403674364</v>
      </c>
      <c r="L193">
        <f ca="1"/>
        <v>1.9475416531355876</v>
      </c>
      <c r="M193">
        <f ca="1"/>
        <v>7.6346417443984294E-3</v>
      </c>
      <c r="N193">
        <f ca="1"/>
        <v>0.23734440737418314</v>
      </c>
      <c r="O193">
        <f ca="1"/>
        <v>0</v>
      </c>
      <c r="P193">
        <f ca="1"/>
        <v>100.03312792478918</v>
      </c>
      <c r="Q193">
        <f ca="1"/>
        <v>91.511787397862719</v>
      </c>
      <c r="R193">
        <f ca="1"/>
        <v>0</v>
      </c>
      <c r="S193">
        <f ca="1"/>
        <v>0.87156735064504698</v>
      </c>
      <c r="T193">
        <f ca="1"/>
        <v>0</v>
      </c>
      <c r="U193">
        <f ca="1"/>
        <v>0</v>
      </c>
      <c r="V193">
        <f ca="1"/>
        <v>0.99954124063944261</v>
      </c>
      <c r="X193" s="2">
        <f t="shared" ca="1" si="15"/>
        <v>45416</v>
      </c>
      <c r="Y193">
        <f t="shared" ca="1" si="16"/>
        <v>0</v>
      </c>
      <c r="AA193" s="63">
        <f t="shared" ca="1" si="18"/>
        <v>-36.904113750538777</v>
      </c>
      <c r="AB193" s="63">
        <f t="shared" ca="1" si="19"/>
        <v>-36.904113750538777</v>
      </c>
      <c r="AC193" s="3">
        <f t="shared" ca="1" si="20"/>
        <v>0</v>
      </c>
    </row>
    <row r="194" spans="8:29">
      <c r="H194" t="b">
        <f t="shared" ca="1" si="17"/>
        <v>0</v>
      </c>
      <c r="I194" t="b">
        <f t="shared" ca="1" si="14"/>
        <v>0</v>
      </c>
      <c r="J194" s="2">
        <f ca="1"/>
        <v>45417</v>
      </c>
      <c r="K194">
        <f ca="1"/>
        <v>-40.562392208606099</v>
      </c>
      <c r="L194">
        <f ca="1"/>
        <v>1.9668099207492276</v>
      </c>
      <c r="M194">
        <f ca="1"/>
        <v>7.6211979381888284E-3</v>
      </c>
      <c r="N194">
        <f ca="1"/>
        <v>0.24845191787931029</v>
      </c>
      <c r="O194">
        <f ca="1"/>
        <v>0</v>
      </c>
      <c r="P194">
        <f ca="1"/>
        <v>101.99993784553841</v>
      </c>
      <c r="Q194">
        <f ca="1"/>
        <v>93.311054251288837</v>
      </c>
      <c r="R194">
        <f ca="1"/>
        <v>0</v>
      </c>
      <c r="S194">
        <f ca="1"/>
        <v>0.89672030857821305</v>
      </c>
      <c r="T194">
        <f ca="1"/>
        <v>0</v>
      </c>
      <c r="U194">
        <f ca="1"/>
        <v>0</v>
      </c>
      <c r="V194">
        <f ca="1"/>
        <v>0.9995857942976466</v>
      </c>
      <c r="X194" s="2">
        <f t="shared" ca="1" si="15"/>
        <v>45417</v>
      </c>
      <c r="Y194">
        <f t="shared" ca="1" si="16"/>
        <v>0</v>
      </c>
      <c r="AA194" s="63">
        <f t="shared" ca="1" si="18"/>
        <v>-38.595582287856871</v>
      </c>
      <c r="AB194" s="63">
        <f t="shared" ca="1" si="19"/>
        <v>-38.595582287856871</v>
      </c>
      <c r="AC194" s="3">
        <f t="shared" ca="1" si="20"/>
        <v>0</v>
      </c>
    </row>
    <row r="195" spans="8:29">
      <c r="H195" t="b">
        <f t="shared" ca="1" si="17"/>
        <v>0</v>
      </c>
      <c r="I195" t="b">
        <f t="shared" ca="1" si="14"/>
        <v>0</v>
      </c>
      <c r="J195" s="2">
        <f ca="1"/>
        <v>45418</v>
      </c>
      <c r="K195">
        <f ca="1"/>
        <v>-42.231382254707093</v>
      </c>
      <c r="L195">
        <f ca="1"/>
        <v>1.9178977727288498</v>
      </c>
      <c r="M195">
        <f ca="1"/>
        <v>7.3589712788706407E-3</v>
      </c>
      <c r="N195">
        <f ca="1"/>
        <v>0.24154875534898856</v>
      </c>
      <c r="O195">
        <f ca="1"/>
        <v>0</v>
      </c>
      <c r="P195">
        <f ca="1"/>
        <v>103.91783561826726</v>
      </c>
      <c r="Q195">
        <f ca="1"/>
        <v>95.065575547081536</v>
      </c>
      <c r="R195">
        <f ca="1"/>
        <v>0</v>
      </c>
      <c r="S195">
        <f ca="1"/>
        <v>0.89611535072178516</v>
      </c>
      <c r="T195">
        <f ca="1"/>
        <v>0</v>
      </c>
      <c r="U195">
        <f ca="1"/>
        <v>0</v>
      </c>
      <c r="V195">
        <f ca="1"/>
        <v>0.99962515814676878</v>
      </c>
      <c r="X195" s="2">
        <f t="shared" ca="1" si="15"/>
        <v>45418</v>
      </c>
      <c r="Y195">
        <f t="shared" ca="1" si="16"/>
        <v>0</v>
      </c>
      <c r="AA195" s="63">
        <f t="shared" ca="1" si="18"/>
        <v>-40.313484481978243</v>
      </c>
      <c r="AB195" s="63">
        <f t="shared" ca="1" si="19"/>
        <v>-40.313484481978243</v>
      </c>
      <c r="AC195" s="3">
        <f t="shared" ca="1" si="20"/>
        <v>0</v>
      </c>
    </row>
    <row r="196" spans="8:29">
      <c r="H196" t="b">
        <f t="shared" ca="1" si="17"/>
        <v>0</v>
      </c>
      <c r="I196" t="b">
        <f t="shared" ca="1" si="14"/>
        <v>0</v>
      </c>
      <c r="J196" s="2">
        <f ca="1"/>
        <v>45419</v>
      </c>
      <c r="K196">
        <f ca="1"/>
        <v>-43.857001870778795</v>
      </c>
      <c r="L196">
        <f ca="1"/>
        <v>1.876108400163659</v>
      </c>
      <c r="M196">
        <f ca="1"/>
        <v>7.1368676555341182E-3</v>
      </c>
      <c r="N196">
        <f ca="1"/>
        <v>0.24335191643642676</v>
      </c>
      <c r="O196">
        <f ca="1"/>
        <v>0</v>
      </c>
      <c r="P196">
        <f ca="1"/>
        <v>105.79394401843092</v>
      </c>
      <c r="Q196">
        <f ca="1"/>
        <v>96.78186730574977</v>
      </c>
      <c r="R196">
        <f ca="1"/>
        <v>0</v>
      </c>
      <c r="S196">
        <f ca="1"/>
        <v>0.91975270398708631</v>
      </c>
      <c r="T196">
        <f ca="1"/>
        <v>0</v>
      </c>
      <c r="U196">
        <f ca="1"/>
        <v>0</v>
      </c>
      <c r="V196">
        <f ca="1"/>
        <v>0.99966014535100434</v>
      </c>
      <c r="X196" s="2">
        <f t="shared" ca="1" si="15"/>
        <v>45419</v>
      </c>
      <c r="Y196">
        <f t="shared" ca="1" si="16"/>
        <v>0</v>
      </c>
      <c r="AA196" s="63">
        <f t="shared" ca="1" si="18"/>
        <v>-41.980893470615136</v>
      </c>
      <c r="AB196" s="63">
        <f t="shared" ca="1" si="19"/>
        <v>-41.980893470615136</v>
      </c>
      <c r="AC196" s="3">
        <f t="shared" ca="1" si="20"/>
        <v>0</v>
      </c>
    </row>
    <row r="197" spans="8:29">
      <c r="H197" t="b">
        <f t="shared" ca="1" si="17"/>
        <v>0</v>
      </c>
      <c r="I197" t="b">
        <f t="shared" ca="1" si="14"/>
        <v>0</v>
      </c>
      <c r="J197" s="2">
        <f ca="1"/>
        <v>45420</v>
      </c>
      <c r="K197">
        <f ca="1"/>
        <v>-45.424183028158026</v>
      </c>
      <c r="L197">
        <f ca="1"/>
        <v>1.8113025684511967</v>
      </c>
      <c r="M197">
        <f ca="1"/>
        <v>6.8468342748495559E-3</v>
      </c>
      <c r="N197">
        <f ca="1"/>
        <v>0.23727457679711836</v>
      </c>
      <c r="O197">
        <f ca="1"/>
        <v>0</v>
      </c>
      <c r="P197">
        <f ca="1"/>
        <v>107.60524658688212</v>
      </c>
      <c r="Q197">
        <f ca="1"/>
        <v>98.438873729481031</v>
      </c>
      <c r="R197">
        <f ca="1"/>
        <v>0</v>
      </c>
      <c r="S197">
        <f ca="1"/>
        <v>0.92884426318628488</v>
      </c>
      <c r="T197">
        <f ca="1"/>
        <v>0</v>
      </c>
      <c r="U197">
        <f ca="1"/>
        <v>0</v>
      </c>
      <c r="V197">
        <f ca="1"/>
        <v>0.99969093264980724</v>
      </c>
      <c r="X197" s="2">
        <f t="shared" ca="1" si="15"/>
        <v>45420</v>
      </c>
      <c r="Y197">
        <f t="shared" ca="1" si="16"/>
        <v>0</v>
      </c>
      <c r="AA197" s="63">
        <f t="shared" ca="1" si="18"/>
        <v>-43.61288045970683</v>
      </c>
      <c r="AB197" s="63">
        <f t="shared" ca="1" si="19"/>
        <v>-43.61288045970683</v>
      </c>
      <c r="AC197" s="3">
        <f t="shared" ca="1" si="20"/>
        <v>0</v>
      </c>
    </row>
    <row r="198" spans="8:29">
      <c r="H198" t="b">
        <f t="shared" ca="1" si="17"/>
        <v>0</v>
      </c>
      <c r="I198" t="b">
        <f t="shared" ca="1" si="14"/>
        <v>0</v>
      </c>
      <c r="J198" s="2">
        <f ca="1"/>
        <v>45421</v>
      </c>
      <c r="K198">
        <f ca="1"/>
        <v>-46.991543720273825</v>
      </c>
      <c r="L198">
        <f ca="1"/>
        <v>1.8211214157139466</v>
      </c>
      <c r="M198">
        <f ca="1"/>
        <v>6.8244050278041257E-3</v>
      </c>
      <c r="N198">
        <f ca="1"/>
        <v>0.24693631857033865</v>
      </c>
      <c r="O198">
        <f ca="1"/>
        <v>0</v>
      </c>
      <c r="P198">
        <f ca="1"/>
        <v>109.42636800259606</v>
      </c>
      <c r="Q198">
        <f ca="1"/>
        <v>100.1048625801527</v>
      </c>
      <c r="R198">
        <f ca="1"/>
        <v>0</v>
      </c>
      <c r="S198">
        <f ca="1"/>
        <v>0.9515720414900608</v>
      </c>
      <c r="T198">
        <f ca="1"/>
        <v>0</v>
      </c>
      <c r="U198">
        <f ca="1"/>
        <v>0</v>
      </c>
      <c r="V198">
        <f ca="1"/>
        <v>0.99971919526540109</v>
      </c>
      <c r="X198" s="2">
        <f t="shared" ca="1" si="15"/>
        <v>45421</v>
      </c>
      <c r="Y198">
        <f t="shared" ca="1" si="16"/>
        <v>0</v>
      </c>
      <c r="AA198" s="63">
        <f t="shared" ca="1" si="18"/>
        <v>-45.170422304559878</v>
      </c>
      <c r="AB198" s="63">
        <f t="shared" ca="1" si="19"/>
        <v>-45.170422304559878</v>
      </c>
      <c r="AC198" s="3">
        <f t="shared" ca="1" si="20"/>
        <v>0</v>
      </c>
    </row>
    <row r="199" spans="8:29">
      <c r="H199" t="b">
        <f t="shared" ca="1" si="17"/>
        <v>0</v>
      </c>
      <c r="I199" t="b">
        <f t="shared" ref="I199:I262" ca="1" si="21">AND(IF(J199&gt;($J$3-1),TRUE,FALSE),IF(J199&lt;($J$4+1),TRUE,FALSE))</f>
        <v>0</v>
      </c>
      <c r="J199" s="2">
        <f ca="1"/>
        <v>45422</v>
      </c>
      <c r="K199">
        <f ca="1"/>
        <v>-48.579702758576715</v>
      </c>
      <c r="L199">
        <f ca="1"/>
        <v>1.8511544623109017</v>
      </c>
      <c r="M199">
        <f ca="1"/>
        <v>6.8763768146133941E-3</v>
      </c>
      <c r="N199">
        <f ca="1"/>
        <v>0.2561190471933999</v>
      </c>
      <c r="O199">
        <f ca="1"/>
        <v>0</v>
      </c>
      <c r="P199">
        <f ca="1"/>
        <v>111.27752246490697</v>
      </c>
      <c r="Q199">
        <f ca="1"/>
        <v>101.79832610678525</v>
      </c>
      <c r="R199">
        <f ca="1"/>
        <v>0</v>
      </c>
      <c r="S199">
        <f ca="1"/>
        <v>0.96066329057349242</v>
      </c>
      <c r="T199">
        <f ca="1"/>
        <v>0</v>
      </c>
      <c r="U199">
        <f ca="1"/>
        <v>0</v>
      </c>
      <c r="V199">
        <f ca="1"/>
        <v>0.99974540741450635</v>
      </c>
      <c r="X199" s="2">
        <f t="shared" ref="X199:X262" ca="1" si="22">IFERROR(J199,$X$5)</f>
        <v>45422</v>
      </c>
      <c r="Y199">
        <f t="shared" ref="Y199:Y262" ca="1" si="23">IFERROR(O199,0)</f>
        <v>0</v>
      </c>
      <c r="AA199" s="63">
        <f t="shared" ca="1" si="18"/>
        <v>-46.728548296265807</v>
      </c>
      <c r="AB199" s="63">
        <f t="shared" ca="1" si="19"/>
        <v>-46.728548296265814</v>
      </c>
      <c r="AC199" s="3">
        <f t="shared" ca="1" si="20"/>
        <v>0</v>
      </c>
    </row>
    <row r="200" spans="8:29">
      <c r="H200" t="b">
        <f t="shared" ref="H200:H263" ca="1" si="24">IF(J200&lt;$J$4,TRUE,FALSE)</f>
        <v>0</v>
      </c>
      <c r="I200" t="b">
        <f t="shared" ca="1" si="21"/>
        <v>0</v>
      </c>
      <c r="J200" s="2">
        <f ca="1"/>
        <v>45423</v>
      </c>
      <c r="K200">
        <f ca="1"/>
        <v>-50.192696307331957</v>
      </c>
      <c r="L200">
        <f ca="1"/>
        <v>1.8832337208116172</v>
      </c>
      <c r="M200">
        <f ca="1"/>
        <v>6.9410157320017873E-3</v>
      </c>
      <c r="N200">
        <f ca="1"/>
        <v>0.26329915632437428</v>
      </c>
      <c r="O200">
        <f ca="1"/>
        <v>0</v>
      </c>
      <c r="P200">
        <f ca="1"/>
        <v>113.16075618571858</v>
      </c>
      <c r="Q200">
        <f ca="1"/>
        <v>103.52113621434256</v>
      </c>
      <c r="R200">
        <f ca="1"/>
        <v>0</v>
      </c>
      <c r="S200">
        <f ca="1"/>
        <v>0.99066350744090648</v>
      </c>
      <c r="T200">
        <f ca="1"/>
        <v>0</v>
      </c>
      <c r="U200">
        <f ca="1"/>
        <v>0</v>
      </c>
      <c r="V200">
        <f ca="1"/>
        <v>0.99976970573566493</v>
      </c>
      <c r="X200" s="2">
        <f t="shared" ca="1" si="22"/>
        <v>45423</v>
      </c>
      <c r="Y200">
        <f t="shared" ca="1" si="23"/>
        <v>0</v>
      </c>
      <c r="AA200" s="63">
        <f t="shared" ca="1" si="18"/>
        <v>-48.30946258652034</v>
      </c>
      <c r="AB200" s="63">
        <f t="shared" ca="1" si="19"/>
        <v>-48.30946258652034</v>
      </c>
      <c r="AC200" s="3">
        <f t="shared" ca="1" si="20"/>
        <v>0</v>
      </c>
    </row>
    <row r="201" spans="8:29">
      <c r="H201" t="b">
        <f t="shared" ca="1" si="24"/>
        <v>0</v>
      </c>
      <c r="I201" t="b">
        <f t="shared" ca="1" si="21"/>
        <v>0</v>
      </c>
      <c r="J201" s="2">
        <f ca="1"/>
        <v>45424</v>
      </c>
      <c r="K201">
        <f ca="1"/>
        <v>-51.783840800453646</v>
      </c>
      <c r="L201">
        <f ca="1"/>
        <v>1.8594508773489338</v>
      </c>
      <c r="M201">
        <f ca="1"/>
        <v>6.8136599095716122E-3</v>
      </c>
      <c r="N201">
        <f ca="1"/>
        <v>0.26149272431767401</v>
      </c>
      <c r="O201">
        <f ca="1"/>
        <v>0</v>
      </c>
      <c r="P201">
        <f ca="1"/>
        <v>115.02020706306752</v>
      </c>
      <c r="Q201">
        <f ca="1"/>
        <v>105.22218942436176</v>
      </c>
      <c r="R201">
        <f ca="1"/>
        <v>0</v>
      </c>
      <c r="S201">
        <f ca="1"/>
        <v>1</v>
      </c>
      <c r="T201">
        <f ca="1"/>
        <v>1.0137946826216222</v>
      </c>
      <c r="U201">
        <f ca="1"/>
        <v>0</v>
      </c>
      <c r="V201">
        <f ca="1"/>
        <v>0.99979156520810863</v>
      </c>
      <c r="X201" s="2">
        <f t="shared" ca="1" si="22"/>
        <v>45424</v>
      </c>
      <c r="Y201">
        <f t="shared" ca="1" si="23"/>
        <v>0</v>
      </c>
      <c r="AA201" s="63">
        <f ca="1">K200+M201+N201+O201</f>
        <v>-49.924389923104712</v>
      </c>
      <c r="AB201" s="63">
        <f ca="1">K201+L201+R201</f>
        <v>-49.924389923104712</v>
      </c>
      <c r="AC201" s="3">
        <f ca="1">AB201-AA201</f>
        <v>0</v>
      </c>
    </row>
    <row r="202" spans="8:29">
      <c r="H202" t="b">
        <f t="shared" ca="1" si="24"/>
        <v>0</v>
      </c>
      <c r="I202" t="b">
        <f t="shared" ca="1" si="21"/>
        <v>0</v>
      </c>
      <c r="J202" s="2">
        <f ca="1"/>
        <v>45425</v>
      </c>
      <c r="K202">
        <f ca="1"/>
        <v>-53.324470313372736</v>
      </c>
      <c r="L202">
        <f ca="1"/>
        <v>1.8013257146165529</v>
      </c>
      <c r="M202">
        <f ca="1"/>
        <v>6.5746633499301765E-3</v>
      </c>
      <c r="N202">
        <f ca="1"/>
        <v>0.25412153834753565</v>
      </c>
      <c r="O202">
        <f ca="1"/>
        <v>0</v>
      </c>
      <c r="P202">
        <f ca="1"/>
        <v>116.82153277768407</v>
      </c>
      <c r="Q202">
        <f ca="1"/>
        <v>106.87006887439986</v>
      </c>
      <c r="R202">
        <f ca="1"/>
        <v>0</v>
      </c>
      <c r="S202">
        <f ca="1"/>
        <v>1</v>
      </c>
      <c r="T202">
        <f ca="1"/>
        <v>1.2099999999999937</v>
      </c>
      <c r="U202">
        <f ca="1"/>
        <v>0</v>
      </c>
      <c r="V202">
        <f ca="1"/>
        <v>0.99981090037004172</v>
      </c>
      <c r="X202" s="2">
        <f t="shared" ca="1" si="22"/>
        <v>45425</v>
      </c>
      <c r="Y202">
        <f t="shared" ca="1" si="23"/>
        <v>0</v>
      </c>
      <c r="AA202" s="63">
        <f ca="1">K201+M202+N202+O202</f>
        <v>-51.523144598756183</v>
      </c>
      <c r="AB202" s="63">
        <f ca="1">K202+L202+R202</f>
        <v>-51.523144598756183</v>
      </c>
      <c r="AC202" s="3">
        <f ca="1">AB202-AA202</f>
        <v>0</v>
      </c>
    </row>
    <row r="203" spans="8:29">
      <c r="H203" t="b">
        <f t="shared" ca="1" si="24"/>
        <v>0</v>
      </c>
      <c r="I203" t="b">
        <f t="shared" ca="1" si="21"/>
        <v>0</v>
      </c>
      <c r="J203" s="2">
        <f ca="1"/>
        <v>45426</v>
      </c>
      <c r="K203">
        <f ca="1"/>
        <v>-54.841669891710431</v>
      </c>
      <c r="L203">
        <f ca="1"/>
        <v>1.7760094789259995</v>
      </c>
      <c r="M203">
        <f ca="1"/>
        <v>6.4558673458163796E-3</v>
      </c>
      <c r="N203">
        <f ca="1"/>
        <v>0.25235403324249134</v>
      </c>
      <c r="O203">
        <f ca="1"/>
        <v>0</v>
      </c>
      <c r="P203">
        <f ca="1"/>
        <v>118.59754225661007</v>
      </c>
      <c r="Q203">
        <f ca="1"/>
        <v>108.4947886569729</v>
      </c>
      <c r="R203">
        <f ca="1"/>
        <v>0</v>
      </c>
      <c r="S203">
        <f ca="1"/>
        <v>1</v>
      </c>
      <c r="T203">
        <f ca="1"/>
        <v>2.3300000000000125</v>
      </c>
      <c r="U203">
        <f ca="1"/>
        <v>0</v>
      </c>
      <c r="V203">
        <f ca="1"/>
        <v>0.99982834316382496</v>
      </c>
      <c r="X203" s="2">
        <f t="shared" ca="1" si="22"/>
        <v>45426</v>
      </c>
      <c r="Y203">
        <f t="shared" ca="1" si="23"/>
        <v>0</v>
      </c>
      <c r="AA203" s="63">
        <f ca="1">K202+M203+N203+O203</f>
        <v>-53.065660412784432</v>
      </c>
      <c r="AB203" s="63">
        <f ca="1">K203+L203+R203</f>
        <v>-53.065660412784432</v>
      </c>
      <c r="AC203" s="3">
        <f ca="1">AB203-AA203</f>
        <v>0</v>
      </c>
    </row>
    <row r="204" spans="8:29">
      <c r="H204" t="b">
        <f t="shared" ca="1" si="24"/>
        <v>0</v>
      </c>
      <c r="I204" t="b">
        <f t="shared" ca="1" si="21"/>
        <v>0</v>
      </c>
      <c r="J204" s="2">
        <f ca="1"/>
        <v>45427</v>
      </c>
      <c r="K204">
        <f ca="1"/>
        <v>-56.344303356270501</v>
      </c>
      <c r="L204">
        <f ca="1"/>
        <v>1.7615868675711681</v>
      </c>
      <c r="M204">
        <f ca="1"/>
        <v>6.378846188940912E-3</v>
      </c>
      <c r="N204">
        <f ca="1"/>
        <v>0.25257455682215685</v>
      </c>
      <c r="O204">
        <f ca="1"/>
        <v>0</v>
      </c>
      <c r="P204">
        <f ca="1"/>
        <v>120.35912912418124</v>
      </c>
      <c r="Q204">
        <f ca="1"/>
        <v>110.10631442101025</v>
      </c>
      <c r="R204">
        <f ca="1"/>
        <v>0</v>
      </c>
      <c r="S204">
        <f ca="1"/>
        <v>1</v>
      </c>
      <c r="T204">
        <f ca="1"/>
        <v>2.3400000000000034</v>
      </c>
      <c r="U204">
        <f ca="1"/>
        <v>0</v>
      </c>
      <c r="V204">
        <f ca="1"/>
        <v>0.9998441885077809</v>
      </c>
      <c r="X204" s="2">
        <f t="shared" ca="1" si="22"/>
        <v>45427</v>
      </c>
      <c r="Y204">
        <f t="shared" ca="1" si="23"/>
        <v>0</v>
      </c>
      <c r="AA204" s="63">
        <f t="shared" ref="AA204:AA267" ca="1" si="25">K203+M204+N204+O204</f>
        <v>-54.582716488699333</v>
      </c>
      <c r="AB204" s="63">
        <f t="shared" ref="AB204:AB267" ca="1" si="26">K204+L204+R204</f>
        <v>-54.582716488699333</v>
      </c>
      <c r="AC204" s="3">
        <f t="shared" ref="AC204:AC267" ca="1" si="27">AB204-AA204</f>
        <v>0</v>
      </c>
    </row>
    <row r="205" spans="8:29">
      <c r="H205" t="b">
        <f t="shared" ca="1" si="24"/>
        <v>0</v>
      </c>
      <c r="I205" t="b">
        <f t="shared" ca="1" si="21"/>
        <v>0</v>
      </c>
      <c r="J205" s="2">
        <f ca="1"/>
        <v>45428</v>
      </c>
      <c r="K205">
        <f ca="1"/>
        <v>-57.787318794159077</v>
      </c>
      <c r="L205">
        <f ca="1"/>
        <v>1.692988262709747</v>
      </c>
      <c r="M205">
        <f ca="1"/>
        <v>6.1269635273157874E-3</v>
      </c>
      <c r="N205">
        <f ca="1"/>
        <v>0.24384586129385633</v>
      </c>
      <c r="O205">
        <f ca="1"/>
        <v>0</v>
      </c>
      <c r="P205">
        <f ca="1"/>
        <v>122.05211738689098</v>
      </c>
      <c r="Q205">
        <f ca="1"/>
        <v>111.65508516504471</v>
      </c>
      <c r="R205">
        <f ca="1"/>
        <v>0</v>
      </c>
      <c r="S205">
        <f ca="1"/>
        <v>1</v>
      </c>
      <c r="T205">
        <f ca="1"/>
        <v>2.1800000000000068</v>
      </c>
      <c r="U205">
        <f ca="1"/>
        <v>0</v>
      </c>
      <c r="V205">
        <f ca="1"/>
        <v>0.99985816253468518</v>
      </c>
      <c r="X205" s="2">
        <f t="shared" ca="1" si="22"/>
        <v>45428</v>
      </c>
      <c r="Y205">
        <f t="shared" ca="1" si="23"/>
        <v>0</v>
      </c>
      <c r="AA205" s="63">
        <f t="shared" ca="1" si="25"/>
        <v>-56.09433053144933</v>
      </c>
      <c r="AB205" s="63">
        <f t="shared" ca="1" si="26"/>
        <v>-56.09433053144933</v>
      </c>
      <c r="AC205" s="3">
        <f t="shared" ca="1" si="27"/>
        <v>0</v>
      </c>
    </row>
    <row r="206" spans="8:29">
      <c r="H206" t="b">
        <f t="shared" ca="1" si="24"/>
        <v>0</v>
      </c>
      <c r="I206" t="b">
        <f t="shared" ca="1" si="21"/>
        <v>0</v>
      </c>
      <c r="J206" s="2">
        <f ca="1"/>
        <v>45429</v>
      </c>
      <c r="K206">
        <f ca="1"/>
        <v>-59.198729529991418</v>
      </c>
      <c r="L206">
        <f ca="1"/>
        <v>1.658239428288681</v>
      </c>
      <c r="M206">
        <f ca="1"/>
        <v>5.9932484979707823E-3</v>
      </c>
      <c r="N206">
        <f ca="1"/>
        <v>0.2408354439583707</v>
      </c>
      <c r="O206">
        <f ca="1"/>
        <v>0</v>
      </c>
      <c r="P206">
        <f ca="1"/>
        <v>123.71035681517967</v>
      </c>
      <c r="Q206">
        <f ca="1"/>
        <v>113.17206716055327</v>
      </c>
      <c r="R206">
        <f ca="1"/>
        <v>0</v>
      </c>
      <c r="S206">
        <f ca="1"/>
        <v>1</v>
      </c>
      <c r="T206">
        <f ca="1"/>
        <v>2.039999999999992</v>
      </c>
      <c r="U206">
        <f ca="1"/>
        <v>0</v>
      </c>
      <c r="V206">
        <f ca="1"/>
        <v>0.99987075293134087</v>
      </c>
      <c r="X206" s="2">
        <f t="shared" ca="1" si="22"/>
        <v>45429</v>
      </c>
      <c r="Y206">
        <f t="shared" ca="1" si="23"/>
        <v>0</v>
      </c>
      <c r="AA206" s="63">
        <f t="shared" ca="1" si="25"/>
        <v>-57.540490101702737</v>
      </c>
      <c r="AB206" s="63">
        <f t="shared" ca="1" si="26"/>
        <v>-57.540490101702737</v>
      </c>
      <c r="AC206" s="3">
        <f t="shared" ca="1" si="27"/>
        <v>0</v>
      </c>
    </row>
    <row r="207" spans="8:29">
      <c r="H207" t="b">
        <f t="shared" ca="1" si="24"/>
        <v>0</v>
      </c>
      <c r="I207" t="b">
        <f t="shared" ca="1" si="21"/>
        <v>0</v>
      </c>
      <c r="J207" s="2">
        <f ca="1"/>
        <v>45430</v>
      </c>
      <c r="K207">
        <f ca="1"/>
        <v>-60.643055486582867</v>
      </c>
      <c r="L207">
        <f ca="1"/>
        <v>1.7016979242366972</v>
      </c>
      <c r="M207">
        <f ca="1"/>
        <v>6.1187763528227634E-3</v>
      </c>
      <c r="N207">
        <f ca="1"/>
        <v>0.25125319129242796</v>
      </c>
      <c r="O207">
        <f ca="1"/>
        <v>0</v>
      </c>
      <c r="P207">
        <f ca="1"/>
        <v>125.41205473941636</v>
      </c>
      <c r="Q207">
        <f ca="1"/>
        <v>114.7288056319846</v>
      </c>
      <c r="R207">
        <f ca="1"/>
        <v>0</v>
      </c>
      <c r="S207">
        <f ca="1"/>
        <v>0.99439393939393927</v>
      </c>
      <c r="T207">
        <f ca="1"/>
        <v>0</v>
      </c>
      <c r="U207">
        <f ca="1"/>
        <v>0</v>
      </c>
      <c r="V207">
        <f ca="1"/>
        <v>0.99988263315011572</v>
      </c>
      <c r="X207" s="2">
        <f t="shared" ca="1" si="22"/>
        <v>45430</v>
      </c>
      <c r="Y207">
        <f t="shared" ca="1" si="23"/>
        <v>0</v>
      </c>
      <c r="AA207" s="63">
        <f t="shared" ca="1" si="25"/>
        <v>-58.94135756234617</v>
      </c>
      <c r="AB207" s="63">
        <f t="shared" ca="1" si="26"/>
        <v>-58.94135756234617</v>
      </c>
      <c r="AC207" s="3">
        <f t="shared" ca="1" si="27"/>
        <v>0</v>
      </c>
    </row>
    <row r="208" spans="8:29">
      <c r="H208" t="b">
        <f t="shared" ca="1" si="24"/>
        <v>0</v>
      </c>
      <c r="I208" t="b">
        <f t="shared" ca="1" si="21"/>
        <v>0</v>
      </c>
      <c r="J208" s="2">
        <f ca="1"/>
        <v>45431</v>
      </c>
      <c r="K208">
        <f ca="1"/>
        <v>-62.062714507864897</v>
      </c>
      <c r="L208">
        <f ca="1"/>
        <v>1.6758346080953714</v>
      </c>
      <c r="M208">
        <f ca="1"/>
        <v>6.0202785968517247E-3</v>
      </c>
      <c r="N208">
        <f ca="1"/>
        <v>0.2501553082164929</v>
      </c>
      <c r="O208">
        <f ca="1"/>
        <v>0</v>
      </c>
      <c r="P208">
        <f ca="1"/>
        <v>127.08788934751173</v>
      </c>
      <c r="Q208">
        <f ca="1"/>
        <v>116.26188395864962</v>
      </c>
      <c r="R208">
        <f ca="1"/>
        <v>0</v>
      </c>
      <c r="S208">
        <f ca="1"/>
        <v>1</v>
      </c>
      <c r="T208">
        <f ca="1"/>
        <v>3.3900008726439523</v>
      </c>
      <c r="U208">
        <f ca="1"/>
        <v>0</v>
      </c>
      <c r="V208">
        <f ca="1"/>
        <v>0.99989338300404562</v>
      </c>
      <c r="X208" s="2">
        <f t="shared" ca="1" si="22"/>
        <v>45431</v>
      </c>
      <c r="Y208">
        <f t="shared" ca="1" si="23"/>
        <v>0</v>
      </c>
      <c r="AA208" s="63">
        <f t="shared" ca="1" si="25"/>
        <v>-60.386879899769525</v>
      </c>
      <c r="AB208" s="63">
        <f t="shared" ca="1" si="26"/>
        <v>-60.386879899769525</v>
      </c>
      <c r="AC208" s="3">
        <f t="shared" ca="1" si="27"/>
        <v>0</v>
      </c>
    </row>
    <row r="209" spans="8:29">
      <c r="H209" t="b">
        <f t="shared" ca="1" si="24"/>
        <v>0</v>
      </c>
      <c r="I209" t="b">
        <f t="shared" ca="1" si="21"/>
        <v>0</v>
      </c>
      <c r="J209" s="2">
        <f ca="1"/>
        <v>45432</v>
      </c>
      <c r="K209">
        <f ca="1"/>
        <v>-63.491416696793827</v>
      </c>
      <c r="L209">
        <f ca="1"/>
        <v>1.6913302011891886</v>
      </c>
      <c r="M209">
        <f ca="1"/>
        <v>6.0637698932142214E-3</v>
      </c>
      <c r="N209">
        <f ca="1"/>
        <v>0.25656424236704123</v>
      </c>
      <c r="O209">
        <f ca="1"/>
        <v>0</v>
      </c>
      <c r="P209">
        <f ca="1"/>
        <v>128.77921954870092</v>
      </c>
      <c r="Q209">
        <f ca="1"/>
        <v>117.80913788344122</v>
      </c>
      <c r="R209">
        <f ca="1"/>
        <v>0</v>
      </c>
      <c r="S209">
        <f ca="1"/>
        <v>1</v>
      </c>
      <c r="T209">
        <f ca="1"/>
        <v>3.6599999999999966</v>
      </c>
      <c r="U209">
        <f ca="1"/>
        <v>0</v>
      </c>
      <c r="V209">
        <f ca="1"/>
        <v>0.9999033508554368</v>
      </c>
      <c r="X209" s="2">
        <f t="shared" ca="1" si="22"/>
        <v>45432</v>
      </c>
      <c r="Y209">
        <f t="shared" ca="1" si="23"/>
        <v>0</v>
      </c>
      <c r="AA209" s="63">
        <f t="shared" ca="1" si="25"/>
        <v>-61.800086495604639</v>
      </c>
      <c r="AB209" s="63">
        <f t="shared" ca="1" si="26"/>
        <v>-61.800086495604639</v>
      </c>
      <c r="AC209" s="3">
        <f t="shared" ca="1" si="27"/>
        <v>0</v>
      </c>
    </row>
    <row r="210" spans="8:29">
      <c r="H210" t="b">
        <f t="shared" ca="1" si="24"/>
        <v>0</v>
      </c>
      <c r="I210" t="b">
        <f t="shared" ca="1" si="21"/>
        <v>0</v>
      </c>
      <c r="J210" s="2">
        <f ca="1"/>
        <v>45433</v>
      </c>
      <c r="K210">
        <f ca="1"/>
        <v>-64.845300391136476</v>
      </c>
      <c r="L210">
        <f ca="1"/>
        <v>1.6045808379501239</v>
      </c>
      <c r="M210">
        <f ca="1"/>
        <v>5.770532108038573E-3</v>
      </c>
      <c r="N210">
        <f ca="1"/>
        <v>0.24492661149943515</v>
      </c>
      <c r="O210">
        <f ca="1"/>
        <v>0</v>
      </c>
      <c r="P210">
        <f ca="1"/>
        <v>130.38380038665105</v>
      </c>
      <c r="Q210">
        <f ca="1"/>
        <v>119.27703220556594</v>
      </c>
      <c r="R210">
        <f ca="1"/>
        <v>0</v>
      </c>
      <c r="S210">
        <f ca="1"/>
        <v>1</v>
      </c>
      <c r="T210">
        <f ca="1"/>
        <v>3.3299999999999983</v>
      </c>
      <c r="U210">
        <f ca="1"/>
        <v>0</v>
      </c>
      <c r="V210">
        <f ca="1"/>
        <v>0.99991205109022563</v>
      </c>
      <c r="X210" s="2">
        <f t="shared" ca="1" si="22"/>
        <v>45433</v>
      </c>
      <c r="Y210">
        <f t="shared" ca="1" si="23"/>
        <v>0</v>
      </c>
      <c r="AA210" s="63">
        <f t="shared" ca="1" si="25"/>
        <v>-63.240719553186352</v>
      </c>
      <c r="AB210" s="63">
        <f t="shared" ca="1" si="26"/>
        <v>-63.240719553186352</v>
      </c>
      <c r="AC210" s="3">
        <f t="shared" ca="1" si="27"/>
        <v>0</v>
      </c>
    </row>
    <row r="211" spans="8:29">
      <c r="H211" t="b">
        <f t="shared" ca="1" si="24"/>
        <v>0</v>
      </c>
      <c r="I211" t="b">
        <f t="shared" ca="1" si="21"/>
        <v>0</v>
      </c>
      <c r="J211" s="2">
        <f ca="1"/>
        <v>45434</v>
      </c>
      <c r="K211">
        <f ca="1"/>
        <v>-66.154458901767512</v>
      </c>
      <c r="L211">
        <f ca="1"/>
        <v>1.554529114682822</v>
      </c>
      <c r="M211">
        <f ca="1"/>
        <v>5.604712646563037E-3</v>
      </c>
      <c r="N211">
        <f ca="1"/>
        <v>0.23976589140522842</v>
      </c>
      <c r="O211">
        <f ca="1"/>
        <v>0</v>
      </c>
      <c r="P211">
        <f ca="1"/>
        <v>131.93832950133387</v>
      </c>
      <c r="Q211">
        <f ca="1"/>
        <v>120.69913846973877</v>
      </c>
      <c r="R211">
        <f ca="1"/>
        <v>0</v>
      </c>
      <c r="S211">
        <f ca="1"/>
        <v>1</v>
      </c>
      <c r="T211">
        <f ca="1"/>
        <v>6.3599999999999994</v>
      </c>
      <c r="U211">
        <f ca="1"/>
        <v>0</v>
      </c>
      <c r="V211">
        <f ca="1"/>
        <v>0.99991982945270241</v>
      </c>
      <c r="X211" s="2">
        <f t="shared" ca="1" si="22"/>
        <v>45434</v>
      </c>
      <c r="Y211">
        <f t="shared" ca="1" si="23"/>
        <v>0</v>
      </c>
      <c r="AA211" s="63">
        <f t="shared" ca="1" si="25"/>
        <v>-64.59992978708469</v>
      </c>
      <c r="AB211" s="63">
        <f t="shared" ca="1" si="26"/>
        <v>-64.59992978708469</v>
      </c>
      <c r="AC211" s="3">
        <f t="shared" ca="1" si="27"/>
        <v>0</v>
      </c>
    </row>
    <row r="212" spans="8:29">
      <c r="H212" t="b">
        <f t="shared" ca="1" si="24"/>
        <v>0</v>
      </c>
      <c r="I212" t="b">
        <f t="shared" ca="1" si="21"/>
        <v>0</v>
      </c>
      <c r="J212" s="2">
        <f ca="1"/>
        <v>45435</v>
      </c>
      <c r="K212">
        <f ca="1"/>
        <v>-67.435844959392128</v>
      </c>
      <c r="L212">
        <f ca="1"/>
        <v>1.5251682846764822</v>
      </c>
      <c r="M212">
        <f ca="1"/>
        <v>5.5087652686252042E-3</v>
      </c>
      <c r="N212">
        <f ca="1"/>
        <v>0.23827346178324332</v>
      </c>
      <c r="O212">
        <f ca="1"/>
        <v>0</v>
      </c>
      <c r="P212">
        <f ca="1"/>
        <v>133.46349778601035</v>
      </c>
      <c r="Q212">
        <f ca="1"/>
        <v>122.09438501164651</v>
      </c>
      <c r="R212">
        <f ca="1"/>
        <v>0</v>
      </c>
      <c r="S212">
        <f ca="1"/>
        <v>1</v>
      </c>
      <c r="T212">
        <f ca="1"/>
        <v>3.8299999999999983</v>
      </c>
      <c r="U212">
        <f ca="1"/>
        <v>0</v>
      </c>
      <c r="V212">
        <f ca="1"/>
        <v>0.99992688300150445</v>
      </c>
      <c r="X212" s="2">
        <f t="shared" ca="1" si="22"/>
        <v>45435</v>
      </c>
      <c r="Y212">
        <f t="shared" ca="1" si="23"/>
        <v>0</v>
      </c>
      <c r="AA212" s="63">
        <f t="shared" ca="1" si="25"/>
        <v>-65.910676674715646</v>
      </c>
      <c r="AB212" s="63">
        <f t="shared" ca="1" si="26"/>
        <v>-65.910676674715646</v>
      </c>
      <c r="AC212" s="3">
        <f t="shared" ca="1" si="27"/>
        <v>0</v>
      </c>
    </row>
    <row r="213" spans="8:29">
      <c r="H213" t="b">
        <f t="shared" ca="1" si="24"/>
        <v>0</v>
      </c>
      <c r="I213" t="b">
        <f t="shared" ca="1" si="21"/>
        <v>0</v>
      </c>
      <c r="J213" s="2">
        <f ca="1"/>
        <v>45436</v>
      </c>
      <c r="K213">
        <f ca="1"/>
        <v>-68.722522604159934</v>
      </c>
      <c r="L213">
        <f ca="1"/>
        <v>1.5365022139896496</v>
      </c>
      <c r="M213">
        <f ca="1"/>
        <v>5.5467617975084593E-3</v>
      </c>
      <c r="N213">
        <f ca="1"/>
        <v>0.24427780742434133</v>
      </c>
      <c r="O213">
        <f ca="1"/>
        <v>0</v>
      </c>
      <c r="P213">
        <f ca="1"/>
        <v>135</v>
      </c>
      <c r="Q213">
        <f ca="1"/>
        <v>123.5</v>
      </c>
      <c r="R213">
        <f ca="1"/>
        <v>0</v>
      </c>
      <c r="S213">
        <f ca="1"/>
        <v>1</v>
      </c>
      <c r="T213">
        <f ca="1"/>
        <v>4.4699999999999989</v>
      </c>
      <c r="U213">
        <f ca="1"/>
        <v>0</v>
      </c>
      <c r="V213">
        <f ca="1"/>
        <v>0.99993345063478134</v>
      </c>
      <c r="X213" s="2">
        <f t="shared" ca="1" si="22"/>
        <v>45436</v>
      </c>
      <c r="Y213">
        <f t="shared" ca="1" si="23"/>
        <v>0</v>
      </c>
      <c r="AA213" s="63">
        <f t="shared" ca="1" si="25"/>
        <v>-67.186020390170285</v>
      </c>
      <c r="AB213" s="63">
        <f t="shared" ca="1" si="26"/>
        <v>-67.186020390170285</v>
      </c>
      <c r="AC213" s="3">
        <f t="shared" ca="1" si="27"/>
        <v>0</v>
      </c>
    </row>
    <row r="214" spans="8:29">
      <c r="H214" t="e">
        <f t="shared" ca="1" si="24"/>
        <v>#N/A</v>
      </c>
      <c r="I214" t="e">
        <f t="shared" ca="1" si="21"/>
        <v>#N/A</v>
      </c>
      <c r="J214" s="2" t="e">
        <f ca="1"/>
        <v>#N/A</v>
      </c>
      <c r="K214" t="e">
        <f ca="1"/>
        <v>#N/A</v>
      </c>
      <c r="L214" t="e">
        <f ca="1"/>
        <v>#N/A</v>
      </c>
      <c r="M214" t="e">
        <f ca="1"/>
        <v>#N/A</v>
      </c>
      <c r="N214" t="e">
        <f ca="1"/>
        <v>#N/A</v>
      </c>
      <c r="O214" t="e">
        <f ca="1"/>
        <v>#N/A</v>
      </c>
      <c r="P214" t="e">
        <f ca="1"/>
        <v>#N/A</v>
      </c>
      <c r="Q214" t="e">
        <f ca="1"/>
        <v>#N/A</v>
      </c>
      <c r="R214" t="e">
        <f ca="1"/>
        <v>#N/A</v>
      </c>
      <c r="S214" t="e">
        <f ca="1"/>
        <v>#N/A</v>
      </c>
      <c r="T214" t="e">
        <f ca="1"/>
        <v>#N/A</v>
      </c>
      <c r="U214" t="e">
        <f ca="1"/>
        <v>#N/A</v>
      </c>
      <c r="V214" t="e">
        <f ca="1"/>
        <v>#N/A</v>
      </c>
      <c r="X214" s="2">
        <f t="shared" ca="1" si="22"/>
        <v>0</v>
      </c>
      <c r="Y214">
        <f t="shared" ca="1" si="23"/>
        <v>0</v>
      </c>
      <c r="AA214" s="63" t="e">
        <f t="shared" ca="1" si="25"/>
        <v>#N/A</v>
      </c>
      <c r="AB214" s="63" t="e">
        <f t="shared" ca="1" si="26"/>
        <v>#N/A</v>
      </c>
      <c r="AC214" s="3" t="e">
        <f t="shared" ca="1" si="27"/>
        <v>#N/A</v>
      </c>
    </row>
    <row r="215" spans="8:29">
      <c r="H215" t="e">
        <f t="shared" ca="1" si="24"/>
        <v>#N/A</v>
      </c>
      <c r="I215" t="e">
        <f t="shared" ca="1" si="21"/>
        <v>#N/A</v>
      </c>
      <c r="J215" s="2" t="e">
        <f ca="1"/>
        <v>#N/A</v>
      </c>
      <c r="K215" t="e">
        <f ca="1"/>
        <v>#N/A</v>
      </c>
      <c r="L215" t="e">
        <f ca="1"/>
        <v>#N/A</v>
      </c>
      <c r="M215" t="e">
        <f ca="1"/>
        <v>#N/A</v>
      </c>
      <c r="N215" t="e">
        <f ca="1"/>
        <v>#N/A</v>
      </c>
      <c r="O215" t="e">
        <f ca="1"/>
        <v>#N/A</v>
      </c>
      <c r="P215" t="e">
        <f ca="1"/>
        <v>#N/A</v>
      </c>
      <c r="Q215" t="e">
        <f ca="1"/>
        <v>#N/A</v>
      </c>
      <c r="R215" t="e">
        <f ca="1"/>
        <v>#N/A</v>
      </c>
      <c r="S215" t="e">
        <f ca="1"/>
        <v>#N/A</v>
      </c>
      <c r="T215" t="e">
        <f ca="1"/>
        <v>#N/A</v>
      </c>
      <c r="U215" t="e">
        <f ca="1"/>
        <v>#N/A</v>
      </c>
      <c r="V215" t="e">
        <f ca="1"/>
        <v>#N/A</v>
      </c>
      <c r="X215" s="2">
        <f t="shared" ca="1" si="22"/>
        <v>0</v>
      </c>
      <c r="Y215">
        <f t="shared" ca="1" si="23"/>
        <v>0</v>
      </c>
      <c r="AA215" s="63" t="e">
        <f t="shared" ca="1" si="25"/>
        <v>#N/A</v>
      </c>
      <c r="AB215" s="63" t="e">
        <f t="shared" ca="1" si="26"/>
        <v>#N/A</v>
      </c>
      <c r="AC215" s="3" t="e">
        <f t="shared" ca="1" si="27"/>
        <v>#N/A</v>
      </c>
    </row>
    <row r="216" spans="8:29">
      <c r="H216" t="e">
        <f t="shared" ca="1" si="24"/>
        <v>#N/A</v>
      </c>
      <c r="I216" t="e">
        <f t="shared" ca="1" si="21"/>
        <v>#N/A</v>
      </c>
      <c r="J216" s="2" t="e">
        <f ca="1"/>
        <v>#N/A</v>
      </c>
      <c r="K216" t="e">
        <f ca="1"/>
        <v>#N/A</v>
      </c>
      <c r="L216" t="e">
        <f ca="1"/>
        <v>#N/A</v>
      </c>
      <c r="M216" t="e">
        <f ca="1"/>
        <v>#N/A</v>
      </c>
      <c r="N216" t="e">
        <f ca="1"/>
        <v>#N/A</v>
      </c>
      <c r="O216" t="e">
        <f ca="1"/>
        <v>#N/A</v>
      </c>
      <c r="P216" t="e">
        <f ca="1"/>
        <v>#N/A</v>
      </c>
      <c r="Q216" t="e">
        <f ca="1"/>
        <v>#N/A</v>
      </c>
      <c r="R216" t="e">
        <f ca="1"/>
        <v>#N/A</v>
      </c>
      <c r="S216" t="e">
        <f ca="1"/>
        <v>#N/A</v>
      </c>
      <c r="T216" t="e">
        <f ca="1"/>
        <v>#N/A</v>
      </c>
      <c r="U216" t="e">
        <f ca="1"/>
        <v>#N/A</v>
      </c>
      <c r="V216" t="e">
        <f ca="1"/>
        <v>#N/A</v>
      </c>
      <c r="X216" s="2">
        <f t="shared" ca="1" si="22"/>
        <v>0</v>
      </c>
      <c r="Y216">
        <f t="shared" ca="1" si="23"/>
        <v>0</v>
      </c>
      <c r="AA216" s="63" t="e">
        <f t="shared" ca="1" si="25"/>
        <v>#N/A</v>
      </c>
      <c r="AB216" s="63" t="e">
        <f t="shared" ca="1" si="26"/>
        <v>#N/A</v>
      </c>
      <c r="AC216" s="3" t="e">
        <f t="shared" ca="1" si="27"/>
        <v>#N/A</v>
      </c>
    </row>
    <row r="217" spans="8:29">
      <c r="H217" t="e">
        <f t="shared" ca="1" si="24"/>
        <v>#N/A</v>
      </c>
      <c r="I217" t="e">
        <f t="shared" ca="1" si="21"/>
        <v>#N/A</v>
      </c>
      <c r="J217" s="2" t="e">
        <f ca="1"/>
        <v>#N/A</v>
      </c>
      <c r="K217" t="e">
        <f ca="1"/>
        <v>#N/A</v>
      </c>
      <c r="L217" t="e">
        <f ca="1"/>
        <v>#N/A</v>
      </c>
      <c r="M217" t="e">
        <f ca="1"/>
        <v>#N/A</v>
      </c>
      <c r="N217" t="e">
        <f ca="1"/>
        <v>#N/A</v>
      </c>
      <c r="O217" t="e">
        <f ca="1"/>
        <v>#N/A</v>
      </c>
      <c r="P217" t="e">
        <f ca="1"/>
        <v>#N/A</v>
      </c>
      <c r="Q217" t="e">
        <f ca="1"/>
        <v>#N/A</v>
      </c>
      <c r="R217" t="e">
        <f ca="1"/>
        <v>#N/A</v>
      </c>
      <c r="S217" t="e">
        <f ca="1"/>
        <v>#N/A</v>
      </c>
      <c r="T217" t="e">
        <f ca="1"/>
        <v>#N/A</v>
      </c>
      <c r="U217" t="e">
        <f ca="1"/>
        <v>#N/A</v>
      </c>
      <c r="V217" t="e">
        <f ca="1"/>
        <v>#N/A</v>
      </c>
      <c r="X217" s="2">
        <f t="shared" ca="1" si="22"/>
        <v>0</v>
      </c>
      <c r="Y217">
        <f t="shared" ca="1" si="23"/>
        <v>0</v>
      </c>
      <c r="AA217" s="63" t="e">
        <f t="shared" ca="1" si="25"/>
        <v>#N/A</v>
      </c>
      <c r="AB217" s="63" t="e">
        <f t="shared" ca="1" si="26"/>
        <v>#N/A</v>
      </c>
      <c r="AC217" s="3" t="e">
        <f t="shared" ca="1" si="27"/>
        <v>#N/A</v>
      </c>
    </row>
    <row r="218" spans="8:29">
      <c r="H218" t="e">
        <f t="shared" ca="1" si="24"/>
        <v>#N/A</v>
      </c>
      <c r="I218" t="e">
        <f t="shared" ca="1" si="21"/>
        <v>#N/A</v>
      </c>
      <c r="J218" s="2" t="e">
        <f ca="1"/>
        <v>#N/A</v>
      </c>
      <c r="K218" t="e">
        <f ca="1"/>
        <v>#N/A</v>
      </c>
      <c r="L218" t="e">
        <f ca="1"/>
        <v>#N/A</v>
      </c>
      <c r="M218" t="e">
        <f ca="1"/>
        <v>#N/A</v>
      </c>
      <c r="N218" t="e">
        <f ca="1"/>
        <v>#N/A</v>
      </c>
      <c r="O218" t="e">
        <f ca="1"/>
        <v>#N/A</v>
      </c>
      <c r="P218" t="e">
        <f ca="1"/>
        <v>#N/A</v>
      </c>
      <c r="Q218" t="e">
        <f ca="1"/>
        <v>#N/A</v>
      </c>
      <c r="R218" t="e">
        <f ca="1"/>
        <v>#N/A</v>
      </c>
      <c r="S218" t="e">
        <f ca="1"/>
        <v>#N/A</v>
      </c>
      <c r="T218" t="e">
        <f ca="1"/>
        <v>#N/A</v>
      </c>
      <c r="U218" t="e">
        <f ca="1"/>
        <v>#N/A</v>
      </c>
      <c r="V218" t="e">
        <f ca="1"/>
        <v>#N/A</v>
      </c>
      <c r="X218" s="2">
        <f t="shared" ca="1" si="22"/>
        <v>0</v>
      </c>
      <c r="Y218">
        <f t="shared" ca="1" si="23"/>
        <v>0</v>
      </c>
      <c r="AA218" s="63" t="e">
        <f t="shared" ca="1" si="25"/>
        <v>#N/A</v>
      </c>
      <c r="AB218" s="63" t="e">
        <f t="shared" ca="1" si="26"/>
        <v>#N/A</v>
      </c>
      <c r="AC218" s="3" t="e">
        <f t="shared" ca="1" si="27"/>
        <v>#N/A</v>
      </c>
    </row>
    <row r="219" spans="8:29">
      <c r="H219" t="e">
        <f t="shared" ca="1" si="24"/>
        <v>#N/A</v>
      </c>
      <c r="I219" t="e">
        <f t="shared" ca="1" si="21"/>
        <v>#N/A</v>
      </c>
      <c r="J219" s="2" t="e">
        <f ca="1"/>
        <v>#N/A</v>
      </c>
      <c r="K219" t="e">
        <f ca="1"/>
        <v>#N/A</v>
      </c>
      <c r="L219" t="e">
        <f ca="1"/>
        <v>#N/A</v>
      </c>
      <c r="M219" t="e">
        <f ca="1"/>
        <v>#N/A</v>
      </c>
      <c r="N219" t="e">
        <f ca="1"/>
        <v>#N/A</v>
      </c>
      <c r="O219" t="e">
        <f ca="1"/>
        <v>#N/A</v>
      </c>
      <c r="P219" t="e">
        <f ca="1"/>
        <v>#N/A</v>
      </c>
      <c r="Q219" t="e">
        <f ca="1"/>
        <v>#N/A</v>
      </c>
      <c r="R219" t="e">
        <f ca="1"/>
        <v>#N/A</v>
      </c>
      <c r="S219" t="e">
        <f ca="1"/>
        <v>#N/A</v>
      </c>
      <c r="T219" t="e">
        <f ca="1"/>
        <v>#N/A</v>
      </c>
      <c r="U219" t="e">
        <f ca="1"/>
        <v>#N/A</v>
      </c>
      <c r="V219" t="e">
        <f ca="1"/>
        <v>#N/A</v>
      </c>
      <c r="X219" s="2">
        <f t="shared" ca="1" si="22"/>
        <v>0</v>
      </c>
      <c r="Y219">
        <f t="shared" ca="1" si="23"/>
        <v>0</v>
      </c>
      <c r="AA219" s="63" t="e">
        <f t="shared" ca="1" si="25"/>
        <v>#N/A</v>
      </c>
      <c r="AB219" s="63" t="e">
        <f t="shared" ca="1" si="26"/>
        <v>#N/A</v>
      </c>
      <c r="AC219" s="3" t="e">
        <f t="shared" ca="1" si="27"/>
        <v>#N/A</v>
      </c>
    </row>
    <row r="220" spans="8:29">
      <c r="H220" t="e">
        <f t="shared" ca="1" si="24"/>
        <v>#N/A</v>
      </c>
      <c r="I220" t="e">
        <f t="shared" ca="1" si="21"/>
        <v>#N/A</v>
      </c>
      <c r="J220" s="2" t="e">
        <f ca="1"/>
        <v>#N/A</v>
      </c>
      <c r="K220" t="e">
        <f ca="1"/>
        <v>#N/A</v>
      </c>
      <c r="L220" t="e">
        <f ca="1"/>
        <v>#N/A</v>
      </c>
      <c r="M220" t="e">
        <f ca="1"/>
        <v>#N/A</v>
      </c>
      <c r="N220" t="e">
        <f ca="1"/>
        <v>#N/A</v>
      </c>
      <c r="O220" t="e">
        <f ca="1"/>
        <v>#N/A</v>
      </c>
      <c r="P220" t="e">
        <f ca="1"/>
        <v>#N/A</v>
      </c>
      <c r="Q220" t="e">
        <f ca="1"/>
        <v>#N/A</v>
      </c>
      <c r="R220" t="e">
        <f ca="1"/>
        <v>#N/A</v>
      </c>
      <c r="S220" t="e">
        <f ca="1"/>
        <v>#N/A</v>
      </c>
      <c r="T220" t="e">
        <f ca="1"/>
        <v>#N/A</v>
      </c>
      <c r="U220" t="e">
        <f ca="1"/>
        <v>#N/A</v>
      </c>
      <c r="V220" t="e">
        <f ca="1"/>
        <v>#N/A</v>
      </c>
      <c r="X220" s="2">
        <f t="shared" ca="1" si="22"/>
        <v>0</v>
      </c>
      <c r="Y220">
        <f t="shared" ca="1" si="23"/>
        <v>0</v>
      </c>
      <c r="AA220" s="63" t="e">
        <f t="shared" ca="1" si="25"/>
        <v>#N/A</v>
      </c>
      <c r="AB220" s="63" t="e">
        <f t="shared" ca="1" si="26"/>
        <v>#N/A</v>
      </c>
      <c r="AC220" s="3" t="e">
        <f t="shared" ca="1" si="27"/>
        <v>#N/A</v>
      </c>
    </row>
    <row r="221" spans="8:29">
      <c r="H221" t="e">
        <f t="shared" ca="1" si="24"/>
        <v>#N/A</v>
      </c>
      <c r="I221" t="e">
        <f t="shared" ca="1" si="21"/>
        <v>#N/A</v>
      </c>
      <c r="J221" s="2" t="e">
        <f ca="1"/>
        <v>#N/A</v>
      </c>
      <c r="K221" t="e">
        <f ca="1"/>
        <v>#N/A</v>
      </c>
      <c r="L221" t="e">
        <f ca="1"/>
        <v>#N/A</v>
      </c>
      <c r="M221" t="e">
        <f ca="1"/>
        <v>#N/A</v>
      </c>
      <c r="N221" t="e">
        <f ca="1"/>
        <v>#N/A</v>
      </c>
      <c r="O221" t="e">
        <f ca="1"/>
        <v>#N/A</v>
      </c>
      <c r="P221" t="e">
        <f ca="1"/>
        <v>#N/A</v>
      </c>
      <c r="Q221" t="e">
        <f ca="1"/>
        <v>#N/A</v>
      </c>
      <c r="R221" t="e">
        <f ca="1"/>
        <v>#N/A</v>
      </c>
      <c r="S221" t="e">
        <f ca="1"/>
        <v>#N/A</v>
      </c>
      <c r="T221" t="e">
        <f ca="1"/>
        <v>#N/A</v>
      </c>
      <c r="U221" t="e">
        <f ca="1"/>
        <v>#N/A</v>
      </c>
      <c r="V221" t="e">
        <f ca="1"/>
        <v>#N/A</v>
      </c>
      <c r="X221" s="2">
        <f t="shared" ca="1" si="22"/>
        <v>0</v>
      </c>
      <c r="Y221">
        <f t="shared" ca="1" si="23"/>
        <v>0</v>
      </c>
      <c r="AA221" s="63" t="e">
        <f t="shared" ca="1" si="25"/>
        <v>#N/A</v>
      </c>
      <c r="AB221" s="63" t="e">
        <f t="shared" ca="1" si="26"/>
        <v>#N/A</v>
      </c>
      <c r="AC221" s="3" t="e">
        <f t="shared" ca="1" si="27"/>
        <v>#N/A</v>
      </c>
    </row>
    <row r="222" spans="8:29">
      <c r="H222" t="e">
        <f t="shared" ca="1" si="24"/>
        <v>#N/A</v>
      </c>
      <c r="I222" t="e">
        <f t="shared" ca="1" si="21"/>
        <v>#N/A</v>
      </c>
      <c r="J222" s="2" t="e">
        <f ca="1"/>
        <v>#N/A</v>
      </c>
      <c r="K222" t="e">
        <f ca="1"/>
        <v>#N/A</v>
      </c>
      <c r="L222" t="e">
        <f ca="1"/>
        <v>#N/A</v>
      </c>
      <c r="M222" t="e">
        <f ca="1"/>
        <v>#N/A</v>
      </c>
      <c r="N222" t="e">
        <f ca="1"/>
        <v>#N/A</v>
      </c>
      <c r="O222" t="e">
        <f ca="1"/>
        <v>#N/A</v>
      </c>
      <c r="P222" t="e">
        <f ca="1"/>
        <v>#N/A</v>
      </c>
      <c r="Q222" t="e">
        <f ca="1"/>
        <v>#N/A</v>
      </c>
      <c r="R222" t="e">
        <f ca="1"/>
        <v>#N/A</v>
      </c>
      <c r="S222" t="e">
        <f ca="1"/>
        <v>#N/A</v>
      </c>
      <c r="T222" t="e">
        <f ca="1"/>
        <v>#N/A</v>
      </c>
      <c r="U222" t="e">
        <f ca="1"/>
        <v>#N/A</v>
      </c>
      <c r="V222" t="e">
        <f ca="1"/>
        <v>#N/A</v>
      </c>
      <c r="X222" s="2">
        <f t="shared" ca="1" si="22"/>
        <v>0</v>
      </c>
      <c r="Y222">
        <f t="shared" ca="1" si="23"/>
        <v>0</v>
      </c>
      <c r="AA222" s="63" t="e">
        <f t="shared" ca="1" si="25"/>
        <v>#N/A</v>
      </c>
      <c r="AB222" s="63" t="e">
        <f t="shared" ca="1" si="26"/>
        <v>#N/A</v>
      </c>
      <c r="AC222" s="3" t="e">
        <f t="shared" ca="1" si="27"/>
        <v>#N/A</v>
      </c>
    </row>
    <row r="223" spans="8:29">
      <c r="H223" t="e">
        <f t="shared" ca="1" si="24"/>
        <v>#N/A</v>
      </c>
      <c r="I223" t="e">
        <f t="shared" ca="1" si="21"/>
        <v>#N/A</v>
      </c>
      <c r="J223" s="2" t="e">
        <f ca="1"/>
        <v>#N/A</v>
      </c>
      <c r="K223" t="e">
        <f ca="1"/>
        <v>#N/A</v>
      </c>
      <c r="L223" t="e">
        <f ca="1"/>
        <v>#N/A</v>
      </c>
      <c r="M223" t="e">
        <f ca="1"/>
        <v>#N/A</v>
      </c>
      <c r="N223" t="e">
        <f ca="1"/>
        <v>#N/A</v>
      </c>
      <c r="O223" t="e">
        <f ca="1"/>
        <v>#N/A</v>
      </c>
      <c r="P223" t="e">
        <f ca="1"/>
        <v>#N/A</v>
      </c>
      <c r="Q223" t="e">
        <f ca="1"/>
        <v>#N/A</v>
      </c>
      <c r="R223" t="e">
        <f ca="1"/>
        <v>#N/A</v>
      </c>
      <c r="S223" t="e">
        <f ca="1"/>
        <v>#N/A</v>
      </c>
      <c r="T223" t="e">
        <f ca="1"/>
        <v>#N/A</v>
      </c>
      <c r="U223" t="e">
        <f ca="1"/>
        <v>#N/A</v>
      </c>
      <c r="V223" t="e">
        <f ca="1"/>
        <v>#N/A</v>
      </c>
      <c r="X223" s="2">
        <f t="shared" ca="1" si="22"/>
        <v>0</v>
      </c>
      <c r="Y223">
        <f t="shared" ca="1" si="23"/>
        <v>0</v>
      </c>
      <c r="AA223" s="63" t="e">
        <f t="shared" ca="1" si="25"/>
        <v>#N/A</v>
      </c>
      <c r="AB223" s="63" t="e">
        <f t="shared" ca="1" si="26"/>
        <v>#N/A</v>
      </c>
      <c r="AC223" s="3" t="e">
        <f t="shared" ca="1" si="27"/>
        <v>#N/A</v>
      </c>
    </row>
    <row r="224" spans="8:29">
      <c r="H224" t="e">
        <f t="shared" ca="1" si="24"/>
        <v>#N/A</v>
      </c>
      <c r="I224" t="e">
        <f t="shared" ca="1" si="21"/>
        <v>#N/A</v>
      </c>
      <c r="J224" s="2" t="e">
        <f ca="1"/>
        <v>#N/A</v>
      </c>
      <c r="K224" t="e">
        <f ca="1"/>
        <v>#N/A</v>
      </c>
      <c r="L224" t="e">
        <f ca="1"/>
        <v>#N/A</v>
      </c>
      <c r="M224" t="e">
        <f ca="1"/>
        <v>#N/A</v>
      </c>
      <c r="N224" t="e">
        <f ca="1"/>
        <v>#N/A</v>
      </c>
      <c r="O224" t="e">
        <f ca="1"/>
        <v>#N/A</v>
      </c>
      <c r="P224" t="e">
        <f ca="1"/>
        <v>#N/A</v>
      </c>
      <c r="Q224" t="e">
        <f ca="1"/>
        <v>#N/A</v>
      </c>
      <c r="R224" t="e">
        <f ca="1"/>
        <v>#N/A</v>
      </c>
      <c r="S224" t="e">
        <f ca="1"/>
        <v>#N/A</v>
      </c>
      <c r="T224" t="e">
        <f ca="1"/>
        <v>#N/A</v>
      </c>
      <c r="U224" t="e">
        <f ca="1"/>
        <v>#N/A</v>
      </c>
      <c r="V224" t="e">
        <f ca="1"/>
        <v>#N/A</v>
      </c>
      <c r="X224" s="2">
        <f t="shared" ca="1" si="22"/>
        <v>0</v>
      </c>
      <c r="Y224">
        <f t="shared" ca="1" si="23"/>
        <v>0</v>
      </c>
      <c r="AA224" s="63" t="e">
        <f t="shared" ca="1" si="25"/>
        <v>#N/A</v>
      </c>
      <c r="AB224" s="63" t="e">
        <f t="shared" ca="1" si="26"/>
        <v>#N/A</v>
      </c>
      <c r="AC224" s="3" t="e">
        <f t="shared" ca="1" si="27"/>
        <v>#N/A</v>
      </c>
    </row>
    <row r="225" spans="8:29">
      <c r="H225" t="e">
        <f t="shared" ca="1" si="24"/>
        <v>#N/A</v>
      </c>
      <c r="I225" t="e">
        <f t="shared" ca="1" si="21"/>
        <v>#N/A</v>
      </c>
      <c r="J225" s="2" t="e">
        <f ca="1"/>
        <v>#N/A</v>
      </c>
      <c r="K225" t="e">
        <f ca="1"/>
        <v>#N/A</v>
      </c>
      <c r="L225" t="e">
        <f ca="1"/>
        <v>#N/A</v>
      </c>
      <c r="M225" t="e">
        <f ca="1"/>
        <v>#N/A</v>
      </c>
      <c r="N225" t="e">
        <f ca="1"/>
        <v>#N/A</v>
      </c>
      <c r="O225" t="e">
        <f ca="1"/>
        <v>#N/A</v>
      </c>
      <c r="P225" t="e">
        <f ca="1"/>
        <v>#N/A</v>
      </c>
      <c r="Q225" t="e">
        <f ca="1"/>
        <v>#N/A</v>
      </c>
      <c r="R225" t="e">
        <f ca="1"/>
        <v>#N/A</v>
      </c>
      <c r="S225" t="e">
        <f ca="1"/>
        <v>#N/A</v>
      </c>
      <c r="T225" t="e">
        <f ca="1"/>
        <v>#N/A</v>
      </c>
      <c r="U225" t="e">
        <f ca="1"/>
        <v>#N/A</v>
      </c>
      <c r="V225" t="e">
        <f ca="1"/>
        <v>#N/A</v>
      </c>
      <c r="X225" s="2">
        <f t="shared" ca="1" si="22"/>
        <v>0</v>
      </c>
      <c r="Y225">
        <f t="shared" ca="1" si="23"/>
        <v>0</v>
      </c>
      <c r="AA225" s="63" t="e">
        <f t="shared" ca="1" si="25"/>
        <v>#N/A</v>
      </c>
      <c r="AB225" s="63" t="e">
        <f t="shared" ca="1" si="26"/>
        <v>#N/A</v>
      </c>
      <c r="AC225" s="3" t="e">
        <f t="shared" ca="1" si="27"/>
        <v>#N/A</v>
      </c>
    </row>
    <row r="226" spans="8:29">
      <c r="H226" t="e">
        <f t="shared" ca="1" si="24"/>
        <v>#N/A</v>
      </c>
      <c r="I226" t="e">
        <f t="shared" ca="1" si="21"/>
        <v>#N/A</v>
      </c>
      <c r="J226" s="2" t="e">
        <f ca="1"/>
        <v>#N/A</v>
      </c>
      <c r="K226" t="e">
        <f ca="1"/>
        <v>#N/A</v>
      </c>
      <c r="L226" t="e">
        <f ca="1"/>
        <v>#N/A</v>
      </c>
      <c r="M226" t="e">
        <f ca="1"/>
        <v>#N/A</v>
      </c>
      <c r="N226" t="e">
        <f ca="1"/>
        <v>#N/A</v>
      </c>
      <c r="O226" t="e">
        <f ca="1"/>
        <v>#N/A</v>
      </c>
      <c r="P226" t="e">
        <f ca="1"/>
        <v>#N/A</v>
      </c>
      <c r="Q226" t="e">
        <f ca="1"/>
        <v>#N/A</v>
      </c>
      <c r="R226" t="e">
        <f ca="1"/>
        <v>#N/A</v>
      </c>
      <c r="S226" t="e">
        <f ca="1"/>
        <v>#N/A</v>
      </c>
      <c r="T226" t="e">
        <f ca="1"/>
        <v>#N/A</v>
      </c>
      <c r="U226" t="e">
        <f ca="1"/>
        <v>#N/A</v>
      </c>
      <c r="V226" t="e">
        <f ca="1"/>
        <v>#N/A</v>
      </c>
      <c r="X226" s="2">
        <f t="shared" ca="1" si="22"/>
        <v>0</v>
      </c>
      <c r="Y226">
        <f t="shared" ca="1" si="23"/>
        <v>0</v>
      </c>
      <c r="AA226" s="63" t="e">
        <f t="shared" ca="1" si="25"/>
        <v>#N/A</v>
      </c>
      <c r="AB226" s="63" t="e">
        <f t="shared" ca="1" si="26"/>
        <v>#N/A</v>
      </c>
      <c r="AC226" s="3" t="e">
        <f t="shared" ca="1" si="27"/>
        <v>#N/A</v>
      </c>
    </row>
    <row r="227" spans="8:29">
      <c r="H227" t="e">
        <f t="shared" ca="1" si="24"/>
        <v>#N/A</v>
      </c>
      <c r="I227" t="e">
        <f t="shared" ca="1" si="21"/>
        <v>#N/A</v>
      </c>
      <c r="J227" s="2" t="e">
        <f ca="1"/>
        <v>#N/A</v>
      </c>
      <c r="K227" t="e">
        <f ca="1"/>
        <v>#N/A</v>
      </c>
      <c r="L227" t="e">
        <f ca="1"/>
        <v>#N/A</v>
      </c>
      <c r="M227" t="e">
        <f ca="1"/>
        <v>#N/A</v>
      </c>
      <c r="N227" t="e">
        <f ca="1"/>
        <v>#N/A</v>
      </c>
      <c r="O227" t="e">
        <f ca="1"/>
        <v>#N/A</v>
      </c>
      <c r="P227" t="e">
        <f ca="1"/>
        <v>#N/A</v>
      </c>
      <c r="Q227" t="e">
        <f ca="1"/>
        <v>#N/A</v>
      </c>
      <c r="R227" t="e">
        <f ca="1"/>
        <v>#N/A</v>
      </c>
      <c r="S227" t="e">
        <f ca="1"/>
        <v>#N/A</v>
      </c>
      <c r="T227" t="e">
        <f ca="1"/>
        <v>#N/A</v>
      </c>
      <c r="U227" t="e">
        <f ca="1"/>
        <v>#N/A</v>
      </c>
      <c r="V227" t="e">
        <f ca="1"/>
        <v>#N/A</v>
      </c>
      <c r="X227" s="2">
        <f t="shared" ca="1" si="22"/>
        <v>0</v>
      </c>
      <c r="Y227">
        <f t="shared" ca="1" si="23"/>
        <v>0</v>
      </c>
      <c r="AA227" s="63" t="e">
        <f t="shared" ca="1" si="25"/>
        <v>#N/A</v>
      </c>
      <c r="AB227" s="63" t="e">
        <f t="shared" ca="1" si="26"/>
        <v>#N/A</v>
      </c>
      <c r="AC227" s="3" t="e">
        <f t="shared" ca="1" si="27"/>
        <v>#N/A</v>
      </c>
    </row>
    <row r="228" spans="8:29">
      <c r="H228" t="e">
        <f t="shared" ca="1" si="24"/>
        <v>#N/A</v>
      </c>
      <c r="I228" t="e">
        <f t="shared" ca="1" si="21"/>
        <v>#N/A</v>
      </c>
      <c r="J228" s="2" t="e">
        <f ca="1"/>
        <v>#N/A</v>
      </c>
      <c r="K228" t="e">
        <f ca="1"/>
        <v>#N/A</v>
      </c>
      <c r="L228" t="e">
        <f ca="1"/>
        <v>#N/A</v>
      </c>
      <c r="M228" t="e">
        <f ca="1"/>
        <v>#N/A</v>
      </c>
      <c r="N228" t="e">
        <f ca="1"/>
        <v>#N/A</v>
      </c>
      <c r="O228" t="e">
        <f ca="1"/>
        <v>#N/A</v>
      </c>
      <c r="P228" t="e">
        <f ca="1"/>
        <v>#N/A</v>
      </c>
      <c r="Q228" t="e">
        <f ca="1"/>
        <v>#N/A</v>
      </c>
      <c r="R228" t="e">
        <f ca="1"/>
        <v>#N/A</v>
      </c>
      <c r="S228" t="e">
        <f ca="1"/>
        <v>#N/A</v>
      </c>
      <c r="T228" t="e">
        <f ca="1"/>
        <v>#N/A</v>
      </c>
      <c r="U228" t="e">
        <f ca="1"/>
        <v>#N/A</v>
      </c>
      <c r="V228" t="e">
        <f ca="1"/>
        <v>#N/A</v>
      </c>
      <c r="X228" s="2">
        <f t="shared" ca="1" si="22"/>
        <v>0</v>
      </c>
      <c r="Y228">
        <f t="shared" ca="1" si="23"/>
        <v>0</v>
      </c>
      <c r="AA228" s="63" t="e">
        <f t="shared" ca="1" si="25"/>
        <v>#N/A</v>
      </c>
      <c r="AB228" s="63" t="e">
        <f t="shared" ca="1" si="26"/>
        <v>#N/A</v>
      </c>
      <c r="AC228" s="3" t="e">
        <f t="shared" ca="1" si="27"/>
        <v>#N/A</v>
      </c>
    </row>
    <row r="229" spans="8:29">
      <c r="H229" t="e">
        <f t="shared" ca="1" si="24"/>
        <v>#N/A</v>
      </c>
      <c r="I229" t="e">
        <f t="shared" ca="1" si="21"/>
        <v>#N/A</v>
      </c>
      <c r="J229" s="2" t="e">
        <f ca="1"/>
        <v>#N/A</v>
      </c>
      <c r="K229" t="e">
        <f ca="1"/>
        <v>#N/A</v>
      </c>
      <c r="L229" t="e">
        <f ca="1"/>
        <v>#N/A</v>
      </c>
      <c r="M229" t="e">
        <f ca="1"/>
        <v>#N/A</v>
      </c>
      <c r="N229" t="e">
        <f ca="1"/>
        <v>#N/A</v>
      </c>
      <c r="O229" t="e">
        <f ca="1"/>
        <v>#N/A</v>
      </c>
      <c r="P229" t="e">
        <f ca="1"/>
        <v>#N/A</v>
      </c>
      <c r="Q229" t="e">
        <f ca="1"/>
        <v>#N/A</v>
      </c>
      <c r="R229" t="e">
        <f ca="1"/>
        <v>#N/A</v>
      </c>
      <c r="S229" t="e">
        <f ca="1"/>
        <v>#N/A</v>
      </c>
      <c r="T229" t="e">
        <f ca="1"/>
        <v>#N/A</v>
      </c>
      <c r="U229" t="e">
        <f ca="1"/>
        <v>#N/A</v>
      </c>
      <c r="V229" t="e">
        <f ca="1"/>
        <v>#N/A</v>
      </c>
      <c r="X229" s="2">
        <f t="shared" ca="1" si="22"/>
        <v>0</v>
      </c>
      <c r="Y229">
        <f t="shared" ca="1" si="23"/>
        <v>0</v>
      </c>
      <c r="AA229" s="63" t="e">
        <f t="shared" ca="1" si="25"/>
        <v>#N/A</v>
      </c>
      <c r="AB229" s="63" t="e">
        <f t="shared" ca="1" si="26"/>
        <v>#N/A</v>
      </c>
      <c r="AC229" s="3" t="e">
        <f t="shared" ca="1" si="27"/>
        <v>#N/A</v>
      </c>
    </row>
    <row r="230" spans="8:29">
      <c r="H230" t="e">
        <f t="shared" ca="1" si="24"/>
        <v>#N/A</v>
      </c>
      <c r="I230" t="e">
        <f t="shared" ca="1" si="21"/>
        <v>#N/A</v>
      </c>
      <c r="J230" s="2" t="e">
        <f ca="1"/>
        <v>#N/A</v>
      </c>
      <c r="K230" t="e">
        <f ca="1"/>
        <v>#N/A</v>
      </c>
      <c r="L230" t="e">
        <f ca="1"/>
        <v>#N/A</v>
      </c>
      <c r="M230" t="e">
        <f ca="1"/>
        <v>#N/A</v>
      </c>
      <c r="N230" t="e">
        <f ca="1"/>
        <v>#N/A</v>
      </c>
      <c r="O230" t="e">
        <f ca="1"/>
        <v>#N/A</v>
      </c>
      <c r="P230" t="e">
        <f ca="1"/>
        <v>#N/A</v>
      </c>
      <c r="Q230" t="e">
        <f ca="1"/>
        <v>#N/A</v>
      </c>
      <c r="R230" t="e">
        <f ca="1"/>
        <v>#N/A</v>
      </c>
      <c r="S230" t="e">
        <f ca="1"/>
        <v>#N/A</v>
      </c>
      <c r="T230" t="e">
        <f ca="1"/>
        <v>#N/A</v>
      </c>
      <c r="U230" t="e">
        <f ca="1"/>
        <v>#N/A</v>
      </c>
      <c r="V230" t="e">
        <f ca="1"/>
        <v>#N/A</v>
      </c>
      <c r="X230" s="2">
        <f t="shared" ca="1" si="22"/>
        <v>0</v>
      </c>
      <c r="Y230">
        <f t="shared" ca="1" si="23"/>
        <v>0</v>
      </c>
      <c r="AA230" s="63" t="e">
        <f t="shared" ca="1" si="25"/>
        <v>#N/A</v>
      </c>
      <c r="AB230" s="63" t="e">
        <f t="shared" ca="1" si="26"/>
        <v>#N/A</v>
      </c>
      <c r="AC230" s="3" t="e">
        <f t="shared" ca="1" si="27"/>
        <v>#N/A</v>
      </c>
    </row>
    <row r="231" spans="8:29">
      <c r="H231" t="e">
        <f t="shared" ca="1" si="24"/>
        <v>#N/A</v>
      </c>
      <c r="I231" t="e">
        <f t="shared" ca="1" si="21"/>
        <v>#N/A</v>
      </c>
      <c r="J231" s="2" t="e">
        <f ca="1"/>
        <v>#N/A</v>
      </c>
      <c r="K231" t="e">
        <f ca="1"/>
        <v>#N/A</v>
      </c>
      <c r="L231" t="e">
        <f ca="1"/>
        <v>#N/A</v>
      </c>
      <c r="M231" t="e">
        <f ca="1"/>
        <v>#N/A</v>
      </c>
      <c r="N231" t="e">
        <f ca="1"/>
        <v>#N/A</v>
      </c>
      <c r="O231" t="e">
        <f ca="1"/>
        <v>#N/A</v>
      </c>
      <c r="P231" t="e">
        <f ca="1"/>
        <v>#N/A</v>
      </c>
      <c r="Q231" t="e">
        <f ca="1"/>
        <v>#N/A</v>
      </c>
      <c r="R231" t="e">
        <f ca="1"/>
        <v>#N/A</v>
      </c>
      <c r="S231" t="e">
        <f ca="1"/>
        <v>#N/A</v>
      </c>
      <c r="T231" t="e">
        <f ca="1"/>
        <v>#N/A</v>
      </c>
      <c r="U231" t="e">
        <f ca="1"/>
        <v>#N/A</v>
      </c>
      <c r="V231" t="e">
        <f ca="1"/>
        <v>#N/A</v>
      </c>
      <c r="X231" s="2">
        <f t="shared" ca="1" si="22"/>
        <v>0</v>
      </c>
      <c r="Y231">
        <f t="shared" ca="1" si="23"/>
        <v>0</v>
      </c>
      <c r="AA231" s="63" t="e">
        <f t="shared" ca="1" si="25"/>
        <v>#N/A</v>
      </c>
      <c r="AB231" s="63" t="e">
        <f t="shared" ca="1" si="26"/>
        <v>#N/A</v>
      </c>
      <c r="AC231" s="3" t="e">
        <f t="shared" ca="1" si="27"/>
        <v>#N/A</v>
      </c>
    </row>
    <row r="232" spans="8:29">
      <c r="H232" t="e">
        <f t="shared" ca="1" si="24"/>
        <v>#N/A</v>
      </c>
      <c r="I232" t="e">
        <f t="shared" ca="1" si="21"/>
        <v>#N/A</v>
      </c>
      <c r="J232" s="2" t="e">
        <f ca="1"/>
        <v>#N/A</v>
      </c>
      <c r="K232" t="e">
        <f ca="1"/>
        <v>#N/A</v>
      </c>
      <c r="L232" t="e">
        <f ca="1"/>
        <v>#N/A</v>
      </c>
      <c r="M232" t="e">
        <f ca="1"/>
        <v>#N/A</v>
      </c>
      <c r="N232" t="e">
        <f ca="1"/>
        <v>#N/A</v>
      </c>
      <c r="O232" t="e">
        <f ca="1"/>
        <v>#N/A</v>
      </c>
      <c r="P232" t="e">
        <f ca="1"/>
        <v>#N/A</v>
      </c>
      <c r="Q232" t="e">
        <f ca="1"/>
        <v>#N/A</v>
      </c>
      <c r="R232" t="e">
        <f ca="1"/>
        <v>#N/A</v>
      </c>
      <c r="S232" t="e">
        <f ca="1"/>
        <v>#N/A</v>
      </c>
      <c r="T232" t="e">
        <f ca="1"/>
        <v>#N/A</v>
      </c>
      <c r="U232" t="e">
        <f ca="1"/>
        <v>#N/A</v>
      </c>
      <c r="V232" t="e">
        <f ca="1"/>
        <v>#N/A</v>
      </c>
      <c r="X232" s="2">
        <f t="shared" ca="1" si="22"/>
        <v>0</v>
      </c>
      <c r="Y232">
        <f t="shared" ca="1" si="23"/>
        <v>0</v>
      </c>
      <c r="AA232" s="63" t="e">
        <f t="shared" ca="1" si="25"/>
        <v>#N/A</v>
      </c>
      <c r="AB232" s="63" t="e">
        <f t="shared" ca="1" si="26"/>
        <v>#N/A</v>
      </c>
      <c r="AC232" s="3" t="e">
        <f t="shared" ca="1" si="27"/>
        <v>#N/A</v>
      </c>
    </row>
    <row r="233" spans="8:29">
      <c r="H233" t="e">
        <f t="shared" ca="1" si="24"/>
        <v>#N/A</v>
      </c>
      <c r="I233" t="e">
        <f t="shared" ca="1" si="21"/>
        <v>#N/A</v>
      </c>
      <c r="J233" s="2" t="e">
        <f ca="1"/>
        <v>#N/A</v>
      </c>
      <c r="K233" t="e">
        <f ca="1"/>
        <v>#N/A</v>
      </c>
      <c r="L233" t="e">
        <f ca="1"/>
        <v>#N/A</v>
      </c>
      <c r="M233" t="e">
        <f ca="1"/>
        <v>#N/A</v>
      </c>
      <c r="N233" t="e">
        <f ca="1"/>
        <v>#N/A</v>
      </c>
      <c r="O233" t="e">
        <f ca="1"/>
        <v>#N/A</v>
      </c>
      <c r="P233" t="e">
        <f ca="1"/>
        <v>#N/A</v>
      </c>
      <c r="Q233" t="e">
        <f ca="1"/>
        <v>#N/A</v>
      </c>
      <c r="R233" t="e">
        <f ca="1"/>
        <v>#N/A</v>
      </c>
      <c r="S233" t="e">
        <f ca="1"/>
        <v>#N/A</v>
      </c>
      <c r="T233" t="e">
        <f ca="1"/>
        <v>#N/A</v>
      </c>
      <c r="U233" t="e">
        <f ca="1"/>
        <v>#N/A</v>
      </c>
      <c r="V233" t="e">
        <f ca="1"/>
        <v>#N/A</v>
      </c>
      <c r="X233" s="2">
        <f t="shared" ca="1" si="22"/>
        <v>0</v>
      </c>
      <c r="Y233">
        <f t="shared" ca="1" si="23"/>
        <v>0</v>
      </c>
      <c r="AA233" s="63" t="e">
        <f t="shared" ca="1" si="25"/>
        <v>#N/A</v>
      </c>
      <c r="AB233" s="63" t="e">
        <f t="shared" ca="1" si="26"/>
        <v>#N/A</v>
      </c>
      <c r="AC233" s="3" t="e">
        <f t="shared" ca="1" si="27"/>
        <v>#N/A</v>
      </c>
    </row>
    <row r="234" spans="8:29">
      <c r="H234" t="e">
        <f t="shared" ca="1" si="24"/>
        <v>#N/A</v>
      </c>
      <c r="I234" t="e">
        <f t="shared" ca="1" si="21"/>
        <v>#N/A</v>
      </c>
      <c r="J234" s="2" t="e">
        <f ca="1"/>
        <v>#N/A</v>
      </c>
      <c r="K234" t="e">
        <f ca="1"/>
        <v>#N/A</v>
      </c>
      <c r="L234" t="e">
        <f ca="1"/>
        <v>#N/A</v>
      </c>
      <c r="M234" t="e">
        <f ca="1"/>
        <v>#N/A</v>
      </c>
      <c r="N234" t="e">
        <f ca="1"/>
        <v>#N/A</v>
      </c>
      <c r="O234" t="e">
        <f ca="1"/>
        <v>#N/A</v>
      </c>
      <c r="P234" t="e">
        <f ca="1"/>
        <v>#N/A</v>
      </c>
      <c r="Q234" t="e">
        <f ca="1"/>
        <v>#N/A</v>
      </c>
      <c r="R234" t="e">
        <f ca="1"/>
        <v>#N/A</v>
      </c>
      <c r="S234" t="e">
        <f ca="1"/>
        <v>#N/A</v>
      </c>
      <c r="T234" t="e">
        <f ca="1"/>
        <v>#N/A</v>
      </c>
      <c r="U234" t="e">
        <f ca="1"/>
        <v>#N/A</v>
      </c>
      <c r="V234" t="e">
        <f ca="1"/>
        <v>#N/A</v>
      </c>
      <c r="X234" s="2">
        <f t="shared" ca="1" si="22"/>
        <v>0</v>
      </c>
      <c r="Y234">
        <f t="shared" ca="1" si="23"/>
        <v>0</v>
      </c>
      <c r="AA234" s="63" t="e">
        <f t="shared" ca="1" si="25"/>
        <v>#N/A</v>
      </c>
      <c r="AB234" s="63" t="e">
        <f t="shared" ca="1" si="26"/>
        <v>#N/A</v>
      </c>
      <c r="AC234" s="3" t="e">
        <f t="shared" ca="1" si="27"/>
        <v>#N/A</v>
      </c>
    </row>
    <row r="235" spans="8:29">
      <c r="H235" t="e">
        <f t="shared" ca="1" si="24"/>
        <v>#N/A</v>
      </c>
      <c r="I235" t="e">
        <f t="shared" ca="1" si="21"/>
        <v>#N/A</v>
      </c>
      <c r="J235" s="2" t="e">
        <f ca="1"/>
        <v>#N/A</v>
      </c>
      <c r="K235" t="e">
        <f ca="1"/>
        <v>#N/A</v>
      </c>
      <c r="L235" t="e">
        <f ca="1"/>
        <v>#N/A</v>
      </c>
      <c r="M235" t="e">
        <f ca="1"/>
        <v>#N/A</v>
      </c>
      <c r="N235" t="e">
        <f ca="1"/>
        <v>#N/A</v>
      </c>
      <c r="O235" t="e">
        <f ca="1"/>
        <v>#N/A</v>
      </c>
      <c r="P235" t="e">
        <f ca="1"/>
        <v>#N/A</v>
      </c>
      <c r="Q235" t="e">
        <f ca="1"/>
        <v>#N/A</v>
      </c>
      <c r="R235" t="e">
        <f ca="1"/>
        <v>#N/A</v>
      </c>
      <c r="S235" t="e">
        <f ca="1"/>
        <v>#N/A</v>
      </c>
      <c r="T235" t="e">
        <f ca="1"/>
        <v>#N/A</v>
      </c>
      <c r="U235" t="e">
        <f ca="1"/>
        <v>#N/A</v>
      </c>
      <c r="V235" t="e">
        <f ca="1"/>
        <v>#N/A</v>
      </c>
      <c r="X235" s="2">
        <f t="shared" ca="1" si="22"/>
        <v>0</v>
      </c>
      <c r="Y235">
        <f t="shared" ca="1" si="23"/>
        <v>0</v>
      </c>
      <c r="AA235" s="63" t="e">
        <f t="shared" ca="1" si="25"/>
        <v>#N/A</v>
      </c>
      <c r="AB235" s="63" t="e">
        <f t="shared" ca="1" si="26"/>
        <v>#N/A</v>
      </c>
      <c r="AC235" s="3" t="e">
        <f t="shared" ca="1" si="27"/>
        <v>#N/A</v>
      </c>
    </row>
    <row r="236" spans="8:29">
      <c r="H236" t="e">
        <f t="shared" ca="1" si="24"/>
        <v>#N/A</v>
      </c>
      <c r="I236" t="e">
        <f t="shared" ca="1" si="21"/>
        <v>#N/A</v>
      </c>
      <c r="J236" s="2" t="e">
        <f ca="1"/>
        <v>#N/A</v>
      </c>
      <c r="K236" t="e">
        <f ca="1"/>
        <v>#N/A</v>
      </c>
      <c r="L236" t="e">
        <f ca="1"/>
        <v>#N/A</v>
      </c>
      <c r="M236" t="e">
        <f ca="1"/>
        <v>#N/A</v>
      </c>
      <c r="N236" t="e">
        <f ca="1"/>
        <v>#N/A</v>
      </c>
      <c r="O236" t="e">
        <f ca="1"/>
        <v>#N/A</v>
      </c>
      <c r="P236" t="e">
        <f ca="1"/>
        <v>#N/A</v>
      </c>
      <c r="Q236" t="e">
        <f ca="1"/>
        <v>#N/A</v>
      </c>
      <c r="R236" t="e">
        <f ca="1"/>
        <v>#N/A</v>
      </c>
      <c r="S236" t="e">
        <f ca="1"/>
        <v>#N/A</v>
      </c>
      <c r="T236" t="e">
        <f ca="1"/>
        <v>#N/A</v>
      </c>
      <c r="U236" t="e">
        <f ca="1"/>
        <v>#N/A</v>
      </c>
      <c r="V236" t="e">
        <f ca="1"/>
        <v>#N/A</v>
      </c>
      <c r="X236" s="2">
        <f t="shared" ca="1" si="22"/>
        <v>0</v>
      </c>
      <c r="Y236">
        <f t="shared" ca="1" si="23"/>
        <v>0</v>
      </c>
      <c r="AA236" s="63" t="e">
        <f t="shared" ca="1" si="25"/>
        <v>#N/A</v>
      </c>
      <c r="AB236" s="63" t="e">
        <f t="shared" ca="1" si="26"/>
        <v>#N/A</v>
      </c>
      <c r="AC236" s="3" t="e">
        <f t="shared" ca="1" si="27"/>
        <v>#N/A</v>
      </c>
    </row>
    <row r="237" spans="8:29">
      <c r="H237" t="e">
        <f t="shared" ca="1" si="24"/>
        <v>#N/A</v>
      </c>
      <c r="I237" t="e">
        <f t="shared" ca="1" si="21"/>
        <v>#N/A</v>
      </c>
      <c r="J237" s="2" t="e">
        <f ca="1"/>
        <v>#N/A</v>
      </c>
      <c r="K237" t="e">
        <f ca="1"/>
        <v>#N/A</v>
      </c>
      <c r="L237" t="e">
        <f ca="1"/>
        <v>#N/A</v>
      </c>
      <c r="M237" t="e">
        <f ca="1"/>
        <v>#N/A</v>
      </c>
      <c r="N237" t="e">
        <f ca="1"/>
        <v>#N/A</v>
      </c>
      <c r="O237" t="e">
        <f ca="1"/>
        <v>#N/A</v>
      </c>
      <c r="P237" t="e">
        <f ca="1"/>
        <v>#N/A</v>
      </c>
      <c r="Q237" t="e">
        <f ca="1"/>
        <v>#N/A</v>
      </c>
      <c r="R237" t="e">
        <f ca="1"/>
        <v>#N/A</v>
      </c>
      <c r="S237" t="e">
        <f ca="1"/>
        <v>#N/A</v>
      </c>
      <c r="T237" t="e">
        <f ca="1"/>
        <v>#N/A</v>
      </c>
      <c r="U237" t="e">
        <f ca="1"/>
        <v>#N/A</v>
      </c>
      <c r="V237" t="e">
        <f ca="1"/>
        <v>#N/A</v>
      </c>
      <c r="X237" s="2">
        <f t="shared" ca="1" si="22"/>
        <v>0</v>
      </c>
      <c r="Y237">
        <f t="shared" ca="1" si="23"/>
        <v>0</v>
      </c>
      <c r="AA237" s="63" t="e">
        <f t="shared" ca="1" si="25"/>
        <v>#N/A</v>
      </c>
      <c r="AB237" s="63" t="e">
        <f t="shared" ca="1" si="26"/>
        <v>#N/A</v>
      </c>
      <c r="AC237" s="3" t="e">
        <f t="shared" ca="1" si="27"/>
        <v>#N/A</v>
      </c>
    </row>
    <row r="238" spans="8:29">
      <c r="H238" t="e">
        <f t="shared" ca="1" si="24"/>
        <v>#N/A</v>
      </c>
      <c r="I238" t="e">
        <f t="shared" ca="1" si="21"/>
        <v>#N/A</v>
      </c>
      <c r="J238" s="2" t="e">
        <f ca="1"/>
        <v>#N/A</v>
      </c>
      <c r="K238" t="e">
        <f ca="1"/>
        <v>#N/A</v>
      </c>
      <c r="L238" t="e">
        <f ca="1"/>
        <v>#N/A</v>
      </c>
      <c r="M238" t="e">
        <f ca="1"/>
        <v>#N/A</v>
      </c>
      <c r="N238" t="e">
        <f ca="1"/>
        <v>#N/A</v>
      </c>
      <c r="O238" t="e">
        <f ca="1"/>
        <v>#N/A</v>
      </c>
      <c r="P238" t="e">
        <f ca="1"/>
        <v>#N/A</v>
      </c>
      <c r="Q238" t="e">
        <f ca="1"/>
        <v>#N/A</v>
      </c>
      <c r="R238" t="e">
        <f ca="1"/>
        <v>#N/A</v>
      </c>
      <c r="S238" t="e">
        <f ca="1"/>
        <v>#N/A</v>
      </c>
      <c r="T238" t="e">
        <f ca="1"/>
        <v>#N/A</v>
      </c>
      <c r="U238" t="e">
        <f ca="1"/>
        <v>#N/A</v>
      </c>
      <c r="V238" t="e">
        <f ca="1"/>
        <v>#N/A</v>
      </c>
      <c r="X238" s="2">
        <f t="shared" ca="1" si="22"/>
        <v>0</v>
      </c>
      <c r="Y238">
        <f t="shared" ca="1" si="23"/>
        <v>0</v>
      </c>
      <c r="AA238" s="63" t="e">
        <f t="shared" ca="1" si="25"/>
        <v>#N/A</v>
      </c>
      <c r="AB238" s="63" t="e">
        <f t="shared" ca="1" si="26"/>
        <v>#N/A</v>
      </c>
      <c r="AC238" s="3" t="e">
        <f t="shared" ca="1" si="27"/>
        <v>#N/A</v>
      </c>
    </row>
    <row r="239" spans="8:29">
      <c r="H239" t="e">
        <f t="shared" ca="1" si="24"/>
        <v>#N/A</v>
      </c>
      <c r="I239" t="e">
        <f t="shared" ca="1" si="21"/>
        <v>#N/A</v>
      </c>
      <c r="J239" s="2" t="e">
        <f ca="1"/>
        <v>#N/A</v>
      </c>
      <c r="K239" t="e">
        <f ca="1"/>
        <v>#N/A</v>
      </c>
      <c r="L239" t="e">
        <f ca="1"/>
        <v>#N/A</v>
      </c>
      <c r="M239" t="e">
        <f ca="1"/>
        <v>#N/A</v>
      </c>
      <c r="N239" t="e">
        <f ca="1"/>
        <v>#N/A</v>
      </c>
      <c r="O239" t="e">
        <f ca="1"/>
        <v>#N/A</v>
      </c>
      <c r="P239" t="e">
        <f ca="1"/>
        <v>#N/A</v>
      </c>
      <c r="Q239" t="e">
        <f ca="1"/>
        <v>#N/A</v>
      </c>
      <c r="R239" t="e">
        <f ca="1"/>
        <v>#N/A</v>
      </c>
      <c r="S239" t="e">
        <f ca="1"/>
        <v>#N/A</v>
      </c>
      <c r="T239" t="e">
        <f ca="1"/>
        <v>#N/A</v>
      </c>
      <c r="U239" t="e">
        <f ca="1"/>
        <v>#N/A</v>
      </c>
      <c r="V239" t="e">
        <f ca="1"/>
        <v>#N/A</v>
      </c>
      <c r="X239" s="2">
        <f t="shared" ca="1" si="22"/>
        <v>0</v>
      </c>
      <c r="Y239">
        <f t="shared" ca="1" si="23"/>
        <v>0</v>
      </c>
      <c r="AA239" s="63" t="e">
        <f t="shared" ca="1" si="25"/>
        <v>#N/A</v>
      </c>
      <c r="AB239" s="63" t="e">
        <f t="shared" ca="1" si="26"/>
        <v>#N/A</v>
      </c>
      <c r="AC239" s="3" t="e">
        <f t="shared" ca="1" si="27"/>
        <v>#N/A</v>
      </c>
    </row>
    <row r="240" spans="8:29">
      <c r="H240" t="e">
        <f t="shared" ca="1" si="24"/>
        <v>#N/A</v>
      </c>
      <c r="I240" t="e">
        <f t="shared" ca="1" si="21"/>
        <v>#N/A</v>
      </c>
      <c r="J240" s="2" t="e">
        <f ca="1"/>
        <v>#N/A</v>
      </c>
      <c r="K240" t="e">
        <f ca="1"/>
        <v>#N/A</v>
      </c>
      <c r="L240" t="e">
        <f ca="1"/>
        <v>#N/A</v>
      </c>
      <c r="M240" t="e">
        <f ca="1"/>
        <v>#N/A</v>
      </c>
      <c r="N240" t="e">
        <f ca="1"/>
        <v>#N/A</v>
      </c>
      <c r="O240" t="e">
        <f ca="1"/>
        <v>#N/A</v>
      </c>
      <c r="P240" t="e">
        <f ca="1"/>
        <v>#N/A</v>
      </c>
      <c r="Q240" t="e">
        <f ca="1"/>
        <v>#N/A</v>
      </c>
      <c r="R240" t="e">
        <f ca="1"/>
        <v>#N/A</v>
      </c>
      <c r="S240" t="e">
        <f ca="1"/>
        <v>#N/A</v>
      </c>
      <c r="T240" t="e">
        <f ca="1"/>
        <v>#N/A</v>
      </c>
      <c r="U240" t="e">
        <f ca="1"/>
        <v>#N/A</v>
      </c>
      <c r="V240" t="e">
        <f ca="1"/>
        <v>#N/A</v>
      </c>
      <c r="X240" s="2">
        <f t="shared" ca="1" si="22"/>
        <v>0</v>
      </c>
      <c r="Y240">
        <f t="shared" ca="1" si="23"/>
        <v>0</v>
      </c>
      <c r="AA240" s="63" t="e">
        <f t="shared" ca="1" si="25"/>
        <v>#N/A</v>
      </c>
      <c r="AB240" s="63" t="e">
        <f t="shared" ca="1" si="26"/>
        <v>#N/A</v>
      </c>
      <c r="AC240" s="3" t="e">
        <f t="shared" ca="1" si="27"/>
        <v>#N/A</v>
      </c>
    </row>
    <row r="241" spans="8:29">
      <c r="H241" t="e">
        <f t="shared" ca="1" si="24"/>
        <v>#N/A</v>
      </c>
      <c r="I241" t="e">
        <f t="shared" ca="1" si="21"/>
        <v>#N/A</v>
      </c>
      <c r="J241" s="2" t="e">
        <f ca="1"/>
        <v>#N/A</v>
      </c>
      <c r="K241" t="e">
        <f ca="1"/>
        <v>#N/A</v>
      </c>
      <c r="L241" t="e">
        <f ca="1"/>
        <v>#N/A</v>
      </c>
      <c r="M241" t="e">
        <f ca="1"/>
        <v>#N/A</v>
      </c>
      <c r="N241" t="e">
        <f ca="1"/>
        <v>#N/A</v>
      </c>
      <c r="O241" t="e">
        <f ca="1"/>
        <v>#N/A</v>
      </c>
      <c r="P241" t="e">
        <f ca="1"/>
        <v>#N/A</v>
      </c>
      <c r="Q241" t="e">
        <f ca="1"/>
        <v>#N/A</v>
      </c>
      <c r="R241" t="e">
        <f ca="1"/>
        <v>#N/A</v>
      </c>
      <c r="S241" t="e">
        <f ca="1"/>
        <v>#N/A</v>
      </c>
      <c r="T241" t="e">
        <f ca="1"/>
        <v>#N/A</v>
      </c>
      <c r="U241" t="e">
        <f ca="1"/>
        <v>#N/A</v>
      </c>
      <c r="V241" t="e">
        <f ca="1"/>
        <v>#N/A</v>
      </c>
      <c r="X241" s="2">
        <f t="shared" ca="1" si="22"/>
        <v>0</v>
      </c>
      <c r="Y241">
        <f t="shared" ca="1" si="23"/>
        <v>0</v>
      </c>
      <c r="AA241" s="63" t="e">
        <f t="shared" ca="1" si="25"/>
        <v>#N/A</v>
      </c>
      <c r="AB241" s="63" t="e">
        <f t="shared" ca="1" si="26"/>
        <v>#N/A</v>
      </c>
      <c r="AC241" s="3" t="e">
        <f t="shared" ca="1" si="27"/>
        <v>#N/A</v>
      </c>
    </row>
    <row r="242" spans="8:29">
      <c r="H242" t="e">
        <f t="shared" ca="1" si="24"/>
        <v>#N/A</v>
      </c>
      <c r="I242" t="e">
        <f t="shared" ca="1" si="21"/>
        <v>#N/A</v>
      </c>
      <c r="J242" s="2" t="e">
        <f ca="1"/>
        <v>#N/A</v>
      </c>
      <c r="K242" t="e">
        <f ca="1"/>
        <v>#N/A</v>
      </c>
      <c r="L242" t="e">
        <f ca="1"/>
        <v>#N/A</v>
      </c>
      <c r="M242" t="e">
        <f ca="1"/>
        <v>#N/A</v>
      </c>
      <c r="N242" t="e">
        <f ca="1"/>
        <v>#N/A</v>
      </c>
      <c r="O242" t="e">
        <f ca="1"/>
        <v>#N/A</v>
      </c>
      <c r="P242" t="e">
        <f ca="1"/>
        <v>#N/A</v>
      </c>
      <c r="Q242" t="e">
        <f ca="1"/>
        <v>#N/A</v>
      </c>
      <c r="R242" t="e">
        <f ca="1"/>
        <v>#N/A</v>
      </c>
      <c r="S242" t="e">
        <f ca="1"/>
        <v>#N/A</v>
      </c>
      <c r="T242" t="e">
        <f ca="1"/>
        <v>#N/A</v>
      </c>
      <c r="U242" t="e">
        <f ca="1"/>
        <v>#N/A</v>
      </c>
      <c r="V242" t="e">
        <f ca="1"/>
        <v>#N/A</v>
      </c>
      <c r="X242" s="2">
        <f t="shared" ca="1" si="22"/>
        <v>0</v>
      </c>
      <c r="Y242">
        <f t="shared" ca="1" si="23"/>
        <v>0</v>
      </c>
      <c r="AA242" s="63" t="e">
        <f t="shared" ca="1" si="25"/>
        <v>#N/A</v>
      </c>
      <c r="AB242" s="63" t="e">
        <f t="shared" ca="1" si="26"/>
        <v>#N/A</v>
      </c>
      <c r="AC242" s="3" t="e">
        <f t="shared" ca="1" si="27"/>
        <v>#N/A</v>
      </c>
    </row>
    <row r="243" spans="8:29">
      <c r="H243" t="e">
        <f t="shared" ca="1" si="24"/>
        <v>#N/A</v>
      </c>
      <c r="I243" t="e">
        <f t="shared" ca="1" si="21"/>
        <v>#N/A</v>
      </c>
      <c r="J243" s="2" t="e">
        <f ca="1"/>
        <v>#N/A</v>
      </c>
      <c r="K243" t="e">
        <f ca="1"/>
        <v>#N/A</v>
      </c>
      <c r="L243" t="e">
        <f ca="1"/>
        <v>#N/A</v>
      </c>
      <c r="M243" t="e">
        <f ca="1"/>
        <v>#N/A</v>
      </c>
      <c r="N243" t="e">
        <f ca="1"/>
        <v>#N/A</v>
      </c>
      <c r="O243" t="e">
        <f ca="1"/>
        <v>#N/A</v>
      </c>
      <c r="P243" t="e">
        <f ca="1"/>
        <v>#N/A</v>
      </c>
      <c r="Q243" t="e">
        <f ca="1"/>
        <v>#N/A</v>
      </c>
      <c r="R243" t="e">
        <f ca="1"/>
        <v>#N/A</v>
      </c>
      <c r="S243" t="e">
        <f ca="1"/>
        <v>#N/A</v>
      </c>
      <c r="T243" t="e">
        <f ca="1"/>
        <v>#N/A</v>
      </c>
      <c r="U243" t="e">
        <f ca="1"/>
        <v>#N/A</v>
      </c>
      <c r="V243" t="e">
        <f ca="1"/>
        <v>#N/A</v>
      </c>
      <c r="X243" s="2">
        <f t="shared" ca="1" si="22"/>
        <v>0</v>
      </c>
      <c r="Y243">
        <f t="shared" ca="1" si="23"/>
        <v>0</v>
      </c>
      <c r="AA243" s="63" t="e">
        <f t="shared" ca="1" si="25"/>
        <v>#N/A</v>
      </c>
      <c r="AB243" s="63" t="e">
        <f t="shared" ca="1" si="26"/>
        <v>#N/A</v>
      </c>
      <c r="AC243" s="3" t="e">
        <f t="shared" ca="1" si="27"/>
        <v>#N/A</v>
      </c>
    </row>
    <row r="244" spans="8:29">
      <c r="H244" t="e">
        <f t="shared" ca="1" si="24"/>
        <v>#N/A</v>
      </c>
      <c r="I244" t="e">
        <f t="shared" ca="1" si="21"/>
        <v>#N/A</v>
      </c>
      <c r="J244" s="2" t="e">
        <f ca="1"/>
        <v>#N/A</v>
      </c>
      <c r="K244" t="e">
        <f ca="1"/>
        <v>#N/A</v>
      </c>
      <c r="L244" t="e">
        <f ca="1"/>
        <v>#N/A</v>
      </c>
      <c r="M244" t="e">
        <f ca="1"/>
        <v>#N/A</v>
      </c>
      <c r="N244" t="e">
        <f ca="1"/>
        <v>#N/A</v>
      </c>
      <c r="O244" t="e">
        <f ca="1"/>
        <v>#N/A</v>
      </c>
      <c r="P244" t="e">
        <f ca="1"/>
        <v>#N/A</v>
      </c>
      <c r="Q244" t="e">
        <f ca="1"/>
        <v>#N/A</v>
      </c>
      <c r="R244" t="e">
        <f ca="1"/>
        <v>#N/A</v>
      </c>
      <c r="S244" t="e">
        <f ca="1"/>
        <v>#N/A</v>
      </c>
      <c r="T244" t="e">
        <f ca="1"/>
        <v>#N/A</v>
      </c>
      <c r="U244" t="e">
        <f ca="1"/>
        <v>#N/A</v>
      </c>
      <c r="V244" t="e">
        <f ca="1"/>
        <v>#N/A</v>
      </c>
      <c r="X244" s="2">
        <f t="shared" ca="1" si="22"/>
        <v>0</v>
      </c>
      <c r="Y244">
        <f t="shared" ca="1" si="23"/>
        <v>0</v>
      </c>
      <c r="AA244" s="63" t="e">
        <f t="shared" ca="1" si="25"/>
        <v>#N/A</v>
      </c>
      <c r="AB244" s="63" t="e">
        <f t="shared" ca="1" si="26"/>
        <v>#N/A</v>
      </c>
      <c r="AC244" s="3" t="e">
        <f t="shared" ca="1" si="27"/>
        <v>#N/A</v>
      </c>
    </row>
    <row r="245" spans="8:29">
      <c r="H245" t="e">
        <f t="shared" ca="1" si="24"/>
        <v>#N/A</v>
      </c>
      <c r="I245" t="e">
        <f t="shared" ca="1" si="21"/>
        <v>#N/A</v>
      </c>
      <c r="J245" s="2" t="e">
        <f ca="1"/>
        <v>#N/A</v>
      </c>
      <c r="K245" t="e">
        <f ca="1"/>
        <v>#N/A</v>
      </c>
      <c r="L245" t="e">
        <f ca="1"/>
        <v>#N/A</v>
      </c>
      <c r="M245" t="e">
        <f ca="1"/>
        <v>#N/A</v>
      </c>
      <c r="N245" t="e">
        <f ca="1"/>
        <v>#N/A</v>
      </c>
      <c r="O245" t="e">
        <f ca="1"/>
        <v>#N/A</v>
      </c>
      <c r="P245" t="e">
        <f ca="1"/>
        <v>#N/A</v>
      </c>
      <c r="Q245" t="e">
        <f ca="1"/>
        <v>#N/A</v>
      </c>
      <c r="R245" t="e">
        <f ca="1"/>
        <v>#N/A</v>
      </c>
      <c r="S245" t="e">
        <f ca="1"/>
        <v>#N/A</v>
      </c>
      <c r="T245" t="e">
        <f ca="1"/>
        <v>#N/A</v>
      </c>
      <c r="U245" t="e">
        <f ca="1"/>
        <v>#N/A</v>
      </c>
      <c r="V245" t="e">
        <f ca="1"/>
        <v>#N/A</v>
      </c>
      <c r="X245" s="2">
        <f t="shared" ca="1" si="22"/>
        <v>0</v>
      </c>
      <c r="Y245">
        <f t="shared" ca="1" si="23"/>
        <v>0</v>
      </c>
      <c r="AA245" s="63" t="e">
        <f t="shared" ca="1" si="25"/>
        <v>#N/A</v>
      </c>
      <c r="AB245" s="63" t="e">
        <f t="shared" ca="1" si="26"/>
        <v>#N/A</v>
      </c>
      <c r="AC245" s="3" t="e">
        <f t="shared" ca="1" si="27"/>
        <v>#N/A</v>
      </c>
    </row>
    <row r="246" spans="8:29">
      <c r="H246" t="e">
        <f t="shared" ca="1" si="24"/>
        <v>#N/A</v>
      </c>
      <c r="I246" t="e">
        <f t="shared" ca="1" si="21"/>
        <v>#N/A</v>
      </c>
      <c r="J246" s="2" t="e">
        <f ca="1"/>
        <v>#N/A</v>
      </c>
      <c r="K246" t="e">
        <f ca="1"/>
        <v>#N/A</v>
      </c>
      <c r="L246" t="e">
        <f ca="1"/>
        <v>#N/A</v>
      </c>
      <c r="M246" t="e">
        <f ca="1"/>
        <v>#N/A</v>
      </c>
      <c r="N246" t="e">
        <f ca="1"/>
        <v>#N/A</v>
      </c>
      <c r="O246" t="e">
        <f ca="1"/>
        <v>#N/A</v>
      </c>
      <c r="P246" t="e">
        <f ca="1"/>
        <v>#N/A</v>
      </c>
      <c r="Q246" t="e">
        <f ca="1"/>
        <v>#N/A</v>
      </c>
      <c r="R246" t="e">
        <f ca="1"/>
        <v>#N/A</v>
      </c>
      <c r="S246" t="e">
        <f ca="1"/>
        <v>#N/A</v>
      </c>
      <c r="T246" t="e">
        <f ca="1"/>
        <v>#N/A</v>
      </c>
      <c r="U246" t="e">
        <f ca="1"/>
        <v>#N/A</v>
      </c>
      <c r="V246" t="e">
        <f ca="1"/>
        <v>#N/A</v>
      </c>
      <c r="X246" s="2">
        <f t="shared" ca="1" si="22"/>
        <v>0</v>
      </c>
      <c r="Y246">
        <f t="shared" ca="1" si="23"/>
        <v>0</v>
      </c>
      <c r="AA246" s="63" t="e">
        <f t="shared" ca="1" si="25"/>
        <v>#N/A</v>
      </c>
      <c r="AB246" s="63" t="e">
        <f t="shared" ca="1" si="26"/>
        <v>#N/A</v>
      </c>
      <c r="AC246" s="3" t="e">
        <f t="shared" ca="1" si="27"/>
        <v>#N/A</v>
      </c>
    </row>
    <row r="247" spans="8:29">
      <c r="H247" t="e">
        <f t="shared" ca="1" si="24"/>
        <v>#N/A</v>
      </c>
      <c r="I247" t="e">
        <f t="shared" ca="1" si="21"/>
        <v>#N/A</v>
      </c>
      <c r="J247" s="2" t="e">
        <f ca="1"/>
        <v>#N/A</v>
      </c>
      <c r="K247" t="e">
        <f ca="1"/>
        <v>#N/A</v>
      </c>
      <c r="L247" t="e">
        <f ca="1"/>
        <v>#N/A</v>
      </c>
      <c r="M247" t="e">
        <f ca="1"/>
        <v>#N/A</v>
      </c>
      <c r="N247" t="e">
        <f ca="1"/>
        <v>#N/A</v>
      </c>
      <c r="O247" t="e">
        <f ca="1"/>
        <v>#N/A</v>
      </c>
      <c r="P247" t="e">
        <f ca="1"/>
        <v>#N/A</v>
      </c>
      <c r="Q247" t="e">
        <f ca="1"/>
        <v>#N/A</v>
      </c>
      <c r="R247" t="e">
        <f ca="1"/>
        <v>#N/A</v>
      </c>
      <c r="S247" t="e">
        <f ca="1"/>
        <v>#N/A</v>
      </c>
      <c r="T247" t="e">
        <f ca="1"/>
        <v>#N/A</v>
      </c>
      <c r="U247" t="e">
        <f ca="1"/>
        <v>#N/A</v>
      </c>
      <c r="V247" t="e">
        <f ca="1"/>
        <v>#N/A</v>
      </c>
      <c r="X247" s="2">
        <f t="shared" ca="1" si="22"/>
        <v>0</v>
      </c>
      <c r="Y247">
        <f t="shared" ca="1" si="23"/>
        <v>0</v>
      </c>
      <c r="AA247" s="63" t="e">
        <f t="shared" ca="1" si="25"/>
        <v>#N/A</v>
      </c>
      <c r="AB247" s="63" t="e">
        <f t="shared" ca="1" si="26"/>
        <v>#N/A</v>
      </c>
      <c r="AC247" s="3" t="e">
        <f t="shared" ca="1" si="27"/>
        <v>#N/A</v>
      </c>
    </row>
    <row r="248" spans="8:29">
      <c r="H248" t="e">
        <f t="shared" ca="1" si="24"/>
        <v>#N/A</v>
      </c>
      <c r="I248" t="e">
        <f t="shared" ca="1" si="21"/>
        <v>#N/A</v>
      </c>
      <c r="J248" s="2" t="e">
        <f ca="1"/>
        <v>#N/A</v>
      </c>
      <c r="K248" t="e">
        <f ca="1"/>
        <v>#N/A</v>
      </c>
      <c r="L248" t="e">
        <f ca="1"/>
        <v>#N/A</v>
      </c>
      <c r="M248" t="e">
        <f ca="1"/>
        <v>#N/A</v>
      </c>
      <c r="N248" t="e">
        <f ca="1"/>
        <v>#N/A</v>
      </c>
      <c r="O248" t="e">
        <f ca="1"/>
        <v>#N/A</v>
      </c>
      <c r="P248" t="e">
        <f ca="1"/>
        <v>#N/A</v>
      </c>
      <c r="Q248" t="e">
        <f ca="1"/>
        <v>#N/A</v>
      </c>
      <c r="R248" t="e">
        <f ca="1"/>
        <v>#N/A</v>
      </c>
      <c r="S248" t="e">
        <f ca="1"/>
        <v>#N/A</v>
      </c>
      <c r="T248" t="e">
        <f ca="1"/>
        <v>#N/A</v>
      </c>
      <c r="U248" t="e">
        <f ca="1"/>
        <v>#N/A</v>
      </c>
      <c r="V248" t="e">
        <f ca="1"/>
        <v>#N/A</v>
      </c>
      <c r="X248" s="2">
        <f t="shared" ca="1" si="22"/>
        <v>0</v>
      </c>
      <c r="Y248">
        <f t="shared" ca="1" si="23"/>
        <v>0</v>
      </c>
      <c r="AA248" s="63" t="e">
        <f t="shared" ca="1" si="25"/>
        <v>#N/A</v>
      </c>
      <c r="AB248" s="63" t="e">
        <f t="shared" ca="1" si="26"/>
        <v>#N/A</v>
      </c>
      <c r="AC248" s="3" t="e">
        <f t="shared" ca="1" si="27"/>
        <v>#N/A</v>
      </c>
    </row>
    <row r="249" spans="8:29">
      <c r="H249" t="e">
        <f t="shared" ca="1" si="24"/>
        <v>#N/A</v>
      </c>
      <c r="I249" t="e">
        <f t="shared" ca="1" si="21"/>
        <v>#N/A</v>
      </c>
      <c r="J249" s="2" t="e">
        <f ca="1"/>
        <v>#N/A</v>
      </c>
      <c r="K249" t="e">
        <f ca="1"/>
        <v>#N/A</v>
      </c>
      <c r="L249" t="e">
        <f ca="1"/>
        <v>#N/A</v>
      </c>
      <c r="M249" t="e">
        <f ca="1"/>
        <v>#N/A</v>
      </c>
      <c r="N249" t="e">
        <f ca="1"/>
        <v>#N/A</v>
      </c>
      <c r="O249" t="e">
        <f ca="1"/>
        <v>#N/A</v>
      </c>
      <c r="P249" t="e">
        <f ca="1"/>
        <v>#N/A</v>
      </c>
      <c r="Q249" t="e">
        <f ca="1"/>
        <v>#N/A</v>
      </c>
      <c r="R249" t="e">
        <f ca="1"/>
        <v>#N/A</v>
      </c>
      <c r="S249" t="e">
        <f ca="1"/>
        <v>#N/A</v>
      </c>
      <c r="T249" t="e">
        <f ca="1"/>
        <v>#N/A</v>
      </c>
      <c r="U249" t="e">
        <f ca="1"/>
        <v>#N/A</v>
      </c>
      <c r="V249" t="e">
        <f ca="1"/>
        <v>#N/A</v>
      </c>
      <c r="X249" s="2">
        <f t="shared" ca="1" si="22"/>
        <v>0</v>
      </c>
      <c r="Y249">
        <f t="shared" ca="1" si="23"/>
        <v>0</v>
      </c>
      <c r="AA249" s="63" t="e">
        <f t="shared" ca="1" si="25"/>
        <v>#N/A</v>
      </c>
      <c r="AB249" s="63" t="e">
        <f t="shared" ca="1" si="26"/>
        <v>#N/A</v>
      </c>
      <c r="AC249" s="3" t="e">
        <f t="shared" ca="1" si="27"/>
        <v>#N/A</v>
      </c>
    </row>
    <row r="250" spans="8:29">
      <c r="H250" t="e">
        <f t="shared" ca="1" si="24"/>
        <v>#N/A</v>
      </c>
      <c r="I250" t="e">
        <f t="shared" ca="1" si="21"/>
        <v>#N/A</v>
      </c>
      <c r="J250" s="2" t="e">
        <f ca="1"/>
        <v>#N/A</v>
      </c>
      <c r="K250" t="e">
        <f ca="1"/>
        <v>#N/A</v>
      </c>
      <c r="L250" t="e">
        <f ca="1"/>
        <v>#N/A</v>
      </c>
      <c r="M250" t="e">
        <f ca="1"/>
        <v>#N/A</v>
      </c>
      <c r="N250" t="e">
        <f ca="1"/>
        <v>#N/A</v>
      </c>
      <c r="O250" t="e">
        <f ca="1"/>
        <v>#N/A</v>
      </c>
      <c r="P250" t="e">
        <f ca="1"/>
        <v>#N/A</v>
      </c>
      <c r="Q250" t="e">
        <f ca="1"/>
        <v>#N/A</v>
      </c>
      <c r="R250" t="e">
        <f ca="1"/>
        <v>#N/A</v>
      </c>
      <c r="S250" t="e">
        <f ca="1"/>
        <v>#N/A</v>
      </c>
      <c r="T250" t="e">
        <f ca="1"/>
        <v>#N/A</v>
      </c>
      <c r="U250" t="e">
        <f ca="1"/>
        <v>#N/A</v>
      </c>
      <c r="V250" t="e">
        <f ca="1"/>
        <v>#N/A</v>
      </c>
      <c r="X250" s="2">
        <f t="shared" ca="1" si="22"/>
        <v>0</v>
      </c>
      <c r="Y250">
        <f t="shared" ca="1" si="23"/>
        <v>0</v>
      </c>
      <c r="AA250" s="63" t="e">
        <f t="shared" ca="1" si="25"/>
        <v>#N/A</v>
      </c>
      <c r="AB250" s="63" t="e">
        <f t="shared" ca="1" si="26"/>
        <v>#N/A</v>
      </c>
      <c r="AC250" s="3" t="e">
        <f t="shared" ca="1" si="27"/>
        <v>#N/A</v>
      </c>
    </row>
    <row r="251" spans="8:29">
      <c r="H251" t="e">
        <f t="shared" ca="1" si="24"/>
        <v>#N/A</v>
      </c>
      <c r="I251" t="e">
        <f t="shared" ca="1" si="21"/>
        <v>#N/A</v>
      </c>
      <c r="J251" s="2" t="e">
        <f ca="1"/>
        <v>#N/A</v>
      </c>
      <c r="K251" t="e">
        <f ca="1"/>
        <v>#N/A</v>
      </c>
      <c r="L251" t="e">
        <f ca="1"/>
        <v>#N/A</v>
      </c>
      <c r="M251" t="e">
        <f ca="1"/>
        <v>#N/A</v>
      </c>
      <c r="N251" t="e">
        <f ca="1"/>
        <v>#N/A</v>
      </c>
      <c r="O251" t="e">
        <f ca="1"/>
        <v>#N/A</v>
      </c>
      <c r="P251" t="e">
        <f ca="1"/>
        <v>#N/A</v>
      </c>
      <c r="Q251" t="e">
        <f ca="1"/>
        <v>#N/A</v>
      </c>
      <c r="R251" t="e">
        <f ca="1"/>
        <v>#N/A</v>
      </c>
      <c r="S251" t="e">
        <f ca="1"/>
        <v>#N/A</v>
      </c>
      <c r="T251" t="e">
        <f ca="1"/>
        <v>#N/A</v>
      </c>
      <c r="U251" t="e">
        <f ca="1"/>
        <v>#N/A</v>
      </c>
      <c r="V251" t="e">
        <f ca="1"/>
        <v>#N/A</v>
      </c>
      <c r="X251" s="2">
        <f t="shared" ca="1" si="22"/>
        <v>0</v>
      </c>
      <c r="Y251">
        <f t="shared" ca="1" si="23"/>
        <v>0</v>
      </c>
      <c r="AA251" s="63" t="e">
        <f t="shared" ca="1" si="25"/>
        <v>#N/A</v>
      </c>
      <c r="AB251" s="63" t="e">
        <f t="shared" ca="1" si="26"/>
        <v>#N/A</v>
      </c>
      <c r="AC251" s="3" t="e">
        <f t="shared" ca="1" si="27"/>
        <v>#N/A</v>
      </c>
    </row>
    <row r="252" spans="8:29">
      <c r="H252" t="e">
        <f t="shared" ca="1" si="24"/>
        <v>#N/A</v>
      </c>
      <c r="I252" t="e">
        <f t="shared" ca="1" si="21"/>
        <v>#N/A</v>
      </c>
      <c r="J252" s="2" t="e">
        <f ca="1"/>
        <v>#N/A</v>
      </c>
      <c r="K252" t="e">
        <f ca="1"/>
        <v>#N/A</v>
      </c>
      <c r="L252" t="e">
        <f ca="1"/>
        <v>#N/A</v>
      </c>
      <c r="M252" t="e">
        <f ca="1"/>
        <v>#N/A</v>
      </c>
      <c r="N252" t="e">
        <f ca="1"/>
        <v>#N/A</v>
      </c>
      <c r="O252" t="e">
        <f ca="1"/>
        <v>#N/A</v>
      </c>
      <c r="P252" t="e">
        <f ca="1"/>
        <v>#N/A</v>
      </c>
      <c r="Q252" t="e">
        <f ca="1"/>
        <v>#N/A</v>
      </c>
      <c r="R252" t="e">
        <f ca="1"/>
        <v>#N/A</v>
      </c>
      <c r="S252" t="e">
        <f ca="1"/>
        <v>#N/A</v>
      </c>
      <c r="T252" t="e">
        <f ca="1"/>
        <v>#N/A</v>
      </c>
      <c r="U252" t="e">
        <f ca="1"/>
        <v>#N/A</v>
      </c>
      <c r="V252" t="e">
        <f ca="1"/>
        <v>#N/A</v>
      </c>
      <c r="X252" s="2">
        <f t="shared" ca="1" si="22"/>
        <v>0</v>
      </c>
      <c r="Y252">
        <f t="shared" ca="1" si="23"/>
        <v>0</v>
      </c>
      <c r="AA252" s="63" t="e">
        <f t="shared" ca="1" si="25"/>
        <v>#N/A</v>
      </c>
      <c r="AB252" s="63" t="e">
        <f t="shared" ca="1" si="26"/>
        <v>#N/A</v>
      </c>
      <c r="AC252" s="3" t="e">
        <f t="shared" ca="1" si="27"/>
        <v>#N/A</v>
      </c>
    </row>
    <row r="253" spans="8:29">
      <c r="H253" t="e">
        <f t="shared" ca="1" si="24"/>
        <v>#N/A</v>
      </c>
      <c r="I253" t="e">
        <f t="shared" ca="1" si="21"/>
        <v>#N/A</v>
      </c>
      <c r="J253" s="2" t="e">
        <f ca="1"/>
        <v>#N/A</v>
      </c>
      <c r="K253" t="e">
        <f ca="1"/>
        <v>#N/A</v>
      </c>
      <c r="L253" t="e">
        <f ca="1"/>
        <v>#N/A</v>
      </c>
      <c r="M253" t="e">
        <f ca="1"/>
        <v>#N/A</v>
      </c>
      <c r="N253" t="e">
        <f ca="1"/>
        <v>#N/A</v>
      </c>
      <c r="O253" t="e">
        <f ca="1"/>
        <v>#N/A</v>
      </c>
      <c r="P253" t="e">
        <f ca="1"/>
        <v>#N/A</v>
      </c>
      <c r="Q253" t="e">
        <f ca="1"/>
        <v>#N/A</v>
      </c>
      <c r="R253" t="e">
        <f ca="1"/>
        <v>#N/A</v>
      </c>
      <c r="S253" t="e">
        <f ca="1"/>
        <v>#N/A</v>
      </c>
      <c r="T253" t="e">
        <f ca="1"/>
        <v>#N/A</v>
      </c>
      <c r="U253" t="e">
        <f ca="1"/>
        <v>#N/A</v>
      </c>
      <c r="V253" t="e">
        <f ca="1"/>
        <v>#N/A</v>
      </c>
      <c r="X253" s="2">
        <f t="shared" ca="1" si="22"/>
        <v>0</v>
      </c>
      <c r="Y253">
        <f t="shared" ca="1" si="23"/>
        <v>0</v>
      </c>
      <c r="AA253" s="63" t="e">
        <f t="shared" ca="1" si="25"/>
        <v>#N/A</v>
      </c>
      <c r="AB253" s="63" t="e">
        <f t="shared" ca="1" si="26"/>
        <v>#N/A</v>
      </c>
      <c r="AC253" s="3" t="e">
        <f t="shared" ca="1" si="27"/>
        <v>#N/A</v>
      </c>
    </row>
    <row r="254" spans="8:29">
      <c r="H254" t="e">
        <f t="shared" ca="1" si="24"/>
        <v>#N/A</v>
      </c>
      <c r="I254" t="e">
        <f t="shared" ca="1" si="21"/>
        <v>#N/A</v>
      </c>
      <c r="J254" s="2" t="e">
        <f ca="1"/>
        <v>#N/A</v>
      </c>
      <c r="K254" t="e">
        <f ca="1"/>
        <v>#N/A</v>
      </c>
      <c r="L254" t="e">
        <f ca="1"/>
        <v>#N/A</v>
      </c>
      <c r="M254" t="e">
        <f ca="1"/>
        <v>#N/A</v>
      </c>
      <c r="N254" t="e">
        <f ca="1"/>
        <v>#N/A</v>
      </c>
      <c r="O254" t="e">
        <f ca="1"/>
        <v>#N/A</v>
      </c>
      <c r="P254" t="e">
        <f ca="1"/>
        <v>#N/A</v>
      </c>
      <c r="Q254" t="e">
        <f ca="1"/>
        <v>#N/A</v>
      </c>
      <c r="R254" t="e">
        <f ca="1"/>
        <v>#N/A</v>
      </c>
      <c r="S254" t="e">
        <f ca="1"/>
        <v>#N/A</v>
      </c>
      <c r="T254" t="e">
        <f ca="1"/>
        <v>#N/A</v>
      </c>
      <c r="U254" t="e">
        <f ca="1"/>
        <v>#N/A</v>
      </c>
      <c r="V254" t="e">
        <f ca="1"/>
        <v>#N/A</v>
      </c>
      <c r="X254" s="2">
        <f t="shared" ca="1" si="22"/>
        <v>0</v>
      </c>
      <c r="Y254">
        <f t="shared" ca="1" si="23"/>
        <v>0</v>
      </c>
      <c r="AA254" s="63" t="e">
        <f t="shared" ca="1" si="25"/>
        <v>#N/A</v>
      </c>
      <c r="AB254" s="63" t="e">
        <f t="shared" ca="1" si="26"/>
        <v>#N/A</v>
      </c>
      <c r="AC254" s="3" t="e">
        <f t="shared" ca="1" si="27"/>
        <v>#N/A</v>
      </c>
    </row>
    <row r="255" spans="8:29">
      <c r="H255" t="e">
        <f t="shared" ca="1" si="24"/>
        <v>#N/A</v>
      </c>
      <c r="I255" t="e">
        <f t="shared" ca="1" si="21"/>
        <v>#N/A</v>
      </c>
      <c r="J255" s="2" t="e">
        <f ca="1"/>
        <v>#N/A</v>
      </c>
      <c r="K255" t="e">
        <f ca="1"/>
        <v>#N/A</v>
      </c>
      <c r="L255" t="e">
        <f ca="1"/>
        <v>#N/A</v>
      </c>
      <c r="M255" t="e">
        <f ca="1"/>
        <v>#N/A</v>
      </c>
      <c r="N255" t="e">
        <f ca="1"/>
        <v>#N/A</v>
      </c>
      <c r="O255" t="e">
        <f ca="1"/>
        <v>#N/A</v>
      </c>
      <c r="P255" t="e">
        <f ca="1"/>
        <v>#N/A</v>
      </c>
      <c r="Q255" t="e">
        <f ca="1"/>
        <v>#N/A</v>
      </c>
      <c r="R255" t="e">
        <f ca="1"/>
        <v>#N/A</v>
      </c>
      <c r="S255" t="e">
        <f ca="1"/>
        <v>#N/A</v>
      </c>
      <c r="T255" t="e">
        <f ca="1"/>
        <v>#N/A</v>
      </c>
      <c r="U255" t="e">
        <f ca="1"/>
        <v>#N/A</v>
      </c>
      <c r="V255" t="e">
        <f ca="1"/>
        <v>#N/A</v>
      </c>
      <c r="X255" s="2">
        <f t="shared" ca="1" si="22"/>
        <v>0</v>
      </c>
      <c r="Y255">
        <f t="shared" ca="1" si="23"/>
        <v>0</v>
      </c>
      <c r="AA255" s="63" t="e">
        <f t="shared" ca="1" si="25"/>
        <v>#N/A</v>
      </c>
      <c r="AB255" s="63" t="e">
        <f t="shared" ca="1" si="26"/>
        <v>#N/A</v>
      </c>
      <c r="AC255" s="3" t="e">
        <f t="shared" ca="1" si="27"/>
        <v>#N/A</v>
      </c>
    </row>
    <row r="256" spans="8:29">
      <c r="H256" t="e">
        <f t="shared" ca="1" si="24"/>
        <v>#N/A</v>
      </c>
      <c r="I256" t="e">
        <f t="shared" ca="1" si="21"/>
        <v>#N/A</v>
      </c>
      <c r="J256" s="2" t="e">
        <f ca="1"/>
        <v>#N/A</v>
      </c>
      <c r="K256" t="e">
        <f ca="1"/>
        <v>#N/A</v>
      </c>
      <c r="L256" t="e">
        <f ca="1"/>
        <v>#N/A</v>
      </c>
      <c r="M256" t="e">
        <f ca="1"/>
        <v>#N/A</v>
      </c>
      <c r="N256" t="e">
        <f ca="1"/>
        <v>#N/A</v>
      </c>
      <c r="O256" t="e">
        <f ca="1"/>
        <v>#N/A</v>
      </c>
      <c r="P256" t="e">
        <f ca="1"/>
        <v>#N/A</v>
      </c>
      <c r="Q256" t="e">
        <f ca="1"/>
        <v>#N/A</v>
      </c>
      <c r="R256" t="e">
        <f ca="1"/>
        <v>#N/A</v>
      </c>
      <c r="S256" t="e">
        <f ca="1"/>
        <v>#N/A</v>
      </c>
      <c r="T256" t="e">
        <f ca="1"/>
        <v>#N/A</v>
      </c>
      <c r="U256" t="e">
        <f ca="1"/>
        <v>#N/A</v>
      </c>
      <c r="V256" t="e">
        <f ca="1"/>
        <v>#N/A</v>
      </c>
      <c r="X256" s="2">
        <f t="shared" ca="1" si="22"/>
        <v>0</v>
      </c>
      <c r="Y256">
        <f t="shared" ca="1" si="23"/>
        <v>0</v>
      </c>
      <c r="AA256" s="63" t="e">
        <f t="shared" ca="1" si="25"/>
        <v>#N/A</v>
      </c>
      <c r="AB256" s="63" t="e">
        <f t="shared" ca="1" si="26"/>
        <v>#N/A</v>
      </c>
      <c r="AC256" s="3" t="e">
        <f t="shared" ca="1" si="27"/>
        <v>#N/A</v>
      </c>
    </row>
    <row r="257" spans="8:29">
      <c r="H257" t="e">
        <f t="shared" ca="1" si="24"/>
        <v>#N/A</v>
      </c>
      <c r="I257" t="e">
        <f t="shared" ca="1" si="21"/>
        <v>#N/A</v>
      </c>
      <c r="J257" s="2" t="e">
        <f ca="1"/>
        <v>#N/A</v>
      </c>
      <c r="K257" t="e">
        <f ca="1"/>
        <v>#N/A</v>
      </c>
      <c r="L257" t="e">
        <f ca="1"/>
        <v>#N/A</v>
      </c>
      <c r="M257" t="e">
        <f ca="1"/>
        <v>#N/A</v>
      </c>
      <c r="N257" t="e">
        <f ca="1"/>
        <v>#N/A</v>
      </c>
      <c r="O257" t="e">
        <f ca="1"/>
        <v>#N/A</v>
      </c>
      <c r="P257" t="e">
        <f ca="1"/>
        <v>#N/A</v>
      </c>
      <c r="Q257" t="e">
        <f ca="1"/>
        <v>#N/A</v>
      </c>
      <c r="R257" t="e">
        <f ca="1"/>
        <v>#N/A</v>
      </c>
      <c r="S257" t="e">
        <f ca="1"/>
        <v>#N/A</v>
      </c>
      <c r="T257" t="e">
        <f ca="1"/>
        <v>#N/A</v>
      </c>
      <c r="U257" t="e">
        <f ca="1"/>
        <v>#N/A</v>
      </c>
      <c r="V257" t="e">
        <f ca="1"/>
        <v>#N/A</v>
      </c>
      <c r="X257" s="2">
        <f t="shared" ca="1" si="22"/>
        <v>0</v>
      </c>
      <c r="Y257">
        <f t="shared" ca="1" si="23"/>
        <v>0</v>
      </c>
      <c r="AA257" s="63" t="e">
        <f t="shared" ca="1" si="25"/>
        <v>#N/A</v>
      </c>
      <c r="AB257" s="63" t="e">
        <f t="shared" ca="1" si="26"/>
        <v>#N/A</v>
      </c>
      <c r="AC257" s="3" t="e">
        <f t="shared" ca="1" si="27"/>
        <v>#N/A</v>
      </c>
    </row>
    <row r="258" spans="8:29">
      <c r="H258" t="e">
        <f t="shared" ca="1" si="24"/>
        <v>#N/A</v>
      </c>
      <c r="I258" t="e">
        <f t="shared" ca="1" si="21"/>
        <v>#N/A</v>
      </c>
      <c r="J258" s="2" t="e">
        <f ca="1"/>
        <v>#N/A</v>
      </c>
      <c r="K258" t="e">
        <f ca="1"/>
        <v>#N/A</v>
      </c>
      <c r="L258" t="e">
        <f ca="1"/>
        <v>#N/A</v>
      </c>
      <c r="M258" t="e">
        <f ca="1"/>
        <v>#N/A</v>
      </c>
      <c r="N258" t="e">
        <f ca="1"/>
        <v>#N/A</v>
      </c>
      <c r="O258" t="e">
        <f ca="1"/>
        <v>#N/A</v>
      </c>
      <c r="P258" t="e">
        <f ca="1"/>
        <v>#N/A</v>
      </c>
      <c r="Q258" t="e">
        <f ca="1"/>
        <v>#N/A</v>
      </c>
      <c r="R258" t="e">
        <f ca="1"/>
        <v>#N/A</v>
      </c>
      <c r="S258" t="e">
        <f ca="1"/>
        <v>#N/A</v>
      </c>
      <c r="T258" t="e">
        <f ca="1"/>
        <v>#N/A</v>
      </c>
      <c r="U258" t="e">
        <f ca="1"/>
        <v>#N/A</v>
      </c>
      <c r="V258" t="e">
        <f ca="1"/>
        <v>#N/A</v>
      </c>
      <c r="X258" s="2">
        <f t="shared" ca="1" si="22"/>
        <v>0</v>
      </c>
      <c r="Y258">
        <f t="shared" ca="1" si="23"/>
        <v>0</v>
      </c>
      <c r="AA258" s="63" t="e">
        <f t="shared" ca="1" si="25"/>
        <v>#N/A</v>
      </c>
      <c r="AB258" s="63" t="e">
        <f t="shared" ca="1" si="26"/>
        <v>#N/A</v>
      </c>
      <c r="AC258" s="3" t="e">
        <f t="shared" ca="1" si="27"/>
        <v>#N/A</v>
      </c>
    </row>
    <row r="259" spans="8:29">
      <c r="H259" t="e">
        <f t="shared" ca="1" si="24"/>
        <v>#N/A</v>
      </c>
      <c r="I259" t="e">
        <f t="shared" ca="1" si="21"/>
        <v>#N/A</v>
      </c>
      <c r="J259" s="2" t="e">
        <f ca="1"/>
        <v>#N/A</v>
      </c>
      <c r="K259" t="e">
        <f ca="1"/>
        <v>#N/A</v>
      </c>
      <c r="L259" t="e">
        <f ca="1"/>
        <v>#N/A</v>
      </c>
      <c r="M259" t="e">
        <f ca="1"/>
        <v>#N/A</v>
      </c>
      <c r="N259" t="e">
        <f ca="1"/>
        <v>#N/A</v>
      </c>
      <c r="O259" t="e">
        <f ca="1"/>
        <v>#N/A</v>
      </c>
      <c r="P259" t="e">
        <f ca="1"/>
        <v>#N/A</v>
      </c>
      <c r="Q259" t="e">
        <f ca="1"/>
        <v>#N/A</v>
      </c>
      <c r="R259" t="e">
        <f ca="1"/>
        <v>#N/A</v>
      </c>
      <c r="S259" t="e">
        <f ca="1"/>
        <v>#N/A</v>
      </c>
      <c r="T259" t="e">
        <f ca="1"/>
        <v>#N/A</v>
      </c>
      <c r="U259" t="e">
        <f ca="1"/>
        <v>#N/A</v>
      </c>
      <c r="V259" t="e">
        <f ca="1"/>
        <v>#N/A</v>
      </c>
      <c r="X259" s="2">
        <f t="shared" ca="1" si="22"/>
        <v>0</v>
      </c>
      <c r="Y259">
        <f t="shared" ca="1" si="23"/>
        <v>0</v>
      </c>
      <c r="AA259" s="63" t="e">
        <f t="shared" ca="1" si="25"/>
        <v>#N/A</v>
      </c>
      <c r="AB259" s="63" t="e">
        <f t="shared" ca="1" si="26"/>
        <v>#N/A</v>
      </c>
      <c r="AC259" s="3" t="e">
        <f t="shared" ca="1" si="27"/>
        <v>#N/A</v>
      </c>
    </row>
    <row r="260" spans="8:29">
      <c r="H260" t="e">
        <f t="shared" ca="1" si="24"/>
        <v>#N/A</v>
      </c>
      <c r="I260" t="e">
        <f t="shared" ca="1" si="21"/>
        <v>#N/A</v>
      </c>
      <c r="J260" s="2" t="e">
        <f ca="1"/>
        <v>#N/A</v>
      </c>
      <c r="K260" t="e">
        <f ca="1"/>
        <v>#N/A</v>
      </c>
      <c r="L260" t="e">
        <f ca="1"/>
        <v>#N/A</v>
      </c>
      <c r="M260" t="e">
        <f ca="1"/>
        <v>#N/A</v>
      </c>
      <c r="N260" t="e">
        <f ca="1"/>
        <v>#N/A</v>
      </c>
      <c r="O260" t="e">
        <f ca="1"/>
        <v>#N/A</v>
      </c>
      <c r="P260" t="e">
        <f ca="1"/>
        <v>#N/A</v>
      </c>
      <c r="Q260" t="e">
        <f ca="1"/>
        <v>#N/A</v>
      </c>
      <c r="R260" t="e">
        <f ca="1"/>
        <v>#N/A</v>
      </c>
      <c r="S260" t="e">
        <f ca="1"/>
        <v>#N/A</v>
      </c>
      <c r="T260" t="e">
        <f ca="1"/>
        <v>#N/A</v>
      </c>
      <c r="U260" t="e">
        <f ca="1"/>
        <v>#N/A</v>
      </c>
      <c r="V260" t="e">
        <f ca="1"/>
        <v>#N/A</v>
      </c>
      <c r="X260" s="2">
        <f t="shared" ca="1" si="22"/>
        <v>0</v>
      </c>
      <c r="Y260">
        <f t="shared" ca="1" si="23"/>
        <v>0</v>
      </c>
      <c r="AA260" s="63" t="e">
        <f t="shared" ca="1" si="25"/>
        <v>#N/A</v>
      </c>
      <c r="AB260" s="63" t="e">
        <f t="shared" ca="1" si="26"/>
        <v>#N/A</v>
      </c>
      <c r="AC260" s="3" t="e">
        <f t="shared" ca="1" si="27"/>
        <v>#N/A</v>
      </c>
    </row>
    <row r="261" spans="8:29">
      <c r="H261" t="e">
        <f t="shared" ca="1" si="24"/>
        <v>#N/A</v>
      </c>
      <c r="I261" t="e">
        <f t="shared" ca="1" si="21"/>
        <v>#N/A</v>
      </c>
      <c r="J261" s="2" t="e">
        <f ca="1"/>
        <v>#N/A</v>
      </c>
      <c r="K261" t="e">
        <f ca="1"/>
        <v>#N/A</v>
      </c>
      <c r="L261" t="e">
        <f ca="1"/>
        <v>#N/A</v>
      </c>
      <c r="M261" t="e">
        <f ca="1"/>
        <v>#N/A</v>
      </c>
      <c r="N261" t="e">
        <f ca="1"/>
        <v>#N/A</v>
      </c>
      <c r="O261" t="e">
        <f ca="1"/>
        <v>#N/A</v>
      </c>
      <c r="P261" t="e">
        <f ca="1"/>
        <v>#N/A</v>
      </c>
      <c r="Q261" t="e">
        <f ca="1"/>
        <v>#N/A</v>
      </c>
      <c r="R261" t="e">
        <f ca="1"/>
        <v>#N/A</v>
      </c>
      <c r="S261" t="e">
        <f ca="1"/>
        <v>#N/A</v>
      </c>
      <c r="T261" t="e">
        <f ca="1"/>
        <v>#N/A</v>
      </c>
      <c r="U261" t="e">
        <f ca="1"/>
        <v>#N/A</v>
      </c>
      <c r="V261" t="e">
        <f ca="1"/>
        <v>#N/A</v>
      </c>
      <c r="X261" s="2">
        <f t="shared" ca="1" si="22"/>
        <v>0</v>
      </c>
      <c r="Y261">
        <f t="shared" ca="1" si="23"/>
        <v>0</v>
      </c>
      <c r="AA261" s="63" t="e">
        <f t="shared" ca="1" si="25"/>
        <v>#N/A</v>
      </c>
      <c r="AB261" s="63" t="e">
        <f t="shared" ca="1" si="26"/>
        <v>#N/A</v>
      </c>
      <c r="AC261" s="3" t="e">
        <f t="shared" ca="1" si="27"/>
        <v>#N/A</v>
      </c>
    </row>
    <row r="262" spans="8:29">
      <c r="H262" t="e">
        <f t="shared" ca="1" si="24"/>
        <v>#N/A</v>
      </c>
      <c r="I262" t="e">
        <f t="shared" ca="1" si="21"/>
        <v>#N/A</v>
      </c>
      <c r="J262" s="2" t="e">
        <f ca="1"/>
        <v>#N/A</v>
      </c>
      <c r="K262" t="e">
        <f ca="1"/>
        <v>#N/A</v>
      </c>
      <c r="L262" t="e">
        <f ca="1"/>
        <v>#N/A</v>
      </c>
      <c r="M262" t="e">
        <f ca="1"/>
        <v>#N/A</v>
      </c>
      <c r="N262" t="e">
        <f ca="1"/>
        <v>#N/A</v>
      </c>
      <c r="O262" t="e">
        <f ca="1"/>
        <v>#N/A</v>
      </c>
      <c r="P262" t="e">
        <f ca="1"/>
        <v>#N/A</v>
      </c>
      <c r="Q262" t="e">
        <f ca="1"/>
        <v>#N/A</v>
      </c>
      <c r="R262" t="e">
        <f ca="1"/>
        <v>#N/A</v>
      </c>
      <c r="S262" t="e">
        <f ca="1"/>
        <v>#N/A</v>
      </c>
      <c r="T262" t="e">
        <f ca="1"/>
        <v>#N/A</v>
      </c>
      <c r="U262" t="e">
        <f ca="1"/>
        <v>#N/A</v>
      </c>
      <c r="V262" t="e">
        <f ca="1"/>
        <v>#N/A</v>
      </c>
      <c r="X262" s="2">
        <f t="shared" ca="1" si="22"/>
        <v>0</v>
      </c>
      <c r="Y262">
        <f t="shared" ca="1" si="23"/>
        <v>0</v>
      </c>
      <c r="AA262" s="63" t="e">
        <f t="shared" ca="1" si="25"/>
        <v>#N/A</v>
      </c>
      <c r="AB262" s="63" t="e">
        <f t="shared" ca="1" si="26"/>
        <v>#N/A</v>
      </c>
      <c r="AC262" s="3" t="e">
        <f t="shared" ca="1" si="27"/>
        <v>#N/A</v>
      </c>
    </row>
    <row r="263" spans="8:29">
      <c r="H263" t="e">
        <f t="shared" ca="1" si="24"/>
        <v>#N/A</v>
      </c>
      <c r="I263" t="e">
        <f t="shared" ref="I263:I326" ca="1" si="28">AND(IF(J263&gt;($J$3-1),TRUE,FALSE),IF(J263&lt;($J$4+1),TRUE,FALSE))</f>
        <v>#N/A</v>
      </c>
      <c r="J263" s="2" t="e">
        <f ca="1"/>
        <v>#N/A</v>
      </c>
      <c r="K263" t="e">
        <f ca="1"/>
        <v>#N/A</v>
      </c>
      <c r="L263" t="e">
        <f ca="1"/>
        <v>#N/A</v>
      </c>
      <c r="M263" t="e">
        <f ca="1"/>
        <v>#N/A</v>
      </c>
      <c r="N263" t="e">
        <f ca="1"/>
        <v>#N/A</v>
      </c>
      <c r="O263" t="e">
        <f ca="1"/>
        <v>#N/A</v>
      </c>
      <c r="P263" t="e">
        <f ca="1"/>
        <v>#N/A</v>
      </c>
      <c r="Q263" t="e">
        <f ca="1"/>
        <v>#N/A</v>
      </c>
      <c r="R263" t="e">
        <f ca="1"/>
        <v>#N/A</v>
      </c>
      <c r="S263" t="e">
        <f ca="1"/>
        <v>#N/A</v>
      </c>
      <c r="T263" t="e">
        <f ca="1"/>
        <v>#N/A</v>
      </c>
      <c r="U263" t="e">
        <f ca="1"/>
        <v>#N/A</v>
      </c>
      <c r="V263" t="e">
        <f ca="1"/>
        <v>#N/A</v>
      </c>
      <c r="X263" s="2">
        <f t="shared" ref="X263:X326" ca="1" si="29">IFERROR(J263,$X$5)</f>
        <v>0</v>
      </c>
      <c r="Y263">
        <f t="shared" ref="Y263:Y326" ca="1" si="30">IFERROR(O263,0)</f>
        <v>0</v>
      </c>
      <c r="AA263" s="63" t="e">
        <f t="shared" ca="1" si="25"/>
        <v>#N/A</v>
      </c>
      <c r="AB263" s="63" t="e">
        <f t="shared" ca="1" si="26"/>
        <v>#N/A</v>
      </c>
      <c r="AC263" s="3" t="e">
        <f t="shared" ca="1" si="27"/>
        <v>#N/A</v>
      </c>
    </row>
    <row r="264" spans="8:29">
      <c r="H264" t="e">
        <f t="shared" ref="H264:H327" ca="1" si="31">IF(J264&lt;$J$4,TRUE,FALSE)</f>
        <v>#N/A</v>
      </c>
      <c r="I264" t="e">
        <f t="shared" ca="1" si="28"/>
        <v>#N/A</v>
      </c>
      <c r="J264" s="2" t="e">
        <f ca="1"/>
        <v>#N/A</v>
      </c>
      <c r="K264" t="e">
        <f ca="1"/>
        <v>#N/A</v>
      </c>
      <c r="L264" t="e">
        <f ca="1"/>
        <v>#N/A</v>
      </c>
      <c r="M264" t="e">
        <f ca="1"/>
        <v>#N/A</v>
      </c>
      <c r="N264" t="e">
        <f ca="1"/>
        <v>#N/A</v>
      </c>
      <c r="O264" t="e">
        <f ca="1"/>
        <v>#N/A</v>
      </c>
      <c r="P264" t="e">
        <f ca="1"/>
        <v>#N/A</v>
      </c>
      <c r="Q264" t="e">
        <f ca="1"/>
        <v>#N/A</v>
      </c>
      <c r="R264" t="e">
        <f ca="1"/>
        <v>#N/A</v>
      </c>
      <c r="S264" t="e">
        <f ca="1"/>
        <v>#N/A</v>
      </c>
      <c r="T264" t="e">
        <f ca="1"/>
        <v>#N/A</v>
      </c>
      <c r="U264" t="e">
        <f ca="1"/>
        <v>#N/A</v>
      </c>
      <c r="V264" t="e">
        <f ca="1"/>
        <v>#N/A</v>
      </c>
      <c r="X264" s="2">
        <f t="shared" ca="1" si="29"/>
        <v>0</v>
      </c>
      <c r="Y264">
        <f t="shared" ca="1" si="30"/>
        <v>0</v>
      </c>
      <c r="AA264" s="63" t="e">
        <f t="shared" ca="1" si="25"/>
        <v>#N/A</v>
      </c>
      <c r="AB264" s="63" t="e">
        <f t="shared" ca="1" si="26"/>
        <v>#N/A</v>
      </c>
      <c r="AC264" s="3" t="e">
        <f t="shared" ca="1" si="27"/>
        <v>#N/A</v>
      </c>
    </row>
    <row r="265" spans="8:29">
      <c r="H265" t="e">
        <f t="shared" ca="1" si="31"/>
        <v>#N/A</v>
      </c>
      <c r="I265" t="e">
        <f t="shared" ca="1" si="28"/>
        <v>#N/A</v>
      </c>
      <c r="J265" s="2" t="e">
        <f ca="1"/>
        <v>#N/A</v>
      </c>
      <c r="K265" t="e">
        <f ca="1"/>
        <v>#N/A</v>
      </c>
      <c r="L265" t="e">
        <f ca="1"/>
        <v>#N/A</v>
      </c>
      <c r="M265" t="e">
        <f ca="1"/>
        <v>#N/A</v>
      </c>
      <c r="N265" t="e">
        <f ca="1"/>
        <v>#N/A</v>
      </c>
      <c r="O265" t="e">
        <f ca="1"/>
        <v>#N/A</v>
      </c>
      <c r="P265" t="e">
        <f ca="1"/>
        <v>#N/A</v>
      </c>
      <c r="Q265" t="e">
        <f ca="1"/>
        <v>#N/A</v>
      </c>
      <c r="R265" t="e">
        <f ca="1"/>
        <v>#N/A</v>
      </c>
      <c r="S265" t="e">
        <f ca="1"/>
        <v>#N/A</v>
      </c>
      <c r="T265" t="e">
        <f ca="1"/>
        <v>#N/A</v>
      </c>
      <c r="U265" t="e">
        <f ca="1"/>
        <v>#N/A</v>
      </c>
      <c r="V265" t="e">
        <f ca="1"/>
        <v>#N/A</v>
      </c>
      <c r="X265" s="2">
        <f t="shared" ca="1" si="29"/>
        <v>0</v>
      </c>
      <c r="Y265">
        <f t="shared" ca="1" si="30"/>
        <v>0</v>
      </c>
      <c r="AA265" s="63" t="e">
        <f t="shared" ca="1" si="25"/>
        <v>#N/A</v>
      </c>
      <c r="AB265" s="63" t="e">
        <f t="shared" ca="1" si="26"/>
        <v>#N/A</v>
      </c>
      <c r="AC265" s="3" t="e">
        <f t="shared" ca="1" si="27"/>
        <v>#N/A</v>
      </c>
    </row>
    <row r="266" spans="8:29">
      <c r="H266" t="e">
        <f t="shared" ca="1" si="31"/>
        <v>#N/A</v>
      </c>
      <c r="I266" t="e">
        <f t="shared" ca="1" si="28"/>
        <v>#N/A</v>
      </c>
      <c r="J266" s="2" t="e">
        <f ca="1"/>
        <v>#N/A</v>
      </c>
      <c r="K266" t="e">
        <f ca="1"/>
        <v>#N/A</v>
      </c>
      <c r="L266" t="e">
        <f ca="1"/>
        <v>#N/A</v>
      </c>
      <c r="M266" t="e">
        <f ca="1"/>
        <v>#N/A</v>
      </c>
      <c r="N266" t="e">
        <f ca="1"/>
        <v>#N/A</v>
      </c>
      <c r="O266" t="e">
        <f ca="1"/>
        <v>#N/A</v>
      </c>
      <c r="P266" t="e">
        <f ca="1"/>
        <v>#N/A</v>
      </c>
      <c r="Q266" t="e">
        <f ca="1"/>
        <v>#N/A</v>
      </c>
      <c r="R266" t="e">
        <f ca="1"/>
        <v>#N/A</v>
      </c>
      <c r="S266" t="e">
        <f ca="1"/>
        <v>#N/A</v>
      </c>
      <c r="T266" t="e">
        <f ca="1"/>
        <v>#N/A</v>
      </c>
      <c r="U266" t="e">
        <f ca="1"/>
        <v>#N/A</v>
      </c>
      <c r="V266" t="e">
        <f ca="1"/>
        <v>#N/A</v>
      </c>
      <c r="X266" s="2">
        <f t="shared" ca="1" si="29"/>
        <v>0</v>
      </c>
      <c r="Y266">
        <f t="shared" ca="1" si="30"/>
        <v>0</v>
      </c>
      <c r="AA266" s="63" t="e">
        <f t="shared" ca="1" si="25"/>
        <v>#N/A</v>
      </c>
      <c r="AB266" s="63" t="e">
        <f t="shared" ca="1" si="26"/>
        <v>#N/A</v>
      </c>
      <c r="AC266" s="3" t="e">
        <f t="shared" ca="1" si="27"/>
        <v>#N/A</v>
      </c>
    </row>
    <row r="267" spans="8:29">
      <c r="H267" t="e">
        <f t="shared" ca="1" si="31"/>
        <v>#N/A</v>
      </c>
      <c r="I267" t="e">
        <f t="shared" ca="1" si="28"/>
        <v>#N/A</v>
      </c>
      <c r="J267" s="2" t="e">
        <f ca="1"/>
        <v>#N/A</v>
      </c>
      <c r="K267" t="e">
        <f ca="1"/>
        <v>#N/A</v>
      </c>
      <c r="L267" t="e">
        <f ca="1"/>
        <v>#N/A</v>
      </c>
      <c r="M267" t="e">
        <f ca="1"/>
        <v>#N/A</v>
      </c>
      <c r="N267" t="e">
        <f ca="1"/>
        <v>#N/A</v>
      </c>
      <c r="O267" t="e">
        <f ca="1"/>
        <v>#N/A</v>
      </c>
      <c r="P267" t="e">
        <f ca="1"/>
        <v>#N/A</v>
      </c>
      <c r="Q267" t="e">
        <f ca="1"/>
        <v>#N/A</v>
      </c>
      <c r="R267" t="e">
        <f ca="1"/>
        <v>#N/A</v>
      </c>
      <c r="S267" t="e">
        <f ca="1"/>
        <v>#N/A</v>
      </c>
      <c r="T267" t="e">
        <f ca="1"/>
        <v>#N/A</v>
      </c>
      <c r="U267" t="e">
        <f ca="1"/>
        <v>#N/A</v>
      </c>
      <c r="V267" t="e">
        <f ca="1"/>
        <v>#N/A</v>
      </c>
      <c r="X267" s="2">
        <f t="shared" ca="1" si="29"/>
        <v>0</v>
      </c>
      <c r="Y267">
        <f t="shared" ca="1" si="30"/>
        <v>0</v>
      </c>
      <c r="AA267" s="63" t="e">
        <f t="shared" ca="1" si="25"/>
        <v>#N/A</v>
      </c>
      <c r="AB267" s="63" t="e">
        <f t="shared" ca="1" si="26"/>
        <v>#N/A</v>
      </c>
      <c r="AC267" s="3" t="e">
        <f t="shared" ca="1" si="27"/>
        <v>#N/A</v>
      </c>
    </row>
    <row r="268" spans="8:29">
      <c r="H268" t="e">
        <f t="shared" ca="1" si="31"/>
        <v>#N/A</v>
      </c>
      <c r="I268" t="e">
        <f t="shared" ca="1" si="28"/>
        <v>#N/A</v>
      </c>
      <c r="J268" s="2" t="e">
        <f ca="1"/>
        <v>#N/A</v>
      </c>
      <c r="K268" t="e">
        <f ca="1"/>
        <v>#N/A</v>
      </c>
      <c r="L268" t="e">
        <f ca="1"/>
        <v>#N/A</v>
      </c>
      <c r="M268" t="e">
        <f ca="1"/>
        <v>#N/A</v>
      </c>
      <c r="N268" t="e">
        <f ca="1"/>
        <v>#N/A</v>
      </c>
      <c r="O268" t="e">
        <f ca="1"/>
        <v>#N/A</v>
      </c>
      <c r="P268" t="e">
        <f ca="1"/>
        <v>#N/A</v>
      </c>
      <c r="Q268" t="e">
        <f ca="1"/>
        <v>#N/A</v>
      </c>
      <c r="R268" t="e">
        <f ca="1"/>
        <v>#N/A</v>
      </c>
      <c r="S268" t="e">
        <f ca="1"/>
        <v>#N/A</v>
      </c>
      <c r="T268" t="e">
        <f ca="1"/>
        <v>#N/A</v>
      </c>
      <c r="U268" t="e">
        <f ca="1"/>
        <v>#N/A</v>
      </c>
      <c r="V268" t="e">
        <f ca="1"/>
        <v>#N/A</v>
      </c>
      <c r="X268" s="2">
        <f t="shared" ca="1" si="29"/>
        <v>0</v>
      </c>
      <c r="Y268">
        <f t="shared" ca="1" si="30"/>
        <v>0</v>
      </c>
      <c r="AA268" s="63" t="e">
        <f t="shared" ref="AA268:AA331" ca="1" si="32">K267+M268+N268+O268</f>
        <v>#N/A</v>
      </c>
      <c r="AB268" s="63" t="e">
        <f t="shared" ref="AB268:AB331" ca="1" si="33">K268+L268+R268</f>
        <v>#N/A</v>
      </c>
      <c r="AC268" s="3" t="e">
        <f t="shared" ref="AC268:AC331" ca="1" si="34">AB268-AA268</f>
        <v>#N/A</v>
      </c>
    </row>
    <row r="269" spans="8:29">
      <c r="H269" t="e">
        <f t="shared" ca="1" si="31"/>
        <v>#N/A</v>
      </c>
      <c r="I269" t="e">
        <f t="shared" ca="1" si="28"/>
        <v>#N/A</v>
      </c>
      <c r="J269" s="2" t="e">
        <f ca="1"/>
        <v>#N/A</v>
      </c>
      <c r="K269" t="e">
        <f ca="1"/>
        <v>#N/A</v>
      </c>
      <c r="L269" t="e">
        <f ca="1"/>
        <v>#N/A</v>
      </c>
      <c r="M269" t="e">
        <f ca="1"/>
        <v>#N/A</v>
      </c>
      <c r="N269" t="e">
        <f ca="1"/>
        <v>#N/A</v>
      </c>
      <c r="O269" t="e">
        <f ca="1"/>
        <v>#N/A</v>
      </c>
      <c r="P269" t="e">
        <f ca="1"/>
        <v>#N/A</v>
      </c>
      <c r="Q269" t="e">
        <f ca="1"/>
        <v>#N/A</v>
      </c>
      <c r="R269" t="e">
        <f ca="1"/>
        <v>#N/A</v>
      </c>
      <c r="S269" t="e">
        <f ca="1"/>
        <v>#N/A</v>
      </c>
      <c r="T269" t="e">
        <f ca="1"/>
        <v>#N/A</v>
      </c>
      <c r="U269" t="e">
        <f ca="1"/>
        <v>#N/A</v>
      </c>
      <c r="V269" t="e">
        <f ca="1"/>
        <v>#N/A</v>
      </c>
      <c r="X269" s="2">
        <f t="shared" ca="1" si="29"/>
        <v>0</v>
      </c>
      <c r="Y269">
        <f t="shared" ca="1" si="30"/>
        <v>0</v>
      </c>
      <c r="AA269" s="63" t="e">
        <f t="shared" ca="1" si="32"/>
        <v>#N/A</v>
      </c>
      <c r="AB269" s="63" t="e">
        <f t="shared" ca="1" si="33"/>
        <v>#N/A</v>
      </c>
      <c r="AC269" s="3" t="e">
        <f t="shared" ca="1" si="34"/>
        <v>#N/A</v>
      </c>
    </row>
    <row r="270" spans="8:29">
      <c r="H270" t="e">
        <f t="shared" ca="1" si="31"/>
        <v>#N/A</v>
      </c>
      <c r="I270" t="e">
        <f t="shared" ca="1" si="28"/>
        <v>#N/A</v>
      </c>
      <c r="J270" s="2" t="e">
        <f ca="1"/>
        <v>#N/A</v>
      </c>
      <c r="K270" t="e">
        <f ca="1"/>
        <v>#N/A</v>
      </c>
      <c r="L270" t="e">
        <f ca="1"/>
        <v>#N/A</v>
      </c>
      <c r="M270" t="e">
        <f ca="1"/>
        <v>#N/A</v>
      </c>
      <c r="N270" t="e">
        <f ca="1"/>
        <v>#N/A</v>
      </c>
      <c r="O270" t="e">
        <f ca="1"/>
        <v>#N/A</v>
      </c>
      <c r="P270" t="e">
        <f ca="1"/>
        <v>#N/A</v>
      </c>
      <c r="Q270" t="e">
        <f ca="1"/>
        <v>#N/A</v>
      </c>
      <c r="R270" t="e">
        <f ca="1"/>
        <v>#N/A</v>
      </c>
      <c r="S270" t="e">
        <f ca="1"/>
        <v>#N/A</v>
      </c>
      <c r="T270" t="e">
        <f ca="1"/>
        <v>#N/A</v>
      </c>
      <c r="U270" t="e">
        <f ca="1"/>
        <v>#N/A</v>
      </c>
      <c r="V270" t="e">
        <f ca="1"/>
        <v>#N/A</v>
      </c>
      <c r="X270" s="2">
        <f t="shared" ca="1" si="29"/>
        <v>0</v>
      </c>
      <c r="Y270">
        <f t="shared" ca="1" si="30"/>
        <v>0</v>
      </c>
      <c r="AA270" s="63" t="e">
        <f t="shared" ca="1" si="32"/>
        <v>#N/A</v>
      </c>
      <c r="AB270" s="63" t="e">
        <f t="shared" ca="1" si="33"/>
        <v>#N/A</v>
      </c>
      <c r="AC270" s="3" t="e">
        <f t="shared" ca="1" si="34"/>
        <v>#N/A</v>
      </c>
    </row>
    <row r="271" spans="8:29">
      <c r="H271" t="e">
        <f t="shared" ca="1" si="31"/>
        <v>#N/A</v>
      </c>
      <c r="I271" t="e">
        <f t="shared" ca="1" si="28"/>
        <v>#N/A</v>
      </c>
      <c r="J271" s="2" t="e">
        <f ca="1"/>
        <v>#N/A</v>
      </c>
      <c r="K271" t="e">
        <f ca="1"/>
        <v>#N/A</v>
      </c>
      <c r="L271" t="e">
        <f ca="1"/>
        <v>#N/A</v>
      </c>
      <c r="M271" t="e">
        <f ca="1"/>
        <v>#N/A</v>
      </c>
      <c r="N271" t="e">
        <f ca="1"/>
        <v>#N/A</v>
      </c>
      <c r="O271" t="e">
        <f ca="1"/>
        <v>#N/A</v>
      </c>
      <c r="P271" t="e">
        <f ca="1"/>
        <v>#N/A</v>
      </c>
      <c r="Q271" t="e">
        <f ca="1"/>
        <v>#N/A</v>
      </c>
      <c r="R271" t="e">
        <f ca="1"/>
        <v>#N/A</v>
      </c>
      <c r="S271" t="e">
        <f ca="1"/>
        <v>#N/A</v>
      </c>
      <c r="T271" t="e">
        <f ca="1"/>
        <v>#N/A</v>
      </c>
      <c r="U271" t="e">
        <f ca="1"/>
        <v>#N/A</v>
      </c>
      <c r="V271" t="e">
        <f ca="1"/>
        <v>#N/A</v>
      </c>
      <c r="X271" s="2">
        <f t="shared" ca="1" si="29"/>
        <v>0</v>
      </c>
      <c r="Y271">
        <f t="shared" ca="1" si="30"/>
        <v>0</v>
      </c>
      <c r="AA271" s="63" t="e">
        <f t="shared" ca="1" si="32"/>
        <v>#N/A</v>
      </c>
      <c r="AB271" s="63" t="e">
        <f t="shared" ca="1" si="33"/>
        <v>#N/A</v>
      </c>
      <c r="AC271" s="3" t="e">
        <f t="shared" ca="1" si="34"/>
        <v>#N/A</v>
      </c>
    </row>
    <row r="272" spans="8:29">
      <c r="H272" t="e">
        <f t="shared" ca="1" si="31"/>
        <v>#N/A</v>
      </c>
      <c r="I272" t="e">
        <f t="shared" ca="1" si="28"/>
        <v>#N/A</v>
      </c>
      <c r="J272" s="2" t="e">
        <f ca="1"/>
        <v>#N/A</v>
      </c>
      <c r="K272" t="e">
        <f ca="1"/>
        <v>#N/A</v>
      </c>
      <c r="L272" t="e">
        <f ca="1"/>
        <v>#N/A</v>
      </c>
      <c r="M272" t="e">
        <f ca="1"/>
        <v>#N/A</v>
      </c>
      <c r="N272" t="e">
        <f ca="1"/>
        <v>#N/A</v>
      </c>
      <c r="O272" t="e">
        <f ca="1"/>
        <v>#N/A</v>
      </c>
      <c r="P272" t="e">
        <f ca="1"/>
        <v>#N/A</v>
      </c>
      <c r="Q272" t="e">
        <f ca="1"/>
        <v>#N/A</v>
      </c>
      <c r="R272" t="e">
        <f ca="1"/>
        <v>#N/A</v>
      </c>
      <c r="S272" t="e">
        <f ca="1"/>
        <v>#N/A</v>
      </c>
      <c r="T272" t="e">
        <f ca="1"/>
        <v>#N/A</v>
      </c>
      <c r="U272" t="e">
        <f ca="1"/>
        <v>#N/A</v>
      </c>
      <c r="V272" t="e">
        <f ca="1"/>
        <v>#N/A</v>
      </c>
      <c r="X272" s="2">
        <f t="shared" ca="1" si="29"/>
        <v>0</v>
      </c>
      <c r="Y272">
        <f t="shared" ca="1" si="30"/>
        <v>0</v>
      </c>
      <c r="AA272" s="63" t="e">
        <f t="shared" ca="1" si="32"/>
        <v>#N/A</v>
      </c>
      <c r="AB272" s="63" t="e">
        <f t="shared" ca="1" si="33"/>
        <v>#N/A</v>
      </c>
      <c r="AC272" s="3" t="e">
        <f t="shared" ca="1" si="34"/>
        <v>#N/A</v>
      </c>
    </row>
    <row r="273" spans="8:29">
      <c r="H273" t="e">
        <f t="shared" ca="1" si="31"/>
        <v>#N/A</v>
      </c>
      <c r="I273" t="e">
        <f t="shared" ca="1" si="28"/>
        <v>#N/A</v>
      </c>
      <c r="J273" s="2" t="e">
        <f ca="1"/>
        <v>#N/A</v>
      </c>
      <c r="K273" t="e">
        <f ca="1"/>
        <v>#N/A</v>
      </c>
      <c r="L273" t="e">
        <f ca="1"/>
        <v>#N/A</v>
      </c>
      <c r="M273" t="e">
        <f ca="1"/>
        <v>#N/A</v>
      </c>
      <c r="N273" t="e">
        <f ca="1"/>
        <v>#N/A</v>
      </c>
      <c r="O273" t="e">
        <f ca="1"/>
        <v>#N/A</v>
      </c>
      <c r="P273" t="e">
        <f ca="1"/>
        <v>#N/A</v>
      </c>
      <c r="Q273" t="e">
        <f ca="1"/>
        <v>#N/A</v>
      </c>
      <c r="R273" t="e">
        <f ca="1"/>
        <v>#N/A</v>
      </c>
      <c r="S273" t="e">
        <f ca="1"/>
        <v>#N/A</v>
      </c>
      <c r="T273" t="e">
        <f ca="1"/>
        <v>#N/A</v>
      </c>
      <c r="U273" t="e">
        <f ca="1"/>
        <v>#N/A</v>
      </c>
      <c r="V273" t="e">
        <f ca="1"/>
        <v>#N/A</v>
      </c>
      <c r="X273" s="2">
        <f t="shared" ca="1" si="29"/>
        <v>0</v>
      </c>
      <c r="Y273">
        <f t="shared" ca="1" si="30"/>
        <v>0</v>
      </c>
      <c r="AA273" s="63" t="e">
        <f t="shared" ca="1" si="32"/>
        <v>#N/A</v>
      </c>
      <c r="AB273" s="63" t="e">
        <f t="shared" ca="1" si="33"/>
        <v>#N/A</v>
      </c>
      <c r="AC273" s="3" t="e">
        <f t="shared" ca="1" si="34"/>
        <v>#N/A</v>
      </c>
    </row>
    <row r="274" spans="8:29">
      <c r="H274" t="e">
        <f t="shared" ca="1" si="31"/>
        <v>#N/A</v>
      </c>
      <c r="I274" t="e">
        <f t="shared" ca="1" si="28"/>
        <v>#N/A</v>
      </c>
      <c r="J274" s="2" t="e">
        <f ca="1"/>
        <v>#N/A</v>
      </c>
      <c r="K274" t="e">
        <f ca="1"/>
        <v>#N/A</v>
      </c>
      <c r="L274" t="e">
        <f ca="1"/>
        <v>#N/A</v>
      </c>
      <c r="M274" t="e">
        <f ca="1"/>
        <v>#N/A</v>
      </c>
      <c r="N274" t="e">
        <f ca="1"/>
        <v>#N/A</v>
      </c>
      <c r="O274" t="e">
        <f ca="1"/>
        <v>#N/A</v>
      </c>
      <c r="P274" t="e">
        <f ca="1"/>
        <v>#N/A</v>
      </c>
      <c r="Q274" t="e">
        <f ca="1"/>
        <v>#N/A</v>
      </c>
      <c r="R274" t="e">
        <f ca="1"/>
        <v>#N/A</v>
      </c>
      <c r="S274" t="e">
        <f ca="1"/>
        <v>#N/A</v>
      </c>
      <c r="T274" t="e">
        <f ca="1"/>
        <v>#N/A</v>
      </c>
      <c r="U274" t="e">
        <f ca="1"/>
        <v>#N/A</v>
      </c>
      <c r="V274" t="e">
        <f ca="1"/>
        <v>#N/A</v>
      </c>
      <c r="X274" s="2">
        <f t="shared" ca="1" si="29"/>
        <v>0</v>
      </c>
      <c r="Y274">
        <f t="shared" ca="1" si="30"/>
        <v>0</v>
      </c>
      <c r="AA274" s="63" t="e">
        <f t="shared" ca="1" si="32"/>
        <v>#N/A</v>
      </c>
      <c r="AB274" s="63" t="e">
        <f t="shared" ca="1" si="33"/>
        <v>#N/A</v>
      </c>
      <c r="AC274" s="3" t="e">
        <f t="shared" ca="1" si="34"/>
        <v>#N/A</v>
      </c>
    </row>
    <row r="275" spans="8:29">
      <c r="H275" t="e">
        <f t="shared" ca="1" si="31"/>
        <v>#N/A</v>
      </c>
      <c r="I275" t="e">
        <f t="shared" ca="1" si="28"/>
        <v>#N/A</v>
      </c>
      <c r="J275" s="2" t="e">
        <f ca="1"/>
        <v>#N/A</v>
      </c>
      <c r="K275" t="e">
        <f ca="1"/>
        <v>#N/A</v>
      </c>
      <c r="L275" t="e">
        <f ca="1"/>
        <v>#N/A</v>
      </c>
      <c r="M275" t="e">
        <f ca="1"/>
        <v>#N/A</v>
      </c>
      <c r="N275" t="e">
        <f ca="1"/>
        <v>#N/A</v>
      </c>
      <c r="O275" t="e">
        <f ca="1"/>
        <v>#N/A</v>
      </c>
      <c r="P275" t="e">
        <f ca="1"/>
        <v>#N/A</v>
      </c>
      <c r="Q275" t="e">
        <f ca="1"/>
        <v>#N/A</v>
      </c>
      <c r="R275" t="e">
        <f ca="1"/>
        <v>#N/A</v>
      </c>
      <c r="S275" t="e">
        <f ca="1"/>
        <v>#N/A</v>
      </c>
      <c r="T275" t="e">
        <f ca="1"/>
        <v>#N/A</v>
      </c>
      <c r="U275" t="e">
        <f ca="1"/>
        <v>#N/A</v>
      </c>
      <c r="V275" t="e">
        <f ca="1"/>
        <v>#N/A</v>
      </c>
      <c r="X275" s="2">
        <f t="shared" ca="1" si="29"/>
        <v>0</v>
      </c>
      <c r="Y275">
        <f t="shared" ca="1" si="30"/>
        <v>0</v>
      </c>
      <c r="AA275" s="63" t="e">
        <f t="shared" ca="1" si="32"/>
        <v>#N/A</v>
      </c>
      <c r="AB275" s="63" t="e">
        <f t="shared" ca="1" si="33"/>
        <v>#N/A</v>
      </c>
      <c r="AC275" s="3" t="e">
        <f t="shared" ca="1" si="34"/>
        <v>#N/A</v>
      </c>
    </row>
    <row r="276" spans="8:29">
      <c r="H276" t="e">
        <f t="shared" ca="1" si="31"/>
        <v>#N/A</v>
      </c>
      <c r="I276" t="e">
        <f t="shared" ca="1" si="28"/>
        <v>#N/A</v>
      </c>
      <c r="J276" s="2" t="e">
        <f ca="1"/>
        <v>#N/A</v>
      </c>
      <c r="K276" t="e">
        <f ca="1"/>
        <v>#N/A</v>
      </c>
      <c r="L276" t="e">
        <f ca="1"/>
        <v>#N/A</v>
      </c>
      <c r="M276" t="e">
        <f ca="1"/>
        <v>#N/A</v>
      </c>
      <c r="N276" t="e">
        <f ca="1"/>
        <v>#N/A</v>
      </c>
      <c r="O276" t="e">
        <f ca="1"/>
        <v>#N/A</v>
      </c>
      <c r="P276" t="e">
        <f ca="1"/>
        <v>#N/A</v>
      </c>
      <c r="Q276" t="e">
        <f ca="1"/>
        <v>#N/A</v>
      </c>
      <c r="R276" t="e">
        <f ca="1"/>
        <v>#N/A</v>
      </c>
      <c r="S276" t="e">
        <f ca="1"/>
        <v>#N/A</v>
      </c>
      <c r="T276" t="e">
        <f ca="1"/>
        <v>#N/A</v>
      </c>
      <c r="U276" t="e">
        <f ca="1"/>
        <v>#N/A</v>
      </c>
      <c r="V276" t="e">
        <f ca="1"/>
        <v>#N/A</v>
      </c>
      <c r="X276" s="2">
        <f t="shared" ca="1" si="29"/>
        <v>0</v>
      </c>
      <c r="Y276">
        <f t="shared" ca="1" si="30"/>
        <v>0</v>
      </c>
      <c r="AA276" s="63" t="e">
        <f t="shared" ca="1" si="32"/>
        <v>#N/A</v>
      </c>
      <c r="AB276" s="63" t="e">
        <f t="shared" ca="1" si="33"/>
        <v>#N/A</v>
      </c>
      <c r="AC276" s="3" t="e">
        <f t="shared" ca="1" si="34"/>
        <v>#N/A</v>
      </c>
    </row>
    <row r="277" spans="8:29">
      <c r="H277" t="e">
        <f t="shared" ca="1" si="31"/>
        <v>#N/A</v>
      </c>
      <c r="I277" t="e">
        <f t="shared" ca="1" si="28"/>
        <v>#N/A</v>
      </c>
      <c r="J277" s="2" t="e">
        <f ca="1"/>
        <v>#N/A</v>
      </c>
      <c r="K277" t="e">
        <f ca="1"/>
        <v>#N/A</v>
      </c>
      <c r="L277" t="e">
        <f ca="1"/>
        <v>#N/A</v>
      </c>
      <c r="M277" t="e">
        <f ca="1"/>
        <v>#N/A</v>
      </c>
      <c r="N277" t="e">
        <f ca="1"/>
        <v>#N/A</v>
      </c>
      <c r="O277" t="e">
        <f ca="1"/>
        <v>#N/A</v>
      </c>
      <c r="P277" t="e">
        <f ca="1"/>
        <v>#N/A</v>
      </c>
      <c r="Q277" t="e">
        <f ca="1"/>
        <v>#N/A</v>
      </c>
      <c r="R277" t="e">
        <f ca="1"/>
        <v>#N/A</v>
      </c>
      <c r="S277" t="e">
        <f ca="1"/>
        <v>#N/A</v>
      </c>
      <c r="T277" t="e">
        <f ca="1"/>
        <v>#N/A</v>
      </c>
      <c r="U277" t="e">
        <f ca="1"/>
        <v>#N/A</v>
      </c>
      <c r="V277" t="e">
        <f ca="1"/>
        <v>#N/A</v>
      </c>
      <c r="X277" s="2">
        <f t="shared" ca="1" si="29"/>
        <v>0</v>
      </c>
      <c r="Y277">
        <f t="shared" ca="1" si="30"/>
        <v>0</v>
      </c>
      <c r="AA277" s="63" t="e">
        <f t="shared" ca="1" si="32"/>
        <v>#N/A</v>
      </c>
      <c r="AB277" s="63" t="e">
        <f t="shared" ca="1" si="33"/>
        <v>#N/A</v>
      </c>
      <c r="AC277" s="3" t="e">
        <f t="shared" ca="1" si="34"/>
        <v>#N/A</v>
      </c>
    </row>
    <row r="278" spans="8:29">
      <c r="H278" t="e">
        <f t="shared" ca="1" si="31"/>
        <v>#N/A</v>
      </c>
      <c r="I278" t="e">
        <f t="shared" ca="1" si="28"/>
        <v>#N/A</v>
      </c>
      <c r="J278" s="2" t="e">
        <f ca="1"/>
        <v>#N/A</v>
      </c>
      <c r="K278" t="e">
        <f ca="1"/>
        <v>#N/A</v>
      </c>
      <c r="L278" t="e">
        <f ca="1"/>
        <v>#N/A</v>
      </c>
      <c r="M278" t="e">
        <f ca="1"/>
        <v>#N/A</v>
      </c>
      <c r="N278" t="e">
        <f ca="1"/>
        <v>#N/A</v>
      </c>
      <c r="O278" t="e">
        <f ca="1"/>
        <v>#N/A</v>
      </c>
      <c r="P278" t="e">
        <f ca="1"/>
        <v>#N/A</v>
      </c>
      <c r="Q278" t="e">
        <f ca="1"/>
        <v>#N/A</v>
      </c>
      <c r="R278" t="e">
        <f ca="1"/>
        <v>#N/A</v>
      </c>
      <c r="S278" t="e">
        <f ca="1"/>
        <v>#N/A</v>
      </c>
      <c r="T278" t="e">
        <f ca="1"/>
        <v>#N/A</v>
      </c>
      <c r="U278" t="e">
        <f ca="1"/>
        <v>#N/A</v>
      </c>
      <c r="V278" t="e">
        <f ca="1"/>
        <v>#N/A</v>
      </c>
      <c r="X278" s="2">
        <f t="shared" ca="1" si="29"/>
        <v>0</v>
      </c>
      <c r="Y278">
        <f t="shared" ca="1" si="30"/>
        <v>0</v>
      </c>
      <c r="AA278" s="63" t="e">
        <f t="shared" ca="1" si="32"/>
        <v>#N/A</v>
      </c>
      <c r="AB278" s="63" t="e">
        <f t="shared" ca="1" si="33"/>
        <v>#N/A</v>
      </c>
      <c r="AC278" s="3" t="e">
        <f t="shared" ca="1" si="34"/>
        <v>#N/A</v>
      </c>
    </row>
    <row r="279" spans="8:29">
      <c r="H279" t="e">
        <f t="shared" ca="1" si="31"/>
        <v>#N/A</v>
      </c>
      <c r="I279" t="e">
        <f t="shared" ca="1" si="28"/>
        <v>#N/A</v>
      </c>
      <c r="J279" s="2" t="e">
        <f ca="1"/>
        <v>#N/A</v>
      </c>
      <c r="K279" t="e">
        <f ca="1"/>
        <v>#N/A</v>
      </c>
      <c r="L279" t="e">
        <f ca="1"/>
        <v>#N/A</v>
      </c>
      <c r="M279" t="e">
        <f ca="1"/>
        <v>#N/A</v>
      </c>
      <c r="N279" t="e">
        <f ca="1"/>
        <v>#N/A</v>
      </c>
      <c r="O279" t="e">
        <f ca="1"/>
        <v>#N/A</v>
      </c>
      <c r="P279" t="e">
        <f ca="1"/>
        <v>#N/A</v>
      </c>
      <c r="Q279" t="e">
        <f ca="1"/>
        <v>#N/A</v>
      </c>
      <c r="R279" t="e">
        <f ca="1"/>
        <v>#N/A</v>
      </c>
      <c r="S279" t="e">
        <f ca="1"/>
        <v>#N/A</v>
      </c>
      <c r="T279" t="e">
        <f ca="1"/>
        <v>#N/A</v>
      </c>
      <c r="U279" t="e">
        <f ca="1"/>
        <v>#N/A</v>
      </c>
      <c r="V279" t="e">
        <f ca="1"/>
        <v>#N/A</v>
      </c>
      <c r="X279" s="2">
        <f t="shared" ca="1" si="29"/>
        <v>0</v>
      </c>
      <c r="Y279">
        <f t="shared" ca="1" si="30"/>
        <v>0</v>
      </c>
      <c r="AA279" s="63" t="e">
        <f t="shared" ca="1" si="32"/>
        <v>#N/A</v>
      </c>
      <c r="AB279" s="63" t="e">
        <f t="shared" ca="1" si="33"/>
        <v>#N/A</v>
      </c>
      <c r="AC279" s="3" t="e">
        <f t="shared" ca="1" si="34"/>
        <v>#N/A</v>
      </c>
    </row>
    <row r="280" spans="8:29">
      <c r="H280" t="e">
        <f t="shared" ca="1" si="31"/>
        <v>#N/A</v>
      </c>
      <c r="I280" t="e">
        <f t="shared" ca="1" si="28"/>
        <v>#N/A</v>
      </c>
      <c r="J280" s="2" t="e">
        <f ca="1"/>
        <v>#N/A</v>
      </c>
      <c r="K280" t="e">
        <f ca="1"/>
        <v>#N/A</v>
      </c>
      <c r="L280" t="e">
        <f ca="1"/>
        <v>#N/A</v>
      </c>
      <c r="M280" t="e">
        <f ca="1"/>
        <v>#N/A</v>
      </c>
      <c r="N280" t="e">
        <f ca="1"/>
        <v>#N/A</v>
      </c>
      <c r="O280" t="e">
        <f ca="1"/>
        <v>#N/A</v>
      </c>
      <c r="P280" t="e">
        <f ca="1"/>
        <v>#N/A</v>
      </c>
      <c r="Q280" t="e">
        <f ca="1"/>
        <v>#N/A</v>
      </c>
      <c r="R280" t="e">
        <f ca="1"/>
        <v>#N/A</v>
      </c>
      <c r="S280" t="e">
        <f ca="1"/>
        <v>#N/A</v>
      </c>
      <c r="T280" t="e">
        <f ca="1"/>
        <v>#N/A</v>
      </c>
      <c r="U280" t="e">
        <f ca="1"/>
        <v>#N/A</v>
      </c>
      <c r="V280" t="e">
        <f ca="1"/>
        <v>#N/A</v>
      </c>
      <c r="X280" s="2">
        <f t="shared" ca="1" si="29"/>
        <v>0</v>
      </c>
      <c r="Y280">
        <f t="shared" ca="1" si="30"/>
        <v>0</v>
      </c>
      <c r="AA280" s="63" t="e">
        <f t="shared" ca="1" si="32"/>
        <v>#N/A</v>
      </c>
      <c r="AB280" s="63" t="e">
        <f t="shared" ca="1" si="33"/>
        <v>#N/A</v>
      </c>
      <c r="AC280" s="3" t="e">
        <f t="shared" ca="1" si="34"/>
        <v>#N/A</v>
      </c>
    </row>
    <row r="281" spans="8:29">
      <c r="H281" t="e">
        <f t="shared" ca="1" si="31"/>
        <v>#N/A</v>
      </c>
      <c r="I281" t="e">
        <f t="shared" ca="1" si="28"/>
        <v>#N/A</v>
      </c>
      <c r="J281" s="2" t="e">
        <f ca="1"/>
        <v>#N/A</v>
      </c>
      <c r="K281" t="e">
        <f ca="1"/>
        <v>#N/A</v>
      </c>
      <c r="L281" t="e">
        <f ca="1"/>
        <v>#N/A</v>
      </c>
      <c r="M281" t="e">
        <f ca="1"/>
        <v>#N/A</v>
      </c>
      <c r="N281" t="e">
        <f ca="1"/>
        <v>#N/A</v>
      </c>
      <c r="O281" t="e">
        <f ca="1"/>
        <v>#N/A</v>
      </c>
      <c r="P281" t="e">
        <f ca="1"/>
        <v>#N/A</v>
      </c>
      <c r="Q281" t="e">
        <f ca="1"/>
        <v>#N/A</v>
      </c>
      <c r="R281" t="e">
        <f ca="1"/>
        <v>#N/A</v>
      </c>
      <c r="S281" t="e">
        <f ca="1"/>
        <v>#N/A</v>
      </c>
      <c r="T281" t="e">
        <f ca="1"/>
        <v>#N/A</v>
      </c>
      <c r="U281" t="e">
        <f ca="1"/>
        <v>#N/A</v>
      </c>
      <c r="V281" t="e">
        <f ca="1"/>
        <v>#N/A</v>
      </c>
      <c r="X281" s="2">
        <f t="shared" ca="1" si="29"/>
        <v>0</v>
      </c>
      <c r="Y281">
        <f t="shared" ca="1" si="30"/>
        <v>0</v>
      </c>
      <c r="AA281" s="63" t="e">
        <f t="shared" ca="1" si="32"/>
        <v>#N/A</v>
      </c>
      <c r="AB281" s="63" t="e">
        <f t="shared" ca="1" si="33"/>
        <v>#N/A</v>
      </c>
      <c r="AC281" s="3" t="e">
        <f t="shared" ca="1" si="34"/>
        <v>#N/A</v>
      </c>
    </row>
    <row r="282" spans="8:29">
      <c r="H282" t="e">
        <f t="shared" ca="1" si="31"/>
        <v>#N/A</v>
      </c>
      <c r="I282" t="e">
        <f t="shared" ca="1" si="28"/>
        <v>#N/A</v>
      </c>
      <c r="J282" s="2" t="e">
        <f ca="1"/>
        <v>#N/A</v>
      </c>
      <c r="K282" t="e">
        <f ca="1"/>
        <v>#N/A</v>
      </c>
      <c r="L282" t="e">
        <f ca="1"/>
        <v>#N/A</v>
      </c>
      <c r="M282" t="e">
        <f ca="1"/>
        <v>#N/A</v>
      </c>
      <c r="N282" t="e">
        <f ca="1"/>
        <v>#N/A</v>
      </c>
      <c r="O282" t="e">
        <f ca="1"/>
        <v>#N/A</v>
      </c>
      <c r="P282" t="e">
        <f ca="1"/>
        <v>#N/A</v>
      </c>
      <c r="Q282" t="e">
        <f ca="1"/>
        <v>#N/A</v>
      </c>
      <c r="R282" t="e">
        <f ca="1"/>
        <v>#N/A</v>
      </c>
      <c r="S282" t="e">
        <f ca="1"/>
        <v>#N/A</v>
      </c>
      <c r="T282" t="e">
        <f ca="1"/>
        <v>#N/A</v>
      </c>
      <c r="U282" t="e">
        <f ca="1"/>
        <v>#N/A</v>
      </c>
      <c r="V282" t="e">
        <f ca="1"/>
        <v>#N/A</v>
      </c>
      <c r="X282" s="2">
        <f t="shared" ca="1" si="29"/>
        <v>0</v>
      </c>
      <c r="Y282">
        <f t="shared" ca="1" si="30"/>
        <v>0</v>
      </c>
      <c r="AA282" s="63" t="e">
        <f t="shared" ca="1" si="32"/>
        <v>#N/A</v>
      </c>
      <c r="AB282" s="63" t="e">
        <f t="shared" ca="1" si="33"/>
        <v>#N/A</v>
      </c>
      <c r="AC282" s="3" t="e">
        <f t="shared" ca="1" si="34"/>
        <v>#N/A</v>
      </c>
    </row>
    <row r="283" spans="8:29">
      <c r="H283" t="e">
        <f t="shared" ca="1" si="31"/>
        <v>#N/A</v>
      </c>
      <c r="I283" t="e">
        <f t="shared" ca="1" si="28"/>
        <v>#N/A</v>
      </c>
      <c r="J283" s="2" t="e">
        <f ca="1"/>
        <v>#N/A</v>
      </c>
      <c r="K283" t="e">
        <f ca="1"/>
        <v>#N/A</v>
      </c>
      <c r="L283" t="e">
        <f ca="1"/>
        <v>#N/A</v>
      </c>
      <c r="M283" t="e">
        <f ca="1"/>
        <v>#N/A</v>
      </c>
      <c r="N283" t="e">
        <f ca="1"/>
        <v>#N/A</v>
      </c>
      <c r="O283" t="e">
        <f ca="1"/>
        <v>#N/A</v>
      </c>
      <c r="P283" t="e">
        <f ca="1"/>
        <v>#N/A</v>
      </c>
      <c r="Q283" t="e">
        <f ca="1"/>
        <v>#N/A</v>
      </c>
      <c r="R283" t="e">
        <f ca="1"/>
        <v>#N/A</v>
      </c>
      <c r="S283" t="e">
        <f ca="1"/>
        <v>#N/A</v>
      </c>
      <c r="T283" t="e">
        <f ca="1"/>
        <v>#N/A</v>
      </c>
      <c r="U283" t="e">
        <f ca="1"/>
        <v>#N/A</v>
      </c>
      <c r="V283" t="e">
        <f ca="1"/>
        <v>#N/A</v>
      </c>
      <c r="X283" s="2">
        <f t="shared" ca="1" si="29"/>
        <v>0</v>
      </c>
      <c r="Y283">
        <f t="shared" ca="1" si="30"/>
        <v>0</v>
      </c>
      <c r="AA283" s="63" t="e">
        <f t="shared" ca="1" si="32"/>
        <v>#N/A</v>
      </c>
      <c r="AB283" s="63" t="e">
        <f t="shared" ca="1" si="33"/>
        <v>#N/A</v>
      </c>
      <c r="AC283" s="3" t="e">
        <f t="shared" ca="1" si="34"/>
        <v>#N/A</v>
      </c>
    </row>
    <row r="284" spans="8:29">
      <c r="H284" t="e">
        <f t="shared" ca="1" si="31"/>
        <v>#N/A</v>
      </c>
      <c r="I284" t="e">
        <f t="shared" ca="1" si="28"/>
        <v>#N/A</v>
      </c>
      <c r="J284" s="2" t="e">
        <f ca="1"/>
        <v>#N/A</v>
      </c>
      <c r="K284" t="e">
        <f ca="1"/>
        <v>#N/A</v>
      </c>
      <c r="L284" t="e">
        <f ca="1"/>
        <v>#N/A</v>
      </c>
      <c r="M284" t="e">
        <f ca="1"/>
        <v>#N/A</v>
      </c>
      <c r="N284" t="e">
        <f ca="1"/>
        <v>#N/A</v>
      </c>
      <c r="O284" t="e">
        <f ca="1"/>
        <v>#N/A</v>
      </c>
      <c r="P284" t="e">
        <f ca="1"/>
        <v>#N/A</v>
      </c>
      <c r="Q284" t="e">
        <f ca="1"/>
        <v>#N/A</v>
      </c>
      <c r="R284" t="e">
        <f ca="1"/>
        <v>#N/A</v>
      </c>
      <c r="S284" t="e">
        <f ca="1"/>
        <v>#N/A</v>
      </c>
      <c r="T284" t="e">
        <f ca="1"/>
        <v>#N/A</v>
      </c>
      <c r="U284" t="e">
        <f ca="1"/>
        <v>#N/A</v>
      </c>
      <c r="V284" t="e">
        <f ca="1"/>
        <v>#N/A</v>
      </c>
      <c r="X284" s="2">
        <f t="shared" ca="1" si="29"/>
        <v>0</v>
      </c>
      <c r="Y284">
        <f t="shared" ca="1" si="30"/>
        <v>0</v>
      </c>
      <c r="AA284" s="63" t="e">
        <f t="shared" ca="1" si="32"/>
        <v>#N/A</v>
      </c>
      <c r="AB284" s="63" t="e">
        <f t="shared" ca="1" si="33"/>
        <v>#N/A</v>
      </c>
      <c r="AC284" s="3" t="e">
        <f t="shared" ca="1" si="34"/>
        <v>#N/A</v>
      </c>
    </row>
    <row r="285" spans="8:29">
      <c r="H285" t="e">
        <f t="shared" ca="1" si="31"/>
        <v>#N/A</v>
      </c>
      <c r="I285" t="e">
        <f t="shared" ca="1" si="28"/>
        <v>#N/A</v>
      </c>
      <c r="J285" s="2" t="e">
        <f ca="1"/>
        <v>#N/A</v>
      </c>
      <c r="K285" t="e">
        <f ca="1"/>
        <v>#N/A</v>
      </c>
      <c r="L285" t="e">
        <f ca="1"/>
        <v>#N/A</v>
      </c>
      <c r="M285" t="e">
        <f ca="1"/>
        <v>#N/A</v>
      </c>
      <c r="N285" t="e">
        <f ca="1"/>
        <v>#N/A</v>
      </c>
      <c r="O285" t="e">
        <f ca="1"/>
        <v>#N/A</v>
      </c>
      <c r="P285" t="e">
        <f ca="1"/>
        <v>#N/A</v>
      </c>
      <c r="Q285" t="e">
        <f ca="1"/>
        <v>#N/A</v>
      </c>
      <c r="R285" t="e">
        <f ca="1"/>
        <v>#N/A</v>
      </c>
      <c r="S285" t="e">
        <f ca="1"/>
        <v>#N/A</v>
      </c>
      <c r="T285" t="e">
        <f ca="1"/>
        <v>#N/A</v>
      </c>
      <c r="U285" t="e">
        <f ca="1"/>
        <v>#N/A</v>
      </c>
      <c r="V285" t="e">
        <f ca="1"/>
        <v>#N/A</v>
      </c>
      <c r="X285" s="2">
        <f t="shared" ca="1" si="29"/>
        <v>0</v>
      </c>
      <c r="Y285">
        <f t="shared" ca="1" si="30"/>
        <v>0</v>
      </c>
      <c r="AA285" s="63" t="e">
        <f t="shared" ca="1" si="32"/>
        <v>#N/A</v>
      </c>
      <c r="AB285" s="63" t="e">
        <f t="shared" ca="1" si="33"/>
        <v>#N/A</v>
      </c>
      <c r="AC285" s="3" t="e">
        <f t="shared" ca="1" si="34"/>
        <v>#N/A</v>
      </c>
    </row>
    <row r="286" spans="8:29">
      <c r="H286" t="e">
        <f t="shared" ca="1" si="31"/>
        <v>#N/A</v>
      </c>
      <c r="I286" t="e">
        <f t="shared" ca="1" si="28"/>
        <v>#N/A</v>
      </c>
      <c r="J286" s="2" t="e">
        <f ca="1"/>
        <v>#N/A</v>
      </c>
      <c r="K286" t="e">
        <f ca="1"/>
        <v>#N/A</v>
      </c>
      <c r="L286" t="e">
        <f ca="1"/>
        <v>#N/A</v>
      </c>
      <c r="M286" t="e">
        <f ca="1"/>
        <v>#N/A</v>
      </c>
      <c r="N286" t="e">
        <f ca="1"/>
        <v>#N/A</v>
      </c>
      <c r="O286" t="e">
        <f ca="1"/>
        <v>#N/A</v>
      </c>
      <c r="P286" t="e">
        <f ca="1"/>
        <v>#N/A</v>
      </c>
      <c r="Q286" t="e">
        <f ca="1"/>
        <v>#N/A</v>
      </c>
      <c r="R286" t="e">
        <f ca="1"/>
        <v>#N/A</v>
      </c>
      <c r="S286" t="e">
        <f ca="1"/>
        <v>#N/A</v>
      </c>
      <c r="T286" t="e">
        <f ca="1"/>
        <v>#N/A</v>
      </c>
      <c r="U286" t="e">
        <f ca="1"/>
        <v>#N/A</v>
      </c>
      <c r="V286" t="e">
        <f ca="1"/>
        <v>#N/A</v>
      </c>
      <c r="X286" s="2">
        <f t="shared" ca="1" si="29"/>
        <v>0</v>
      </c>
      <c r="Y286">
        <f t="shared" ca="1" si="30"/>
        <v>0</v>
      </c>
      <c r="AA286" s="63" t="e">
        <f t="shared" ca="1" si="32"/>
        <v>#N/A</v>
      </c>
      <c r="AB286" s="63" t="e">
        <f t="shared" ca="1" si="33"/>
        <v>#N/A</v>
      </c>
      <c r="AC286" s="3" t="e">
        <f t="shared" ca="1" si="34"/>
        <v>#N/A</v>
      </c>
    </row>
    <row r="287" spans="8:29">
      <c r="H287" t="e">
        <f t="shared" ca="1" si="31"/>
        <v>#N/A</v>
      </c>
      <c r="I287" t="e">
        <f t="shared" ca="1" si="28"/>
        <v>#N/A</v>
      </c>
      <c r="J287" s="2" t="e">
        <f ca="1"/>
        <v>#N/A</v>
      </c>
      <c r="K287" t="e">
        <f ca="1"/>
        <v>#N/A</v>
      </c>
      <c r="L287" t="e">
        <f ca="1"/>
        <v>#N/A</v>
      </c>
      <c r="M287" t="e">
        <f ca="1"/>
        <v>#N/A</v>
      </c>
      <c r="N287" t="e">
        <f ca="1"/>
        <v>#N/A</v>
      </c>
      <c r="O287" t="e">
        <f ca="1"/>
        <v>#N/A</v>
      </c>
      <c r="P287" t="e">
        <f ca="1"/>
        <v>#N/A</v>
      </c>
      <c r="Q287" t="e">
        <f ca="1"/>
        <v>#N/A</v>
      </c>
      <c r="R287" t="e">
        <f ca="1"/>
        <v>#N/A</v>
      </c>
      <c r="S287" t="e">
        <f ca="1"/>
        <v>#N/A</v>
      </c>
      <c r="T287" t="e">
        <f ca="1"/>
        <v>#N/A</v>
      </c>
      <c r="U287" t="e">
        <f ca="1"/>
        <v>#N/A</v>
      </c>
      <c r="V287" t="e">
        <f ca="1"/>
        <v>#N/A</v>
      </c>
      <c r="X287" s="2">
        <f t="shared" ca="1" si="29"/>
        <v>0</v>
      </c>
      <c r="Y287">
        <f t="shared" ca="1" si="30"/>
        <v>0</v>
      </c>
      <c r="AA287" s="63" t="e">
        <f t="shared" ca="1" si="32"/>
        <v>#N/A</v>
      </c>
      <c r="AB287" s="63" t="e">
        <f t="shared" ca="1" si="33"/>
        <v>#N/A</v>
      </c>
      <c r="AC287" s="3" t="e">
        <f t="shared" ca="1" si="34"/>
        <v>#N/A</v>
      </c>
    </row>
    <row r="288" spans="8:29">
      <c r="H288" t="e">
        <f t="shared" ca="1" si="31"/>
        <v>#N/A</v>
      </c>
      <c r="I288" t="e">
        <f t="shared" ca="1" si="28"/>
        <v>#N/A</v>
      </c>
      <c r="J288" s="2" t="e">
        <f ca="1"/>
        <v>#N/A</v>
      </c>
      <c r="K288" t="e">
        <f ca="1"/>
        <v>#N/A</v>
      </c>
      <c r="L288" t="e">
        <f ca="1"/>
        <v>#N/A</v>
      </c>
      <c r="M288" t="e">
        <f ca="1"/>
        <v>#N/A</v>
      </c>
      <c r="N288" t="e">
        <f ca="1"/>
        <v>#N/A</v>
      </c>
      <c r="O288" t="e">
        <f ca="1"/>
        <v>#N/A</v>
      </c>
      <c r="P288" t="e">
        <f ca="1"/>
        <v>#N/A</v>
      </c>
      <c r="Q288" t="e">
        <f ca="1"/>
        <v>#N/A</v>
      </c>
      <c r="R288" t="e">
        <f ca="1"/>
        <v>#N/A</v>
      </c>
      <c r="S288" t="e">
        <f ca="1"/>
        <v>#N/A</v>
      </c>
      <c r="T288" t="e">
        <f ca="1"/>
        <v>#N/A</v>
      </c>
      <c r="U288" t="e">
        <f ca="1"/>
        <v>#N/A</v>
      </c>
      <c r="V288" t="e">
        <f ca="1"/>
        <v>#N/A</v>
      </c>
      <c r="X288" s="2">
        <f t="shared" ca="1" si="29"/>
        <v>0</v>
      </c>
      <c r="Y288">
        <f t="shared" ca="1" si="30"/>
        <v>0</v>
      </c>
      <c r="AA288" s="63" t="e">
        <f t="shared" ca="1" si="32"/>
        <v>#N/A</v>
      </c>
      <c r="AB288" s="63" t="e">
        <f t="shared" ca="1" si="33"/>
        <v>#N/A</v>
      </c>
      <c r="AC288" s="3" t="e">
        <f t="shared" ca="1" si="34"/>
        <v>#N/A</v>
      </c>
    </row>
    <row r="289" spans="8:29">
      <c r="H289" t="e">
        <f t="shared" ca="1" si="31"/>
        <v>#N/A</v>
      </c>
      <c r="I289" t="e">
        <f t="shared" ca="1" si="28"/>
        <v>#N/A</v>
      </c>
      <c r="J289" s="2" t="e">
        <f ca="1"/>
        <v>#N/A</v>
      </c>
      <c r="K289" t="e">
        <f ca="1"/>
        <v>#N/A</v>
      </c>
      <c r="L289" t="e">
        <f ca="1"/>
        <v>#N/A</v>
      </c>
      <c r="M289" t="e">
        <f ca="1"/>
        <v>#N/A</v>
      </c>
      <c r="N289" t="e">
        <f ca="1"/>
        <v>#N/A</v>
      </c>
      <c r="O289" t="e">
        <f ca="1"/>
        <v>#N/A</v>
      </c>
      <c r="P289" t="e">
        <f ca="1"/>
        <v>#N/A</v>
      </c>
      <c r="Q289" t="e">
        <f ca="1"/>
        <v>#N/A</v>
      </c>
      <c r="R289" t="e">
        <f ca="1"/>
        <v>#N/A</v>
      </c>
      <c r="S289" t="e">
        <f ca="1"/>
        <v>#N/A</v>
      </c>
      <c r="T289" t="e">
        <f ca="1"/>
        <v>#N/A</v>
      </c>
      <c r="U289" t="e">
        <f ca="1"/>
        <v>#N/A</v>
      </c>
      <c r="V289" t="e">
        <f ca="1"/>
        <v>#N/A</v>
      </c>
      <c r="X289" s="2">
        <f t="shared" ca="1" si="29"/>
        <v>0</v>
      </c>
      <c r="Y289">
        <f t="shared" ca="1" si="30"/>
        <v>0</v>
      </c>
      <c r="AA289" s="63" t="e">
        <f t="shared" ca="1" si="32"/>
        <v>#N/A</v>
      </c>
      <c r="AB289" s="63" t="e">
        <f t="shared" ca="1" si="33"/>
        <v>#N/A</v>
      </c>
      <c r="AC289" s="3" t="e">
        <f t="shared" ca="1" si="34"/>
        <v>#N/A</v>
      </c>
    </row>
    <row r="290" spans="8:29">
      <c r="H290" t="e">
        <f t="shared" ca="1" si="31"/>
        <v>#N/A</v>
      </c>
      <c r="I290" t="e">
        <f t="shared" ca="1" si="28"/>
        <v>#N/A</v>
      </c>
      <c r="J290" s="2" t="e">
        <f ca="1"/>
        <v>#N/A</v>
      </c>
      <c r="K290" t="e">
        <f ca="1"/>
        <v>#N/A</v>
      </c>
      <c r="L290" t="e">
        <f ca="1"/>
        <v>#N/A</v>
      </c>
      <c r="M290" t="e">
        <f ca="1"/>
        <v>#N/A</v>
      </c>
      <c r="N290" t="e">
        <f ca="1"/>
        <v>#N/A</v>
      </c>
      <c r="O290" t="e">
        <f ca="1"/>
        <v>#N/A</v>
      </c>
      <c r="P290" t="e">
        <f ca="1"/>
        <v>#N/A</v>
      </c>
      <c r="Q290" t="e">
        <f ca="1"/>
        <v>#N/A</v>
      </c>
      <c r="R290" t="e">
        <f ca="1"/>
        <v>#N/A</v>
      </c>
      <c r="S290" t="e">
        <f ca="1"/>
        <v>#N/A</v>
      </c>
      <c r="T290" t="e">
        <f ca="1"/>
        <v>#N/A</v>
      </c>
      <c r="U290" t="e">
        <f ca="1"/>
        <v>#N/A</v>
      </c>
      <c r="V290" t="e">
        <f ca="1"/>
        <v>#N/A</v>
      </c>
      <c r="X290" s="2">
        <f t="shared" ca="1" si="29"/>
        <v>0</v>
      </c>
      <c r="Y290">
        <f t="shared" ca="1" si="30"/>
        <v>0</v>
      </c>
      <c r="AA290" s="63" t="e">
        <f t="shared" ca="1" si="32"/>
        <v>#N/A</v>
      </c>
      <c r="AB290" s="63" t="e">
        <f t="shared" ca="1" si="33"/>
        <v>#N/A</v>
      </c>
      <c r="AC290" s="3" t="e">
        <f t="shared" ca="1" si="34"/>
        <v>#N/A</v>
      </c>
    </row>
    <row r="291" spans="8:29">
      <c r="H291" t="e">
        <f t="shared" ca="1" si="31"/>
        <v>#N/A</v>
      </c>
      <c r="I291" t="e">
        <f t="shared" ca="1" si="28"/>
        <v>#N/A</v>
      </c>
      <c r="J291" s="2" t="e">
        <f ca="1"/>
        <v>#N/A</v>
      </c>
      <c r="K291" t="e">
        <f ca="1"/>
        <v>#N/A</v>
      </c>
      <c r="L291" t="e">
        <f ca="1"/>
        <v>#N/A</v>
      </c>
      <c r="M291" t="e">
        <f ca="1"/>
        <v>#N/A</v>
      </c>
      <c r="N291" t="e">
        <f ca="1"/>
        <v>#N/A</v>
      </c>
      <c r="O291" t="e">
        <f ca="1"/>
        <v>#N/A</v>
      </c>
      <c r="P291" t="e">
        <f ca="1"/>
        <v>#N/A</v>
      </c>
      <c r="Q291" t="e">
        <f ca="1"/>
        <v>#N/A</v>
      </c>
      <c r="R291" t="e">
        <f ca="1"/>
        <v>#N/A</v>
      </c>
      <c r="S291" t="e">
        <f ca="1"/>
        <v>#N/A</v>
      </c>
      <c r="T291" t="e">
        <f ca="1"/>
        <v>#N/A</v>
      </c>
      <c r="U291" t="e">
        <f ca="1"/>
        <v>#N/A</v>
      </c>
      <c r="V291" t="e">
        <f ca="1"/>
        <v>#N/A</v>
      </c>
      <c r="X291" s="2">
        <f t="shared" ca="1" si="29"/>
        <v>0</v>
      </c>
      <c r="Y291">
        <f t="shared" ca="1" si="30"/>
        <v>0</v>
      </c>
      <c r="AA291" s="63" t="e">
        <f t="shared" ca="1" si="32"/>
        <v>#N/A</v>
      </c>
      <c r="AB291" s="63" t="e">
        <f t="shared" ca="1" si="33"/>
        <v>#N/A</v>
      </c>
      <c r="AC291" s="3" t="e">
        <f t="shared" ca="1" si="34"/>
        <v>#N/A</v>
      </c>
    </row>
    <row r="292" spans="8:29">
      <c r="H292" t="e">
        <f t="shared" ca="1" si="31"/>
        <v>#N/A</v>
      </c>
      <c r="I292" t="e">
        <f t="shared" ca="1" si="28"/>
        <v>#N/A</v>
      </c>
      <c r="J292" s="2" t="e">
        <f ca="1"/>
        <v>#N/A</v>
      </c>
      <c r="K292" t="e">
        <f ca="1"/>
        <v>#N/A</v>
      </c>
      <c r="L292" t="e">
        <f ca="1"/>
        <v>#N/A</v>
      </c>
      <c r="M292" t="e">
        <f ca="1"/>
        <v>#N/A</v>
      </c>
      <c r="N292" t="e">
        <f ca="1"/>
        <v>#N/A</v>
      </c>
      <c r="O292" t="e">
        <f ca="1"/>
        <v>#N/A</v>
      </c>
      <c r="P292" t="e">
        <f ca="1"/>
        <v>#N/A</v>
      </c>
      <c r="Q292" t="e">
        <f ca="1"/>
        <v>#N/A</v>
      </c>
      <c r="R292" t="e">
        <f ca="1"/>
        <v>#N/A</v>
      </c>
      <c r="S292" t="e">
        <f ca="1"/>
        <v>#N/A</v>
      </c>
      <c r="T292" t="e">
        <f ca="1"/>
        <v>#N/A</v>
      </c>
      <c r="U292" t="e">
        <f ca="1"/>
        <v>#N/A</v>
      </c>
      <c r="V292" t="e">
        <f ca="1"/>
        <v>#N/A</v>
      </c>
      <c r="X292" s="2">
        <f t="shared" ca="1" si="29"/>
        <v>0</v>
      </c>
      <c r="Y292">
        <f t="shared" ca="1" si="30"/>
        <v>0</v>
      </c>
      <c r="AA292" s="63" t="e">
        <f t="shared" ca="1" si="32"/>
        <v>#N/A</v>
      </c>
      <c r="AB292" s="63" t="e">
        <f t="shared" ca="1" si="33"/>
        <v>#N/A</v>
      </c>
      <c r="AC292" s="3" t="e">
        <f t="shared" ca="1" si="34"/>
        <v>#N/A</v>
      </c>
    </row>
    <row r="293" spans="8:29">
      <c r="H293" t="e">
        <f t="shared" ca="1" si="31"/>
        <v>#N/A</v>
      </c>
      <c r="I293" t="e">
        <f t="shared" ca="1" si="28"/>
        <v>#N/A</v>
      </c>
      <c r="J293" s="2" t="e">
        <f ca="1"/>
        <v>#N/A</v>
      </c>
      <c r="K293" t="e">
        <f ca="1"/>
        <v>#N/A</v>
      </c>
      <c r="L293" t="e">
        <f ca="1"/>
        <v>#N/A</v>
      </c>
      <c r="M293" t="e">
        <f ca="1"/>
        <v>#N/A</v>
      </c>
      <c r="N293" t="e">
        <f ca="1"/>
        <v>#N/A</v>
      </c>
      <c r="O293" t="e">
        <f ca="1"/>
        <v>#N/A</v>
      </c>
      <c r="P293" t="e">
        <f ca="1"/>
        <v>#N/A</v>
      </c>
      <c r="Q293" t="e">
        <f ca="1"/>
        <v>#N/A</v>
      </c>
      <c r="R293" t="e">
        <f ca="1"/>
        <v>#N/A</v>
      </c>
      <c r="S293" t="e">
        <f ca="1"/>
        <v>#N/A</v>
      </c>
      <c r="T293" t="e">
        <f ca="1"/>
        <v>#N/A</v>
      </c>
      <c r="U293" t="e">
        <f ca="1"/>
        <v>#N/A</v>
      </c>
      <c r="V293" t="e">
        <f ca="1"/>
        <v>#N/A</v>
      </c>
      <c r="X293" s="2">
        <f t="shared" ca="1" si="29"/>
        <v>0</v>
      </c>
      <c r="Y293">
        <f t="shared" ca="1" si="30"/>
        <v>0</v>
      </c>
      <c r="AA293" s="63" t="e">
        <f t="shared" ca="1" si="32"/>
        <v>#N/A</v>
      </c>
      <c r="AB293" s="63" t="e">
        <f t="shared" ca="1" si="33"/>
        <v>#N/A</v>
      </c>
      <c r="AC293" s="3" t="e">
        <f t="shared" ca="1" si="34"/>
        <v>#N/A</v>
      </c>
    </row>
    <row r="294" spans="8:29">
      <c r="H294" t="e">
        <f t="shared" ca="1" si="31"/>
        <v>#N/A</v>
      </c>
      <c r="I294" t="e">
        <f t="shared" ca="1" si="28"/>
        <v>#N/A</v>
      </c>
      <c r="J294" s="2" t="e">
        <f ca="1"/>
        <v>#N/A</v>
      </c>
      <c r="K294" t="e">
        <f ca="1"/>
        <v>#N/A</v>
      </c>
      <c r="L294" t="e">
        <f ca="1"/>
        <v>#N/A</v>
      </c>
      <c r="M294" t="e">
        <f ca="1"/>
        <v>#N/A</v>
      </c>
      <c r="N294" t="e">
        <f ca="1"/>
        <v>#N/A</v>
      </c>
      <c r="O294" t="e">
        <f ca="1"/>
        <v>#N/A</v>
      </c>
      <c r="P294" t="e">
        <f ca="1"/>
        <v>#N/A</v>
      </c>
      <c r="Q294" t="e">
        <f ca="1"/>
        <v>#N/A</v>
      </c>
      <c r="R294" t="e">
        <f ca="1"/>
        <v>#N/A</v>
      </c>
      <c r="S294" t="e">
        <f ca="1"/>
        <v>#N/A</v>
      </c>
      <c r="T294" t="e">
        <f ca="1"/>
        <v>#N/A</v>
      </c>
      <c r="U294" t="e">
        <f ca="1"/>
        <v>#N/A</v>
      </c>
      <c r="V294" t="e">
        <f ca="1"/>
        <v>#N/A</v>
      </c>
      <c r="X294" s="2">
        <f t="shared" ca="1" si="29"/>
        <v>0</v>
      </c>
      <c r="Y294">
        <f t="shared" ca="1" si="30"/>
        <v>0</v>
      </c>
      <c r="AA294" s="63" t="e">
        <f t="shared" ca="1" si="32"/>
        <v>#N/A</v>
      </c>
      <c r="AB294" s="63" t="e">
        <f t="shared" ca="1" si="33"/>
        <v>#N/A</v>
      </c>
      <c r="AC294" s="3" t="e">
        <f t="shared" ca="1" si="34"/>
        <v>#N/A</v>
      </c>
    </row>
    <row r="295" spans="8:29">
      <c r="H295" t="e">
        <f t="shared" ca="1" si="31"/>
        <v>#N/A</v>
      </c>
      <c r="I295" t="e">
        <f t="shared" ca="1" si="28"/>
        <v>#N/A</v>
      </c>
      <c r="J295" s="2" t="e">
        <f ca="1"/>
        <v>#N/A</v>
      </c>
      <c r="K295" t="e">
        <f ca="1"/>
        <v>#N/A</v>
      </c>
      <c r="L295" t="e">
        <f ca="1"/>
        <v>#N/A</v>
      </c>
      <c r="M295" t="e">
        <f ca="1"/>
        <v>#N/A</v>
      </c>
      <c r="N295" t="e">
        <f ca="1"/>
        <v>#N/A</v>
      </c>
      <c r="O295" t="e">
        <f ca="1"/>
        <v>#N/A</v>
      </c>
      <c r="P295" t="e">
        <f ca="1"/>
        <v>#N/A</v>
      </c>
      <c r="Q295" t="e">
        <f ca="1"/>
        <v>#N/A</v>
      </c>
      <c r="R295" t="e">
        <f ca="1"/>
        <v>#N/A</v>
      </c>
      <c r="S295" t="e">
        <f ca="1"/>
        <v>#N/A</v>
      </c>
      <c r="T295" t="e">
        <f ca="1"/>
        <v>#N/A</v>
      </c>
      <c r="U295" t="e">
        <f ca="1"/>
        <v>#N/A</v>
      </c>
      <c r="V295" t="e">
        <f ca="1"/>
        <v>#N/A</v>
      </c>
      <c r="X295" s="2">
        <f t="shared" ca="1" si="29"/>
        <v>0</v>
      </c>
      <c r="Y295">
        <f t="shared" ca="1" si="30"/>
        <v>0</v>
      </c>
      <c r="AA295" s="63" t="e">
        <f t="shared" ca="1" si="32"/>
        <v>#N/A</v>
      </c>
      <c r="AB295" s="63" t="e">
        <f t="shared" ca="1" si="33"/>
        <v>#N/A</v>
      </c>
      <c r="AC295" s="3" t="e">
        <f t="shared" ca="1" si="34"/>
        <v>#N/A</v>
      </c>
    </row>
    <row r="296" spans="8:29">
      <c r="H296" t="e">
        <f t="shared" ca="1" si="31"/>
        <v>#N/A</v>
      </c>
      <c r="I296" t="e">
        <f t="shared" ca="1" si="28"/>
        <v>#N/A</v>
      </c>
      <c r="J296" s="2" t="e">
        <f ca="1"/>
        <v>#N/A</v>
      </c>
      <c r="K296" t="e">
        <f ca="1"/>
        <v>#N/A</v>
      </c>
      <c r="L296" t="e">
        <f ca="1"/>
        <v>#N/A</v>
      </c>
      <c r="M296" t="e">
        <f ca="1"/>
        <v>#N/A</v>
      </c>
      <c r="N296" t="e">
        <f ca="1"/>
        <v>#N/A</v>
      </c>
      <c r="O296" t="e">
        <f ca="1"/>
        <v>#N/A</v>
      </c>
      <c r="P296" t="e">
        <f ca="1"/>
        <v>#N/A</v>
      </c>
      <c r="Q296" t="e">
        <f ca="1"/>
        <v>#N/A</v>
      </c>
      <c r="R296" t="e">
        <f ca="1"/>
        <v>#N/A</v>
      </c>
      <c r="S296" t="e">
        <f ca="1"/>
        <v>#N/A</v>
      </c>
      <c r="T296" t="e">
        <f ca="1"/>
        <v>#N/A</v>
      </c>
      <c r="U296" t="e">
        <f ca="1"/>
        <v>#N/A</v>
      </c>
      <c r="V296" t="e">
        <f ca="1"/>
        <v>#N/A</v>
      </c>
      <c r="X296" s="2">
        <f t="shared" ca="1" si="29"/>
        <v>0</v>
      </c>
      <c r="Y296">
        <f t="shared" ca="1" si="30"/>
        <v>0</v>
      </c>
      <c r="AA296" s="63" t="e">
        <f t="shared" ca="1" si="32"/>
        <v>#N/A</v>
      </c>
      <c r="AB296" s="63" t="e">
        <f t="shared" ca="1" si="33"/>
        <v>#N/A</v>
      </c>
      <c r="AC296" s="3" t="e">
        <f t="shared" ca="1" si="34"/>
        <v>#N/A</v>
      </c>
    </row>
    <row r="297" spans="8:29">
      <c r="H297" t="e">
        <f t="shared" ca="1" si="31"/>
        <v>#N/A</v>
      </c>
      <c r="I297" t="e">
        <f t="shared" ca="1" si="28"/>
        <v>#N/A</v>
      </c>
      <c r="J297" s="2" t="e">
        <f ca="1"/>
        <v>#N/A</v>
      </c>
      <c r="K297" t="e">
        <f ca="1"/>
        <v>#N/A</v>
      </c>
      <c r="L297" t="e">
        <f ca="1"/>
        <v>#N/A</v>
      </c>
      <c r="M297" t="e">
        <f ca="1"/>
        <v>#N/A</v>
      </c>
      <c r="N297" t="e">
        <f ca="1"/>
        <v>#N/A</v>
      </c>
      <c r="O297" t="e">
        <f ca="1"/>
        <v>#N/A</v>
      </c>
      <c r="P297" t="e">
        <f ca="1"/>
        <v>#N/A</v>
      </c>
      <c r="Q297" t="e">
        <f ca="1"/>
        <v>#N/A</v>
      </c>
      <c r="R297" t="e">
        <f ca="1"/>
        <v>#N/A</v>
      </c>
      <c r="S297" t="e">
        <f ca="1"/>
        <v>#N/A</v>
      </c>
      <c r="T297" t="e">
        <f ca="1"/>
        <v>#N/A</v>
      </c>
      <c r="U297" t="e">
        <f ca="1"/>
        <v>#N/A</v>
      </c>
      <c r="V297" t="e">
        <f ca="1"/>
        <v>#N/A</v>
      </c>
      <c r="X297" s="2">
        <f t="shared" ca="1" si="29"/>
        <v>0</v>
      </c>
      <c r="Y297">
        <f t="shared" ca="1" si="30"/>
        <v>0</v>
      </c>
      <c r="AA297" s="63" t="e">
        <f t="shared" ca="1" si="32"/>
        <v>#N/A</v>
      </c>
      <c r="AB297" s="63" t="e">
        <f t="shared" ca="1" si="33"/>
        <v>#N/A</v>
      </c>
      <c r="AC297" s="3" t="e">
        <f t="shared" ca="1" si="34"/>
        <v>#N/A</v>
      </c>
    </row>
    <row r="298" spans="8:29">
      <c r="H298" t="e">
        <f t="shared" ca="1" si="31"/>
        <v>#N/A</v>
      </c>
      <c r="I298" t="e">
        <f t="shared" ca="1" si="28"/>
        <v>#N/A</v>
      </c>
      <c r="J298" s="2" t="e">
        <f ca="1"/>
        <v>#N/A</v>
      </c>
      <c r="K298" t="e">
        <f ca="1"/>
        <v>#N/A</v>
      </c>
      <c r="L298" t="e">
        <f ca="1"/>
        <v>#N/A</v>
      </c>
      <c r="M298" t="e">
        <f ca="1"/>
        <v>#N/A</v>
      </c>
      <c r="N298" t="e">
        <f ca="1"/>
        <v>#N/A</v>
      </c>
      <c r="O298" t="e">
        <f ca="1"/>
        <v>#N/A</v>
      </c>
      <c r="P298" t="e">
        <f ca="1"/>
        <v>#N/A</v>
      </c>
      <c r="Q298" t="e">
        <f ca="1"/>
        <v>#N/A</v>
      </c>
      <c r="R298" t="e">
        <f ca="1"/>
        <v>#N/A</v>
      </c>
      <c r="S298" t="e">
        <f ca="1"/>
        <v>#N/A</v>
      </c>
      <c r="T298" t="e">
        <f ca="1"/>
        <v>#N/A</v>
      </c>
      <c r="U298" t="e">
        <f ca="1"/>
        <v>#N/A</v>
      </c>
      <c r="V298" t="e">
        <f ca="1"/>
        <v>#N/A</v>
      </c>
      <c r="X298" s="2">
        <f t="shared" ca="1" si="29"/>
        <v>0</v>
      </c>
      <c r="Y298">
        <f t="shared" ca="1" si="30"/>
        <v>0</v>
      </c>
      <c r="AA298" s="63" t="e">
        <f t="shared" ca="1" si="32"/>
        <v>#N/A</v>
      </c>
      <c r="AB298" s="63" t="e">
        <f t="shared" ca="1" si="33"/>
        <v>#N/A</v>
      </c>
      <c r="AC298" s="3" t="e">
        <f t="shared" ca="1" si="34"/>
        <v>#N/A</v>
      </c>
    </row>
    <row r="299" spans="8:29">
      <c r="H299" t="e">
        <f t="shared" ca="1" si="31"/>
        <v>#N/A</v>
      </c>
      <c r="I299" t="e">
        <f t="shared" ca="1" si="28"/>
        <v>#N/A</v>
      </c>
      <c r="J299" s="2" t="e">
        <f ca="1"/>
        <v>#N/A</v>
      </c>
      <c r="K299" t="e">
        <f ca="1"/>
        <v>#N/A</v>
      </c>
      <c r="L299" t="e">
        <f ca="1"/>
        <v>#N/A</v>
      </c>
      <c r="M299" t="e">
        <f ca="1"/>
        <v>#N/A</v>
      </c>
      <c r="N299" t="e">
        <f ca="1"/>
        <v>#N/A</v>
      </c>
      <c r="O299" t="e">
        <f ca="1"/>
        <v>#N/A</v>
      </c>
      <c r="P299" t="e">
        <f ca="1"/>
        <v>#N/A</v>
      </c>
      <c r="Q299" t="e">
        <f ca="1"/>
        <v>#N/A</v>
      </c>
      <c r="R299" t="e">
        <f ca="1"/>
        <v>#N/A</v>
      </c>
      <c r="S299" t="e">
        <f ca="1"/>
        <v>#N/A</v>
      </c>
      <c r="T299" t="e">
        <f ca="1"/>
        <v>#N/A</v>
      </c>
      <c r="U299" t="e">
        <f ca="1"/>
        <v>#N/A</v>
      </c>
      <c r="V299" t="e">
        <f ca="1"/>
        <v>#N/A</v>
      </c>
      <c r="X299" s="2">
        <f t="shared" ca="1" si="29"/>
        <v>0</v>
      </c>
      <c r="Y299">
        <f t="shared" ca="1" si="30"/>
        <v>0</v>
      </c>
      <c r="AA299" s="63" t="e">
        <f t="shared" ca="1" si="32"/>
        <v>#N/A</v>
      </c>
      <c r="AB299" s="63" t="e">
        <f t="shared" ca="1" si="33"/>
        <v>#N/A</v>
      </c>
      <c r="AC299" s="3" t="e">
        <f t="shared" ca="1" si="34"/>
        <v>#N/A</v>
      </c>
    </row>
    <row r="300" spans="8:29">
      <c r="H300" t="e">
        <f t="shared" ca="1" si="31"/>
        <v>#N/A</v>
      </c>
      <c r="I300" t="e">
        <f t="shared" ca="1" si="28"/>
        <v>#N/A</v>
      </c>
      <c r="J300" s="2" t="e">
        <f ca="1"/>
        <v>#N/A</v>
      </c>
      <c r="K300" t="e">
        <f ca="1"/>
        <v>#N/A</v>
      </c>
      <c r="L300" t="e">
        <f ca="1"/>
        <v>#N/A</v>
      </c>
      <c r="M300" t="e">
        <f ca="1"/>
        <v>#N/A</v>
      </c>
      <c r="N300" t="e">
        <f ca="1"/>
        <v>#N/A</v>
      </c>
      <c r="O300" t="e">
        <f ca="1"/>
        <v>#N/A</v>
      </c>
      <c r="P300" t="e">
        <f ca="1"/>
        <v>#N/A</v>
      </c>
      <c r="Q300" t="e">
        <f ca="1"/>
        <v>#N/A</v>
      </c>
      <c r="R300" t="e">
        <f ca="1"/>
        <v>#N/A</v>
      </c>
      <c r="S300" t="e">
        <f ca="1"/>
        <v>#N/A</v>
      </c>
      <c r="T300" t="e">
        <f ca="1"/>
        <v>#N/A</v>
      </c>
      <c r="U300" t="e">
        <f ca="1"/>
        <v>#N/A</v>
      </c>
      <c r="V300" t="e">
        <f ca="1"/>
        <v>#N/A</v>
      </c>
      <c r="X300" s="2">
        <f t="shared" ca="1" si="29"/>
        <v>0</v>
      </c>
      <c r="Y300">
        <f t="shared" ca="1" si="30"/>
        <v>0</v>
      </c>
      <c r="AA300" s="63" t="e">
        <f t="shared" ca="1" si="32"/>
        <v>#N/A</v>
      </c>
      <c r="AB300" s="63" t="e">
        <f t="shared" ca="1" si="33"/>
        <v>#N/A</v>
      </c>
      <c r="AC300" s="3" t="e">
        <f t="shared" ca="1" si="34"/>
        <v>#N/A</v>
      </c>
    </row>
    <row r="301" spans="8:29">
      <c r="H301" t="e">
        <f t="shared" ca="1" si="31"/>
        <v>#N/A</v>
      </c>
      <c r="I301" t="e">
        <f t="shared" ca="1" si="28"/>
        <v>#N/A</v>
      </c>
      <c r="J301" s="2" t="e">
        <f ca="1"/>
        <v>#N/A</v>
      </c>
      <c r="K301" t="e">
        <f ca="1"/>
        <v>#N/A</v>
      </c>
      <c r="L301" t="e">
        <f ca="1"/>
        <v>#N/A</v>
      </c>
      <c r="M301" t="e">
        <f ca="1"/>
        <v>#N/A</v>
      </c>
      <c r="N301" t="e">
        <f ca="1"/>
        <v>#N/A</v>
      </c>
      <c r="O301" t="e">
        <f ca="1"/>
        <v>#N/A</v>
      </c>
      <c r="P301" t="e">
        <f ca="1"/>
        <v>#N/A</v>
      </c>
      <c r="Q301" t="e">
        <f ca="1"/>
        <v>#N/A</v>
      </c>
      <c r="R301" t="e">
        <f ca="1"/>
        <v>#N/A</v>
      </c>
      <c r="S301" t="e">
        <f ca="1"/>
        <v>#N/A</v>
      </c>
      <c r="T301" t="e">
        <f ca="1"/>
        <v>#N/A</v>
      </c>
      <c r="U301" t="e">
        <f ca="1"/>
        <v>#N/A</v>
      </c>
      <c r="V301" t="e">
        <f ca="1"/>
        <v>#N/A</v>
      </c>
      <c r="X301" s="2">
        <f t="shared" ca="1" si="29"/>
        <v>0</v>
      </c>
      <c r="Y301">
        <f t="shared" ca="1" si="30"/>
        <v>0</v>
      </c>
      <c r="AA301" s="63" t="e">
        <f t="shared" ca="1" si="32"/>
        <v>#N/A</v>
      </c>
      <c r="AB301" s="63" t="e">
        <f t="shared" ca="1" si="33"/>
        <v>#N/A</v>
      </c>
      <c r="AC301" s="3" t="e">
        <f t="shared" ca="1" si="34"/>
        <v>#N/A</v>
      </c>
    </row>
    <row r="302" spans="8:29">
      <c r="H302" t="e">
        <f t="shared" ca="1" si="31"/>
        <v>#N/A</v>
      </c>
      <c r="I302" t="e">
        <f t="shared" ca="1" si="28"/>
        <v>#N/A</v>
      </c>
      <c r="J302" s="2" t="e">
        <f ca="1"/>
        <v>#N/A</v>
      </c>
      <c r="K302" t="e">
        <f ca="1"/>
        <v>#N/A</v>
      </c>
      <c r="L302" t="e">
        <f ca="1"/>
        <v>#N/A</v>
      </c>
      <c r="M302" t="e">
        <f ca="1"/>
        <v>#N/A</v>
      </c>
      <c r="N302" t="e">
        <f ca="1"/>
        <v>#N/A</v>
      </c>
      <c r="O302" t="e">
        <f ca="1"/>
        <v>#N/A</v>
      </c>
      <c r="P302" t="e">
        <f ca="1"/>
        <v>#N/A</v>
      </c>
      <c r="Q302" t="e">
        <f ca="1"/>
        <v>#N/A</v>
      </c>
      <c r="R302" t="e">
        <f ca="1"/>
        <v>#N/A</v>
      </c>
      <c r="S302" t="e">
        <f ca="1"/>
        <v>#N/A</v>
      </c>
      <c r="T302" t="e">
        <f ca="1"/>
        <v>#N/A</v>
      </c>
      <c r="U302" t="e">
        <f ca="1"/>
        <v>#N/A</v>
      </c>
      <c r="V302" t="e">
        <f ca="1"/>
        <v>#N/A</v>
      </c>
      <c r="X302" s="2">
        <f t="shared" ca="1" si="29"/>
        <v>0</v>
      </c>
      <c r="Y302">
        <f t="shared" ca="1" si="30"/>
        <v>0</v>
      </c>
      <c r="AA302" s="63" t="e">
        <f t="shared" ca="1" si="32"/>
        <v>#N/A</v>
      </c>
      <c r="AB302" s="63" t="e">
        <f t="shared" ca="1" si="33"/>
        <v>#N/A</v>
      </c>
      <c r="AC302" s="3" t="e">
        <f t="shared" ca="1" si="34"/>
        <v>#N/A</v>
      </c>
    </row>
    <row r="303" spans="8:29">
      <c r="H303" t="e">
        <f t="shared" ca="1" si="31"/>
        <v>#N/A</v>
      </c>
      <c r="I303" t="e">
        <f t="shared" ca="1" si="28"/>
        <v>#N/A</v>
      </c>
      <c r="J303" s="2" t="e">
        <f ca="1"/>
        <v>#N/A</v>
      </c>
      <c r="K303" t="e">
        <f ca="1"/>
        <v>#N/A</v>
      </c>
      <c r="L303" t="e">
        <f ca="1"/>
        <v>#N/A</v>
      </c>
      <c r="M303" t="e">
        <f ca="1"/>
        <v>#N/A</v>
      </c>
      <c r="N303" t="e">
        <f ca="1"/>
        <v>#N/A</v>
      </c>
      <c r="O303" t="e">
        <f ca="1"/>
        <v>#N/A</v>
      </c>
      <c r="P303" t="e">
        <f ca="1"/>
        <v>#N/A</v>
      </c>
      <c r="Q303" t="e">
        <f ca="1"/>
        <v>#N/A</v>
      </c>
      <c r="R303" t="e">
        <f ca="1"/>
        <v>#N/A</v>
      </c>
      <c r="S303" t="e">
        <f ca="1"/>
        <v>#N/A</v>
      </c>
      <c r="T303" t="e">
        <f ca="1"/>
        <v>#N/A</v>
      </c>
      <c r="U303" t="e">
        <f ca="1"/>
        <v>#N/A</v>
      </c>
      <c r="V303" t="e">
        <f ca="1"/>
        <v>#N/A</v>
      </c>
      <c r="X303" s="2">
        <f t="shared" ca="1" si="29"/>
        <v>0</v>
      </c>
      <c r="Y303">
        <f t="shared" ca="1" si="30"/>
        <v>0</v>
      </c>
      <c r="AA303" s="63" t="e">
        <f t="shared" ca="1" si="32"/>
        <v>#N/A</v>
      </c>
      <c r="AB303" s="63" t="e">
        <f t="shared" ca="1" si="33"/>
        <v>#N/A</v>
      </c>
      <c r="AC303" s="3" t="e">
        <f t="shared" ca="1" si="34"/>
        <v>#N/A</v>
      </c>
    </row>
    <row r="304" spans="8:29">
      <c r="H304" t="e">
        <f t="shared" ca="1" si="31"/>
        <v>#N/A</v>
      </c>
      <c r="I304" t="e">
        <f t="shared" ca="1" si="28"/>
        <v>#N/A</v>
      </c>
      <c r="J304" s="2" t="e">
        <f ca="1"/>
        <v>#N/A</v>
      </c>
      <c r="K304" t="e">
        <f ca="1"/>
        <v>#N/A</v>
      </c>
      <c r="L304" t="e">
        <f ca="1"/>
        <v>#N/A</v>
      </c>
      <c r="M304" t="e">
        <f ca="1"/>
        <v>#N/A</v>
      </c>
      <c r="N304" t="e">
        <f ca="1"/>
        <v>#N/A</v>
      </c>
      <c r="O304" t="e">
        <f ca="1"/>
        <v>#N/A</v>
      </c>
      <c r="P304" t="e">
        <f ca="1"/>
        <v>#N/A</v>
      </c>
      <c r="Q304" t="e">
        <f ca="1"/>
        <v>#N/A</v>
      </c>
      <c r="R304" t="e">
        <f ca="1"/>
        <v>#N/A</v>
      </c>
      <c r="S304" t="e">
        <f ca="1"/>
        <v>#N/A</v>
      </c>
      <c r="T304" t="e">
        <f ca="1"/>
        <v>#N/A</v>
      </c>
      <c r="U304" t="e">
        <f ca="1"/>
        <v>#N/A</v>
      </c>
      <c r="V304" t="e">
        <f ca="1"/>
        <v>#N/A</v>
      </c>
      <c r="X304" s="2">
        <f t="shared" ca="1" si="29"/>
        <v>0</v>
      </c>
      <c r="Y304">
        <f t="shared" ca="1" si="30"/>
        <v>0</v>
      </c>
      <c r="AA304" s="63" t="e">
        <f t="shared" ca="1" si="32"/>
        <v>#N/A</v>
      </c>
      <c r="AB304" s="63" t="e">
        <f t="shared" ca="1" si="33"/>
        <v>#N/A</v>
      </c>
      <c r="AC304" s="3" t="e">
        <f t="shared" ca="1" si="34"/>
        <v>#N/A</v>
      </c>
    </row>
    <row r="305" spans="8:29">
      <c r="H305" t="e">
        <f t="shared" ca="1" si="31"/>
        <v>#N/A</v>
      </c>
      <c r="I305" t="e">
        <f t="shared" ca="1" si="28"/>
        <v>#N/A</v>
      </c>
      <c r="J305" s="2" t="e">
        <f ca="1"/>
        <v>#N/A</v>
      </c>
      <c r="K305" t="e">
        <f ca="1"/>
        <v>#N/A</v>
      </c>
      <c r="L305" t="e">
        <f ca="1"/>
        <v>#N/A</v>
      </c>
      <c r="M305" t="e">
        <f ca="1"/>
        <v>#N/A</v>
      </c>
      <c r="N305" t="e">
        <f ca="1"/>
        <v>#N/A</v>
      </c>
      <c r="O305" t="e">
        <f ca="1"/>
        <v>#N/A</v>
      </c>
      <c r="P305" t="e">
        <f ca="1"/>
        <v>#N/A</v>
      </c>
      <c r="Q305" t="e">
        <f ca="1"/>
        <v>#N/A</v>
      </c>
      <c r="R305" t="e">
        <f ca="1"/>
        <v>#N/A</v>
      </c>
      <c r="S305" t="e">
        <f ca="1"/>
        <v>#N/A</v>
      </c>
      <c r="T305" t="e">
        <f ca="1"/>
        <v>#N/A</v>
      </c>
      <c r="U305" t="e">
        <f ca="1"/>
        <v>#N/A</v>
      </c>
      <c r="V305" t="e">
        <f ca="1"/>
        <v>#N/A</v>
      </c>
      <c r="X305" s="2">
        <f t="shared" ca="1" si="29"/>
        <v>0</v>
      </c>
      <c r="Y305">
        <f t="shared" ca="1" si="30"/>
        <v>0</v>
      </c>
      <c r="AA305" s="63" t="e">
        <f t="shared" ca="1" si="32"/>
        <v>#N/A</v>
      </c>
      <c r="AB305" s="63" t="e">
        <f t="shared" ca="1" si="33"/>
        <v>#N/A</v>
      </c>
      <c r="AC305" s="3" t="e">
        <f t="shared" ca="1" si="34"/>
        <v>#N/A</v>
      </c>
    </row>
    <row r="306" spans="8:29">
      <c r="H306" t="e">
        <f t="shared" ca="1" si="31"/>
        <v>#N/A</v>
      </c>
      <c r="I306" t="e">
        <f t="shared" ca="1" si="28"/>
        <v>#N/A</v>
      </c>
      <c r="J306" s="2" t="e">
        <f ca="1"/>
        <v>#N/A</v>
      </c>
      <c r="K306" t="e">
        <f ca="1"/>
        <v>#N/A</v>
      </c>
      <c r="L306" t="e">
        <f ca="1"/>
        <v>#N/A</v>
      </c>
      <c r="M306" t="e">
        <f ca="1"/>
        <v>#N/A</v>
      </c>
      <c r="N306" t="e">
        <f ca="1"/>
        <v>#N/A</v>
      </c>
      <c r="O306" t="e">
        <f ca="1"/>
        <v>#N/A</v>
      </c>
      <c r="P306" t="e">
        <f ca="1"/>
        <v>#N/A</v>
      </c>
      <c r="Q306" t="e">
        <f ca="1"/>
        <v>#N/A</v>
      </c>
      <c r="R306" t="e">
        <f ca="1"/>
        <v>#N/A</v>
      </c>
      <c r="S306" t="e">
        <f ca="1"/>
        <v>#N/A</v>
      </c>
      <c r="T306" t="e">
        <f ca="1"/>
        <v>#N/A</v>
      </c>
      <c r="U306" t="e">
        <f ca="1"/>
        <v>#N/A</v>
      </c>
      <c r="V306" t="e">
        <f ca="1"/>
        <v>#N/A</v>
      </c>
      <c r="X306" s="2">
        <f t="shared" ca="1" si="29"/>
        <v>0</v>
      </c>
      <c r="Y306">
        <f t="shared" ca="1" si="30"/>
        <v>0</v>
      </c>
      <c r="AA306" s="63" t="e">
        <f t="shared" ca="1" si="32"/>
        <v>#N/A</v>
      </c>
      <c r="AB306" s="63" t="e">
        <f t="shared" ca="1" si="33"/>
        <v>#N/A</v>
      </c>
      <c r="AC306" s="3" t="e">
        <f t="shared" ca="1" si="34"/>
        <v>#N/A</v>
      </c>
    </row>
    <row r="307" spans="8:29">
      <c r="H307" t="e">
        <f t="shared" ca="1" si="31"/>
        <v>#N/A</v>
      </c>
      <c r="I307" t="e">
        <f t="shared" ca="1" si="28"/>
        <v>#N/A</v>
      </c>
      <c r="J307" s="2" t="e">
        <f ca="1"/>
        <v>#N/A</v>
      </c>
      <c r="K307" t="e">
        <f ca="1"/>
        <v>#N/A</v>
      </c>
      <c r="L307" t="e">
        <f ca="1"/>
        <v>#N/A</v>
      </c>
      <c r="M307" t="e">
        <f ca="1"/>
        <v>#N/A</v>
      </c>
      <c r="N307" t="e">
        <f ca="1"/>
        <v>#N/A</v>
      </c>
      <c r="O307" t="e">
        <f ca="1"/>
        <v>#N/A</v>
      </c>
      <c r="P307" t="e">
        <f ca="1"/>
        <v>#N/A</v>
      </c>
      <c r="Q307" t="e">
        <f ca="1"/>
        <v>#N/A</v>
      </c>
      <c r="R307" t="e">
        <f ca="1"/>
        <v>#N/A</v>
      </c>
      <c r="S307" t="e">
        <f ca="1"/>
        <v>#N/A</v>
      </c>
      <c r="T307" t="e">
        <f ca="1"/>
        <v>#N/A</v>
      </c>
      <c r="U307" t="e">
        <f ca="1"/>
        <v>#N/A</v>
      </c>
      <c r="V307" t="e">
        <f ca="1"/>
        <v>#N/A</v>
      </c>
      <c r="X307" s="2">
        <f t="shared" ca="1" si="29"/>
        <v>0</v>
      </c>
      <c r="Y307">
        <f t="shared" ca="1" si="30"/>
        <v>0</v>
      </c>
      <c r="AA307" s="63" t="e">
        <f t="shared" ca="1" si="32"/>
        <v>#N/A</v>
      </c>
      <c r="AB307" s="63" t="e">
        <f t="shared" ca="1" si="33"/>
        <v>#N/A</v>
      </c>
      <c r="AC307" s="3" t="e">
        <f t="shared" ca="1" si="34"/>
        <v>#N/A</v>
      </c>
    </row>
    <row r="308" spans="8:29">
      <c r="H308" t="e">
        <f t="shared" ca="1" si="31"/>
        <v>#N/A</v>
      </c>
      <c r="I308" t="e">
        <f t="shared" ca="1" si="28"/>
        <v>#N/A</v>
      </c>
      <c r="J308" s="2" t="e">
        <f ca="1"/>
        <v>#N/A</v>
      </c>
      <c r="K308" t="e">
        <f ca="1"/>
        <v>#N/A</v>
      </c>
      <c r="L308" t="e">
        <f ca="1"/>
        <v>#N/A</v>
      </c>
      <c r="M308" t="e">
        <f ca="1"/>
        <v>#N/A</v>
      </c>
      <c r="N308" t="e">
        <f ca="1"/>
        <v>#N/A</v>
      </c>
      <c r="O308" t="e">
        <f ca="1"/>
        <v>#N/A</v>
      </c>
      <c r="P308" t="e">
        <f ca="1"/>
        <v>#N/A</v>
      </c>
      <c r="Q308" t="e">
        <f ca="1"/>
        <v>#N/A</v>
      </c>
      <c r="R308" t="e">
        <f ca="1"/>
        <v>#N/A</v>
      </c>
      <c r="S308" t="e">
        <f ca="1"/>
        <v>#N/A</v>
      </c>
      <c r="T308" t="e">
        <f ca="1"/>
        <v>#N/A</v>
      </c>
      <c r="U308" t="e">
        <f ca="1"/>
        <v>#N/A</v>
      </c>
      <c r="V308" t="e">
        <f ca="1"/>
        <v>#N/A</v>
      </c>
      <c r="X308" s="2">
        <f t="shared" ca="1" si="29"/>
        <v>0</v>
      </c>
      <c r="Y308">
        <f t="shared" ca="1" si="30"/>
        <v>0</v>
      </c>
      <c r="AA308" s="63" t="e">
        <f t="shared" ca="1" si="32"/>
        <v>#N/A</v>
      </c>
      <c r="AB308" s="63" t="e">
        <f t="shared" ca="1" si="33"/>
        <v>#N/A</v>
      </c>
      <c r="AC308" s="3" t="e">
        <f t="shared" ca="1" si="34"/>
        <v>#N/A</v>
      </c>
    </row>
    <row r="309" spans="8:29">
      <c r="H309" t="e">
        <f t="shared" ca="1" si="31"/>
        <v>#N/A</v>
      </c>
      <c r="I309" t="e">
        <f t="shared" ca="1" si="28"/>
        <v>#N/A</v>
      </c>
      <c r="J309" s="2" t="e">
        <f ca="1"/>
        <v>#N/A</v>
      </c>
      <c r="K309" t="e">
        <f ca="1"/>
        <v>#N/A</v>
      </c>
      <c r="L309" t="e">
        <f ca="1"/>
        <v>#N/A</v>
      </c>
      <c r="M309" t="e">
        <f ca="1"/>
        <v>#N/A</v>
      </c>
      <c r="N309" t="e">
        <f ca="1"/>
        <v>#N/A</v>
      </c>
      <c r="O309" t="e">
        <f ca="1"/>
        <v>#N/A</v>
      </c>
      <c r="P309" t="e">
        <f ca="1"/>
        <v>#N/A</v>
      </c>
      <c r="Q309" t="e">
        <f ca="1"/>
        <v>#N/A</v>
      </c>
      <c r="R309" t="e">
        <f ca="1"/>
        <v>#N/A</v>
      </c>
      <c r="S309" t="e">
        <f ca="1"/>
        <v>#N/A</v>
      </c>
      <c r="T309" t="e">
        <f ca="1"/>
        <v>#N/A</v>
      </c>
      <c r="U309" t="e">
        <f ca="1"/>
        <v>#N/A</v>
      </c>
      <c r="V309" t="e">
        <f ca="1"/>
        <v>#N/A</v>
      </c>
      <c r="X309" s="2">
        <f t="shared" ca="1" si="29"/>
        <v>0</v>
      </c>
      <c r="Y309">
        <f t="shared" ca="1" si="30"/>
        <v>0</v>
      </c>
      <c r="AA309" s="63" t="e">
        <f t="shared" ca="1" si="32"/>
        <v>#N/A</v>
      </c>
      <c r="AB309" s="63" t="e">
        <f t="shared" ca="1" si="33"/>
        <v>#N/A</v>
      </c>
      <c r="AC309" s="3" t="e">
        <f t="shared" ca="1" si="34"/>
        <v>#N/A</v>
      </c>
    </row>
    <row r="310" spans="8:29">
      <c r="H310" t="e">
        <f t="shared" ca="1" si="31"/>
        <v>#N/A</v>
      </c>
      <c r="I310" t="e">
        <f t="shared" ca="1" si="28"/>
        <v>#N/A</v>
      </c>
      <c r="J310" s="2" t="e">
        <f ca="1"/>
        <v>#N/A</v>
      </c>
      <c r="K310" t="e">
        <f ca="1"/>
        <v>#N/A</v>
      </c>
      <c r="L310" t="e">
        <f ca="1"/>
        <v>#N/A</v>
      </c>
      <c r="M310" t="e">
        <f ca="1"/>
        <v>#N/A</v>
      </c>
      <c r="N310" t="e">
        <f ca="1"/>
        <v>#N/A</v>
      </c>
      <c r="O310" t="e">
        <f ca="1"/>
        <v>#N/A</v>
      </c>
      <c r="P310" t="e">
        <f ca="1"/>
        <v>#N/A</v>
      </c>
      <c r="Q310" t="e">
        <f ca="1"/>
        <v>#N/A</v>
      </c>
      <c r="R310" t="e">
        <f ca="1"/>
        <v>#N/A</v>
      </c>
      <c r="S310" t="e">
        <f ca="1"/>
        <v>#N/A</v>
      </c>
      <c r="T310" t="e">
        <f ca="1"/>
        <v>#N/A</v>
      </c>
      <c r="U310" t="e">
        <f ca="1"/>
        <v>#N/A</v>
      </c>
      <c r="V310" t="e">
        <f ca="1"/>
        <v>#N/A</v>
      </c>
      <c r="X310" s="2">
        <f t="shared" ca="1" si="29"/>
        <v>0</v>
      </c>
      <c r="Y310">
        <f t="shared" ca="1" si="30"/>
        <v>0</v>
      </c>
      <c r="AA310" s="63" t="e">
        <f t="shared" ca="1" si="32"/>
        <v>#N/A</v>
      </c>
      <c r="AB310" s="63" t="e">
        <f t="shared" ca="1" si="33"/>
        <v>#N/A</v>
      </c>
      <c r="AC310" s="3" t="e">
        <f t="shared" ca="1" si="34"/>
        <v>#N/A</v>
      </c>
    </row>
    <row r="311" spans="8:29">
      <c r="H311" t="e">
        <f t="shared" ca="1" si="31"/>
        <v>#N/A</v>
      </c>
      <c r="I311" t="e">
        <f t="shared" ca="1" si="28"/>
        <v>#N/A</v>
      </c>
      <c r="J311" s="2" t="e">
        <f ca="1"/>
        <v>#N/A</v>
      </c>
      <c r="K311" t="e">
        <f ca="1"/>
        <v>#N/A</v>
      </c>
      <c r="L311" t="e">
        <f ca="1"/>
        <v>#N/A</v>
      </c>
      <c r="M311" t="e">
        <f ca="1"/>
        <v>#N/A</v>
      </c>
      <c r="N311" t="e">
        <f ca="1"/>
        <v>#N/A</v>
      </c>
      <c r="O311" t="e">
        <f ca="1"/>
        <v>#N/A</v>
      </c>
      <c r="P311" t="e">
        <f ca="1"/>
        <v>#N/A</v>
      </c>
      <c r="Q311" t="e">
        <f ca="1"/>
        <v>#N/A</v>
      </c>
      <c r="R311" t="e">
        <f ca="1"/>
        <v>#N/A</v>
      </c>
      <c r="S311" t="e">
        <f ca="1"/>
        <v>#N/A</v>
      </c>
      <c r="T311" t="e">
        <f ca="1"/>
        <v>#N/A</v>
      </c>
      <c r="U311" t="e">
        <f ca="1"/>
        <v>#N/A</v>
      </c>
      <c r="V311" t="e">
        <f ca="1"/>
        <v>#N/A</v>
      </c>
      <c r="X311" s="2">
        <f t="shared" ca="1" si="29"/>
        <v>0</v>
      </c>
      <c r="Y311">
        <f t="shared" ca="1" si="30"/>
        <v>0</v>
      </c>
      <c r="AA311" s="63" t="e">
        <f t="shared" ca="1" si="32"/>
        <v>#N/A</v>
      </c>
      <c r="AB311" s="63" t="e">
        <f t="shared" ca="1" si="33"/>
        <v>#N/A</v>
      </c>
      <c r="AC311" s="3" t="e">
        <f t="shared" ca="1" si="34"/>
        <v>#N/A</v>
      </c>
    </row>
    <row r="312" spans="8:29">
      <c r="H312" t="e">
        <f t="shared" ca="1" si="31"/>
        <v>#N/A</v>
      </c>
      <c r="I312" t="e">
        <f t="shared" ca="1" si="28"/>
        <v>#N/A</v>
      </c>
      <c r="J312" s="2" t="e">
        <f ca="1"/>
        <v>#N/A</v>
      </c>
      <c r="K312" t="e">
        <f ca="1"/>
        <v>#N/A</v>
      </c>
      <c r="L312" t="e">
        <f ca="1"/>
        <v>#N/A</v>
      </c>
      <c r="M312" t="e">
        <f ca="1"/>
        <v>#N/A</v>
      </c>
      <c r="N312" t="e">
        <f ca="1"/>
        <v>#N/A</v>
      </c>
      <c r="O312" t="e">
        <f ca="1"/>
        <v>#N/A</v>
      </c>
      <c r="P312" t="e">
        <f ca="1"/>
        <v>#N/A</v>
      </c>
      <c r="Q312" t="e">
        <f ca="1"/>
        <v>#N/A</v>
      </c>
      <c r="R312" t="e">
        <f ca="1"/>
        <v>#N/A</v>
      </c>
      <c r="S312" t="e">
        <f ca="1"/>
        <v>#N/A</v>
      </c>
      <c r="T312" t="e">
        <f ca="1"/>
        <v>#N/A</v>
      </c>
      <c r="U312" t="e">
        <f ca="1"/>
        <v>#N/A</v>
      </c>
      <c r="V312" t="e">
        <f ca="1"/>
        <v>#N/A</v>
      </c>
      <c r="X312" s="2">
        <f t="shared" ca="1" si="29"/>
        <v>0</v>
      </c>
      <c r="Y312">
        <f t="shared" ca="1" si="30"/>
        <v>0</v>
      </c>
      <c r="AA312" s="63" t="e">
        <f t="shared" ca="1" si="32"/>
        <v>#N/A</v>
      </c>
      <c r="AB312" s="63" t="e">
        <f t="shared" ca="1" si="33"/>
        <v>#N/A</v>
      </c>
      <c r="AC312" s="3" t="e">
        <f t="shared" ca="1" si="34"/>
        <v>#N/A</v>
      </c>
    </row>
    <row r="313" spans="8:29">
      <c r="H313" t="e">
        <f t="shared" ca="1" si="31"/>
        <v>#N/A</v>
      </c>
      <c r="I313" t="e">
        <f t="shared" ca="1" si="28"/>
        <v>#N/A</v>
      </c>
      <c r="J313" s="2" t="e">
        <f ca="1"/>
        <v>#N/A</v>
      </c>
      <c r="K313" t="e">
        <f ca="1"/>
        <v>#N/A</v>
      </c>
      <c r="L313" t="e">
        <f ca="1"/>
        <v>#N/A</v>
      </c>
      <c r="M313" t="e">
        <f ca="1"/>
        <v>#N/A</v>
      </c>
      <c r="N313" t="e">
        <f ca="1"/>
        <v>#N/A</v>
      </c>
      <c r="O313" t="e">
        <f ca="1"/>
        <v>#N/A</v>
      </c>
      <c r="P313" t="e">
        <f ca="1"/>
        <v>#N/A</v>
      </c>
      <c r="Q313" t="e">
        <f ca="1"/>
        <v>#N/A</v>
      </c>
      <c r="R313" t="e">
        <f ca="1"/>
        <v>#N/A</v>
      </c>
      <c r="S313" t="e">
        <f ca="1"/>
        <v>#N/A</v>
      </c>
      <c r="T313" t="e">
        <f ca="1"/>
        <v>#N/A</v>
      </c>
      <c r="U313" t="e">
        <f ca="1"/>
        <v>#N/A</v>
      </c>
      <c r="V313" t="e">
        <f ca="1"/>
        <v>#N/A</v>
      </c>
      <c r="X313" s="2">
        <f t="shared" ca="1" si="29"/>
        <v>0</v>
      </c>
      <c r="Y313">
        <f t="shared" ca="1" si="30"/>
        <v>0</v>
      </c>
      <c r="AA313" s="63" t="e">
        <f t="shared" ca="1" si="32"/>
        <v>#N/A</v>
      </c>
      <c r="AB313" s="63" t="e">
        <f t="shared" ca="1" si="33"/>
        <v>#N/A</v>
      </c>
      <c r="AC313" s="3" t="e">
        <f t="shared" ca="1" si="34"/>
        <v>#N/A</v>
      </c>
    </row>
    <row r="314" spans="8:29">
      <c r="H314" t="e">
        <f t="shared" ca="1" si="31"/>
        <v>#N/A</v>
      </c>
      <c r="I314" t="e">
        <f t="shared" ca="1" si="28"/>
        <v>#N/A</v>
      </c>
      <c r="J314" s="2" t="e">
        <f ca="1"/>
        <v>#N/A</v>
      </c>
      <c r="K314" t="e">
        <f ca="1"/>
        <v>#N/A</v>
      </c>
      <c r="L314" t="e">
        <f ca="1"/>
        <v>#N/A</v>
      </c>
      <c r="M314" t="e">
        <f ca="1"/>
        <v>#N/A</v>
      </c>
      <c r="N314" t="e">
        <f ca="1"/>
        <v>#N/A</v>
      </c>
      <c r="O314" t="e">
        <f ca="1"/>
        <v>#N/A</v>
      </c>
      <c r="P314" t="e">
        <f ca="1"/>
        <v>#N/A</v>
      </c>
      <c r="Q314" t="e">
        <f ca="1"/>
        <v>#N/A</v>
      </c>
      <c r="R314" t="e">
        <f ca="1"/>
        <v>#N/A</v>
      </c>
      <c r="S314" t="e">
        <f ca="1"/>
        <v>#N/A</v>
      </c>
      <c r="T314" t="e">
        <f ca="1"/>
        <v>#N/A</v>
      </c>
      <c r="U314" t="e">
        <f ca="1"/>
        <v>#N/A</v>
      </c>
      <c r="V314" t="e">
        <f ca="1"/>
        <v>#N/A</v>
      </c>
      <c r="X314" s="2">
        <f t="shared" ca="1" si="29"/>
        <v>0</v>
      </c>
      <c r="Y314">
        <f t="shared" ca="1" si="30"/>
        <v>0</v>
      </c>
      <c r="AA314" s="63" t="e">
        <f t="shared" ca="1" si="32"/>
        <v>#N/A</v>
      </c>
      <c r="AB314" s="63" t="e">
        <f t="shared" ca="1" si="33"/>
        <v>#N/A</v>
      </c>
      <c r="AC314" s="3" t="e">
        <f t="shared" ca="1" si="34"/>
        <v>#N/A</v>
      </c>
    </row>
    <row r="315" spans="8:29">
      <c r="H315" t="e">
        <f t="shared" ca="1" si="31"/>
        <v>#N/A</v>
      </c>
      <c r="I315" t="e">
        <f t="shared" ca="1" si="28"/>
        <v>#N/A</v>
      </c>
      <c r="J315" s="2" t="e">
        <f ca="1"/>
        <v>#N/A</v>
      </c>
      <c r="K315" t="e">
        <f ca="1"/>
        <v>#N/A</v>
      </c>
      <c r="L315" t="e">
        <f ca="1"/>
        <v>#N/A</v>
      </c>
      <c r="M315" t="e">
        <f ca="1"/>
        <v>#N/A</v>
      </c>
      <c r="N315" t="e">
        <f ca="1"/>
        <v>#N/A</v>
      </c>
      <c r="O315" t="e">
        <f ca="1"/>
        <v>#N/A</v>
      </c>
      <c r="P315" t="e">
        <f ca="1"/>
        <v>#N/A</v>
      </c>
      <c r="Q315" t="e">
        <f ca="1"/>
        <v>#N/A</v>
      </c>
      <c r="R315" t="e">
        <f ca="1"/>
        <v>#N/A</v>
      </c>
      <c r="S315" t="e">
        <f ca="1"/>
        <v>#N/A</v>
      </c>
      <c r="T315" t="e">
        <f ca="1"/>
        <v>#N/A</v>
      </c>
      <c r="U315" t="e">
        <f ca="1"/>
        <v>#N/A</v>
      </c>
      <c r="V315" t="e">
        <f ca="1"/>
        <v>#N/A</v>
      </c>
      <c r="X315" s="2">
        <f t="shared" ca="1" si="29"/>
        <v>0</v>
      </c>
      <c r="Y315">
        <f t="shared" ca="1" si="30"/>
        <v>0</v>
      </c>
      <c r="AA315" s="63" t="e">
        <f t="shared" ca="1" si="32"/>
        <v>#N/A</v>
      </c>
      <c r="AB315" s="63" t="e">
        <f t="shared" ca="1" si="33"/>
        <v>#N/A</v>
      </c>
      <c r="AC315" s="3" t="e">
        <f t="shared" ca="1" si="34"/>
        <v>#N/A</v>
      </c>
    </row>
    <row r="316" spans="8:29">
      <c r="H316" t="e">
        <f t="shared" ca="1" si="31"/>
        <v>#N/A</v>
      </c>
      <c r="I316" t="e">
        <f t="shared" ca="1" si="28"/>
        <v>#N/A</v>
      </c>
      <c r="J316" s="2" t="e">
        <f ca="1"/>
        <v>#N/A</v>
      </c>
      <c r="K316" t="e">
        <f ca="1"/>
        <v>#N/A</v>
      </c>
      <c r="L316" t="e">
        <f ca="1"/>
        <v>#N/A</v>
      </c>
      <c r="M316" t="e">
        <f ca="1"/>
        <v>#N/A</v>
      </c>
      <c r="N316" t="e">
        <f ca="1"/>
        <v>#N/A</v>
      </c>
      <c r="O316" t="e">
        <f ca="1"/>
        <v>#N/A</v>
      </c>
      <c r="P316" t="e">
        <f ca="1"/>
        <v>#N/A</v>
      </c>
      <c r="Q316" t="e">
        <f ca="1"/>
        <v>#N/A</v>
      </c>
      <c r="R316" t="e">
        <f ca="1"/>
        <v>#N/A</v>
      </c>
      <c r="S316" t="e">
        <f ca="1"/>
        <v>#N/A</v>
      </c>
      <c r="T316" t="e">
        <f ca="1"/>
        <v>#N/A</v>
      </c>
      <c r="U316" t="e">
        <f ca="1"/>
        <v>#N/A</v>
      </c>
      <c r="V316" t="e">
        <f ca="1"/>
        <v>#N/A</v>
      </c>
      <c r="X316" s="2">
        <f t="shared" ca="1" si="29"/>
        <v>0</v>
      </c>
      <c r="Y316">
        <f t="shared" ca="1" si="30"/>
        <v>0</v>
      </c>
      <c r="AA316" s="63" t="e">
        <f t="shared" ca="1" si="32"/>
        <v>#N/A</v>
      </c>
      <c r="AB316" s="63" t="e">
        <f t="shared" ca="1" si="33"/>
        <v>#N/A</v>
      </c>
      <c r="AC316" s="3" t="e">
        <f t="shared" ca="1" si="34"/>
        <v>#N/A</v>
      </c>
    </row>
    <row r="317" spans="8:29">
      <c r="H317" t="e">
        <f t="shared" ca="1" si="31"/>
        <v>#N/A</v>
      </c>
      <c r="I317" t="e">
        <f t="shared" ca="1" si="28"/>
        <v>#N/A</v>
      </c>
      <c r="J317" s="2" t="e">
        <f ca="1"/>
        <v>#N/A</v>
      </c>
      <c r="K317" t="e">
        <f ca="1"/>
        <v>#N/A</v>
      </c>
      <c r="L317" t="e">
        <f ca="1"/>
        <v>#N/A</v>
      </c>
      <c r="M317" t="e">
        <f ca="1"/>
        <v>#N/A</v>
      </c>
      <c r="N317" t="e">
        <f ca="1"/>
        <v>#N/A</v>
      </c>
      <c r="O317" t="e">
        <f ca="1"/>
        <v>#N/A</v>
      </c>
      <c r="P317" t="e">
        <f ca="1"/>
        <v>#N/A</v>
      </c>
      <c r="Q317" t="e">
        <f ca="1"/>
        <v>#N/A</v>
      </c>
      <c r="R317" t="e">
        <f ca="1"/>
        <v>#N/A</v>
      </c>
      <c r="S317" t="e">
        <f ca="1"/>
        <v>#N/A</v>
      </c>
      <c r="T317" t="e">
        <f ca="1"/>
        <v>#N/A</v>
      </c>
      <c r="U317" t="e">
        <f ca="1"/>
        <v>#N/A</v>
      </c>
      <c r="V317" t="e">
        <f ca="1"/>
        <v>#N/A</v>
      </c>
      <c r="X317" s="2">
        <f t="shared" ca="1" si="29"/>
        <v>0</v>
      </c>
      <c r="Y317">
        <f t="shared" ca="1" si="30"/>
        <v>0</v>
      </c>
      <c r="AA317" s="63" t="e">
        <f t="shared" ca="1" si="32"/>
        <v>#N/A</v>
      </c>
      <c r="AB317" s="63" t="e">
        <f t="shared" ca="1" si="33"/>
        <v>#N/A</v>
      </c>
      <c r="AC317" s="3" t="e">
        <f t="shared" ca="1" si="34"/>
        <v>#N/A</v>
      </c>
    </row>
    <row r="318" spans="8:29">
      <c r="H318" t="e">
        <f t="shared" ca="1" si="31"/>
        <v>#N/A</v>
      </c>
      <c r="I318" t="e">
        <f t="shared" ca="1" si="28"/>
        <v>#N/A</v>
      </c>
      <c r="J318" s="2" t="e">
        <f ca="1"/>
        <v>#N/A</v>
      </c>
      <c r="K318" t="e">
        <f ca="1"/>
        <v>#N/A</v>
      </c>
      <c r="L318" t="e">
        <f ca="1"/>
        <v>#N/A</v>
      </c>
      <c r="M318" t="e">
        <f ca="1"/>
        <v>#N/A</v>
      </c>
      <c r="N318" t="e">
        <f ca="1"/>
        <v>#N/A</v>
      </c>
      <c r="O318" t="e">
        <f ca="1"/>
        <v>#N/A</v>
      </c>
      <c r="P318" t="e">
        <f ca="1"/>
        <v>#N/A</v>
      </c>
      <c r="Q318" t="e">
        <f ca="1"/>
        <v>#N/A</v>
      </c>
      <c r="R318" t="e">
        <f ca="1"/>
        <v>#N/A</v>
      </c>
      <c r="S318" t="e">
        <f ca="1"/>
        <v>#N/A</v>
      </c>
      <c r="T318" t="e">
        <f ca="1"/>
        <v>#N/A</v>
      </c>
      <c r="U318" t="e">
        <f ca="1"/>
        <v>#N/A</v>
      </c>
      <c r="V318" t="e">
        <f ca="1"/>
        <v>#N/A</v>
      </c>
      <c r="X318" s="2">
        <f t="shared" ca="1" si="29"/>
        <v>0</v>
      </c>
      <c r="Y318">
        <f t="shared" ca="1" si="30"/>
        <v>0</v>
      </c>
      <c r="AA318" s="63" t="e">
        <f t="shared" ca="1" si="32"/>
        <v>#N/A</v>
      </c>
      <c r="AB318" s="63" t="e">
        <f t="shared" ca="1" si="33"/>
        <v>#N/A</v>
      </c>
      <c r="AC318" s="3" t="e">
        <f t="shared" ca="1" si="34"/>
        <v>#N/A</v>
      </c>
    </row>
    <row r="319" spans="8:29">
      <c r="H319" t="e">
        <f t="shared" ca="1" si="31"/>
        <v>#N/A</v>
      </c>
      <c r="I319" t="e">
        <f t="shared" ca="1" si="28"/>
        <v>#N/A</v>
      </c>
      <c r="J319" s="2" t="e">
        <f ca="1"/>
        <v>#N/A</v>
      </c>
      <c r="K319" t="e">
        <f ca="1"/>
        <v>#N/A</v>
      </c>
      <c r="L319" t="e">
        <f ca="1"/>
        <v>#N/A</v>
      </c>
      <c r="M319" t="e">
        <f ca="1"/>
        <v>#N/A</v>
      </c>
      <c r="N319" t="e">
        <f ca="1"/>
        <v>#N/A</v>
      </c>
      <c r="O319" t="e">
        <f ca="1"/>
        <v>#N/A</v>
      </c>
      <c r="P319" t="e">
        <f ca="1"/>
        <v>#N/A</v>
      </c>
      <c r="Q319" t="e">
        <f ca="1"/>
        <v>#N/A</v>
      </c>
      <c r="R319" t="e">
        <f ca="1"/>
        <v>#N/A</v>
      </c>
      <c r="S319" t="e">
        <f ca="1"/>
        <v>#N/A</v>
      </c>
      <c r="T319" t="e">
        <f ca="1"/>
        <v>#N/A</v>
      </c>
      <c r="U319" t="e">
        <f ca="1"/>
        <v>#N/A</v>
      </c>
      <c r="V319" t="e">
        <f ca="1"/>
        <v>#N/A</v>
      </c>
      <c r="X319" s="2">
        <f t="shared" ca="1" si="29"/>
        <v>0</v>
      </c>
      <c r="Y319">
        <f t="shared" ca="1" si="30"/>
        <v>0</v>
      </c>
      <c r="AA319" s="63" t="e">
        <f t="shared" ca="1" si="32"/>
        <v>#N/A</v>
      </c>
      <c r="AB319" s="63" t="e">
        <f t="shared" ca="1" si="33"/>
        <v>#N/A</v>
      </c>
      <c r="AC319" s="3" t="e">
        <f t="shared" ca="1" si="34"/>
        <v>#N/A</v>
      </c>
    </row>
    <row r="320" spans="8:29">
      <c r="H320" t="e">
        <f t="shared" ca="1" si="31"/>
        <v>#N/A</v>
      </c>
      <c r="I320" t="e">
        <f t="shared" ca="1" si="28"/>
        <v>#N/A</v>
      </c>
      <c r="J320" s="2" t="e">
        <f ca="1"/>
        <v>#N/A</v>
      </c>
      <c r="K320" t="e">
        <f ca="1"/>
        <v>#N/A</v>
      </c>
      <c r="L320" t="e">
        <f ca="1"/>
        <v>#N/A</v>
      </c>
      <c r="M320" t="e">
        <f ca="1"/>
        <v>#N/A</v>
      </c>
      <c r="N320" t="e">
        <f ca="1"/>
        <v>#N/A</v>
      </c>
      <c r="O320" t="e">
        <f ca="1"/>
        <v>#N/A</v>
      </c>
      <c r="P320" t="e">
        <f ca="1"/>
        <v>#N/A</v>
      </c>
      <c r="Q320" t="e">
        <f ca="1"/>
        <v>#N/A</v>
      </c>
      <c r="R320" t="e">
        <f ca="1"/>
        <v>#N/A</v>
      </c>
      <c r="S320" t="e">
        <f ca="1"/>
        <v>#N/A</v>
      </c>
      <c r="T320" t="e">
        <f ca="1"/>
        <v>#N/A</v>
      </c>
      <c r="U320" t="e">
        <f ca="1"/>
        <v>#N/A</v>
      </c>
      <c r="V320" t="e">
        <f ca="1"/>
        <v>#N/A</v>
      </c>
      <c r="X320" s="2">
        <f t="shared" ca="1" si="29"/>
        <v>0</v>
      </c>
      <c r="Y320">
        <f t="shared" ca="1" si="30"/>
        <v>0</v>
      </c>
      <c r="AA320" s="63" t="e">
        <f t="shared" ca="1" si="32"/>
        <v>#N/A</v>
      </c>
      <c r="AB320" s="63" t="e">
        <f t="shared" ca="1" si="33"/>
        <v>#N/A</v>
      </c>
      <c r="AC320" s="3" t="e">
        <f t="shared" ca="1" si="34"/>
        <v>#N/A</v>
      </c>
    </row>
    <row r="321" spans="8:29">
      <c r="H321" t="e">
        <f t="shared" ca="1" si="31"/>
        <v>#N/A</v>
      </c>
      <c r="I321" t="e">
        <f t="shared" ca="1" si="28"/>
        <v>#N/A</v>
      </c>
      <c r="J321" s="2" t="e">
        <f ca="1"/>
        <v>#N/A</v>
      </c>
      <c r="K321" t="e">
        <f ca="1"/>
        <v>#N/A</v>
      </c>
      <c r="L321" t="e">
        <f ca="1"/>
        <v>#N/A</v>
      </c>
      <c r="M321" t="e">
        <f ca="1"/>
        <v>#N/A</v>
      </c>
      <c r="N321" t="e">
        <f ca="1"/>
        <v>#N/A</v>
      </c>
      <c r="O321" t="e">
        <f ca="1"/>
        <v>#N/A</v>
      </c>
      <c r="P321" t="e">
        <f ca="1"/>
        <v>#N/A</v>
      </c>
      <c r="Q321" t="e">
        <f ca="1"/>
        <v>#N/A</v>
      </c>
      <c r="R321" t="e">
        <f ca="1"/>
        <v>#N/A</v>
      </c>
      <c r="S321" t="e">
        <f ca="1"/>
        <v>#N/A</v>
      </c>
      <c r="T321" t="e">
        <f ca="1"/>
        <v>#N/A</v>
      </c>
      <c r="U321" t="e">
        <f ca="1"/>
        <v>#N/A</v>
      </c>
      <c r="V321" t="e">
        <f ca="1"/>
        <v>#N/A</v>
      </c>
      <c r="X321" s="2">
        <f t="shared" ca="1" si="29"/>
        <v>0</v>
      </c>
      <c r="Y321">
        <f t="shared" ca="1" si="30"/>
        <v>0</v>
      </c>
      <c r="AA321" s="63" t="e">
        <f t="shared" ca="1" si="32"/>
        <v>#N/A</v>
      </c>
      <c r="AB321" s="63" t="e">
        <f t="shared" ca="1" si="33"/>
        <v>#N/A</v>
      </c>
      <c r="AC321" s="3" t="e">
        <f t="shared" ca="1" si="34"/>
        <v>#N/A</v>
      </c>
    </row>
    <row r="322" spans="8:29">
      <c r="H322" t="e">
        <f t="shared" ca="1" si="31"/>
        <v>#N/A</v>
      </c>
      <c r="I322" t="e">
        <f t="shared" ca="1" si="28"/>
        <v>#N/A</v>
      </c>
      <c r="J322" s="2" t="e">
        <f ca="1"/>
        <v>#N/A</v>
      </c>
      <c r="K322" t="e">
        <f ca="1"/>
        <v>#N/A</v>
      </c>
      <c r="L322" t="e">
        <f ca="1"/>
        <v>#N/A</v>
      </c>
      <c r="M322" t="e">
        <f ca="1"/>
        <v>#N/A</v>
      </c>
      <c r="N322" t="e">
        <f ca="1"/>
        <v>#N/A</v>
      </c>
      <c r="O322" t="e">
        <f ca="1"/>
        <v>#N/A</v>
      </c>
      <c r="P322" t="e">
        <f ca="1"/>
        <v>#N/A</v>
      </c>
      <c r="Q322" t="e">
        <f ca="1"/>
        <v>#N/A</v>
      </c>
      <c r="R322" t="e">
        <f ca="1"/>
        <v>#N/A</v>
      </c>
      <c r="S322" t="e">
        <f ca="1"/>
        <v>#N/A</v>
      </c>
      <c r="T322" t="e">
        <f ca="1"/>
        <v>#N/A</v>
      </c>
      <c r="U322" t="e">
        <f ca="1"/>
        <v>#N/A</v>
      </c>
      <c r="V322" t="e">
        <f ca="1"/>
        <v>#N/A</v>
      </c>
      <c r="X322" s="2">
        <f t="shared" ca="1" si="29"/>
        <v>0</v>
      </c>
      <c r="Y322">
        <f t="shared" ca="1" si="30"/>
        <v>0</v>
      </c>
      <c r="AA322" s="63" t="e">
        <f t="shared" ca="1" si="32"/>
        <v>#N/A</v>
      </c>
      <c r="AB322" s="63" t="e">
        <f t="shared" ca="1" si="33"/>
        <v>#N/A</v>
      </c>
      <c r="AC322" s="3" t="e">
        <f t="shared" ca="1" si="34"/>
        <v>#N/A</v>
      </c>
    </row>
    <row r="323" spans="8:29">
      <c r="H323" t="e">
        <f t="shared" ca="1" si="31"/>
        <v>#N/A</v>
      </c>
      <c r="I323" t="e">
        <f t="shared" ca="1" si="28"/>
        <v>#N/A</v>
      </c>
      <c r="J323" s="2" t="e">
        <f ca="1"/>
        <v>#N/A</v>
      </c>
      <c r="K323" t="e">
        <f ca="1"/>
        <v>#N/A</v>
      </c>
      <c r="L323" t="e">
        <f ca="1"/>
        <v>#N/A</v>
      </c>
      <c r="M323" t="e">
        <f ca="1"/>
        <v>#N/A</v>
      </c>
      <c r="N323" t="e">
        <f ca="1"/>
        <v>#N/A</v>
      </c>
      <c r="O323" t="e">
        <f ca="1"/>
        <v>#N/A</v>
      </c>
      <c r="P323" t="e">
        <f ca="1"/>
        <v>#N/A</v>
      </c>
      <c r="Q323" t="e">
        <f ca="1"/>
        <v>#N/A</v>
      </c>
      <c r="R323" t="e">
        <f ca="1"/>
        <v>#N/A</v>
      </c>
      <c r="S323" t="e">
        <f ca="1"/>
        <v>#N/A</v>
      </c>
      <c r="T323" t="e">
        <f ca="1"/>
        <v>#N/A</v>
      </c>
      <c r="U323" t="e">
        <f ca="1"/>
        <v>#N/A</v>
      </c>
      <c r="V323" t="e">
        <f ca="1"/>
        <v>#N/A</v>
      </c>
      <c r="X323" s="2">
        <f t="shared" ca="1" si="29"/>
        <v>0</v>
      </c>
      <c r="Y323">
        <f t="shared" ca="1" si="30"/>
        <v>0</v>
      </c>
      <c r="AA323" s="63" t="e">
        <f t="shared" ca="1" si="32"/>
        <v>#N/A</v>
      </c>
      <c r="AB323" s="63" t="e">
        <f t="shared" ca="1" si="33"/>
        <v>#N/A</v>
      </c>
      <c r="AC323" s="3" t="e">
        <f t="shared" ca="1" si="34"/>
        <v>#N/A</v>
      </c>
    </row>
    <row r="324" spans="8:29">
      <c r="H324" t="e">
        <f t="shared" ca="1" si="31"/>
        <v>#N/A</v>
      </c>
      <c r="I324" t="e">
        <f t="shared" ca="1" si="28"/>
        <v>#N/A</v>
      </c>
      <c r="J324" s="2" t="e">
        <f ca="1"/>
        <v>#N/A</v>
      </c>
      <c r="K324" t="e">
        <f ca="1"/>
        <v>#N/A</v>
      </c>
      <c r="L324" t="e">
        <f ca="1"/>
        <v>#N/A</v>
      </c>
      <c r="M324" t="e">
        <f ca="1"/>
        <v>#N/A</v>
      </c>
      <c r="N324" t="e">
        <f ca="1"/>
        <v>#N/A</v>
      </c>
      <c r="O324" t="e">
        <f ca="1"/>
        <v>#N/A</v>
      </c>
      <c r="P324" t="e">
        <f ca="1"/>
        <v>#N/A</v>
      </c>
      <c r="Q324" t="e">
        <f ca="1"/>
        <v>#N/A</v>
      </c>
      <c r="R324" t="e">
        <f ca="1"/>
        <v>#N/A</v>
      </c>
      <c r="S324" t="e">
        <f ca="1"/>
        <v>#N/A</v>
      </c>
      <c r="T324" t="e">
        <f ca="1"/>
        <v>#N/A</v>
      </c>
      <c r="U324" t="e">
        <f ca="1"/>
        <v>#N/A</v>
      </c>
      <c r="V324" t="e">
        <f ca="1"/>
        <v>#N/A</v>
      </c>
      <c r="X324" s="2">
        <f t="shared" ca="1" si="29"/>
        <v>0</v>
      </c>
      <c r="Y324">
        <f t="shared" ca="1" si="30"/>
        <v>0</v>
      </c>
      <c r="AA324" s="63" t="e">
        <f t="shared" ca="1" si="32"/>
        <v>#N/A</v>
      </c>
      <c r="AB324" s="63" t="e">
        <f t="shared" ca="1" si="33"/>
        <v>#N/A</v>
      </c>
      <c r="AC324" s="3" t="e">
        <f t="shared" ca="1" si="34"/>
        <v>#N/A</v>
      </c>
    </row>
    <row r="325" spans="8:29">
      <c r="H325" t="e">
        <f t="shared" ca="1" si="31"/>
        <v>#N/A</v>
      </c>
      <c r="I325" t="e">
        <f t="shared" ca="1" si="28"/>
        <v>#N/A</v>
      </c>
      <c r="J325" s="2" t="e">
        <f ca="1"/>
        <v>#N/A</v>
      </c>
      <c r="K325" t="e">
        <f ca="1"/>
        <v>#N/A</v>
      </c>
      <c r="L325" t="e">
        <f ca="1"/>
        <v>#N/A</v>
      </c>
      <c r="M325" t="e">
        <f ca="1"/>
        <v>#N/A</v>
      </c>
      <c r="N325" t="e">
        <f ca="1"/>
        <v>#N/A</v>
      </c>
      <c r="O325" t="e">
        <f ca="1"/>
        <v>#N/A</v>
      </c>
      <c r="P325" t="e">
        <f ca="1"/>
        <v>#N/A</v>
      </c>
      <c r="Q325" t="e">
        <f ca="1"/>
        <v>#N/A</v>
      </c>
      <c r="R325" t="e">
        <f ca="1"/>
        <v>#N/A</v>
      </c>
      <c r="S325" t="e">
        <f ca="1"/>
        <v>#N/A</v>
      </c>
      <c r="T325" t="e">
        <f ca="1"/>
        <v>#N/A</v>
      </c>
      <c r="U325" t="e">
        <f ca="1"/>
        <v>#N/A</v>
      </c>
      <c r="V325" t="e">
        <f ca="1"/>
        <v>#N/A</v>
      </c>
      <c r="X325" s="2">
        <f t="shared" ca="1" si="29"/>
        <v>0</v>
      </c>
      <c r="Y325">
        <f t="shared" ca="1" si="30"/>
        <v>0</v>
      </c>
      <c r="AA325" s="63" t="e">
        <f t="shared" ca="1" si="32"/>
        <v>#N/A</v>
      </c>
      <c r="AB325" s="63" t="e">
        <f t="shared" ca="1" si="33"/>
        <v>#N/A</v>
      </c>
      <c r="AC325" s="3" t="e">
        <f t="shared" ca="1" si="34"/>
        <v>#N/A</v>
      </c>
    </row>
    <row r="326" spans="8:29">
      <c r="H326" t="e">
        <f t="shared" ca="1" si="31"/>
        <v>#N/A</v>
      </c>
      <c r="I326" t="e">
        <f t="shared" ca="1" si="28"/>
        <v>#N/A</v>
      </c>
      <c r="J326" s="2" t="e">
        <f ca="1"/>
        <v>#N/A</v>
      </c>
      <c r="K326" t="e">
        <f ca="1"/>
        <v>#N/A</v>
      </c>
      <c r="L326" t="e">
        <f ca="1"/>
        <v>#N/A</v>
      </c>
      <c r="M326" t="e">
        <f ca="1"/>
        <v>#N/A</v>
      </c>
      <c r="N326" t="e">
        <f ca="1"/>
        <v>#N/A</v>
      </c>
      <c r="O326" t="e">
        <f ca="1"/>
        <v>#N/A</v>
      </c>
      <c r="P326" t="e">
        <f ca="1"/>
        <v>#N/A</v>
      </c>
      <c r="Q326" t="e">
        <f ca="1"/>
        <v>#N/A</v>
      </c>
      <c r="R326" t="e">
        <f ca="1"/>
        <v>#N/A</v>
      </c>
      <c r="S326" t="e">
        <f ca="1"/>
        <v>#N/A</v>
      </c>
      <c r="T326" t="e">
        <f ca="1"/>
        <v>#N/A</v>
      </c>
      <c r="U326" t="e">
        <f ca="1"/>
        <v>#N/A</v>
      </c>
      <c r="V326" t="e">
        <f ca="1"/>
        <v>#N/A</v>
      </c>
      <c r="X326" s="2">
        <f t="shared" ca="1" si="29"/>
        <v>0</v>
      </c>
      <c r="Y326">
        <f t="shared" ca="1" si="30"/>
        <v>0</v>
      </c>
      <c r="AA326" s="63" t="e">
        <f t="shared" ca="1" si="32"/>
        <v>#N/A</v>
      </c>
      <c r="AB326" s="63" t="e">
        <f t="shared" ca="1" si="33"/>
        <v>#N/A</v>
      </c>
      <c r="AC326" s="3" t="e">
        <f t="shared" ca="1" si="34"/>
        <v>#N/A</v>
      </c>
    </row>
    <row r="327" spans="8:29">
      <c r="H327" t="e">
        <f t="shared" ca="1" si="31"/>
        <v>#N/A</v>
      </c>
      <c r="I327" t="e">
        <f t="shared" ref="I327:I390" ca="1" si="35">AND(IF(J327&gt;($J$3-1),TRUE,FALSE),IF(J327&lt;($J$4+1),TRUE,FALSE))</f>
        <v>#N/A</v>
      </c>
      <c r="J327" s="2" t="e">
        <f ca="1"/>
        <v>#N/A</v>
      </c>
      <c r="K327" t="e">
        <f ca="1"/>
        <v>#N/A</v>
      </c>
      <c r="L327" t="e">
        <f ca="1"/>
        <v>#N/A</v>
      </c>
      <c r="M327" t="e">
        <f ca="1"/>
        <v>#N/A</v>
      </c>
      <c r="N327" t="e">
        <f ca="1"/>
        <v>#N/A</v>
      </c>
      <c r="O327" t="e">
        <f ca="1"/>
        <v>#N/A</v>
      </c>
      <c r="P327" t="e">
        <f ca="1"/>
        <v>#N/A</v>
      </c>
      <c r="Q327" t="e">
        <f ca="1"/>
        <v>#N/A</v>
      </c>
      <c r="R327" t="e">
        <f ca="1"/>
        <v>#N/A</v>
      </c>
      <c r="S327" t="e">
        <f ca="1"/>
        <v>#N/A</v>
      </c>
      <c r="T327" t="e">
        <f ca="1"/>
        <v>#N/A</v>
      </c>
      <c r="U327" t="e">
        <f ca="1"/>
        <v>#N/A</v>
      </c>
      <c r="V327" t="e">
        <f ca="1"/>
        <v>#N/A</v>
      </c>
      <c r="X327" s="2">
        <f t="shared" ref="X327:X390" ca="1" si="36">IFERROR(J327,$X$5)</f>
        <v>0</v>
      </c>
      <c r="Y327">
        <f t="shared" ref="Y327:Y390" ca="1" si="37">IFERROR(O327,0)</f>
        <v>0</v>
      </c>
      <c r="AA327" s="63" t="e">
        <f t="shared" ca="1" si="32"/>
        <v>#N/A</v>
      </c>
      <c r="AB327" s="63" t="e">
        <f t="shared" ca="1" si="33"/>
        <v>#N/A</v>
      </c>
      <c r="AC327" s="3" t="e">
        <f t="shared" ca="1" si="34"/>
        <v>#N/A</v>
      </c>
    </row>
    <row r="328" spans="8:29">
      <c r="H328" t="e">
        <f t="shared" ref="H328:H391" ca="1" si="38">IF(J328&lt;$J$4,TRUE,FALSE)</f>
        <v>#N/A</v>
      </c>
      <c r="I328" t="e">
        <f t="shared" ca="1" si="35"/>
        <v>#N/A</v>
      </c>
      <c r="J328" s="2" t="e">
        <f ca="1"/>
        <v>#N/A</v>
      </c>
      <c r="K328" t="e">
        <f ca="1"/>
        <v>#N/A</v>
      </c>
      <c r="L328" t="e">
        <f ca="1"/>
        <v>#N/A</v>
      </c>
      <c r="M328" t="e">
        <f ca="1"/>
        <v>#N/A</v>
      </c>
      <c r="N328" t="e">
        <f ca="1"/>
        <v>#N/A</v>
      </c>
      <c r="O328" t="e">
        <f ca="1"/>
        <v>#N/A</v>
      </c>
      <c r="P328" t="e">
        <f ca="1"/>
        <v>#N/A</v>
      </c>
      <c r="Q328" t="e">
        <f ca="1"/>
        <v>#N/A</v>
      </c>
      <c r="R328" t="e">
        <f ca="1"/>
        <v>#N/A</v>
      </c>
      <c r="S328" t="e">
        <f ca="1"/>
        <v>#N/A</v>
      </c>
      <c r="T328" t="e">
        <f ca="1"/>
        <v>#N/A</v>
      </c>
      <c r="U328" t="e">
        <f ca="1"/>
        <v>#N/A</v>
      </c>
      <c r="V328" t="e">
        <f ca="1"/>
        <v>#N/A</v>
      </c>
      <c r="X328" s="2">
        <f t="shared" ca="1" si="36"/>
        <v>0</v>
      </c>
      <c r="Y328">
        <f t="shared" ca="1" si="37"/>
        <v>0</v>
      </c>
      <c r="AA328" s="63" t="e">
        <f t="shared" ca="1" si="32"/>
        <v>#N/A</v>
      </c>
      <c r="AB328" s="63" t="e">
        <f t="shared" ca="1" si="33"/>
        <v>#N/A</v>
      </c>
      <c r="AC328" s="3" t="e">
        <f t="shared" ca="1" si="34"/>
        <v>#N/A</v>
      </c>
    </row>
    <row r="329" spans="8:29">
      <c r="H329" t="e">
        <f t="shared" ca="1" si="38"/>
        <v>#N/A</v>
      </c>
      <c r="I329" t="e">
        <f t="shared" ca="1" si="35"/>
        <v>#N/A</v>
      </c>
      <c r="J329" s="2" t="e">
        <f ca="1"/>
        <v>#N/A</v>
      </c>
      <c r="K329" t="e">
        <f ca="1"/>
        <v>#N/A</v>
      </c>
      <c r="L329" t="e">
        <f ca="1"/>
        <v>#N/A</v>
      </c>
      <c r="M329" t="e">
        <f ca="1"/>
        <v>#N/A</v>
      </c>
      <c r="N329" t="e">
        <f ca="1"/>
        <v>#N/A</v>
      </c>
      <c r="O329" t="e">
        <f ca="1"/>
        <v>#N/A</v>
      </c>
      <c r="P329" t="e">
        <f ca="1"/>
        <v>#N/A</v>
      </c>
      <c r="Q329" t="e">
        <f ca="1"/>
        <v>#N/A</v>
      </c>
      <c r="R329" t="e">
        <f ca="1"/>
        <v>#N/A</v>
      </c>
      <c r="S329" t="e">
        <f ca="1"/>
        <v>#N/A</v>
      </c>
      <c r="T329" t="e">
        <f ca="1"/>
        <v>#N/A</v>
      </c>
      <c r="U329" t="e">
        <f ca="1"/>
        <v>#N/A</v>
      </c>
      <c r="V329" t="e">
        <f ca="1"/>
        <v>#N/A</v>
      </c>
      <c r="X329" s="2">
        <f t="shared" ca="1" si="36"/>
        <v>0</v>
      </c>
      <c r="Y329">
        <f t="shared" ca="1" si="37"/>
        <v>0</v>
      </c>
      <c r="AA329" s="63" t="e">
        <f t="shared" ca="1" si="32"/>
        <v>#N/A</v>
      </c>
      <c r="AB329" s="63" t="e">
        <f t="shared" ca="1" si="33"/>
        <v>#N/A</v>
      </c>
      <c r="AC329" s="3" t="e">
        <f t="shared" ca="1" si="34"/>
        <v>#N/A</v>
      </c>
    </row>
    <row r="330" spans="8:29">
      <c r="H330" t="e">
        <f t="shared" ca="1" si="38"/>
        <v>#N/A</v>
      </c>
      <c r="I330" t="e">
        <f t="shared" ca="1" si="35"/>
        <v>#N/A</v>
      </c>
      <c r="J330" s="2" t="e">
        <f ca="1"/>
        <v>#N/A</v>
      </c>
      <c r="K330" t="e">
        <f ca="1"/>
        <v>#N/A</v>
      </c>
      <c r="L330" t="e">
        <f ca="1"/>
        <v>#N/A</v>
      </c>
      <c r="M330" t="e">
        <f ca="1"/>
        <v>#N/A</v>
      </c>
      <c r="N330" t="e">
        <f ca="1"/>
        <v>#N/A</v>
      </c>
      <c r="O330" t="e">
        <f ca="1"/>
        <v>#N/A</v>
      </c>
      <c r="P330" t="e">
        <f ca="1"/>
        <v>#N/A</v>
      </c>
      <c r="Q330" t="e">
        <f ca="1"/>
        <v>#N/A</v>
      </c>
      <c r="R330" t="e">
        <f ca="1"/>
        <v>#N/A</v>
      </c>
      <c r="S330" t="e">
        <f ca="1"/>
        <v>#N/A</v>
      </c>
      <c r="T330" t="e">
        <f ca="1"/>
        <v>#N/A</v>
      </c>
      <c r="U330" t="e">
        <f ca="1"/>
        <v>#N/A</v>
      </c>
      <c r="V330" t="e">
        <f ca="1"/>
        <v>#N/A</v>
      </c>
      <c r="X330" s="2">
        <f t="shared" ca="1" si="36"/>
        <v>0</v>
      </c>
      <c r="Y330">
        <f t="shared" ca="1" si="37"/>
        <v>0</v>
      </c>
      <c r="AA330" s="63" t="e">
        <f t="shared" ca="1" si="32"/>
        <v>#N/A</v>
      </c>
      <c r="AB330" s="63" t="e">
        <f t="shared" ca="1" si="33"/>
        <v>#N/A</v>
      </c>
      <c r="AC330" s="3" t="e">
        <f t="shared" ca="1" si="34"/>
        <v>#N/A</v>
      </c>
    </row>
    <row r="331" spans="8:29">
      <c r="H331" t="e">
        <f t="shared" ca="1" si="38"/>
        <v>#N/A</v>
      </c>
      <c r="I331" t="e">
        <f t="shared" ca="1" si="35"/>
        <v>#N/A</v>
      </c>
      <c r="J331" s="2" t="e">
        <f ca="1"/>
        <v>#N/A</v>
      </c>
      <c r="K331" t="e">
        <f ca="1"/>
        <v>#N/A</v>
      </c>
      <c r="L331" t="e">
        <f ca="1"/>
        <v>#N/A</v>
      </c>
      <c r="M331" t="e">
        <f ca="1"/>
        <v>#N/A</v>
      </c>
      <c r="N331" t="e">
        <f ca="1"/>
        <v>#N/A</v>
      </c>
      <c r="O331" t="e">
        <f ca="1"/>
        <v>#N/A</v>
      </c>
      <c r="P331" t="e">
        <f ca="1"/>
        <v>#N/A</v>
      </c>
      <c r="Q331" t="e">
        <f ca="1"/>
        <v>#N/A</v>
      </c>
      <c r="R331" t="e">
        <f ca="1"/>
        <v>#N/A</v>
      </c>
      <c r="S331" t="e">
        <f ca="1"/>
        <v>#N/A</v>
      </c>
      <c r="T331" t="e">
        <f ca="1"/>
        <v>#N/A</v>
      </c>
      <c r="U331" t="e">
        <f ca="1"/>
        <v>#N/A</v>
      </c>
      <c r="V331" t="e">
        <f ca="1"/>
        <v>#N/A</v>
      </c>
      <c r="X331" s="2">
        <f t="shared" ca="1" si="36"/>
        <v>0</v>
      </c>
      <c r="Y331">
        <f t="shared" ca="1" si="37"/>
        <v>0</v>
      </c>
      <c r="AA331" s="63" t="e">
        <f t="shared" ca="1" si="32"/>
        <v>#N/A</v>
      </c>
      <c r="AB331" s="63" t="e">
        <f t="shared" ca="1" si="33"/>
        <v>#N/A</v>
      </c>
      <c r="AC331" s="3" t="e">
        <f t="shared" ca="1" si="34"/>
        <v>#N/A</v>
      </c>
    </row>
    <row r="332" spans="8:29">
      <c r="H332" t="e">
        <f t="shared" ca="1" si="38"/>
        <v>#N/A</v>
      </c>
      <c r="I332" t="e">
        <f t="shared" ca="1" si="35"/>
        <v>#N/A</v>
      </c>
      <c r="J332" s="2" t="e">
        <f ca="1"/>
        <v>#N/A</v>
      </c>
      <c r="K332" t="e">
        <f ca="1"/>
        <v>#N/A</v>
      </c>
      <c r="L332" t="e">
        <f ca="1"/>
        <v>#N/A</v>
      </c>
      <c r="M332" t="e">
        <f ca="1"/>
        <v>#N/A</v>
      </c>
      <c r="N332" t="e">
        <f ca="1"/>
        <v>#N/A</v>
      </c>
      <c r="O332" t="e">
        <f ca="1"/>
        <v>#N/A</v>
      </c>
      <c r="P332" t="e">
        <f ca="1"/>
        <v>#N/A</v>
      </c>
      <c r="Q332" t="e">
        <f ca="1"/>
        <v>#N/A</v>
      </c>
      <c r="R332" t="e">
        <f ca="1"/>
        <v>#N/A</v>
      </c>
      <c r="S332" t="e">
        <f ca="1"/>
        <v>#N/A</v>
      </c>
      <c r="T332" t="e">
        <f ca="1"/>
        <v>#N/A</v>
      </c>
      <c r="U332" t="e">
        <f ca="1"/>
        <v>#N/A</v>
      </c>
      <c r="V332" t="e">
        <f ca="1"/>
        <v>#N/A</v>
      </c>
      <c r="X332" s="2">
        <f t="shared" ca="1" si="36"/>
        <v>0</v>
      </c>
      <c r="Y332">
        <f t="shared" ca="1" si="37"/>
        <v>0</v>
      </c>
      <c r="AA332" s="63" t="e">
        <f t="shared" ref="AA332:AA395" ca="1" si="39">K331+M332+N332+O332</f>
        <v>#N/A</v>
      </c>
      <c r="AB332" s="63" t="e">
        <f t="shared" ref="AB332:AB395" ca="1" si="40">K332+L332+R332</f>
        <v>#N/A</v>
      </c>
      <c r="AC332" s="3" t="e">
        <f t="shared" ref="AC332:AC395" ca="1" si="41">AB332-AA332</f>
        <v>#N/A</v>
      </c>
    </row>
    <row r="333" spans="8:29">
      <c r="H333" t="e">
        <f t="shared" ca="1" si="38"/>
        <v>#N/A</v>
      </c>
      <c r="I333" t="e">
        <f t="shared" ca="1" si="35"/>
        <v>#N/A</v>
      </c>
      <c r="J333" s="2" t="e">
        <f ca="1"/>
        <v>#N/A</v>
      </c>
      <c r="K333" t="e">
        <f ca="1"/>
        <v>#N/A</v>
      </c>
      <c r="L333" t="e">
        <f ca="1"/>
        <v>#N/A</v>
      </c>
      <c r="M333" t="e">
        <f ca="1"/>
        <v>#N/A</v>
      </c>
      <c r="N333" t="e">
        <f ca="1"/>
        <v>#N/A</v>
      </c>
      <c r="O333" t="e">
        <f ca="1"/>
        <v>#N/A</v>
      </c>
      <c r="P333" t="e">
        <f ca="1"/>
        <v>#N/A</v>
      </c>
      <c r="Q333" t="e">
        <f ca="1"/>
        <v>#N/A</v>
      </c>
      <c r="R333" t="e">
        <f ca="1"/>
        <v>#N/A</v>
      </c>
      <c r="S333" t="e">
        <f ca="1"/>
        <v>#N/A</v>
      </c>
      <c r="T333" t="e">
        <f ca="1"/>
        <v>#N/A</v>
      </c>
      <c r="U333" t="e">
        <f ca="1"/>
        <v>#N/A</v>
      </c>
      <c r="V333" t="e">
        <f ca="1"/>
        <v>#N/A</v>
      </c>
      <c r="X333" s="2">
        <f t="shared" ca="1" si="36"/>
        <v>0</v>
      </c>
      <c r="Y333">
        <f t="shared" ca="1" si="37"/>
        <v>0</v>
      </c>
      <c r="AA333" s="63" t="e">
        <f t="shared" ca="1" si="39"/>
        <v>#N/A</v>
      </c>
      <c r="AB333" s="63" t="e">
        <f t="shared" ca="1" si="40"/>
        <v>#N/A</v>
      </c>
      <c r="AC333" s="3" t="e">
        <f t="shared" ca="1" si="41"/>
        <v>#N/A</v>
      </c>
    </row>
    <row r="334" spans="8:29">
      <c r="H334" t="e">
        <f t="shared" ca="1" si="38"/>
        <v>#N/A</v>
      </c>
      <c r="I334" t="e">
        <f t="shared" ca="1" si="35"/>
        <v>#N/A</v>
      </c>
      <c r="J334" s="2" t="e">
        <f ca="1"/>
        <v>#N/A</v>
      </c>
      <c r="K334" t="e">
        <f ca="1"/>
        <v>#N/A</v>
      </c>
      <c r="L334" t="e">
        <f ca="1"/>
        <v>#N/A</v>
      </c>
      <c r="M334" t="e">
        <f ca="1"/>
        <v>#N/A</v>
      </c>
      <c r="N334" t="e">
        <f ca="1"/>
        <v>#N/A</v>
      </c>
      <c r="O334" t="e">
        <f ca="1"/>
        <v>#N/A</v>
      </c>
      <c r="P334" t="e">
        <f ca="1"/>
        <v>#N/A</v>
      </c>
      <c r="Q334" t="e">
        <f ca="1"/>
        <v>#N/A</v>
      </c>
      <c r="R334" t="e">
        <f ca="1"/>
        <v>#N/A</v>
      </c>
      <c r="S334" t="e">
        <f ca="1"/>
        <v>#N/A</v>
      </c>
      <c r="T334" t="e">
        <f ca="1"/>
        <v>#N/A</v>
      </c>
      <c r="U334" t="e">
        <f ca="1"/>
        <v>#N/A</v>
      </c>
      <c r="V334" t="e">
        <f ca="1"/>
        <v>#N/A</v>
      </c>
      <c r="X334" s="2">
        <f t="shared" ca="1" si="36"/>
        <v>0</v>
      </c>
      <c r="Y334">
        <f t="shared" ca="1" si="37"/>
        <v>0</v>
      </c>
      <c r="AA334" s="63" t="e">
        <f t="shared" ca="1" si="39"/>
        <v>#N/A</v>
      </c>
      <c r="AB334" s="63" t="e">
        <f t="shared" ca="1" si="40"/>
        <v>#N/A</v>
      </c>
      <c r="AC334" s="3" t="e">
        <f t="shared" ca="1" si="41"/>
        <v>#N/A</v>
      </c>
    </row>
    <row r="335" spans="8:29">
      <c r="H335" t="e">
        <f t="shared" ca="1" si="38"/>
        <v>#N/A</v>
      </c>
      <c r="I335" t="e">
        <f t="shared" ca="1" si="35"/>
        <v>#N/A</v>
      </c>
      <c r="J335" s="2" t="e">
        <f ca="1"/>
        <v>#N/A</v>
      </c>
      <c r="K335" t="e">
        <f ca="1"/>
        <v>#N/A</v>
      </c>
      <c r="L335" t="e">
        <f ca="1"/>
        <v>#N/A</v>
      </c>
      <c r="M335" t="e">
        <f ca="1"/>
        <v>#N/A</v>
      </c>
      <c r="N335" t="e">
        <f ca="1"/>
        <v>#N/A</v>
      </c>
      <c r="O335" t="e">
        <f ca="1"/>
        <v>#N/A</v>
      </c>
      <c r="P335" t="e">
        <f ca="1"/>
        <v>#N/A</v>
      </c>
      <c r="Q335" t="e">
        <f ca="1"/>
        <v>#N/A</v>
      </c>
      <c r="R335" t="e">
        <f ca="1"/>
        <v>#N/A</v>
      </c>
      <c r="S335" t="e">
        <f ca="1"/>
        <v>#N/A</v>
      </c>
      <c r="T335" t="e">
        <f ca="1"/>
        <v>#N/A</v>
      </c>
      <c r="U335" t="e">
        <f ca="1"/>
        <v>#N/A</v>
      </c>
      <c r="V335" t="e">
        <f ca="1"/>
        <v>#N/A</v>
      </c>
      <c r="X335" s="2">
        <f t="shared" ca="1" si="36"/>
        <v>0</v>
      </c>
      <c r="Y335">
        <f t="shared" ca="1" si="37"/>
        <v>0</v>
      </c>
      <c r="AA335" s="63" t="e">
        <f t="shared" ca="1" si="39"/>
        <v>#N/A</v>
      </c>
      <c r="AB335" s="63" t="e">
        <f t="shared" ca="1" si="40"/>
        <v>#N/A</v>
      </c>
      <c r="AC335" s="3" t="e">
        <f t="shared" ca="1" si="41"/>
        <v>#N/A</v>
      </c>
    </row>
    <row r="336" spans="8:29">
      <c r="H336" t="e">
        <f t="shared" ca="1" si="38"/>
        <v>#N/A</v>
      </c>
      <c r="I336" t="e">
        <f t="shared" ca="1" si="35"/>
        <v>#N/A</v>
      </c>
      <c r="J336" s="2" t="e">
        <f ca="1"/>
        <v>#N/A</v>
      </c>
      <c r="K336" t="e">
        <f ca="1"/>
        <v>#N/A</v>
      </c>
      <c r="L336" t="e">
        <f ca="1"/>
        <v>#N/A</v>
      </c>
      <c r="M336" t="e">
        <f ca="1"/>
        <v>#N/A</v>
      </c>
      <c r="N336" t="e">
        <f ca="1"/>
        <v>#N/A</v>
      </c>
      <c r="O336" t="e">
        <f ca="1"/>
        <v>#N/A</v>
      </c>
      <c r="P336" t="e">
        <f ca="1"/>
        <v>#N/A</v>
      </c>
      <c r="Q336" t="e">
        <f ca="1"/>
        <v>#N/A</v>
      </c>
      <c r="R336" t="e">
        <f ca="1"/>
        <v>#N/A</v>
      </c>
      <c r="S336" t="e">
        <f ca="1"/>
        <v>#N/A</v>
      </c>
      <c r="T336" t="e">
        <f ca="1"/>
        <v>#N/A</v>
      </c>
      <c r="U336" t="e">
        <f ca="1"/>
        <v>#N/A</v>
      </c>
      <c r="V336" t="e">
        <f ca="1"/>
        <v>#N/A</v>
      </c>
      <c r="X336" s="2">
        <f t="shared" ca="1" si="36"/>
        <v>0</v>
      </c>
      <c r="Y336">
        <f t="shared" ca="1" si="37"/>
        <v>0</v>
      </c>
      <c r="AA336" s="63" t="e">
        <f t="shared" ca="1" si="39"/>
        <v>#N/A</v>
      </c>
      <c r="AB336" s="63" t="e">
        <f t="shared" ca="1" si="40"/>
        <v>#N/A</v>
      </c>
      <c r="AC336" s="3" t="e">
        <f t="shared" ca="1" si="41"/>
        <v>#N/A</v>
      </c>
    </row>
    <row r="337" spans="8:29">
      <c r="H337" t="e">
        <f t="shared" ca="1" si="38"/>
        <v>#N/A</v>
      </c>
      <c r="I337" t="e">
        <f t="shared" ca="1" si="35"/>
        <v>#N/A</v>
      </c>
      <c r="J337" s="2" t="e">
        <f ca="1"/>
        <v>#N/A</v>
      </c>
      <c r="K337" t="e">
        <f ca="1"/>
        <v>#N/A</v>
      </c>
      <c r="L337" t="e">
        <f ca="1"/>
        <v>#N/A</v>
      </c>
      <c r="M337" t="e">
        <f ca="1"/>
        <v>#N/A</v>
      </c>
      <c r="N337" t="e">
        <f ca="1"/>
        <v>#N/A</v>
      </c>
      <c r="O337" t="e">
        <f ca="1"/>
        <v>#N/A</v>
      </c>
      <c r="P337" t="e">
        <f ca="1"/>
        <v>#N/A</v>
      </c>
      <c r="Q337" t="e">
        <f ca="1"/>
        <v>#N/A</v>
      </c>
      <c r="R337" t="e">
        <f ca="1"/>
        <v>#N/A</v>
      </c>
      <c r="S337" t="e">
        <f ca="1"/>
        <v>#N/A</v>
      </c>
      <c r="T337" t="e">
        <f ca="1"/>
        <v>#N/A</v>
      </c>
      <c r="U337" t="e">
        <f ca="1"/>
        <v>#N/A</v>
      </c>
      <c r="V337" t="e">
        <f ca="1"/>
        <v>#N/A</v>
      </c>
      <c r="X337" s="2">
        <f t="shared" ca="1" si="36"/>
        <v>0</v>
      </c>
      <c r="Y337">
        <f t="shared" ca="1" si="37"/>
        <v>0</v>
      </c>
      <c r="AA337" s="63" t="e">
        <f t="shared" ca="1" si="39"/>
        <v>#N/A</v>
      </c>
      <c r="AB337" s="63" t="e">
        <f t="shared" ca="1" si="40"/>
        <v>#N/A</v>
      </c>
      <c r="AC337" s="3" t="e">
        <f t="shared" ca="1" si="41"/>
        <v>#N/A</v>
      </c>
    </row>
    <row r="338" spans="8:29">
      <c r="H338" t="e">
        <f t="shared" ca="1" si="38"/>
        <v>#N/A</v>
      </c>
      <c r="I338" t="e">
        <f t="shared" ca="1" si="35"/>
        <v>#N/A</v>
      </c>
      <c r="J338" s="2" t="e">
        <f ca="1"/>
        <v>#N/A</v>
      </c>
      <c r="K338" t="e">
        <f ca="1"/>
        <v>#N/A</v>
      </c>
      <c r="L338" t="e">
        <f ca="1"/>
        <v>#N/A</v>
      </c>
      <c r="M338" t="e">
        <f ca="1"/>
        <v>#N/A</v>
      </c>
      <c r="N338" t="e">
        <f ca="1"/>
        <v>#N/A</v>
      </c>
      <c r="O338" t="e">
        <f ca="1"/>
        <v>#N/A</v>
      </c>
      <c r="P338" t="e">
        <f ca="1"/>
        <v>#N/A</v>
      </c>
      <c r="Q338" t="e">
        <f ca="1"/>
        <v>#N/A</v>
      </c>
      <c r="R338" t="e">
        <f ca="1"/>
        <v>#N/A</v>
      </c>
      <c r="S338" t="e">
        <f ca="1"/>
        <v>#N/A</v>
      </c>
      <c r="T338" t="e">
        <f ca="1"/>
        <v>#N/A</v>
      </c>
      <c r="U338" t="e">
        <f ca="1"/>
        <v>#N/A</v>
      </c>
      <c r="V338" t="e">
        <f ca="1"/>
        <v>#N/A</v>
      </c>
      <c r="X338" s="2">
        <f t="shared" ca="1" si="36"/>
        <v>0</v>
      </c>
      <c r="Y338">
        <f t="shared" ca="1" si="37"/>
        <v>0</v>
      </c>
      <c r="AA338" s="63" t="e">
        <f t="shared" ca="1" si="39"/>
        <v>#N/A</v>
      </c>
      <c r="AB338" s="63" t="e">
        <f t="shared" ca="1" si="40"/>
        <v>#N/A</v>
      </c>
      <c r="AC338" s="3" t="e">
        <f t="shared" ca="1" si="41"/>
        <v>#N/A</v>
      </c>
    </row>
    <row r="339" spans="8:29">
      <c r="H339" t="e">
        <f t="shared" ca="1" si="38"/>
        <v>#N/A</v>
      </c>
      <c r="I339" t="e">
        <f t="shared" ca="1" si="35"/>
        <v>#N/A</v>
      </c>
      <c r="J339" s="2" t="e">
        <f ca="1"/>
        <v>#N/A</v>
      </c>
      <c r="K339" t="e">
        <f ca="1"/>
        <v>#N/A</v>
      </c>
      <c r="L339" t="e">
        <f ca="1"/>
        <v>#N/A</v>
      </c>
      <c r="M339" t="e">
        <f ca="1"/>
        <v>#N/A</v>
      </c>
      <c r="N339" t="e">
        <f ca="1"/>
        <v>#N/A</v>
      </c>
      <c r="O339" t="e">
        <f ca="1"/>
        <v>#N/A</v>
      </c>
      <c r="P339" t="e">
        <f ca="1"/>
        <v>#N/A</v>
      </c>
      <c r="Q339" t="e">
        <f ca="1"/>
        <v>#N/A</v>
      </c>
      <c r="R339" t="e">
        <f ca="1"/>
        <v>#N/A</v>
      </c>
      <c r="S339" t="e">
        <f ca="1"/>
        <v>#N/A</v>
      </c>
      <c r="T339" t="e">
        <f ca="1"/>
        <v>#N/A</v>
      </c>
      <c r="U339" t="e">
        <f ca="1"/>
        <v>#N/A</v>
      </c>
      <c r="V339" t="e">
        <f ca="1"/>
        <v>#N/A</v>
      </c>
      <c r="X339" s="2">
        <f t="shared" ca="1" si="36"/>
        <v>0</v>
      </c>
      <c r="Y339">
        <f t="shared" ca="1" si="37"/>
        <v>0</v>
      </c>
      <c r="AA339" s="63" t="e">
        <f t="shared" ca="1" si="39"/>
        <v>#N/A</v>
      </c>
      <c r="AB339" s="63" t="e">
        <f t="shared" ca="1" si="40"/>
        <v>#N/A</v>
      </c>
      <c r="AC339" s="3" t="e">
        <f t="shared" ca="1" si="41"/>
        <v>#N/A</v>
      </c>
    </row>
    <row r="340" spans="8:29">
      <c r="H340" t="e">
        <f t="shared" ca="1" si="38"/>
        <v>#N/A</v>
      </c>
      <c r="I340" t="e">
        <f t="shared" ca="1" si="35"/>
        <v>#N/A</v>
      </c>
      <c r="J340" s="2" t="e">
        <f ca="1"/>
        <v>#N/A</v>
      </c>
      <c r="K340" t="e">
        <f ca="1"/>
        <v>#N/A</v>
      </c>
      <c r="L340" t="e">
        <f ca="1"/>
        <v>#N/A</v>
      </c>
      <c r="M340" t="e">
        <f ca="1"/>
        <v>#N/A</v>
      </c>
      <c r="N340" t="e">
        <f ca="1"/>
        <v>#N/A</v>
      </c>
      <c r="O340" t="e">
        <f ca="1"/>
        <v>#N/A</v>
      </c>
      <c r="P340" t="e">
        <f ca="1"/>
        <v>#N/A</v>
      </c>
      <c r="Q340" t="e">
        <f ca="1"/>
        <v>#N/A</v>
      </c>
      <c r="R340" t="e">
        <f ca="1"/>
        <v>#N/A</v>
      </c>
      <c r="S340" t="e">
        <f ca="1"/>
        <v>#N/A</v>
      </c>
      <c r="T340" t="e">
        <f ca="1"/>
        <v>#N/A</v>
      </c>
      <c r="U340" t="e">
        <f ca="1"/>
        <v>#N/A</v>
      </c>
      <c r="V340" t="e">
        <f ca="1"/>
        <v>#N/A</v>
      </c>
      <c r="X340" s="2">
        <f t="shared" ca="1" si="36"/>
        <v>0</v>
      </c>
      <c r="Y340">
        <f t="shared" ca="1" si="37"/>
        <v>0</v>
      </c>
      <c r="AA340" s="63" t="e">
        <f t="shared" ca="1" si="39"/>
        <v>#N/A</v>
      </c>
      <c r="AB340" s="63" t="e">
        <f t="shared" ca="1" si="40"/>
        <v>#N/A</v>
      </c>
      <c r="AC340" s="3" t="e">
        <f t="shared" ca="1" si="41"/>
        <v>#N/A</v>
      </c>
    </row>
    <row r="341" spans="8:29">
      <c r="H341" t="e">
        <f t="shared" ca="1" si="38"/>
        <v>#N/A</v>
      </c>
      <c r="I341" t="e">
        <f t="shared" ca="1" si="35"/>
        <v>#N/A</v>
      </c>
      <c r="J341" s="2" t="e">
        <f ca="1"/>
        <v>#N/A</v>
      </c>
      <c r="K341" t="e">
        <f ca="1"/>
        <v>#N/A</v>
      </c>
      <c r="L341" t="e">
        <f ca="1"/>
        <v>#N/A</v>
      </c>
      <c r="M341" t="e">
        <f ca="1"/>
        <v>#N/A</v>
      </c>
      <c r="N341" t="e">
        <f ca="1"/>
        <v>#N/A</v>
      </c>
      <c r="O341" t="e">
        <f ca="1"/>
        <v>#N/A</v>
      </c>
      <c r="P341" t="e">
        <f ca="1"/>
        <v>#N/A</v>
      </c>
      <c r="Q341" t="e">
        <f ca="1"/>
        <v>#N/A</v>
      </c>
      <c r="R341" t="e">
        <f ca="1"/>
        <v>#N/A</v>
      </c>
      <c r="S341" t="e">
        <f ca="1"/>
        <v>#N/A</v>
      </c>
      <c r="T341" t="e">
        <f ca="1"/>
        <v>#N/A</v>
      </c>
      <c r="U341" t="e">
        <f ca="1"/>
        <v>#N/A</v>
      </c>
      <c r="V341" t="e">
        <f ca="1"/>
        <v>#N/A</v>
      </c>
      <c r="X341" s="2">
        <f t="shared" ca="1" si="36"/>
        <v>0</v>
      </c>
      <c r="Y341">
        <f t="shared" ca="1" si="37"/>
        <v>0</v>
      </c>
      <c r="AA341" s="63" t="e">
        <f t="shared" ca="1" si="39"/>
        <v>#N/A</v>
      </c>
      <c r="AB341" s="63" t="e">
        <f t="shared" ca="1" si="40"/>
        <v>#N/A</v>
      </c>
      <c r="AC341" s="3" t="e">
        <f t="shared" ca="1" si="41"/>
        <v>#N/A</v>
      </c>
    </row>
    <row r="342" spans="8:29">
      <c r="H342" t="e">
        <f t="shared" ca="1" si="38"/>
        <v>#N/A</v>
      </c>
      <c r="I342" t="e">
        <f t="shared" ca="1" si="35"/>
        <v>#N/A</v>
      </c>
      <c r="J342" s="2" t="e">
        <f ca="1"/>
        <v>#N/A</v>
      </c>
      <c r="K342" t="e">
        <f ca="1"/>
        <v>#N/A</v>
      </c>
      <c r="L342" t="e">
        <f ca="1"/>
        <v>#N/A</v>
      </c>
      <c r="M342" t="e">
        <f ca="1"/>
        <v>#N/A</v>
      </c>
      <c r="N342" t="e">
        <f ca="1"/>
        <v>#N/A</v>
      </c>
      <c r="O342" t="e">
        <f ca="1"/>
        <v>#N/A</v>
      </c>
      <c r="P342" t="e">
        <f ca="1"/>
        <v>#N/A</v>
      </c>
      <c r="Q342" t="e">
        <f ca="1"/>
        <v>#N/A</v>
      </c>
      <c r="R342" t="e">
        <f ca="1"/>
        <v>#N/A</v>
      </c>
      <c r="S342" t="e">
        <f ca="1"/>
        <v>#N/A</v>
      </c>
      <c r="T342" t="e">
        <f ca="1"/>
        <v>#N/A</v>
      </c>
      <c r="U342" t="e">
        <f ca="1"/>
        <v>#N/A</v>
      </c>
      <c r="V342" t="e">
        <f ca="1"/>
        <v>#N/A</v>
      </c>
      <c r="X342" s="2">
        <f t="shared" ca="1" si="36"/>
        <v>0</v>
      </c>
      <c r="Y342">
        <f t="shared" ca="1" si="37"/>
        <v>0</v>
      </c>
      <c r="AA342" s="63" t="e">
        <f t="shared" ca="1" si="39"/>
        <v>#N/A</v>
      </c>
      <c r="AB342" s="63" t="e">
        <f t="shared" ca="1" si="40"/>
        <v>#N/A</v>
      </c>
      <c r="AC342" s="3" t="e">
        <f t="shared" ca="1" si="41"/>
        <v>#N/A</v>
      </c>
    </row>
    <row r="343" spans="8:29">
      <c r="H343" t="e">
        <f t="shared" ca="1" si="38"/>
        <v>#N/A</v>
      </c>
      <c r="I343" t="e">
        <f t="shared" ca="1" si="35"/>
        <v>#N/A</v>
      </c>
      <c r="J343" s="2" t="e">
        <f ca="1"/>
        <v>#N/A</v>
      </c>
      <c r="K343" t="e">
        <f ca="1"/>
        <v>#N/A</v>
      </c>
      <c r="L343" t="e">
        <f ca="1"/>
        <v>#N/A</v>
      </c>
      <c r="M343" t="e">
        <f ca="1"/>
        <v>#N/A</v>
      </c>
      <c r="N343" t="e">
        <f ca="1"/>
        <v>#N/A</v>
      </c>
      <c r="O343" t="e">
        <f ca="1"/>
        <v>#N/A</v>
      </c>
      <c r="P343" t="e">
        <f ca="1"/>
        <v>#N/A</v>
      </c>
      <c r="Q343" t="e">
        <f ca="1"/>
        <v>#N/A</v>
      </c>
      <c r="R343" t="e">
        <f ca="1"/>
        <v>#N/A</v>
      </c>
      <c r="S343" t="e">
        <f ca="1"/>
        <v>#N/A</v>
      </c>
      <c r="T343" t="e">
        <f ca="1"/>
        <v>#N/A</v>
      </c>
      <c r="U343" t="e">
        <f ca="1"/>
        <v>#N/A</v>
      </c>
      <c r="V343" t="e">
        <f ca="1"/>
        <v>#N/A</v>
      </c>
      <c r="X343" s="2">
        <f t="shared" ca="1" si="36"/>
        <v>0</v>
      </c>
      <c r="Y343">
        <f t="shared" ca="1" si="37"/>
        <v>0</v>
      </c>
      <c r="AA343" s="63" t="e">
        <f t="shared" ca="1" si="39"/>
        <v>#N/A</v>
      </c>
      <c r="AB343" s="63" t="e">
        <f t="shared" ca="1" si="40"/>
        <v>#N/A</v>
      </c>
      <c r="AC343" s="3" t="e">
        <f t="shared" ca="1" si="41"/>
        <v>#N/A</v>
      </c>
    </row>
    <row r="344" spans="8:29">
      <c r="H344" t="e">
        <f t="shared" ca="1" si="38"/>
        <v>#N/A</v>
      </c>
      <c r="I344" t="e">
        <f t="shared" ca="1" si="35"/>
        <v>#N/A</v>
      </c>
      <c r="J344" s="2" t="e">
        <f ca="1"/>
        <v>#N/A</v>
      </c>
      <c r="K344" t="e">
        <f ca="1"/>
        <v>#N/A</v>
      </c>
      <c r="L344" t="e">
        <f ca="1"/>
        <v>#N/A</v>
      </c>
      <c r="M344" t="e">
        <f ca="1"/>
        <v>#N/A</v>
      </c>
      <c r="N344" t="e">
        <f ca="1"/>
        <v>#N/A</v>
      </c>
      <c r="O344" t="e">
        <f ca="1"/>
        <v>#N/A</v>
      </c>
      <c r="P344" t="e">
        <f ca="1"/>
        <v>#N/A</v>
      </c>
      <c r="Q344" t="e">
        <f ca="1"/>
        <v>#N/A</v>
      </c>
      <c r="R344" t="e">
        <f ca="1"/>
        <v>#N/A</v>
      </c>
      <c r="S344" t="e">
        <f ca="1"/>
        <v>#N/A</v>
      </c>
      <c r="T344" t="e">
        <f ca="1"/>
        <v>#N/A</v>
      </c>
      <c r="U344" t="e">
        <f ca="1"/>
        <v>#N/A</v>
      </c>
      <c r="V344" t="e">
        <f ca="1"/>
        <v>#N/A</v>
      </c>
      <c r="X344" s="2">
        <f t="shared" ca="1" si="36"/>
        <v>0</v>
      </c>
      <c r="Y344">
        <f t="shared" ca="1" si="37"/>
        <v>0</v>
      </c>
      <c r="AA344" s="63" t="e">
        <f t="shared" ca="1" si="39"/>
        <v>#N/A</v>
      </c>
      <c r="AB344" s="63" t="e">
        <f t="shared" ca="1" si="40"/>
        <v>#N/A</v>
      </c>
      <c r="AC344" s="3" t="e">
        <f t="shared" ca="1" si="41"/>
        <v>#N/A</v>
      </c>
    </row>
    <row r="345" spans="8:29">
      <c r="H345" t="e">
        <f t="shared" ca="1" si="38"/>
        <v>#N/A</v>
      </c>
      <c r="I345" t="e">
        <f t="shared" ca="1" si="35"/>
        <v>#N/A</v>
      </c>
      <c r="J345" s="2" t="e">
        <f ca="1"/>
        <v>#N/A</v>
      </c>
      <c r="K345" t="e">
        <f ca="1"/>
        <v>#N/A</v>
      </c>
      <c r="L345" t="e">
        <f ca="1"/>
        <v>#N/A</v>
      </c>
      <c r="M345" t="e">
        <f ca="1"/>
        <v>#N/A</v>
      </c>
      <c r="N345" t="e">
        <f ca="1"/>
        <v>#N/A</v>
      </c>
      <c r="O345" t="e">
        <f ca="1"/>
        <v>#N/A</v>
      </c>
      <c r="P345" t="e">
        <f ca="1"/>
        <v>#N/A</v>
      </c>
      <c r="Q345" t="e">
        <f ca="1"/>
        <v>#N/A</v>
      </c>
      <c r="R345" t="e">
        <f ca="1"/>
        <v>#N/A</v>
      </c>
      <c r="S345" t="e">
        <f ca="1"/>
        <v>#N/A</v>
      </c>
      <c r="T345" t="e">
        <f ca="1"/>
        <v>#N/A</v>
      </c>
      <c r="U345" t="e">
        <f ca="1"/>
        <v>#N/A</v>
      </c>
      <c r="V345" t="e">
        <f ca="1"/>
        <v>#N/A</v>
      </c>
      <c r="X345" s="2">
        <f t="shared" ca="1" si="36"/>
        <v>0</v>
      </c>
      <c r="Y345">
        <f t="shared" ca="1" si="37"/>
        <v>0</v>
      </c>
      <c r="AA345" s="63" t="e">
        <f t="shared" ca="1" si="39"/>
        <v>#N/A</v>
      </c>
      <c r="AB345" s="63" t="e">
        <f t="shared" ca="1" si="40"/>
        <v>#N/A</v>
      </c>
      <c r="AC345" s="3" t="e">
        <f t="shared" ca="1" si="41"/>
        <v>#N/A</v>
      </c>
    </row>
    <row r="346" spans="8:29">
      <c r="H346" t="e">
        <f t="shared" ca="1" si="38"/>
        <v>#N/A</v>
      </c>
      <c r="I346" t="e">
        <f t="shared" ca="1" si="35"/>
        <v>#N/A</v>
      </c>
      <c r="J346" s="2" t="e">
        <f ca="1"/>
        <v>#N/A</v>
      </c>
      <c r="K346" t="e">
        <f ca="1"/>
        <v>#N/A</v>
      </c>
      <c r="L346" t="e">
        <f ca="1"/>
        <v>#N/A</v>
      </c>
      <c r="M346" t="e">
        <f ca="1"/>
        <v>#N/A</v>
      </c>
      <c r="N346" t="e">
        <f ca="1"/>
        <v>#N/A</v>
      </c>
      <c r="O346" t="e">
        <f ca="1"/>
        <v>#N/A</v>
      </c>
      <c r="P346" t="e">
        <f ca="1"/>
        <v>#N/A</v>
      </c>
      <c r="Q346" t="e">
        <f ca="1"/>
        <v>#N/A</v>
      </c>
      <c r="R346" t="e">
        <f ca="1"/>
        <v>#N/A</v>
      </c>
      <c r="S346" t="e">
        <f ca="1"/>
        <v>#N/A</v>
      </c>
      <c r="T346" t="e">
        <f ca="1"/>
        <v>#N/A</v>
      </c>
      <c r="U346" t="e">
        <f ca="1"/>
        <v>#N/A</v>
      </c>
      <c r="V346" t="e">
        <f ca="1"/>
        <v>#N/A</v>
      </c>
      <c r="X346" s="2">
        <f t="shared" ca="1" si="36"/>
        <v>0</v>
      </c>
      <c r="Y346">
        <f t="shared" ca="1" si="37"/>
        <v>0</v>
      </c>
      <c r="AA346" s="63" t="e">
        <f t="shared" ca="1" si="39"/>
        <v>#N/A</v>
      </c>
      <c r="AB346" s="63" t="e">
        <f t="shared" ca="1" si="40"/>
        <v>#N/A</v>
      </c>
      <c r="AC346" s="3" t="e">
        <f t="shared" ca="1" si="41"/>
        <v>#N/A</v>
      </c>
    </row>
    <row r="347" spans="8:29">
      <c r="H347" t="e">
        <f t="shared" ca="1" si="38"/>
        <v>#N/A</v>
      </c>
      <c r="I347" t="e">
        <f t="shared" ca="1" si="35"/>
        <v>#N/A</v>
      </c>
      <c r="J347" s="2" t="e">
        <f ca="1"/>
        <v>#N/A</v>
      </c>
      <c r="K347" t="e">
        <f ca="1"/>
        <v>#N/A</v>
      </c>
      <c r="L347" t="e">
        <f ca="1"/>
        <v>#N/A</v>
      </c>
      <c r="M347" t="e">
        <f ca="1"/>
        <v>#N/A</v>
      </c>
      <c r="N347" t="e">
        <f ca="1"/>
        <v>#N/A</v>
      </c>
      <c r="O347" t="e">
        <f ca="1"/>
        <v>#N/A</v>
      </c>
      <c r="P347" t="e">
        <f ca="1"/>
        <v>#N/A</v>
      </c>
      <c r="Q347" t="e">
        <f ca="1"/>
        <v>#N/A</v>
      </c>
      <c r="R347" t="e">
        <f ca="1"/>
        <v>#N/A</v>
      </c>
      <c r="S347" t="e">
        <f ca="1"/>
        <v>#N/A</v>
      </c>
      <c r="T347" t="e">
        <f ca="1"/>
        <v>#N/A</v>
      </c>
      <c r="U347" t="e">
        <f ca="1"/>
        <v>#N/A</v>
      </c>
      <c r="V347" t="e">
        <f ca="1"/>
        <v>#N/A</v>
      </c>
      <c r="X347" s="2">
        <f t="shared" ca="1" si="36"/>
        <v>0</v>
      </c>
      <c r="Y347">
        <f t="shared" ca="1" si="37"/>
        <v>0</v>
      </c>
      <c r="AA347" s="63" t="e">
        <f t="shared" ca="1" si="39"/>
        <v>#N/A</v>
      </c>
      <c r="AB347" s="63" t="e">
        <f t="shared" ca="1" si="40"/>
        <v>#N/A</v>
      </c>
      <c r="AC347" s="3" t="e">
        <f t="shared" ca="1" si="41"/>
        <v>#N/A</v>
      </c>
    </row>
    <row r="348" spans="8:29">
      <c r="H348" t="e">
        <f t="shared" ca="1" si="38"/>
        <v>#N/A</v>
      </c>
      <c r="I348" t="e">
        <f t="shared" ca="1" si="35"/>
        <v>#N/A</v>
      </c>
      <c r="J348" s="2" t="e">
        <f ca="1"/>
        <v>#N/A</v>
      </c>
      <c r="K348" t="e">
        <f ca="1"/>
        <v>#N/A</v>
      </c>
      <c r="L348" t="e">
        <f ca="1"/>
        <v>#N/A</v>
      </c>
      <c r="M348" t="e">
        <f ca="1"/>
        <v>#N/A</v>
      </c>
      <c r="N348" t="e">
        <f ca="1"/>
        <v>#N/A</v>
      </c>
      <c r="O348" t="e">
        <f ca="1"/>
        <v>#N/A</v>
      </c>
      <c r="P348" t="e">
        <f ca="1"/>
        <v>#N/A</v>
      </c>
      <c r="Q348" t="e">
        <f ca="1"/>
        <v>#N/A</v>
      </c>
      <c r="R348" t="e">
        <f ca="1"/>
        <v>#N/A</v>
      </c>
      <c r="S348" t="e">
        <f ca="1"/>
        <v>#N/A</v>
      </c>
      <c r="T348" t="e">
        <f ca="1"/>
        <v>#N/A</v>
      </c>
      <c r="U348" t="e">
        <f ca="1"/>
        <v>#N/A</v>
      </c>
      <c r="V348" t="e">
        <f ca="1"/>
        <v>#N/A</v>
      </c>
      <c r="X348" s="2">
        <f t="shared" ca="1" si="36"/>
        <v>0</v>
      </c>
      <c r="Y348">
        <f t="shared" ca="1" si="37"/>
        <v>0</v>
      </c>
      <c r="AA348" s="63" t="e">
        <f t="shared" ca="1" si="39"/>
        <v>#N/A</v>
      </c>
      <c r="AB348" s="63" t="e">
        <f t="shared" ca="1" si="40"/>
        <v>#N/A</v>
      </c>
      <c r="AC348" s="3" t="e">
        <f t="shared" ca="1" si="41"/>
        <v>#N/A</v>
      </c>
    </row>
    <row r="349" spans="8:29">
      <c r="H349" t="e">
        <f t="shared" ca="1" si="38"/>
        <v>#N/A</v>
      </c>
      <c r="I349" t="e">
        <f t="shared" ca="1" si="35"/>
        <v>#N/A</v>
      </c>
      <c r="J349" s="2" t="e">
        <f ca="1"/>
        <v>#N/A</v>
      </c>
      <c r="K349" t="e">
        <f ca="1"/>
        <v>#N/A</v>
      </c>
      <c r="L349" t="e">
        <f ca="1"/>
        <v>#N/A</v>
      </c>
      <c r="M349" t="e">
        <f ca="1"/>
        <v>#N/A</v>
      </c>
      <c r="N349" t="e">
        <f ca="1"/>
        <v>#N/A</v>
      </c>
      <c r="O349" t="e">
        <f ca="1"/>
        <v>#N/A</v>
      </c>
      <c r="P349" t="e">
        <f ca="1"/>
        <v>#N/A</v>
      </c>
      <c r="Q349" t="e">
        <f ca="1"/>
        <v>#N/A</v>
      </c>
      <c r="R349" t="e">
        <f ca="1"/>
        <v>#N/A</v>
      </c>
      <c r="S349" t="e">
        <f ca="1"/>
        <v>#N/A</v>
      </c>
      <c r="T349" t="e">
        <f ca="1"/>
        <v>#N/A</v>
      </c>
      <c r="U349" t="e">
        <f ca="1"/>
        <v>#N/A</v>
      </c>
      <c r="V349" t="e">
        <f ca="1"/>
        <v>#N/A</v>
      </c>
      <c r="X349" s="2">
        <f t="shared" ca="1" si="36"/>
        <v>0</v>
      </c>
      <c r="Y349">
        <f t="shared" ca="1" si="37"/>
        <v>0</v>
      </c>
      <c r="AA349" s="63" t="e">
        <f t="shared" ca="1" si="39"/>
        <v>#N/A</v>
      </c>
      <c r="AB349" s="63" t="e">
        <f t="shared" ca="1" si="40"/>
        <v>#N/A</v>
      </c>
      <c r="AC349" s="3" t="e">
        <f t="shared" ca="1" si="41"/>
        <v>#N/A</v>
      </c>
    </row>
    <row r="350" spans="8:29">
      <c r="H350" t="e">
        <f t="shared" ca="1" si="38"/>
        <v>#N/A</v>
      </c>
      <c r="I350" t="e">
        <f t="shared" ca="1" si="35"/>
        <v>#N/A</v>
      </c>
      <c r="J350" s="2" t="e">
        <f ca="1"/>
        <v>#N/A</v>
      </c>
      <c r="K350" t="e">
        <f ca="1"/>
        <v>#N/A</v>
      </c>
      <c r="L350" t="e">
        <f ca="1"/>
        <v>#N/A</v>
      </c>
      <c r="M350" t="e">
        <f ca="1"/>
        <v>#N/A</v>
      </c>
      <c r="N350" t="e">
        <f ca="1"/>
        <v>#N/A</v>
      </c>
      <c r="O350" t="e">
        <f ca="1"/>
        <v>#N/A</v>
      </c>
      <c r="P350" t="e">
        <f ca="1"/>
        <v>#N/A</v>
      </c>
      <c r="Q350" t="e">
        <f ca="1"/>
        <v>#N/A</v>
      </c>
      <c r="R350" t="e">
        <f ca="1"/>
        <v>#N/A</v>
      </c>
      <c r="S350" t="e">
        <f ca="1"/>
        <v>#N/A</v>
      </c>
      <c r="T350" t="e">
        <f ca="1"/>
        <v>#N/A</v>
      </c>
      <c r="U350" t="e">
        <f ca="1"/>
        <v>#N/A</v>
      </c>
      <c r="V350" t="e">
        <f ca="1"/>
        <v>#N/A</v>
      </c>
      <c r="X350" s="2">
        <f t="shared" ca="1" si="36"/>
        <v>0</v>
      </c>
      <c r="Y350">
        <f t="shared" ca="1" si="37"/>
        <v>0</v>
      </c>
      <c r="AA350" s="63" t="e">
        <f t="shared" ca="1" si="39"/>
        <v>#N/A</v>
      </c>
      <c r="AB350" s="63" t="e">
        <f t="shared" ca="1" si="40"/>
        <v>#N/A</v>
      </c>
      <c r="AC350" s="3" t="e">
        <f t="shared" ca="1" si="41"/>
        <v>#N/A</v>
      </c>
    </row>
    <row r="351" spans="8:29">
      <c r="H351" t="e">
        <f t="shared" ca="1" si="38"/>
        <v>#N/A</v>
      </c>
      <c r="I351" t="e">
        <f t="shared" ca="1" si="35"/>
        <v>#N/A</v>
      </c>
      <c r="J351" s="2" t="e">
        <f ca="1"/>
        <v>#N/A</v>
      </c>
      <c r="K351" t="e">
        <f ca="1"/>
        <v>#N/A</v>
      </c>
      <c r="L351" t="e">
        <f ca="1"/>
        <v>#N/A</v>
      </c>
      <c r="M351" t="e">
        <f ca="1"/>
        <v>#N/A</v>
      </c>
      <c r="N351" t="e">
        <f ca="1"/>
        <v>#N/A</v>
      </c>
      <c r="O351" t="e">
        <f ca="1"/>
        <v>#N/A</v>
      </c>
      <c r="P351" t="e">
        <f ca="1"/>
        <v>#N/A</v>
      </c>
      <c r="Q351" t="e">
        <f ca="1"/>
        <v>#N/A</v>
      </c>
      <c r="R351" t="e">
        <f ca="1"/>
        <v>#N/A</v>
      </c>
      <c r="S351" t="e">
        <f ca="1"/>
        <v>#N/A</v>
      </c>
      <c r="T351" t="e">
        <f ca="1"/>
        <v>#N/A</v>
      </c>
      <c r="U351" t="e">
        <f ca="1"/>
        <v>#N/A</v>
      </c>
      <c r="V351" t="e">
        <f ca="1"/>
        <v>#N/A</v>
      </c>
      <c r="X351" s="2">
        <f t="shared" ca="1" si="36"/>
        <v>0</v>
      </c>
      <c r="Y351">
        <f t="shared" ca="1" si="37"/>
        <v>0</v>
      </c>
      <c r="AA351" s="63" t="e">
        <f t="shared" ca="1" si="39"/>
        <v>#N/A</v>
      </c>
      <c r="AB351" s="63" t="e">
        <f t="shared" ca="1" si="40"/>
        <v>#N/A</v>
      </c>
      <c r="AC351" s="3" t="e">
        <f t="shared" ca="1" si="41"/>
        <v>#N/A</v>
      </c>
    </row>
    <row r="352" spans="8:29">
      <c r="H352" t="e">
        <f t="shared" ca="1" si="38"/>
        <v>#N/A</v>
      </c>
      <c r="I352" t="e">
        <f t="shared" ca="1" si="35"/>
        <v>#N/A</v>
      </c>
      <c r="J352" s="2" t="e">
        <f ca="1"/>
        <v>#N/A</v>
      </c>
      <c r="K352" t="e">
        <f ca="1"/>
        <v>#N/A</v>
      </c>
      <c r="L352" t="e">
        <f ca="1"/>
        <v>#N/A</v>
      </c>
      <c r="M352" t="e">
        <f ca="1"/>
        <v>#N/A</v>
      </c>
      <c r="N352" t="e">
        <f ca="1"/>
        <v>#N/A</v>
      </c>
      <c r="O352" t="e">
        <f ca="1"/>
        <v>#N/A</v>
      </c>
      <c r="P352" t="e">
        <f ca="1"/>
        <v>#N/A</v>
      </c>
      <c r="Q352" t="e">
        <f ca="1"/>
        <v>#N/A</v>
      </c>
      <c r="R352" t="e">
        <f ca="1"/>
        <v>#N/A</v>
      </c>
      <c r="S352" t="e">
        <f ca="1"/>
        <v>#N/A</v>
      </c>
      <c r="T352" t="e">
        <f ca="1"/>
        <v>#N/A</v>
      </c>
      <c r="U352" t="e">
        <f ca="1"/>
        <v>#N/A</v>
      </c>
      <c r="V352" t="e">
        <f ca="1"/>
        <v>#N/A</v>
      </c>
      <c r="X352" s="2">
        <f t="shared" ca="1" si="36"/>
        <v>0</v>
      </c>
      <c r="Y352">
        <f t="shared" ca="1" si="37"/>
        <v>0</v>
      </c>
      <c r="AA352" s="63" t="e">
        <f t="shared" ca="1" si="39"/>
        <v>#N/A</v>
      </c>
      <c r="AB352" s="63" t="e">
        <f t="shared" ca="1" si="40"/>
        <v>#N/A</v>
      </c>
      <c r="AC352" s="3" t="e">
        <f t="shared" ca="1" si="41"/>
        <v>#N/A</v>
      </c>
    </row>
    <row r="353" spans="8:29">
      <c r="H353" t="e">
        <f t="shared" ca="1" si="38"/>
        <v>#N/A</v>
      </c>
      <c r="I353" t="e">
        <f t="shared" ca="1" si="35"/>
        <v>#N/A</v>
      </c>
      <c r="J353" s="2" t="e">
        <f ca="1"/>
        <v>#N/A</v>
      </c>
      <c r="K353" t="e">
        <f ca="1"/>
        <v>#N/A</v>
      </c>
      <c r="L353" t="e">
        <f ca="1"/>
        <v>#N/A</v>
      </c>
      <c r="M353" t="e">
        <f ca="1"/>
        <v>#N/A</v>
      </c>
      <c r="N353" t="e">
        <f ca="1"/>
        <v>#N/A</v>
      </c>
      <c r="O353" t="e">
        <f ca="1"/>
        <v>#N/A</v>
      </c>
      <c r="P353" t="e">
        <f ca="1"/>
        <v>#N/A</v>
      </c>
      <c r="Q353" t="e">
        <f ca="1"/>
        <v>#N/A</v>
      </c>
      <c r="R353" t="e">
        <f ca="1"/>
        <v>#N/A</v>
      </c>
      <c r="S353" t="e">
        <f ca="1"/>
        <v>#N/A</v>
      </c>
      <c r="T353" t="e">
        <f ca="1"/>
        <v>#N/A</v>
      </c>
      <c r="U353" t="e">
        <f ca="1"/>
        <v>#N/A</v>
      </c>
      <c r="V353" t="e">
        <f ca="1"/>
        <v>#N/A</v>
      </c>
      <c r="X353" s="2">
        <f t="shared" ca="1" si="36"/>
        <v>0</v>
      </c>
      <c r="Y353">
        <f t="shared" ca="1" si="37"/>
        <v>0</v>
      </c>
      <c r="AA353" s="63" t="e">
        <f t="shared" ca="1" si="39"/>
        <v>#N/A</v>
      </c>
      <c r="AB353" s="63" t="e">
        <f t="shared" ca="1" si="40"/>
        <v>#N/A</v>
      </c>
      <c r="AC353" s="3" t="e">
        <f t="shared" ca="1" si="41"/>
        <v>#N/A</v>
      </c>
    </row>
    <row r="354" spans="8:29">
      <c r="H354" t="e">
        <f t="shared" ca="1" si="38"/>
        <v>#N/A</v>
      </c>
      <c r="I354" t="e">
        <f t="shared" ca="1" si="35"/>
        <v>#N/A</v>
      </c>
      <c r="J354" s="2" t="e">
        <f ca="1"/>
        <v>#N/A</v>
      </c>
      <c r="K354" t="e">
        <f ca="1"/>
        <v>#N/A</v>
      </c>
      <c r="L354" t="e">
        <f ca="1"/>
        <v>#N/A</v>
      </c>
      <c r="M354" t="e">
        <f ca="1"/>
        <v>#N/A</v>
      </c>
      <c r="N354" t="e">
        <f ca="1"/>
        <v>#N/A</v>
      </c>
      <c r="O354" t="e">
        <f ca="1"/>
        <v>#N/A</v>
      </c>
      <c r="P354" t="e">
        <f ca="1"/>
        <v>#N/A</v>
      </c>
      <c r="Q354" t="e">
        <f ca="1"/>
        <v>#N/A</v>
      </c>
      <c r="R354" t="e">
        <f ca="1"/>
        <v>#N/A</v>
      </c>
      <c r="S354" t="e">
        <f ca="1"/>
        <v>#N/A</v>
      </c>
      <c r="T354" t="e">
        <f ca="1"/>
        <v>#N/A</v>
      </c>
      <c r="U354" t="e">
        <f ca="1"/>
        <v>#N/A</v>
      </c>
      <c r="V354" t="e">
        <f ca="1"/>
        <v>#N/A</v>
      </c>
      <c r="X354" s="2">
        <f t="shared" ca="1" si="36"/>
        <v>0</v>
      </c>
      <c r="Y354">
        <f t="shared" ca="1" si="37"/>
        <v>0</v>
      </c>
      <c r="AA354" s="63" t="e">
        <f t="shared" ca="1" si="39"/>
        <v>#N/A</v>
      </c>
      <c r="AB354" s="63" t="e">
        <f t="shared" ca="1" si="40"/>
        <v>#N/A</v>
      </c>
      <c r="AC354" s="3" t="e">
        <f t="shared" ca="1" si="41"/>
        <v>#N/A</v>
      </c>
    </row>
    <row r="355" spans="8:29">
      <c r="H355" t="e">
        <f t="shared" ca="1" si="38"/>
        <v>#N/A</v>
      </c>
      <c r="I355" t="e">
        <f t="shared" ca="1" si="35"/>
        <v>#N/A</v>
      </c>
      <c r="J355" s="2" t="e">
        <f ca="1"/>
        <v>#N/A</v>
      </c>
      <c r="K355" t="e">
        <f ca="1"/>
        <v>#N/A</v>
      </c>
      <c r="L355" t="e">
        <f ca="1"/>
        <v>#N/A</v>
      </c>
      <c r="M355" t="e">
        <f ca="1"/>
        <v>#N/A</v>
      </c>
      <c r="N355" t="e">
        <f ca="1"/>
        <v>#N/A</v>
      </c>
      <c r="O355" t="e">
        <f ca="1"/>
        <v>#N/A</v>
      </c>
      <c r="P355" t="e">
        <f ca="1"/>
        <v>#N/A</v>
      </c>
      <c r="Q355" t="e">
        <f ca="1"/>
        <v>#N/A</v>
      </c>
      <c r="R355" t="e">
        <f ca="1"/>
        <v>#N/A</v>
      </c>
      <c r="S355" t="e">
        <f ca="1"/>
        <v>#N/A</v>
      </c>
      <c r="T355" t="e">
        <f ca="1"/>
        <v>#N/A</v>
      </c>
      <c r="U355" t="e">
        <f ca="1"/>
        <v>#N/A</v>
      </c>
      <c r="V355" t="e">
        <f ca="1"/>
        <v>#N/A</v>
      </c>
      <c r="X355" s="2">
        <f t="shared" ca="1" si="36"/>
        <v>0</v>
      </c>
      <c r="Y355">
        <f t="shared" ca="1" si="37"/>
        <v>0</v>
      </c>
      <c r="AA355" s="63" t="e">
        <f t="shared" ca="1" si="39"/>
        <v>#N/A</v>
      </c>
      <c r="AB355" s="63" t="e">
        <f t="shared" ca="1" si="40"/>
        <v>#N/A</v>
      </c>
      <c r="AC355" s="3" t="e">
        <f t="shared" ca="1" si="41"/>
        <v>#N/A</v>
      </c>
    </row>
    <row r="356" spans="8:29">
      <c r="H356" t="e">
        <f t="shared" ca="1" si="38"/>
        <v>#N/A</v>
      </c>
      <c r="I356" t="e">
        <f t="shared" ca="1" si="35"/>
        <v>#N/A</v>
      </c>
      <c r="J356" s="2" t="e">
        <f ca="1"/>
        <v>#N/A</v>
      </c>
      <c r="K356" t="e">
        <f ca="1"/>
        <v>#N/A</v>
      </c>
      <c r="L356" t="e">
        <f ca="1"/>
        <v>#N/A</v>
      </c>
      <c r="M356" t="e">
        <f ca="1"/>
        <v>#N/A</v>
      </c>
      <c r="N356" t="e">
        <f ca="1"/>
        <v>#N/A</v>
      </c>
      <c r="O356" t="e">
        <f ca="1"/>
        <v>#N/A</v>
      </c>
      <c r="P356" t="e">
        <f ca="1"/>
        <v>#N/A</v>
      </c>
      <c r="Q356" t="e">
        <f ca="1"/>
        <v>#N/A</v>
      </c>
      <c r="R356" t="e">
        <f ca="1"/>
        <v>#N/A</v>
      </c>
      <c r="S356" t="e">
        <f ca="1"/>
        <v>#N/A</v>
      </c>
      <c r="T356" t="e">
        <f ca="1"/>
        <v>#N/A</v>
      </c>
      <c r="U356" t="e">
        <f ca="1"/>
        <v>#N/A</v>
      </c>
      <c r="V356" t="e">
        <f ca="1"/>
        <v>#N/A</v>
      </c>
      <c r="X356" s="2">
        <f t="shared" ca="1" si="36"/>
        <v>0</v>
      </c>
      <c r="Y356">
        <f t="shared" ca="1" si="37"/>
        <v>0</v>
      </c>
      <c r="AA356" s="63" t="e">
        <f t="shared" ca="1" si="39"/>
        <v>#N/A</v>
      </c>
      <c r="AB356" s="63" t="e">
        <f t="shared" ca="1" si="40"/>
        <v>#N/A</v>
      </c>
      <c r="AC356" s="3" t="e">
        <f t="shared" ca="1" si="41"/>
        <v>#N/A</v>
      </c>
    </row>
    <row r="357" spans="8:29">
      <c r="H357" t="e">
        <f t="shared" ca="1" si="38"/>
        <v>#N/A</v>
      </c>
      <c r="I357" t="e">
        <f t="shared" ca="1" si="35"/>
        <v>#N/A</v>
      </c>
      <c r="J357" s="2" t="e">
        <f ca="1"/>
        <v>#N/A</v>
      </c>
      <c r="K357" t="e">
        <f ca="1"/>
        <v>#N/A</v>
      </c>
      <c r="L357" t="e">
        <f ca="1"/>
        <v>#N/A</v>
      </c>
      <c r="M357" t="e">
        <f ca="1"/>
        <v>#N/A</v>
      </c>
      <c r="N357" t="e">
        <f ca="1"/>
        <v>#N/A</v>
      </c>
      <c r="O357" t="e">
        <f ca="1"/>
        <v>#N/A</v>
      </c>
      <c r="P357" t="e">
        <f ca="1"/>
        <v>#N/A</v>
      </c>
      <c r="Q357" t="e">
        <f ca="1"/>
        <v>#N/A</v>
      </c>
      <c r="R357" t="e">
        <f ca="1"/>
        <v>#N/A</v>
      </c>
      <c r="S357" t="e">
        <f ca="1"/>
        <v>#N/A</v>
      </c>
      <c r="T357" t="e">
        <f ca="1"/>
        <v>#N/A</v>
      </c>
      <c r="U357" t="e">
        <f ca="1"/>
        <v>#N/A</v>
      </c>
      <c r="V357" t="e">
        <f ca="1"/>
        <v>#N/A</v>
      </c>
      <c r="X357" s="2">
        <f t="shared" ca="1" si="36"/>
        <v>0</v>
      </c>
      <c r="Y357">
        <f t="shared" ca="1" si="37"/>
        <v>0</v>
      </c>
      <c r="AA357" s="63" t="e">
        <f t="shared" ca="1" si="39"/>
        <v>#N/A</v>
      </c>
      <c r="AB357" s="63" t="e">
        <f t="shared" ca="1" si="40"/>
        <v>#N/A</v>
      </c>
      <c r="AC357" s="3" t="e">
        <f t="shared" ca="1" si="41"/>
        <v>#N/A</v>
      </c>
    </row>
    <row r="358" spans="8:29">
      <c r="H358" t="e">
        <f t="shared" ca="1" si="38"/>
        <v>#N/A</v>
      </c>
      <c r="I358" t="e">
        <f t="shared" ca="1" si="35"/>
        <v>#N/A</v>
      </c>
      <c r="J358" s="2" t="e">
        <f ca="1"/>
        <v>#N/A</v>
      </c>
      <c r="K358" t="e">
        <f ca="1"/>
        <v>#N/A</v>
      </c>
      <c r="L358" t="e">
        <f ca="1"/>
        <v>#N/A</v>
      </c>
      <c r="M358" t="e">
        <f ca="1"/>
        <v>#N/A</v>
      </c>
      <c r="N358" t="e">
        <f ca="1"/>
        <v>#N/A</v>
      </c>
      <c r="O358" t="e">
        <f ca="1"/>
        <v>#N/A</v>
      </c>
      <c r="P358" t="e">
        <f ca="1"/>
        <v>#N/A</v>
      </c>
      <c r="Q358" t="e">
        <f ca="1"/>
        <v>#N/A</v>
      </c>
      <c r="R358" t="e">
        <f ca="1"/>
        <v>#N/A</v>
      </c>
      <c r="S358" t="e">
        <f ca="1"/>
        <v>#N/A</v>
      </c>
      <c r="T358" t="e">
        <f ca="1"/>
        <v>#N/A</v>
      </c>
      <c r="U358" t="e">
        <f ca="1"/>
        <v>#N/A</v>
      </c>
      <c r="V358" t="e">
        <f ca="1"/>
        <v>#N/A</v>
      </c>
      <c r="X358" s="2">
        <f t="shared" ca="1" si="36"/>
        <v>0</v>
      </c>
      <c r="Y358">
        <f t="shared" ca="1" si="37"/>
        <v>0</v>
      </c>
      <c r="AA358" s="63" t="e">
        <f t="shared" ca="1" si="39"/>
        <v>#N/A</v>
      </c>
      <c r="AB358" s="63" t="e">
        <f t="shared" ca="1" si="40"/>
        <v>#N/A</v>
      </c>
      <c r="AC358" s="3" t="e">
        <f t="shared" ca="1" si="41"/>
        <v>#N/A</v>
      </c>
    </row>
    <row r="359" spans="8:29">
      <c r="H359" t="e">
        <f t="shared" ca="1" si="38"/>
        <v>#N/A</v>
      </c>
      <c r="I359" t="e">
        <f t="shared" ca="1" si="35"/>
        <v>#N/A</v>
      </c>
      <c r="J359" s="2" t="e">
        <f ca="1"/>
        <v>#N/A</v>
      </c>
      <c r="K359" t="e">
        <f ca="1"/>
        <v>#N/A</v>
      </c>
      <c r="L359" t="e">
        <f ca="1"/>
        <v>#N/A</v>
      </c>
      <c r="M359" t="e">
        <f ca="1"/>
        <v>#N/A</v>
      </c>
      <c r="N359" t="e">
        <f ca="1"/>
        <v>#N/A</v>
      </c>
      <c r="O359" t="e">
        <f ca="1"/>
        <v>#N/A</v>
      </c>
      <c r="P359" t="e">
        <f ca="1"/>
        <v>#N/A</v>
      </c>
      <c r="Q359" t="e">
        <f ca="1"/>
        <v>#N/A</v>
      </c>
      <c r="R359" t="e">
        <f ca="1"/>
        <v>#N/A</v>
      </c>
      <c r="S359" t="e">
        <f ca="1"/>
        <v>#N/A</v>
      </c>
      <c r="T359" t="e">
        <f ca="1"/>
        <v>#N/A</v>
      </c>
      <c r="U359" t="e">
        <f ca="1"/>
        <v>#N/A</v>
      </c>
      <c r="V359" t="e">
        <f ca="1"/>
        <v>#N/A</v>
      </c>
      <c r="X359" s="2">
        <f t="shared" ca="1" si="36"/>
        <v>0</v>
      </c>
      <c r="Y359">
        <f t="shared" ca="1" si="37"/>
        <v>0</v>
      </c>
      <c r="AA359" s="63" t="e">
        <f t="shared" ca="1" si="39"/>
        <v>#N/A</v>
      </c>
      <c r="AB359" s="63" t="e">
        <f t="shared" ca="1" si="40"/>
        <v>#N/A</v>
      </c>
      <c r="AC359" s="3" t="e">
        <f t="shared" ca="1" si="41"/>
        <v>#N/A</v>
      </c>
    </row>
    <row r="360" spans="8:29">
      <c r="H360" t="e">
        <f t="shared" ca="1" si="38"/>
        <v>#N/A</v>
      </c>
      <c r="I360" t="e">
        <f t="shared" ca="1" si="35"/>
        <v>#N/A</v>
      </c>
      <c r="J360" s="2" t="e">
        <f ca="1"/>
        <v>#N/A</v>
      </c>
      <c r="K360" t="e">
        <f ca="1"/>
        <v>#N/A</v>
      </c>
      <c r="L360" t="e">
        <f ca="1"/>
        <v>#N/A</v>
      </c>
      <c r="M360" t="e">
        <f ca="1"/>
        <v>#N/A</v>
      </c>
      <c r="N360" t="e">
        <f ca="1"/>
        <v>#N/A</v>
      </c>
      <c r="O360" t="e">
        <f ca="1"/>
        <v>#N/A</v>
      </c>
      <c r="P360" t="e">
        <f ca="1"/>
        <v>#N/A</v>
      </c>
      <c r="Q360" t="e">
        <f ca="1"/>
        <v>#N/A</v>
      </c>
      <c r="R360" t="e">
        <f ca="1"/>
        <v>#N/A</v>
      </c>
      <c r="S360" t="e">
        <f ca="1"/>
        <v>#N/A</v>
      </c>
      <c r="T360" t="e">
        <f ca="1"/>
        <v>#N/A</v>
      </c>
      <c r="U360" t="e">
        <f ca="1"/>
        <v>#N/A</v>
      </c>
      <c r="V360" t="e">
        <f ca="1"/>
        <v>#N/A</v>
      </c>
      <c r="X360" s="2">
        <f t="shared" ca="1" si="36"/>
        <v>0</v>
      </c>
      <c r="Y360">
        <f t="shared" ca="1" si="37"/>
        <v>0</v>
      </c>
      <c r="AA360" s="63" t="e">
        <f t="shared" ca="1" si="39"/>
        <v>#N/A</v>
      </c>
      <c r="AB360" s="63" t="e">
        <f t="shared" ca="1" si="40"/>
        <v>#N/A</v>
      </c>
      <c r="AC360" s="3" t="e">
        <f t="shared" ca="1" si="41"/>
        <v>#N/A</v>
      </c>
    </row>
    <row r="361" spans="8:29">
      <c r="H361" t="e">
        <f t="shared" ca="1" si="38"/>
        <v>#N/A</v>
      </c>
      <c r="I361" t="e">
        <f t="shared" ca="1" si="35"/>
        <v>#N/A</v>
      </c>
      <c r="J361" s="2" t="e">
        <f ca="1"/>
        <v>#N/A</v>
      </c>
      <c r="K361" t="e">
        <f ca="1"/>
        <v>#N/A</v>
      </c>
      <c r="L361" t="e">
        <f ca="1"/>
        <v>#N/A</v>
      </c>
      <c r="M361" t="e">
        <f ca="1"/>
        <v>#N/A</v>
      </c>
      <c r="N361" t="e">
        <f ca="1"/>
        <v>#N/A</v>
      </c>
      <c r="O361" t="e">
        <f ca="1"/>
        <v>#N/A</v>
      </c>
      <c r="P361" t="e">
        <f ca="1"/>
        <v>#N/A</v>
      </c>
      <c r="Q361" t="e">
        <f ca="1"/>
        <v>#N/A</v>
      </c>
      <c r="R361" t="e">
        <f ca="1"/>
        <v>#N/A</v>
      </c>
      <c r="S361" t="e">
        <f ca="1"/>
        <v>#N/A</v>
      </c>
      <c r="T361" t="e">
        <f ca="1"/>
        <v>#N/A</v>
      </c>
      <c r="U361" t="e">
        <f ca="1"/>
        <v>#N/A</v>
      </c>
      <c r="V361" t="e">
        <f ca="1"/>
        <v>#N/A</v>
      </c>
      <c r="X361" s="2">
        <f t="shared" ca="1" si="36"/>
        <v>0</v>
      </c>
      <c r="Y361">
        <f t="shared" ca="1" si="37"/>
        <v>0</v>
      </c>
      <c r="AA361" s="63" t="e">
        <f t="shared" ca="1" si="39"/>
        <v>#N/A</v>
      </c>
      <c r="AB361" s="63" t="e">
        <f t="shared" ca="1" si="40"/>
        <v>#N/A</v>
      </c>
      <c r="AC361" s="3" t="e">
        <f t="shared" ca="1" si="41"/>
        <v>#N/A</v>
      </c>
    </row>
    <row r="362" spans="8:29">
      <c r="H362" t="e">
        <f t="shared" ca="1" si="38"/>
        <v>#N/A</v>
      </c>
      <c r="I362" t="e">
        <f t="shared" ca="1" si="35"/>
        <v>#N/A</v>
      </c>
      <c r="J362" s="2" t="e">
        <f ca="1"/>
        <v>#N/A</v>
      </c>
      <c r="K362" t="e">
        <f ca="1"/>
        <v>#N/A</v>
      </c>
      <c r="L362" t="e">
        <f ca="1"/>
        <v>#N/A</v>
      </c>
      <c r="M362" t="e">
        <f ca="1"/>
        <v>#N/A</v>
      </c>
      <c r="N362" t="e">
        <f ca="1"/>
        <v>#N/A</v>
      </c>
      <c r="O362" t="e">
        <f ca="1"/>
        <v>#N/A</v>
      </c>
      <c r="P362" t="e">
        <f ca="1"/>
        <v>#N/A</v>
      </c>
      <c r="Q362" t="e">
        <f ca="1"/>
        <v>#N/A</v>
      </c>
      <c r="R362" t="e">
        <f ca="1"/>
        <v>#N/A</v>
      </c>
      <c r="S362" t="e">
        <f ca="1"/>
        <v>#N/A</v>
      </c>
      <c r="T362" t="e">
        <f ca="1"/>
        <v>#N/A</v>
      </c>
      <c r="U362" t="e">
        <f ca="1"/>
        <v>#N/A</v>
      </c>
      <c r="V362" t="e">
        <f ca="1"/>
        <v>#N/A</v>
      </c>
      <c r="X362" s="2">
        <f t="shared" ca="1" si="36"/>
        <v>0</v>
      </c>
      <c r="Y362">
        <f t="shared" ca="1" si="37"/>
        <v>0</v>
      </c>
      <c r="AA362" s="63" t="e">
        <f t="shared" ca="1" si="39"/>
        <v>#N/A</v>
      </c>
      <c r="AB362" s="63" t="e">
        <f t="shared" ca="1" si="40"/>
        <v>#N/A</v>
      </c>
      <c r="AC362" s="3" t="e">
        <f t="shared" ca="1" si="41"/>
        <v>#N/A</v>
      </c>
    </row>
    <row r="363" spans="8:29">
      <c r="H363" t="e">
        <f t="shared" ca="1" si="38"/>
        <v>#N/A</v>
      </c>
      <c r="I363" t="e">
        <f t="shared" ca="1" si="35"/>
        <v>#N/A</v>
      </c>
      <c r="J363" s="2" t="e">
        <f ca="1"/>
        <v>#N/A</v>
      </c>
      <c r="K363" t="e">
        <f ca="1"/>
        <v>#N/A</v>
      </c>
      <c r="L363" t="e">
        <f ca="1"/>
        <v>#N/A</v>
      </c>
      <c r="M363" t="e">
        <f ca="1"/>
        <v>#N/A</v>
      </c>
      <c r="N363" t="e">
        <f ca="1"/>
        <v>#N/A</v>
      </c>
      <c r="O363" t="e">
        <f ca="1"/>
        <v>#N/A</v>
      </c>
      <c r="P363" t="e">
        <f ca="1"/>
        <v>#N/A</v>
      </c>
      <c r="Q363" t="e">
        <f ca="1"/>
        <v>#N/A</v>
      </c>
      <c r="R363" t="e">
        <f ca="1"/>
        <v>#N/A</v>
      </c>
      <c r="S363" t="e">
        <f ca="1"/>
        <v>#N/A</v>
      </c>
      <c r="T363" t="e">
        <f ca="1"/>
        <v>#N/A</v>
      </c>
      <c r="U363" t="e">
        <f ca="1"/>
        <v>#N/A</v>
      </c>
      <c r="V363" t="e">
        <f ca="1"/>
        <v>#N/A</v>
      </c>
      <c r="X363" s="2">
        <f t="shared" ca="1" si="36"/>
        <v>0</v>
      </c>
      <c r="Y363">
        <f t="shared" ca="1" si="37"/>
        <v>0</v>
      </c>
      <c r="AA363" s="63" t="e">
        <f t="shared" ca="1" si="39"/>
        <v>#N/A</v>
      </c>
      <c r="AB363" s="63" t="e">
        <f t="shared" ca="1" si="40"/>
        <v>#N/A</v>
      </c>
      <c r="AC363" s="3" t="e">
        <f t="shared" ca="1" si="41"/>
        <v>#N/A</v>
      </c>
    </row>
    <row r="364" spans="8:29">
      <c r="H364" t="e">
        <f t="shared" ca="1" si="38"/>
        <v>#N/A</v>
      </c>
      <c r="I364" t="e">
        <f t="shared" ca="1" si="35"/>
        <v>#N/A</v>
      </c>
      <c r="J364" s="2" t="e">
        <f ca="1"/>
        <v>#N/A</v>
      </c>
      <c r="K364" t="e">
        <f ca="1"/>
        <v>#N/A</v>
      </c>
      <c r="L364" t="e">
        <f ca="1"/>
        <v>#N/A</v>
      </c>
      <c r="M364" t="e">
        <f ca="1"/>
        <v>#N/A</v>
      </c>
      <c r="N364" t="e">
        <f ca="1"/>
        <v>#N/A</v>
      </c>
      <c r="O364" t="e">
        <f ca="1"/>
        <v>#N/A</v>
      </c>
      <c r="P364" t="e">
        <f ca="1"/>
        <v>#N/A</v>
      </c>
      <c r="Q364" t="e">
        <f ca="1"/>
        <v>#N/A</v>
      </c>
      <c r="R364" t="e">
        <f ca="1"/>
        <v>#N/A</v>
      </c>
      <c r="S364" t="e">
        <f ca="1"/>
        <v>#N/A</v>
      </c>
      <c r="T364" t="e">
        <f ca="1"/>
        <v>#N/A</v>
      </c>
      <c r="U364" t="e">
        <f ca="1"/>
        <v>#N/A</v>
      </c>
      <c r="V364" t="e">
        <f ca="1"/>
        <v>#N/A</v>
      </c>
      <c r="X364" s="2">
        <f t="shared" ca="1" si="36"/>
        <v>0</v>
      </c>
      <c r="Y364">
        <f t="shared" ca="1" si="37"/>
        <v>0</v>
      </c>
      <c r="AA364" s="63" t="e">
        <f t="shared" ca="1" si="39"/>
        <v>#N/A</v>
      </c>
      <c r="AB364" s="63" t="e">
        <f t="shared" ca="1" si="40"/>
        <v>#N/A</v>
      </c>
      <c r="AC364" s="3" t="e">
        <f t="shared" ca="1" si="41"/>
        <v>#N/A</v>
      </c>
    </row>
    <row r="365" spans="8:29">
      <c r="H365" t="e">
        <f t="shared" ca="1" si="38"/>
        <v>#N/A</v>
      </c>
      <c r="I365" t="e">
        <f t="shared" ca="1" si="35"/>
        <v>#N/A</v>
      </c>
      <c r="J365" s="2" t="e">
        <f ca="1"/>
        <v>#N/A</v>
      </c>
      <c r="K365" t="e">
        <f ca="1"/>
        <v>#N/A</v>
      </c>
      <c r="L365" t="e">
        <f ca="1"/>
        <v>#N/A</v>
      </c>
      <c r="M365" t="e">
        <f ca="1"/>
        <v>#N/A</v>
      </c>
      <c r="N365" t="e">
        <f ca="1"/>
        <v>#N/A</v>
      </c>
      <c r="O365" t="e">
        <f ca="1"/>
        <v>#N/A</v>
      </c>
      <c r="P365" t="e">
        <f ca="1"/>
        <v>#N/A</v>
      </c>
      <c r="Q365" t="e">
        <f ca="1"/>
        <v>#N/A</v>
      </c>
      <c r="R365" t="e">
        <f ca="1"/>
        <v>#N/A</v>
      </c>
      <c r="S365" t="e">
        <f ca="1"/>
        <v>#N/A</v>
      </c>
      <c r="T365" t="e">
        <f ca="1"/>
        <v>#N/A</v>
      </c>
      <c r="U365" t="e">
        <f ca="1"/>
        <v>#N/A</v>
      </c>
      <c r="V365" t="e">
        <f ca="1"/>
        <v>#N/A</v>
      </c>
      <c r="X365" s="2">
        <f t="shared" ca="1" si="36"/>
        <v>0</v>
      </c>
      <c r="Y365">
        <f t="shared" ca="1" si="37"/>
        <v>0</v>
      </c>
      <c r="AA365" s="63" t="e">
        <f t="shared" ca="1" si="39"/>
        <v>#N/A</v>
      </c>
      <c r="AB365" s="63" t="e">
        <f t="shared" ca="1" si="40"/>
        <v>#N/A</v>
      </c>
      <c r="AC365" s="3" t="e">
        <f t="shared" ca="1" si="41"/>
        <v>#N/A</v>
      </c>
    </row>
    <row r="366" spans="8:29">
      <c r="H366" t="e">
        <f t="shared" ca="1" si="38"/>
        <v>#N/A</v>
      </c>
      <c r="I366" t="e">
        <f t="shared" ca="1" si="35"/>
        <v>#N/A</v>
      </c>
      <c r="J366" s="2" t="e">
        <f ca="1"/>
        <v>#N/A</v>
      </c>
      <c r="K366" t="e">
        <f ca="1"/>
        <v>#N/A</v>
      </c>
      <c r="L366" t="e">
        <f ca="1"/>
        <v>#N/A</v>
      </c>
      <c r="M366" t="e">
        <f ca="1"/>
        <v>#N/A</v>
      </c>
      <c r="N366" t="e">
        <f ca="1"/>
        <v>#N/A</v>
      </c>
      <c r="O366" t="e">
        <f ca="1"/>
        <v>#N/A</v>
      </c>
      <c r="P366" t="e">
        <f ca="1"/>
        <v>#N/A</v>
      </c>
      <c r="Q366" t="e">
        <f ca="1"/>
        <v>#N/A</v>
      </c>
      <c r="R366" t="e">
        <f ca="1"/>
        <v>#N/A</v>
      </c>
      <c r="S366" t="e">
        <f ca="1"/>
        <v>#N/A</v>
      </c>
      <c r="T366" t="e">
        <f ca="1"/>
        <v>#N/A</v>
      </c>
      <c r="U366" t="e">
        <f ca="1"/>
        <v>#N/A</v>
      </c>
      <c r="V366" t="e">
        <f ca="1"/>
        <v>#N/A</v>
      </c>
      <c r="X366" s="2">
        <f t="shared" ca="1" si="36"/>
        <v>0</v>
      </c>
      <c r="Y366">
        <f t="shared" ca="1" si="37"/>
        <v>0</v>
      </c>
      <c r="AA366" s="63" t="e">
        <f t="shared" ca="1" si="39"/>
        <v>#N/A</v>
      </c>
      <c r="AB366" s="63" t="e">
        <f t="shared" ca="1" si="40"/>
        <v>#N/A</v>
      </c>
      <c r="AC366" s="3" t="e">
        <f t="shared" ca="1" si="41"/>
        <v>#N/A</v>
      </c>
    </row>
    <row r="367" spans="8:29">
      <c r="H367" t="e">
        <f t="shared" ca="1" si="38"/>
        <v>#N/A</v>
      </c>
      <c r="I367" t="e">
        <f t="shared" ca="1" si="35"/>
        <v>#N/A</v>
      </c>
      <c r="J367" s="2" t="e">
        <f ca="1"/>
        <v>#N/A</v>
      </c>
      <c r="K367" t="e">
        <f ca="1"/>
        <v>#N/A</v>
      </c>
      <c r="L367" t="e">
        <f ca="1"/>
        <v>#N/A</v>
      </c>
      <c r="M367" t="e">
        <f ca="1"/>
        <v>#N/A</v>
      </c>
      <c r="N367" t="e">
        <f ca="1"/>
        <v>#N/A</v>
      </c>
      <c r="O367" t="e">
        <f ca="1"/>
        <v>#N/A</v>
      </c>
      <c r="P367" t="e">
        <f ca="1"/>
        <v>#N/A</v>
      </c>
      <c r="Q367" t="e">
        <f ca="1"/>
        <v>#N/A</v>
      </c>
      <c r="R367" t="e">
        <f ca="1"/>
        <v>#N/A</v>
      </c>
      <c r="S367" t="e">
        <f ca="1"/>
        <v>#N/A</v>
      </c>
      <c r="T367" t="e">
        <f ca="1"/>
        <v>#N/A</v>
      </c>
      <c r="U367" t="e">
        <f ca="1"/>
        <v>#N/A</v>
      </c>
      <c r="V367" t="e">
        <f ca="1"/>
        <v>#N/A</v>
      </c>
      <c r="X367" s="2">
        <f t="shared" ca="1" si="36"/>
        <v>0</v>
      </c>
      <c r="Y367">
        <f t="shared" ca="1" si="37"/>
        <v>0</v>
      </c>
      <c r="AA367" s="63" t="e">
        <f t="shared" ca="1" si="39"/>
        <v>#N/A</v>
      </c>
      <c r="AB367" s="63" t="e">
        <f t="shared" ca="1" si="40"/>
        <v>#N/A</v>
      </c>
      <c r="AC367" s="3" t="e">
        <f t="shared" ca="1" si="41"/>
        <v>#N/A</v>
      </c>
    </row>
    <row r="368" spans="8:29">
      <c r="H368" t="e">
        <f t="shared" ca="1" si="38"/>
        <v>#N/A</v>
      </c>
      <c r="I368" t="e">
        <f t="shared" ca="1" si="35"/>
        <v>#N/A</v>
      </c>
      <c r="J368" s="2" t="e">
        <f ca="1"/>
        <v>#N/A</v>
      </c>
      <c r="K368" t="e">
        <f ca="1"/>
        <v>#N/A</v>
      </c>
      <c r="L368" t="e">
        <f ca="1"/>
        <v>#N/A</v>
      </c>
      <c r="M368" t="e">
        <f ca="1"/>
        <v>#N/A</v>
      </c>
      <c r="N368" t="e">
        <f ca="1"/>
        <v>#N/A</v>
      </c>
      <c r="O368" t="e">
        <f ca="1"/>
        <v>#N/A</v>
      </c>
      <c r="P368" t="e">
        <f ca="1"/>
        <v>#N/A</v>
      </c>
      <c r="Q368" t="e">
        <f ca="1"/>
        <v>#N/A</v>
      </c>
      <c r="R368" t="e">
        <f ca="1"/>
        <v>#N/A</v>
      </c>
      <c r="S368" t="e">
        <f ca="1"/>
        <v>#N/A</v>
      </c>
      <c r="T368" t="e">
        <f ca="1"/>
        <v>#N/A</v>
      </c>
      <c r="U368" t="e">
        <f ca="1"/>
        <v>#N/A</v>
      </c>
      <c r="V368" t="e">
        <f ca="1"/>
        <v>#N/A</v>
      </c>
      <c r="X368" s="2">
        <f t="shared" ca="1" si="36"/>
        <v>0</v>
      </c>
      <c r="Y368">
        <f t="shared" ca="1" si="37"/>
        <v>0</v>
      </c>
      <c r="AA368" s="63" t="e">
        <f t="shared" ca="1" si="39"/>
        <v>#N/A</v>
      </c>
      <c r="AB368" s="63" t="e">
        <f t="shared" ca="1" si="40"/>
        <v>#N/A</v>
      </c>
      <c r="AC368" s="3" t="e">
        <f t="shared" ca="1" si="41"/>
        <v>#N/A</v>
      </c>
    </row>
    <row r="369" spans="8:29">
      <c r="H369" t="e">
        <f t="shared" ca="1" si="38"/>
        <v>#N/A</v>
      </c>
      <c r="I369" t="e">
        <f t="shared" ca="1" si="35"/>
        <v>#N/A</v>
      </c>
      <c r="J369" s="2" t="e">
        <f ca="1"/>
        <v>#N/A</v>
      </c>
      <c r="K369" t="e">
        <f ca="1"/>
        <v>#N/A</v>
      </c>
      <c r="L369" t="e">
        <f ca="1"/>
        <v>#N/A</v>
      </c>
      <c r="M369" t="e">
        <f ca="1"/>
        <v>#N/A</v>
      </c>
      <c r="N369" t="e">
        <f ca="1"/>
        <v>#N/A</v>
      </c>
      <c r="O369" t="e">
        <f ca="1"/>
        <v>#N/A</v>
      </c>
      <c r="P369" t="e">
        <f ca="1"/>
        <v>#N/A</v>
      </c>
      <c r="Q369" t="e">
        <f ca="1"/>
        <v>#N/A</v>
      </c>
      <c r="R369" t="e">
        <f ca="1"/>
        <v>#N/A</v>
      </c>
      <c r="S369" t="e">
        <f ca="1"/>
        <v>#N/A</v>
      </c>
      <c r="T369" t="e">
        <f ca="1"/>
        <v>#N/A</v>
      </c>
      <c r="U369" t="e">
        <f ca="1"/>
        <v>#N/A</v>
      </c>
      <c r="V369" t="e">
        <f ca="1"/>
        <v>#N/A</v>
      </c>
      <c r="X369" s="2">
        <f t="shared" ca="1" si="36"/>
        <v>0</v>
      </c>
      <c r="Y369">
        <f t="shared" ca="1" si="37"/>
        <v>0</v>
      </c>
      <c r="AA369" s="63" t="e">
        <f t="shared" ca="1" si="39"/>
        <v>#N/A</v>
      </c>
      <c r="AB369" s="63" t="e">
        <f t="shared" ca="1" si="40"/>
        <v>#N/A</v>
      </c>
      <c r="AC369" s="3" t="e">
        <f t="shared" ca="1" si="41"/>
        <v>#N/A</v>
      </c>
    </row>
    <row r="370" spans="8:29">
      <c r="H370" t="e">
        <f t="shared" ca="1" si="38"/>
        <v>#N/A</v>
      </c>
      <c r="I370" t="e">
        <f t="shared" ca="1" si="35"/>
        <v>#N/A</v>
      </c>
      <c r="J370" s="2" t="e">
        <f ca="1"/>
        <v>#N/A</v>
      </c>
      <c r="K370" t="e">
        <f ca="1"/>
        <v>#N/A</v>
      </c>
      <c r="L370" t="e">
        <f ca="1"/>
        <v>#N/A</v>
      </c>
      <c r="M370" t="e">
        <f ca="1"/>
        <v>#N/A</v>
      </c>
      <c r="N370" t="e">
        <f ca="1"/>
        <v>#N/A</v>
      </c>
      <c r="O370" t="e">
        <f ca="1"/>
        <v>#N/A</v>
      </c>
      <c r="P370" t="e">
        <f ca="1"/>
        <v>#N/A</v>
      </c>
      <c r="Q370" t="e">
        <f ca="1"/>
        <v>#N/A</v>
      </c>
      <c r="R370" t="e">
        <f ca="1"/>
        <v>#N/A</v>
      </c>
      <c r="S370" t="e">
        <f ca="1"/>
        <v>#N/A</v>
      </c>
      <c r="T370" t="e">
        <f ca="1"/>
        <v>#N/A</v>
      </c>
      <c r="U370" t="e">
        <f ca="1"/>
        <v>#N/A</v>
      </c>
      <c r="V370" t="e">
        <f ca="1"/>
        <v>#N/A</v>
      </c>
      <c r="X370" s="2">
        <f t="shared" ca="1" si="36"/>
        <v>0</v>
      </c>
      <c r="Y370">
        <f t="shared" ca="1" si="37"/>
        <v>0</v>
      </c>
      <c r="AA370" s="63" t="e">
        <f t="shared" ca="1" si="39"/>
        <v>#N/A</v>
      </c>
      <c r="AB370" s="63" t="e">
        <f t="shared" ca="1" si="40"/>
        <v>#N/A</v>
      </c>
      <c r="AC370" s="3" t="e">
        <f t="shared" ca="1" si="41"/>
        <v>#N/A</v>
      </c>
    </row>
    <row r="371" spans="8:29">
      <c r="H371" t="e">
        <f t="shared" ca="1" si="38"/>
        <v>#N/A</v>
      </c>
      <c r="I371" t="e">
        <f t="shared" ca="1" si="35"/>
        <v>#N/A</v>
      </c>
      <c r="J371" s="2" t="e">
        <f ca="1"/>
        <v>#N/A</v>
      </c>
      <c r="K371" t="e">
        <f ca="1"/>
        <v>#N/A</v>
      </c>
      <c r="L371" t="e">
        <f ca="1"/>
        <v>#N/A</v>
      </c>
      <c r="M371" t="e">
        <f ca="1"/>
        <v>#N/A</v>
      </c>
      <c r="N371" t="e">
        <f ca="1"/>
        <v>#N/A</v>
      </c>
      <c r="O371" t="e">
        <f ca="1"/>
        <v>#N/A</v>
      </c>
      <c r="P371" t="e">
        <f ca="1"/>
        <v>#N/A</v>
      </c>
      <c r="Q371" t="e">
        <f ca="1"/>
        <v>#N/A</v>
      </c>
      <c r="R371" t="e">
        <f ca="1"/>
        <v>#N/A</v>
      </c>
      <c r="S371" t="e">
        <f ca="1"/>
        <v>#N/A</v>
      </c>
      <c r="T371" t="e">
        <f ca="1"/>
        <v>#N/A</v>
      </c>
      <c r="U371" t="e">
        <f ca="1"/>
        <v>#N/A</v>
      </c>
      <c r="V371" t="e">
        <f ca="1"/>
        <v>#N/A</v>
      </c>
      <c r="X371" s="2">
        <f t="shared" ca="1" si="36"/>
        <v>0</v>
      </c>
      <c r="Y371">
        <f t="shared" ca="1" si="37"/>
        <v>0</v>
      </c>
      <c r="AA371" s="63" t="e">
        <f t="shared" ca="1" si="39"/>
        <v>#N/A</v>
      </c>
      <c r="AB371" s="63" t="e">
        <f t="shared" ca="1" si="40"/>
        <v>#N/A</v>
      </c>
      <c r="AC371" s="3" t="e">
        <f t="shared" ca="1" si="41"/>
        <v>#N/A</v>
      </c>
    </row>
    <row r="372" spans="8:29">
      <c r="H372" t="e">
        <f t="shared" ca="1" si="38"/>
        <v>#N/A</v>
      </c>
      <c r="I372" t="e">
        <f t="shared" ca="1" si="35"/>
        <v>#N/A</v>
      </c>
      <c r="J372" s="2" t="e">
        <f ca="1"/>
        <v>#N/A</v>
      </c>
      <c r="K372" t="e">
        <f ca="1"/>
        <v>#N/A</v>
      </c>
      <c r="L372" t="e">
        <f ca="1"/>
        <v>#N/A</v>
      </c>
      <c r="M372" t="e">
        <f ca="1"/>
        <v>#N/A</v>
      </c>
      <c r="N372" t="e">
        <f ca="1"/>
        <v>#N/A</v>
      </c>
      <c r="O372" t="e">
        <f ca="1"/>
        <v>#N/A</v>
      </c>
      <c r="P372" t="e">
        <f ca="1"/>
        <v>#N/A</v>
      </c>
      <c r="Q372" t="e">
        <f ca="1"/>
        <v>#N/A</v>
      </c>
      <c r="R372" t="e">
        <f ca="1"/>
        <v>#N/A</v>
      </c>
      <c r="S372" t="e">
        <f ca="1"/>
        <v>#N/A</v>
      </c>
      <c r="T372" t="e">
        <f ca="1"/>
        <v>#N/A</v>
      </c>
      <c r="U372" t="e">
        <f ca="1"/>
        <v>#N/A</v>
      </c>
      <c r="V372" t="e">
        <f ca="1"/>
        <v>#N/A</v>
      </c>
      <c r="X372" s="2">
        <f t="shared" ca="1" si="36"/>
        <v>0</v>
      </c>
      <c r="Y372">
        <f t="shared" ca="1" si="37"/>
        <v>0</v>
      </c>
      <c r="AA372" s="63" t="e">
        <f t="shared" ca="1" si="39"/>
        <v>#N/A</v>
      </c>
      <c r="AB372" s="63" t="e">
        <f t="shared" ca="1" si="40"/>
        <v>#N/A</v>
      </c>
      <c r="AC372" s="3" t="e">
        <f t="shared" ca="1" si="41"/>
        <v>#N/A</v>
      </c>
    </row>
    <row r="373" spans="8:29">
      <c r="H373" t="e">
        <f t="shared" ca="1" si="38"/>
        <v>#N/A</v>
      </c>
      <c r="I373" t="e">
        <f t="shared" ca="1" si="35"/>
        <v>#N/A</v>
      </c>
      <c r="J373" s="2" t="e">
        <f ca="1"/>
        <v>#N/A</v>
      </c>
      <c r="K373" t="e">
        <f ca="1"/>
        <v>#N/A</v>
      </c>
      <c r="L373" t="e">
        <f ca="1"/>
        <v>#N/A</v>
      </c>
      <c r="M373" t="e">
        <f ca="1"/>
        <v>#N/A</v>
      </c>
      <c r="N373" t="e">
        <f ca="1"/>
        <v>#N/A</v>
      </c>
      <c r="O373" t="e">
        <f ca="1"/>
        <v>#N/A</v>
      </c>
      <c r="P373" t="e">
        <f ca="1"/>
        <v>#N/A</v>
      </c>
      <c r="Q373" t="e">
        <f ca="1"/>
        <v>#N/A</v>
      </c>
      <c r="R373" t="e">
        <f ca="1"/>
        <v>#N/A</v>
      </c>
      <c r="S373" t="e">
        <f ca="1"/>
        <v>#N/A</v>
      </c>
      <c r="T373" t="e">
        <f ca="1"/>
        <v>#N/A</v>
      </c>
      <c r="U373" t="e">
        <f ca="1"/>
        <v>#N/A</v>
      </c>
      <c r="V373" t="e">
        <f ca="1"/>
        <v>#N/A</v>
      </c>
      <c r="X373" s="2">
        <f t="shared" ca="1" si="36"/>
        <v>0</v>
      </c>
      <c r="Y373">
        <f t="shared" ca="1" si="37"/>
        <v>0</v>
      </c>
      <c r="AA373" s="63" t="e">
        <f t="shared" ca="1" si="39"/>
        <v>#N/A</v>
      </c>
      <c r="AB373" s="63" t="e">
        <f t="shared" ca="1" si="40"/>
        <v>#N/A</v>
      </c>
      <c r="AC373" s="3" t="e">
        <f t="shared" ca="1" si="41"/>
        <v>#N/A</v>
      </c>
    </row>
    <row r="374" spans="8:29">
      <c r="H374" t="e">
        <f t="shared" ca="1" si="38"/>
        <v>#N/A</v>
      </c>
      <c r="I374" t="e">
        <f t="shared" ca="1" si="35"/>
        <v>#N/A</v>
      </c>
      <c r="J374" s="2" t="e">
        <f ca="1"/>
        <v>#N/A</v>
      </c>
      <c r="K374" t="e">
        <f ca="1"/>
        <v>#N/A</v>
      </c>
      <c r="L374" t="e">
        <f ca="1"/>
        <v>#N/A</v>
      </c>
      <c r="M374" t="e">
        <f ca="1"/>
        <v>#N/A</v>
      </c>
      <c r="N374" t="e">
        <f ca="1"/>
        <v>#N/A</v>
      </c>
      <c r="O374" t="e">
        <f ca="1"/>
        <v>#N/A</v>
      </c>
      <c r="P374" t="e">
        <f ca="1"/>
        <v>#N/A</v>
      </c>
      <c r="Q374" t="e">
        <f ca="1"/>
        <v>#N/A</v>
      </c>
      <c r="R374" t="e">
        <f ca="1"/>
        <v>#N/A</v>
      </c>
      <c r="S374" t="e">
        <f ca="1"/>
        <v>#N/A</v>
      </c>
      <c r="T374" t="e">
        <f ca="1"/>
        <v>#N/A</v>
      </c>
      <c r="U374" t="e">
        <f ca="1"/>
        <v>#N/A</v>
      </c>
      <c r="V374" t="e">
        <f ca="1"/>
        <v>#N/A</v>
      </c>
      <c r="X374" s="2">
        <f t="shared" ca="1" si="36"/>
        <v>0</v>
      </c>
      <c r="Y374">
        <f t="shared" ca="1" si="37"/>
        <v>0</v>
      </c>
      <c r="AA374" s="63" t="e">
        <f t="shared" ca="1" si="39"/>
        <v>#N/A</v>
      </c>
      <c r="AB374" s="63" t="e">
        <f t="shared" ca="1" si="40"/>
        <v>#N/A</v>
      </c>
      <c r="AC374" s="3" t="e">
        <f t="shared" ca="1" si="41"/>
        <v>#N/A</v>
      </c>
    </row>
    <row r="375" spans="8:29">
      <c r="H375" t="e">
        <f t="shared" ca="1" si="38"/>
        <v>#N/A</v>
      </c>
      <c r="I375" t="e">
        <f t="shared" ca="1" si="35"/>
        <v>#N/A</v>
      </c>
      <c r="J375" s="2" t="e">
        <f ca="1"/>
        <v>#N/A</v>
      </c>
      <c r="K375" t="e">
        <f ca="1"/>
        <v>#N/A</v>
      </c>
      <c r="L375" t="e">
        <f ca="1"/>
        <v>#N/A</v>
      </c>
      <c r="M375" t="e">
        <f ca="1"/>
        <v>#N/A</v>
      </c>
      <c r="N375" t="e">
        <f ca="1"/>
        <v>#N/A</v>
      </c>
      <c r="O375" t="e">
        <f ca="1"/>
        <v>#N/A</v>
      </c>
      <c r="P375" t="e">
        <f ca="1"/>
        <v>#N/A</v>
      </c>
      <c r="Q375" t="e">
        <f ca="1"/>
        <v>#N/A</v>
      </c>
      <c r="R375" t="e">
        <f ca="1"/>
        <v>#N/A</v>
      </c>
      <c r="S375" t="e">
        <f ca="1"/>
        <v>#N/A</v>
      </c>
      <c r="T375" t="e">
        <f ca="1"/>
        <v>#N/A</v>
      </c>
      <c r="U375" t="e">
        <f ca="1"/>
        <v>#N/A</v>
      </c>
      <c r="V375" t="e">
        <f ca="1"/>
        <v>#N/A</v>
      </c>
      <c r="X375" s="2">
        <f t="shared" ca="1" si="36"/>
        <v>0</v>
      </c>
      <c r="Y375">
        <f t="shared" ca="1" si="37"/>
        <v>0</v>
      </c>
      <c r="AA375" s="63" t="e">
        <f t="shared" ca="1" si="39"/>
        <v>#N/A</v>
      </c>
      <c r="AB375" s="63" t="e">
        <f t="shared" ca="1" si="40"/>
        <v>#N/A</v>
      </c>
      <c r="AC375" s="3" t="e">
        <f t="shared" ca="1" si="41"/>
        <v>#N/A</v>
      </c>
    </row>
    <row r="376" spans="8:29">
      <c r="H376" t="e">
        <f t="shared" ca="1" si="38"/>
        <v>#N/A</v>
      </c>
      <c r="I376" t="e">
        <f t="shared" ca="1" si="35"/>
        <v>#N/A</v>
      </c>
      <c r="J376" s="2" t="e">
        <f ca="1"/>
        <v>#N/A</v>
      </c>
      <c r="K376" t="e">
        <f ca="1"/>
        <v>#N/A</v>
      </c>
      <c r="L376" t="e">
        <f ca="1"/>
        <v>#N/A</v>
      </c>
      <c r="M376" t="e">
        <f ca="1"/>
        <v>#N/A</v>
      </c>
      <c r="N376" t="e">
        <f ca="1"/>
        <v>#N/A</v>
      </c>
      <c r="O376" t="e">
        <f ca="1"/>
        <v>#N/A</v>
      </c>
      <c r="P376" t="e">
        <f ca="1"/>
        <v>#N/A</v>
      </c>
      <c r="Q376" t="e">
        <f ca="1"/>
        <v>#N/A</v>
      </c>
      <c r="R376" t="e">
        <f ca="1"/>
        <v>#N/A</v>
      </c>
      <c r="S376" t="e">
        <f ca="1"/>
        <v>#N/A</v>
      </c>
      <c r="T376" t="e">
        <f ca="1"/>
        <v>#N/A</v>
      </c>
      <c r="U376" t="e">
        <f ca="1"/>
        <v>#N/A</v>
      </c>
      <c r="V376" t="e">
        <f ca="1"/>
        <v>#N/A</v>
      </c>
      <c r="X376" s="2">
        <f t="shared" ca="1" si="36"/>
        <v>0</v>
      </c>
      <c r="Y376">
        <f t="shared" ca="1" si="37"/>
        <v>0</v>
      </c>
      <c r="AA376" s="63" t="e">
        <f t="shared" ca="1" si="39"/>
        <v>#N/A</v>
      </c>
      <c r="AB376" s="63" t="e">
        <f t="shared" ca="1" si="40"/>
        <v>#N/A</v>
      </c>
      <c r="AC376" s="3" t="e">
        <f t="shared" ca="1" si="41"/>
        <v>#N/A</v>
      </c>
    </row>
    <row r="377" spans="8:29">
      <c r="H377" t="e">
        <f t="shared" ca="1" si="38"/>
        <v>#N/A</v>
      </c>
      <c r="I377" t="e">
        <f t="shared" ca="1" si="35"/>
        <v>#N/A</v>
      </c>
      <c r="J377" s="2" t="e">
        <f ca="1"/>
        <v>#N/A</v>
      </c>
      <c r="K377" t="e">
        <f ca="1"/>
        <v>#N/A</v>
      </c>
      <c r="L377" t="e">
        <f ca="1"/>
        <v>#N/A</v>
      </c>
      <c r="M377" t="e">
        <f ca="1"/>
        <v>#N/A</v>
      </c>
      <c r="N377" t="e">
        <f ca="1"/>
        <v>#N/A</v>
      </c>
      <c r="O377" t="e">
        <f ca="1"/>
        <v>#N/A</v>
      </c>
      <c r="P377" t="e">
        <f ca="1"/>
        <v>#N/A</v>
      </c>
      <c r="Q377" t="e">
        <f ca="1"/>
        <v>#N/A</v>
      </c>
      <c r="R377" t="e">
        <f ca="1"/>
        <v>#N/A</v>
      </c>
      <c r="S377" t="e">
        <f ca="1"/>
        <v>#N/A</v>
      </c>
      <c r="T377" t="e">
        <f ca="1"/>
        <v>#N/A</v>
      </c>
      <c r="U377" t="e">
        <f ca="1"/>
        <v>#N/A</v>
      </c>
      <c r="V377" t="e">
        <f ca="1"/>
        <v>#N/A</v>
      </c>
      <c r="X377" s="2">
        <f t="shared" ca="1" si="36"/>
        <v>0</v>
      </c>
      <c r="Y377">
        <f t="shared" ca="1" si="37"/>
        <v>0</v>
      </c>
      <c r="AA377" s="63" t="e">
        <f t="shared" ca="1" si="39"/>
        <v>#N/A</v>
      </c>
      <c r="AB377" s="63" t="e">
        <f t="shared" ca="1" si="40"/>
        <v>#N/A</v>
      </c>
      <c r="AC377" s="3" t="e">
        <f t="shared" ca="1" si="41"/>
        <v>#N/A</v>
      </c>
    </row>
    <row r="378" spans="8:29">
      <c r="H378" t="e">
        <f t="shared" ca="1" si="38"/>
        <v>#N/A</v>
      </c>
      <c r="I378" t="e">
        <f t="shared" ca="1" si="35"/>
        <v>#N/A</v>
      </c>
      <c r="J378" s="2" t="e">
        <f ca="1"/>
        <v>#N/A</v>
      </c>
      <c r="K378" t="e">
        <f ca="1"/>
        <v>#N/A</v>
      </c>
      <c r="L378" t="e">
        <f ca="1"/>
        <v>#N/A</v>
      </c>
      <c r="M378" t="e">
        <f ca="1"/>
        <v>#N/A</v>
      </c>
      <c r="N378" t="e">
        <f ca="1"/>
        <v>#N/A</v>
      </c>
      <c r="O378" t="e">
        <f ca="1"/>
        <v>#N/A</v>
      </c>
      <c r="P378" t="e">
        <f ca="1"/>
        <v>#N/A</v>
      </c>
      <c r="Q378" t="e">
        <f ca="1"/>
        <v>#N/A</v>
      </c>
      <c r="R378" t="e">
        <f ca="1"/>
        <v>#N/A</v>
      </c>
      <c r="S378" t="e">
        <f ca="1"/>
        <v>#N/A</v>
      </c>
      <c r="T378" t="e">
        <f ca="1"/>
        <v>#N/A</v>
      </c>
      <c r="U378" t="e">
        <f ca="1"/>
        <v>#N/A</v>
      </c>
      <c r="V378" t="e">
        <f ca="1"/>
        <v>#N/A</v>
      </c>
      <c r="X378" s="2">
        <f t="shared" ca="1" si="36"/>
        <v>0</v>
      </c>
      <c r="Y378">
        <f t="shared" ca="1" si="37"/>
        <v>0</v>
      </c>
      <c r="AA378" s="63" t="e">
        <f t="shared" ca="1" si="39"/>
        <v>#N/A</v>
      </c>
      <c r="AB378" s="63" t="e">
        <f t="shared" ca="1" si="40"/>
        <v>#N/A</v>
      </c>
      <c r="AC378" s="3" t="e">
        <f t="shared" ca="1" si="41"/>
        <v>#N/A</v>
      </c>
    </row>
    <row r="379" spans="8:29">
      <c r="H379" t="e">
        <f t="shared" ca="1" si="38"/>
        <v>#N/A</v>
      </c>
      <c r="I379" t="e">
        <f t="shared" ca="1" si="35"/>
        <v>#N/A</v>
      </c>
      <c r="J379" s="2" t="e">
        <f ca="1"/>
        <v>#N/A</v>
      </c>
      <c r="K379" t="e">
        <f ca="1"/>
        <v>#N/A</v>
      </c>
      <c r="L379" t="e">
        <f ca="1"/>
        <v>#N/A</v>
      </c>
      <c r="M379" t="e">
        <f ca="1"/>
        <v>#N/A</v>
      </c>
      <c r="N379" t="e">
        <f ca="1"/>
        <v>#N/A</v>
      </c>
      <c r="O379" t="e">
        <f ca="1"/>
        <v>#N/A</v>
      </c>
      <c r="P379" t="e">
        <f ca="1"/>
        <v>#N/A</v>
      </c>
      <c r="Q379" t="e">
        <f ca="1"/>
        <v>#N/A</v>
      </c>
      <c r="R379" t="e">
        <f ca="1"/>
        <v>#N/A</v>
      </c>
      <c r="S379" t="e">
        <f ca="1"/>
        <v>#N/A</v>
      </c>
      <c r="T379" t="e">
        <f ca="1"/>
        <v>#N/A</v>
      </c>
      <c r="U379" t="e">
        <f ca="1"/>
        <v>#N/A</v>
      </c>
      <c r="V379" t="e">
        <f ca="1"/>
        <v>#N/A</v>
      </c>
      <c r="X379" s="2">
        <f t="shared" ca="1" si="36"/>
        <v>0</v>
      </c>
      <c r="Y379">
        <f t="shared" ca="1" si="37"/>
        <v>0</v>
      </c>
      <c r="AA379" s="63" t="e">
        <f t="shared" ca="1" si="39"/>
        <v>#N/A</v>
      </c>
      <c r="AB379" s="63" t="e">
        <f t="shared" ca="1" si="40"/>
        <v>#N/A</v>
      </c>
      <c r="AC379" s="3" t="e">
        <f t="shared" ca="1" si="41"/>
        <v>#N/A</v>
      </c>
    </row>
    <row r="380" spans="8:29">
      <c r="H380" t="e">
        <f t="shared" ca="1" si="38"/>
        <v>#N/A</v>
      </c>
      <c r="I380" t="e">
        <f t="shared" ca="1" si="35"/>
        <v>#N/A</v>
      </c>
      <c r="J380" s="2" t="e">
        <f ca="1"/>
        <v>#N/A</v>
      </c>
      <c r="K380" t="e">
        <f ca="1"/>
        <v>#N/A</v>
      </c>
      <c r="L380" t="e">
        <f ca="1"/>
        <v>#N/A</v>
      </c>
      <c r="M380" t="e">
        <f ca="1"/>
        <v>#N/A</v>
      </c>
      <c r="N380" t="e">
        <f ca="1"/>
        <v>#N/A</v>
      </c>
      <c r="O380" t="e">
        <f ca="1"/>
        <v>#N/A</v>
      </c>
      <c r="P380" t="e">
        <f ca="1"/>
        <v>#N/A</v>
      </c>
      <c r="Q380" t="e">
        <f ca="1"/>
        <v>#N/A</v>
      </c>
      <c r="R380" t="e">
        <f ca="1"/>
        <v>#N/A</v>
      </c>
      <c r="S380" t="e">
        <f ca="1"/>
        <v>#N/A</v>
      </c>
      <c r="T380" t="e">
        <f ca="1"/>
        <v>#N/A</v>
      </c>
      <c r="U380" t="e">
        <f ca="1"/>
        <v>#N/A</v>
      </c>
      <c r="V380" t="e">
        <f ca="1"/>
        <v>#N/A</v>
      </c>
      <c r="X380" s="2">
        <f t="shared" ca="1" si="36"/>
        <v>0</v>
      </c>
      <c r="Y380">
        <f t="shared" ca="1" si="37"/>
        <v>0</v>
      </c>
      <c r="AA380" s="63" t="e">
        <f t="shared" ca="1" si="39"/>
        <v>#N/A</v>
      </c>
      <c r="AB380" s="63" t="e">
        <f t="shared" ca="1" si="40"/>
        <v>#N/A</v>
      </c>
      <c r="AC380" s="3" t="e">
        <f t="shared" ca="1" si="41"/>
        <v>#N/A</v>
      </c>
    </row>
    <row r="381" spans="8:29">
      <c r="H381" t="e">
        <f t="shared" ca="1" si="38"/>
        <v>#N/A</v>
      </c>
      <c r="I381" t="e">
        <f t="shared" ca="1" si="35"/>
        <v>#N/A</v>
      </c>
      <c r="J381" s="2" t="e">
        <f ca="1"/>
        <v>#N/A</v>
      </c>
      <c r="K381" t="e">
        <f ca="1"/>
        <v>#N/A</v>
      </c>
      <c r="L381" t="e">
        <f ca="1"/>
        <v>#N/A</v>
      </c>
      <c r="M381" t="e">
        <f ca="1"/>
        <v>#N/A</v>
      </c>
      <c r="N381" t="e">
        <f ca="1"/>
        <v>#N/A</v>
      </c>
      <c r="O381" t="e">
        <f ca="1"/>
        <v>#N/A</v>
      </c>
      <c r="P381" t="e">
        <f ca="1"/>
        <v>#N/A</v>
      </c>
      <c r="Q381" t="e">
        <f ca="1"/>
        <v>#N/A</v>
      </c>
      <c r="R381" t="e">
        <f ca="1"/>
        <v>#N/A</v>
      </c>
      <c r="S381" t="e">
        <f ca="1"/>
        <v>#N/A</v>
      </c>
      <c r="T381" t="e">
        <f ca="1"/>
        <v>#N/A</v>
      </c>
      <c r="U381" t="e">
        <f ca="1"/>
        <v>#N/A</v>
      </c>
      <c r="V381" t="e">
        <f ca="1"/>
        <v>#N/A</v>
      </c>
      <c r="X381" s="2">
        <f t="shared" ca="1" si="36"/>
        <v>0</v>
      </c>
      <c r="Y381">
        <f t="shared" ca="1" si="37"/>
        <v>0</v>
      </c>
      <c r="AA381" s="63" t="e">
        <f t="shared" ca="1" si="39"/>
        <v>#N/A</v>
      </c>
      <c r="AB381" s="63" t="e">
        <f t="shared" ca="1" si="40"/>
        <v>#N/A</v>
      </c>
      <c r="AC381" s="3" t="e">
        <f t="shared" ca="1" si="41"/>
        <v>#N/A</v>
      </c>
    </row>
    <row r="382" spans="8:29">
      <c r="H382" t="e">
        <f t="shared" ca="1" si="38"/>
        <v>#N/A</v>
      </c>
      <c r="I382" t="e">
        <f t="shared" ca="1" si="35"/>
        <v>#N/A</v>
      </c>
      <c r="J382" s="2" t="e">
        <f ca="1"/>
        <v>#N/A</v>
      </c>
      <c r="K382" t="e">
        <f ca="1"/>
        <v>#N/A</v>
      </c>
      <c r="L382" t="e">
        <f ca="1"/>
        <v>#N/A</v>
      </c>
      <c r="M382" t="e">
        <f ca="1"/>
        <v>#N/A</v>
      </c>
      <c r="N382" t="e">
        <f ca="1"/>
        <v>#N/A</v>
      </c>
      <c r="O382" t="e">
        <f ca="1"/>
        <v>#N/A</v>
      </c>
      <c r="P382" t="e">
        <f ca="1"/>
        <v>#N/A</v>
      </c>
      <c r="Q382" t="e">
        <f ca="1"/>
        <v>#N/A</v>
      </c>
      <c r="R382" t="e">
        <f ca="1"/>
        <v>#N/A</v>
      </c>
      <c r="S382" t="e">
        <f ca="1"/>
        <v>#N/A</v>
      </c>
      <c r="T382" t="e">
        <f ca="1"/>
        <v>#N/A</v>
      </c>
      <c r="U382" t="e">
        <f ca="1"/>
        <v>#N/A</v>
      </c>
      <c r="V382" t="e">
        <f ca="1"/>
        <v>#N/A</v>
      </c>
      <c r="X382" s="2">
        <f t="shared" ca="1" si="36"/>
        <v>0</v>
      </c>
      <c r="Y382">
        <f t="shared" ca="1" si="37"/>
        <v>0</v>
      </c>
      <c r="AA382" s="63" t="e">
        <f t="shared" ca="1" si="39"/>
        <v>#N/A</v>
      </c>
      <c r="AB382" s="63" t="e">
        <f t="shared" ca="1" si="40"/>
        <v>#N/A</v>
      </c>
      <c r="AC382" s="3" t="e">
        <f t="shared" ca="1" si="41"/>
        <v>#N/A</v>
      </c>
    </row>
    <row r="383" spans="8:29">
      <c r="H383" t="e">
        <f t="shared" ca="1" si="38"/>
        <v>#N/A</v>
      </c>
      <c r="I383" t="e">
        <f t="shared" ca="1" si="35"/>
        <v>#N/A</v>
      </c>
      <c r="J383" s="2" t="e">
        <f ca="1"/>
        <v>#N/A</v>
      </c>
      <c r="K383" t="e">
        <f ca="1"/>
        <v>#N/A</v>
      </c>
      <c r="L383" t="e">
        <f ca="1"/>
        <v>#N/A</v>
      </c>
      <c r="M383" t="e">
        <f ca="1"/>
        <v>#N/A</v>
      </c>
      <c r="N383" t="e">
        <f ca="1"/>
        <v>#N/A</v>
      </c>
      <c r="O383" t="e">
        <f ca="1"/>
        <v>#N/A</v>
      </c>
      <c r="P383" t="e">
        <f ca="1"/>
        <v>#N/A</v>
      </c>
      <c r="Q383" t="e">
        <f ca="1"/>
        <v>#N/A</v>
      </c>
      <c r="R383" t="e">
        <f ca="1"/>
        <v>#N/A</v>
      </c>
      <c r="S383" t="e">
        <f ca="1"/>
        <v>#N/A</v>
      </c>
      <c r="T383" t="e">
        <f ca="1"/>
        <v>#N/A</v>
      </c>
      <c r="U383" t="e">
        <f ca="1"/>
        <v>#N/A</v>
      </c>
      <c r="V383" t="e">
        <f ca="1"/>
        <v>#N/A</v>
      </c>
      <c r="X383" s="2">
        <f t="shared" ca="1" si="36"/>
        <v>0</v>
      </c>
      <c r="Y383">
        <f t="shared" ca="1" si="37"/>
        <v>0</v>
      </c>
      <c r="AA383" s="63" t="e">
        <f t="shared" ca="1" si="39"/>
        <v>#N/A</v>
      </c>
      <c r="AB383" s="63" t="e">
        <f t="shared" ca="1" si="40"/>
        <v>#N/A</v>
      </c>
      <c r="AC383" s="3" t="e">
        <f t="shared" ca="1" si="41"/>
        <v>#N/A</v>
      </c>
    </row>
    <row r="384" spans="8:29">
      <c r="H384" t="e">
        <f t="shared" ca="1" si="38"/>
        <v>#N/A</v>
      </c>
      <c r="I384" t="e">
        <f t="shared" ca="1" si="35"/>
        <v>#N/A</v>
      </c>
      <c r="J384" s="2" t="e">
        <f ca="1"/>
        <v>#N/A</v>
      </c>
      <c r="K384" t="e">
        <f ca="1"/>
        <v>#N/A</v>
      </c>
      <c r="L384" t="e">
        <f ca="1"/>
        <v>#N/A</v>
      </c>
      <c r="M384" t="e">
        <f ca="1"/>
        <v>#N/A</v>
      </c>
      <c r="N384" t="e">
        <f ca="1"/>
        <v>#N/A</v>
      </c>
      <c r="O384" t="e">
        <f ca="1"/>
        <v>#N/A</v>
      </c>
      <c r="P384" t="e">
        <f ca="1"/>
        <v>#N/A</v>
      </c>
      <c r="Q384" t="e">
        <f ca="1"/>
        <v>#N/A</v>
      </c>
      <c r="R384" t="e">
        <f ca="1"/>
        <v>#N/A</v>
      </c>
      <c r="S384" t="e">
        <f ca="1"/>
        <v>#N/A</v>
      </c>
      <c r="T384" t="e">
        <f ca="1"/>
        <v>#N/A</v>
      </c>
      <c r="U384" t="e">
        <f ca="1"/>
        <v>#N/A</v>
      </c>
      <c r="V384" t="e">
        <f ca="1"/>
        <v>#N/A</v>
      </c>
      <c r="X384" s="2">
        <f t="shared" ca="1" si="36"/>
        <v>0</v>
      </c>
      <c r="Y384">
        <f t="shared" ca="1" si="37"/>
        <v>0</v>
      </c>
      <c r="AA384" s="63" t="e">
        <f t="shared" ca="1" si="39"/>
        <v>#N/A</v>
      </c>
      <c r="AB384" s="63" t="e">
        <f t="shared" ca="1" si="40"/>
        <v>#N/A</v>
      </c>
      <c r="AC384" s="3" t="e">
        <f t="shared" ca="1" si="41"/>
        <v>#N/A</v>
      </c>
    </row>
    <row r="385" spans="8:29">
      <c r="H385" t="e">
        <f t="shared" ca="1" si="38"/>
        <v>#N/A</v>
      </c>
      <c r="I385" t="e">
        <f t="shared" ca="1" si="35"/>
        <v>#N/A</v>
      </c>
      <c r="J385" s="2" t="e">
        <f ca="1"/>
        <v>#N/A</v>
      </c>
      <c r="K385" t="e">
        <f ca="1"/>
        <v>#N/A</v>
      </c>
      <c r="L385" t="e">
        <f ca="1"/>
        <v>#N/A</v>
      </c>
      <c r="M385" t="e">
        <f ca="1"/>
        <v>#N/A</v>
      </c>
      <c r="N385" t="e">
        <f ca="1"/>
        <v>#N/A</v>
      </c>
      <c r="O385" t="e">
        <f ca="1"/>
        <v>#N/A</v>
      </c>
      <c r="P385" t="e">
        <f ca="1"/>
        <v>#N/A</v>
      </c>
      <c r="Q385" t="e">
        <f ca="1"/>
        <v>#N/A</v>
      </c>
      <c r="R385" t="e">
        <f ca="1"/>
        <v>#N/A</v>
      </c>
      <c r="S385" t="e">
        <f ca="1"/>
        <v>#N/A</v>
      </c>
      <c r="T385" t="e">
        <f ca="1"/>
        <v>#N/A</v>
      </c>
      <c r="U385" t="e">
        <f ca="1"/>
        <v>#N/A</v>
      </c>
      <c r="V385" t="e">
        <f ca="1"/>
        <v>#N/A</v>
      </c>
      <c r="X385" s="2">
        <f t="shared" ca="1" si="36"/>
        <v>0</v>
      </c>
      <c r="Y385">
        <f t="shared" ca="1" si="37"/>
        <v>0</v>
      </c>
      <c r="AA385" s="63" t="e">
        <f t="shared" ca="1" si="39"/>
        <v>#N/A</v>
      </c>
      <c r="AB385" s="63" t="e">
        <f t="shared" ca="1" si="40"/>
        <v>#N/A</v>
      </c>
      <c r="AC385" s="3" t="e">
        <f t="shared" ca="1" si="41"/>
        <v>#N/A</v>
      </c>
    </row>
    <row r="386" spans="8:29">
      <c r="H386" t="e">
        <f t="shared" ca="1" si="38"/>
        <v>#N/A</v>
      </c>
      <c r="I386" t="e">
        <f t="shared" ca="1" si="35"/>
        <v>#N/A</v>
      </c>
      <c r="J386" s="2" t="e">
        <f ca="1"/>
        <v>#N/A</v>
      </c>
      <c r="K386" t="e">
        <f ca="1"/>
        <v>#N/A</v>
      </c>
      <c r="L386" t="e">
        <f ca="1"/>
        <v>#N/A</v>
      </c>
      <c r="M386" t="e">
        <f ca="1"/>
        <v>#N/A</v>
      </c>
      <c r="N386" t="e">
        <f ca="1"/>
        <v>#N/A</v>
      </c>
      <c r="O386" t="e">
        <f ca="1"/>
        <v>#N/A</v>
      </c>
      <c r="P386" t="e">
        <f ca="1"/>
        <v>#N/A</v>
      </c>
      <c r="Q386" t="e">
        <f ca="1"/>
        <v>#N/A</v>
      </c>
      <c r="R386" t="e">
        <f ca="1"/>
        <v>#N/A</v>
      </c>
      <c r="S386" t="e">
        <f ca="1"/>
        <v>#N/A</v>
      </c>
      <c r="T386" t="e">
        <f ca="1"/>
        <v>#N/A</v>
      </c>
      <c r="U386" t="e">
        <f ca="1"/>
        <v>#N/A</v>
      </c>
      <c r="V386" t="e">
        <f ca="1"/>
        <v>#N/A</v>
      </c>
      <c r="X386" s="2">
        <f t="shared" ca="1" si="36"/>
        <v>0</v>
      </c>
      <c r="Y386">
        <f t="shared" ca="1" si="37"/>
        <v>0</v>
      </c>
      <c r="AA386" s="63" t="e">
        <f t="shared" ca="1" si="39"/>
        <v>#N/A</v>
      </c>
      <c r="AB386" s="63" t="e">
        <f t="shared" ca="1" si="40"/>
        <v>#N/A</v>
      </c>
      <c r="AC386" s="3" t="e">
        <f t="shared" ca="1" si="41"/>
        <v>#N/A</v>
      </c>
    </row>
    <row r="387" spans="8:29">
      <c r="H387" t="e">
        <f t="shared" ca="1" si="38"/>
        <v>#N/A</v>
      </c>
      <c r="I387" t="e">
        <f t="shared" ca="1" si="35"/>
        <v>#N/A</v>
      </c>
      <c r="J387" s="2" t="e">
        <f ca="1"/>
        <v>#N/A</v>
      </c>
      <c r="K387" t="e">
        <f ca="1"/>
        <v>#N/A</v>
      </c>
      <c r="L387" t="e">
        <f ca="1"/>
        <v>#N/A</v>
      </c>
      <c r="M387" t="e">
        <f ca="1"/>
        <v>#N/A</v>
      </c>
      <c r="N387" t="e">
        <f ca="1"/>
        <v>#N/A</v>
      </c>
      <c r="O387" t="e">
        <f ca="1"/>
        <v>#N/A</v>
      </c>
      <c r="P387" t="e">
        <f ca="1"/>
        <v>#N/A</v>
      </c>
      <c r="Q387" t="e">
        <f ca="1"/>
        <v>#N/A</v>
      </c>
      <c r="R387" t="e">
        <f ca="1"/>
        <v>#N/A</v>
      </c>
      <c r="S387" t="e">
        <f ca="1"/>
        <v>#N/A</v>
      </c>
      <c r="T387" t="e">
        <f ca="1"/>
        <v>#N/A</v>
      </c>
      <c r="U387" t="e">
        <f ca="1"/>
        <v>#N/A</v>
      </c>
      <c r="V387" t="e">
        <f ca="1"/>
        <v>#N/A</v>
      </c>
      <c r="X387" s="2">
        <f t="shared" ca="1" si="36"/>
        <v>0</v>
      </c>
      <c r="Y387">
        <f t="shared" ca="1" si="37"/>
        <v>0</v>
      </c>
      <c r="AA387" s="63" t="e">
        <f t="shared" ca="1" si="39"/>
        <v>#N/A</v>
      </c>
      <c r="AB387" s="63" t="e">
        <f t="shared" ca="1" si="40"/>
        <v>#N/A</v>
      </c>
      <c r="AC387" s="3" t="e">
        <f t="shared" ca="1" si="41"/>
        <v>#N/A</v>
      </c>
    </row>
    <row r="388" spans="8:29">
      <c r="H388" t="e">
        <f t="shared" ca="1" si="38"/>
        <v>#N/A</v>
      </c>
      <c r="I388" t="e">
        <f t="shared" ca="1" si="35"/>
        <v>#N/A</v>
      </c>
      <c r="J388" s="2" t="e">
        <f ca="1"/>
        <v>#N/A</v>
      </c>
      <c r="K388" t="e">
        <f ca="1"/>
        <v>#N/A</v>
      </c>
      <c r="L388" t="e">
        <f ca="1"/>
        <v>#N/A</v>
      </c>
      <c r="M388" t="e">
        <f ca="1"/>
        <v>#N/A</v>
      </c>
      <c r="N388" t="e">
        <f ca="1"/>
        <v>#N/A</v>
      </c>
      <c r="O388" t="e">
        <f ca="1"/>
        <v>#N/A</v>
      </c>
      <c r="P388" t="e">
        <f ca="1"/>
        <v>#N/A</v>
      </c>
      <c r="Q388" t="e">
        <f ca="1"/>
        <v>#N/A</v>
      </c>
      <c r="R388" t="e">
        <f ca="1"/>
        <v>#N/A</v>
      </c>
      <c r="S388" t="e">
        <f ca="1"/>
        <v>#N/A</v>
      </c>
      <c r="T388" t="e">
        <f ca="1"/>
        <v>#N/A</v>
      </c>
      <c r="U388" t="e">
        <f ca="1"/>
        <v>#N/A</v>
      </c>
      <c r="V388" t="e">
        <f ca="1"/>
        <v>#N/A</v>
      </c>
      <c r="X388" s="2">
        <f t="shared" ca="1" si="36"/>
        <v>0</v>
      </c>
      <c r="Y388">
        <f t="shared" ca="1" si="37"/>
        <v>0</v>
      </c>
      <c r="AA388" s="63" t="e">
        <f t="shared" ca="1" si="39"/>
        <v>#N/A</v>
      </c>
      <c r="AB388" s="63" t="e">
        <f t="shared" ca="1" si="40"/>
        <v>#N/A</v>
      </c>
      <c r="AC388" s="3" t="e">
        <f t="shared" ca="1" si="41"/>
        <v>#N/A</v>
      </c>
    </row>
    <row r="389" spans="8:29">
      <c r="H389" t="e">
        <f t="shared" ca="1" si="38"/>
        <v>#N/A</v>
      </c>
      <c r="I389" t="e">
        <f t="shared" ca="1" si="35"/>
        <v>#N/A</v>
      </c>
      <c r="J389" s="2" t="e">
        <f ca="1"/>
        <v>#N/A</v>
      </c>
      <c r="K389" t="e">
        <f ca="1"/>
        <v>#N/A</v>
      </c>
      <c r="L389" t="e">
        <f ca="1"/>
        <v>#N/A</v>
      </c>
      <c r="M389" t="e">
        <f ca="1"/>
        <v>#N/A</v>
      </c>
      <c r="N389" t="e">
        <f ca="1"/>
        <v>#N/A</v>
      </c>
      <c r="O389" t="e">
        <f ca="1"/>
        <v>#N/A</v>
      </c>
      <c r="P389" t="e">
        <f ca="1"/>
        <v>#N/A</v>
      </c>
      <c r="Q389" t="e">
        <f ca="1"/>
        <v>#N/A</v>
      </c>
      <c r="R389" t="e">
        <f ca="1"/>
        <v>#N/A</v>
      </c>
      <c r="S389" t="e">
        <f ca="1"/>
        <v>#N/A</v>
      </c>
      <c r="T389" t="e">
        <f ca="1"/>
        <v>#N/A</v>
      </c>
      <c r="U389" t="e">
        <f ca="1"/>
        <v>#N/A</v>
      </c>
      <c r="V389" t="e">
        <f ca="1"/>
        <v>#N/A</v>
      </c>
      <c r="X389" s="2">
        <f t="shared" ca="1" si="36"/>
        <v>0</v>
      </c>
      <c r="Y389">
        <f t="shared" ca="1" si="37"/>
        <v>0</v>
      </c>
      <c r="AA389" s="63" t="e">
        <f t="shared" ca="1" si="39"/>
        <v>#N/A</v>
      </c>
      <c r="AB389" s="63" t="e">
        <f t="shared" ca="1" si="40"/>
        <v>#N/A</v>
      </c>
      <c r="AC389" s="3" t="e">
        <f t="shared" ca="1" si="41"/>
        <v>#N/A</v>
      </c>
    </row>
    <row r="390" spans="8:29">
      <c r="H390" t="e">
        <f t="shared" ca="1" si="38"/>
        <v>#N/A</v>
      </c>
      <c r="I390" t="e">
        <f t="shared" ca="1" si="35"/>
        <v>#N/A</v>
      </c>
      <c r="J390" s="2" t="e">
        <f ca="1"/>
        <v>#N/A</v>
      </c>
      <c r="K390" t="e">
        <f ca="1"/>
        <v>#N/A</v>
      </c>
      <c r="L390" t="e">
        <f ca="1"/>
        <v>#N/A</v>
      </c>
      <c r="M390" t="e">
        <f ca="1"/>
        <v>#N/A</v>
      </c>
      <c r="N390" t="e">
        <f ca="1"/>
        <v>#N/A</v>
      </c>
      <c r="O390" t="e">
        <f ca="1"/>
        <v>#N/A</v>
      </c>
      <c r="P390" t="e">
        <f ca="1"/>
        <v>#N/A</v>
      </c>
      <c r="Q390" t="e">
        <f ca="1"/>
        <v>#N/A</v>
      </c>
      <c r="R390" t="e">
        <f ca="1"/>
        <v>#N/A</v>
      </c>
      <c r="S390" t="e">
        <f ca="1"/>
        <v>#N/A</v>
      </c>
      <c r="T390" t="e">
        <f ca="1"/>
        <v>#N/A</v>
      </c>
      <c r="U390" t="e">
        <f ca="1"/>
        <v>#N/A</v>
      </c>
      <c r="V390" t="e">
        <f ca="1"/>
        <v>#N/A</v>
      </c>
      <c r="X390" s="2">
        <f t="shared" ca="1" si="36"/>
        <v>0</v>
      </c>
      <c r="Y390">
        <f t="shared" ca="1" si="37"/>
        <v>0</v>
      </c>
      <c r="AA390" s="63" t="e">
        <f t="shared" ca="1" si="39"/>
        <v>#N/A</v>
      </c>
      <c r="AB390" s="63" t="e">
        <f t="shared" ca="1" si="40"/>
        <v>#N/A</v>
      </c>
      <c r="AC390" s="3" t="e">
        <f t="shared" ca="1" si="41"/>
        <v>#N/A</v>
      </c>
    </row>
    <row r="391" spans="8:29">
      <c r="H391" t="e">
        <f t="shared" ca="1" si="38"/>
        <v>#N/A</v>
      </c>
      <c r="I391" t="e">
        <f t="shared" ref="I391:I454" ca="1" si="42">AND(IF(J391&gt;($J$3-1),TRUE,FALSE),IF(J391&lt;($J$4+1),TRUE,FALSE))</f>
        <v>#N/A</v>
      </c>
      <c r="J391" s="2" t="e">
        <f ca="1"/>
        <v>#N/A</v>
      </c>
      <c r="K391" t="e">
        <f ca="1"/>
        <v>#N/A</v>
      </c>
      <c r="L391" t="e">
        <f ca="1"/>
        <v>#N/A</v>
      </c>
      <c r="M391" t="e">
        <f ca="1"/>
        <v>#N/A</v>
      </c>
      <c r="N391" t="e">
        <f ca="1"/>
        <v>#N/A</v>
      </c>
      <c r="O391" t="e">
        <f ca="1"/>
        <v>#N/A</v>
      </c>
      <c r="P391" t="e">
        <f ca="1"/>
        <v>#N/A</v>
      </c>
      <c r="Q391" t="e">
        <f ca="1"/>
        <v>#N/A</v>
      </c>
      <c r="R391" t="e">
        <f ca="1"/>
        <v>#N/A</v>
      </c>
      <c r="S391" t="e">
        <f ca="1"/>
        <v>#N/A</v>
      </c>
      <c r="T391" t="e">
        <f ca="1"/>
        <v>#N/A</v>
      </c>
      <c r="U391" t="e">
        <f ca="1"/>
        <v>#N/A</v>
      </c>
      <c r="V391" t="e">
        <f ca="1"/>
        <v>#N/A</v>
      </c>
      <c r="X391" s="2">
        <f t="shared" ref="X391:X454" ca="1" si="43">IFERROR(J391,$X$5)</f>
        <v>0</v>
      </c>
      <c r="Y391">
        <f t="shared" ref="Y391:Y454" ca="1" si="44">IFERROR(O391,0)</f>
        <v>0</v>
      </c>
      <c r="AA391" s="63" t="e">
        <f t="shared" ca="1" si="39"/>
        <v>#N/A</v>
      </c>
      <c r="AB391" s="63" t="e">
        <f t="shared" ca="1" si="40"/>
        <v>#N/A</v>
      </c>
      <c r="AC391" s="3" t="e">
        <f t="shared" ca="1" si="41"/>
        <v>#N/A</v>
      </c>
    </row>
    <row r="392" spans="8:29">
      <c r="H392" t="e">
        <f t="shared" ref="H392:H455" ca="1" si="45">IF(J392&lt;$J$4,TRUE,FALSE)</f>
        <v>#N/A</v>
      </c>
      <c r="I392" t="e">
        <f t="shared" ca="1" si="42"/>
        <v>#N/A</v>
      </c>
      <c r="J392" s="2" t="e">
        <f ca="1"/>
        <v>#N/A</v>
      </c>
      <c r="K392" t="e">
        <f ca="1"/>
        <v>#N/A</v>
      </c>
      <c r="L392" t="e">
        <f ca="1"/>
        <v>#N/A</v>
      </c>
      <c r="M392" t="e">
        <f ca="1"/>
        <v>#N/A</v>
      </c>
      <c r="N392" t="e">
        <f ca="1"/>
        <v>#N/A</v>
      </c>
      <c r="O392" t="e">
        <f ca="1"/>
        <v>#N/A</v>
      </c>
      <c r="P392" t="e">
        <f ca="1"/>
        <v>#N/A</v>
      </c>
      <c r="Q392" t="e">
        <f ca="1"/>
        <v>#N/A</v>
      </c>
      <c r="R392" t="e">
        <f ca="1"/>
        <v>#N/A</v>
      </c>
      <c r="S392" t="e">
        <f ca="1"/>
        <v>#N/A</v>
      </c>
      <c r="T392" t="e">
        <f ca="1"/>
        <v>#N/A</v>
      </c>
      <c r="U392" t="e">
        <f ca="1"/>
        <v>#N/A</v>
      </c>
      <c r="V392" t="e">
        <f ca="1"/>
        <v>#N/A</v>
      </c>
      <c r="X392" s="2">
        <f t="shared" ca="1" si="43"/>
        <v>0</v>
      </c>
      <c r="Y392">
        <f t="shared" ca="1" si="44"/>
        <v>0</v>
      </c>
      <c r="AA392" s="63" t="e">
        <f t="shared" ca="1" si="39"/>
        <v>#N/A</v>
      </c>
      <c r="AB392" s="63" t="e">
        <f t="shared" ca="1" si="40"/>
        <v>#N/A</v>
      </c>
      <c r="AC392" s="3" t="e">
        <f t="shared" ca="1" si="41"/>
        <v>#N/A</v>
      </c>
    </row>
    <row r="393" spans="8:29">
      <c r="H393" t="e">
        <f t="shared" ca="1" si="45"/>
        <v>#N/A</v>
      </c>
      <c r="I393" t="e">
        <f t="shared" ca="1" si="42"/>
        <v>#N/A</v>
      </c>
      <c r="J393" s="2" t="e">
        <f ca="1"/>
        <v>#N/A</v>
      </c>
      <c r="K393" t="e">
        <f ca="1"/>
        <v>#N/A</v>
      </c>
      <c r="L393" t="e">
        <f ca="1"/>
        <v>#N/A</v>
      </c>
      <c r="M393" t="e">
        <f ca="1"/>
        <v>#N/A</v>
      </c>
      <c r="N393" t="e">
        <f ca="1"/>
        <v>#N/A</v>
      </c>
      <c r="O393" t="e">
        <f ca="1"/>
        <v>#N/A</v>
      </c>
      <c r="P393" t="e">
        <f ca="1"/>
        <v>#N/A</v>
      </c>
      <c r="Q393" t="e">
        <f ca="1"/>
        <v>#N/A</v>
      </c>
      <c r="R393" t="e">
        <f ca="1"/>
        <v>#N/A</v>
      </c>
      <c r="S393" t="e">
        <f ca="1"/>
        <v>#N/A</v>
      </c>
      <c r="T393" t="e">
        <f ca="1"/>
        <v>#N/A</v>
      </c>
      <c r="U393" t="e">
        <f ca="1"/>
        <v>#N/A</v>
      </c>
      <c r="V393" t="e">
        <f ca="1"/>
        <v>#N/A</v>
      </c>
      <c r="X393" s="2">
        <f t="shared" ca="1" si="43"/>
        <v>0</v>
      </c>
      <c r="Y393">
        <f t="shared" ca="1" si="44"/>
        <v>0</v>
      </c>
      <c r="AA393" s="63" t="e">
        <f t="shared" ca="1" si="39"/>
        <v>#N/A</v>
      </c>
      <c r="AB393" s="63" t="e">
        <f t="shared" ca="1" si="40"/>
        <v>#N/A</v>
      </c>
      <c r="AC393" s="3" t="e">
        <f t="shared" ca="1" si="41"/>
        <v>#N/A</v>
      </c>
    </row>
    <row r="394" spans="8:29">
      <c r="H394" t="e">
        <f t="shared" ca="1" si="45"/>
        <v>#N/A</v>
      </c>
      <c r="I394" t="e">
        <f t="shared" ca="1" si="42"/>
        <v>#N/A</v>
      </c>
      <c r="J394" s="2" t="e">
        <f ca="1"/>
        <v>#N/A</v>
      </c>
      <c r="K394" t="e">
        <f ca="1"/>
        <v>#N/A</v>
      </c>
      <c r="L394" t="e">
        <f ca="1"/>
        <v>#N/A</v>
      </c>
      <c r="M394" t="e">
        <f ca="1"/>
        <v>#N/A</v>
      </c>
      <c r="N394" t="e">
        <f ca="1"/>
        <v>#N/A</v>
      </c>
      <c r="O394" t="e">
        <f ca="1"/>
        <v>#N/A</v>
      </c>
      <c r="P394" t="e">
        <f ca="1"/>
        <v>#N/A</v>
      </c>
      <c r="Q394" t="e">
        <f ca="1"/>
        <v>#N/A</v>
      </c>
      <c r="R394" t="e">
        <f ca="1"/>
        <v>#N/A</v>
      </c>
      <c r="S394" t="e">
        <f ca="1"/>
        <v>#N/A</v>
      </c>
      <c r="T394" t="e">
        <f ca="1"/>
        <v>#N/A</v>
      </c>
      <c r="U394" t="e">
        <f ca="1"/>
        <v>#N/A</v>
      </c>
      <c r="V394" t="e">
        <f ca="1"/>
        <v>#N/A</v>
      </c>
      <c r="X394" s="2">
        <f t="shared" ca="1" si="43"/>
        <v>0</v>
      </c>
      <c r="Y394">
        <f t="shared" ca="1" si="44"/>
        <v>0</v>
      </c>
      <c r="AA394" s="63" t="e">
        <f t="shared" ca="1" si="39"/>
        <v>#N/A</v>
      </c>
      <c r="AB394" s="63" t="e">
        <f t="shared" ca="1" si="40"/>
        <v>#N/A</v>
      </c>
      <c r="AC394" s="3" t="e">
        <f t="shared" ca="1" si="41"/>
        <v>#N/A</v>
      </c>
    </row>
    <row r="395" spans="8:29">
      <c r="H395" t="e">
        <f t="shared" ca="1" si="45"/>
        <v>#N/A</v>
      </c>
      <c r="I395" t="e">
        <f t="shared" ca="1" si="42"/>
        <v>#N/A</v>
      </c>
      <c r="J395" s="2" t="e">
        <f ca="1"/>
        <v>#N/A</v>
      </c>
      <c r="K395" t="e">
        <f ca="1"/>
        <v>#N/A</v>
      </c>
      <c r="L395" t="e">
        <f ca="1"/>
        <v>#N/A</v>
      </c>
      <c r="M395" t="e">
        <f ca="1"/>
        <v>#N/A</v>
      </c>
      <c r="N395" t="e">
        <f ca="1"/>
        <v>#N/A</v>
      </c>
      <c r="O395" t="e">
        <f ca="1"/>
        <v>#N/A</v>
      </c>
      <c r="P395" t="e">
        <f ca="1"/>
        <v>#N/A</v>
      </c>
      <c r="Q395" t="e">
        <f ca="1"/>
        <v>#N/A</v>
      </c>
      <c r="R395" t="e">
        <f ca="1"/>
        <v>#N/A</v>
      </c>
      <c r="S395" t="e">
        <f ca="1"/>
        <v>#N/A</v>
      </c>
      <c r="T395" t="e">
        <f ca="1"/>
        <v>#N/A</v>
      </c>
      <c r="U395" t="e">
        <f ca="1"/>
        <v>#N/A</v>
      </c>
      <c r="V395" t="e">
        <f ca="1"/>
        <v>#N/A</v>
      </c>
      <c r="X395" s="2">
        <f t="shared" ca="1" si="43"/>
        <v>0</v>
      </c>
      <c r="Y395">
        <f t="shared" ca="1" si="44"/>
        <v>0</v>
      </c>
      <c r="AA395" s="63" t="e">
        <f t="shared" ca="1" si="39"/>
        <v>#N/A</v>
      </c>
      <c r="AB395" s="63" t="e">
        <f t="shared" ca="1" si="40"/>
        <v>#N/A</v>
      </c>
      <c r="AC395" s="3" t="e">
        <f t="shared" ca="1" si="41"/>
        <v>#N/A</v>
      </c>
    </row>
    <row r="396" spans="8:29">
      <c r="H396" t="e">
        <f t="shared" ca="1" si="45"/>
        <v>#N/A</v>
      </c>
      <c r="I396" t="e">
        <f t="shared" ca="1" si="42"/>
        <v>#N/A</v>
      </c>
      <c r="J396" s="2" t="e">
        <f ca="1"/>
        <v>#N/A</v>
      </c>
      <c r="K396" t="e">
        <f ca="1"/>
        <v>#N/A</v>
      </c>
      <c r="L396" t="e">
        <f ca="1"/>
        <v>#N/A</v>
      </c>
      <c r="M396" t="e">
        <f ca="1"/>
        <v>#N/A</v>
      </c>
      <c r="N396" t="e">
        <f ca="1"/>
        <v>#N/A</v>
      </c>
      <c r="O396" t="e">
        <f ca="1"/>
        <v>#N/A</v>
      </c>
      <c r="P396" t="e">
        <f ca="1"/>
        <v>#N/A</v>
      </c>
      <c r="Q396" t="e">
        <f ca="1"/>
        <v>#N/A</v>
      </c>
      <c r="R396" t="e">
        <f ca="1"/>
        <v>#N/A</v>
      </c>
      <c r="S396" t="e">
        <f ca="1"/>
        <v>#N/A</v>
      </c>
      <c r="T396" t="e">
        <f ca="1"/>
        <v>#N/A</v>
      </c>
      <c r="U396" t="e">
        <f ca="1"/>
        <v>#N/A</v>
      </c>
      <c r="V396" t="e">
        <f ca="1"/>
        <v>#N/A</v>
      </c>
      <c r="X396" s="2">
        <f t="shared" ca="1" si="43"/>
        <v>0</v>
      </c>
      <c r="Y396">
        <f t="shared" ca="1" si="44"/>
        <v>0</v>
      </c>
      <c r="AA396" s="63" t="e">
        <f t="shared" ref="AA396:AA459" ca="1" si="46">K395+M396+N396+O396</f>
        <v>#N/A</v>
      </c>
      <c r="AB396" s="63" t="e">
        <f t="shared" ref="AB396:AB459" ca="1" si="47">K396+L396+R396</f>
        <v>#N/A</v>
      </c>
      <c r="AC396" s="3" t="e">
        <f t="shared" ref="AC396:AC459" ca="1" si="48">AB396-AA396</f>
        <v>#N/A</v>
      </c>
    </row>
    <row r="397" spans="8:29">
      <c r="H397" t="e">
        <f t="shared" ca="1" si="45"/>
        <v>#N/A</v>
      </c>
      <c r="I397" t="e">
        <f t="shared" ca="1" si="42"/>
        <v>#N/A</v>
      </c>
      <c r="J397" s="2" t="e">
        <f ca="1"/>
        <v>#N/A</v>
      </c>
      <c r="K397" t="e">
        <f ca="1"/>
        <v>#N/A</v>
      </c>
      <c r="L397" t="e">
        <f ca="1"/>
        <v>#N/A</v>
      </c>
      <c r="M397" t="e">
        <f ca="1"/>
        <v>#N/A</v>
      </c>
      <c r="N397" t="e">
        <f ca="1"/>
        <v>#N/A</v>
      </c>
      <c r="O397" t="e">
        <f ca="1"/>
        <v>#N/A</v>
      </c>
      <c r="P397" t="e">
        <f ca="1"/>
        <v>#N/A</v>
      </c>
      <c r="Q397" t="e">
        <f ca="1"/>
        <v>#N/A</v>
      </c>
      <c r="R397" t="e">
        <f ca="1"/>
        <v>#N/A</v>
      </c>
      <c r="S397" t="e">
        <f ca="1"/>
        <v>#N/A</v>
      </c>
      <c r="T397" t="e">
        <f ca="1"/>
        <v>#N/A</v>
      </c>
      <c r="U397" t="e">
        <f ca="1"/>
        <v>#N/A</v>
      </c>
      <c r="V397" t="e">
        <f ca="1"/>
        <v>#N/A</v>
      </c>
      <c r="X397" s="2">
        <f t="shared" ca="1" si="43"/>
        <v>0</v>
      </c>
      <c r="Y397">
        <f t="shared" ca="1" si="44"/>
        <v>0</v>
      </c>
      <c r="AA397" s="63" t="e">
        <f t="shared" ca="1" si="46"/>
        <v>#N/A</v>
      </c>
      <c r="AB397" s="63" t="e">
        <f t="shared" ca="1" si="47"/>
        <v>#N/A</v>
      </c>
      <c r="AC397" s="3" t="e">
        <f t="shared" ca="1" si="48"/>
        <v>#N/A</v>
      </c>
    </row>
    <row r="398" spans="8:29">
      <c r="H398" t="e">
        <f t="shared" ca="1" si="45"/>
        <v>#N/A</v>
      </c>
      <c r="I398" t="e">
        <f t="shared" ca="1" si="42"/>
        <v>#N/A</v>
      </c>
      <c r="J398" s="2" t="e">
        <f ca="1"/>
        <v>#N/A</v>
      </c>
      <c r="K398" t="e">
        <f ca="1"/>
        <v>#N/A</v>
      </c>
      <c r="L398" t="e">
        <f ca="1"/>
        <v>#N/A</v>
      </c>
      <c r="M398" t="e">
        <f ca="1"/>
        <v>#N/A</v>
      </c>
      <c r="N398" t="e">
        <f ca="1"/>
        <v>#N/A</v>
      </c>
      <c r="O398" t="e">
        <f ca="1"/>
        <v>#N/A</v>
      </c>
      <c r="P398" t="e">
        <f ca="1"/>
        <v>#N/A</v>
      </c>
      <c r="Q398" t="e">
        <f ca="1"/>
        <v>#N/A</v>
      </c>
      <c r="R398" t="e">
        <f ca="1"/>
        <v>#N/A</v>
      </c>
      <c r="S398" t="e">
        <f ca="1"/>
        <v>#N/A</v>
      </c>
      <c r="T398" t="e">
        <f ca="1"/>
        <v>#N/A</v>
      </c>
      <c r="U398" t="e">
        <f ca="1"/>
        <v>#N/A</v>
      </c>
      <c r="V398" t="e">
        <f ca="1"/>
        <v>#N/A</v>
      </c>
      <c r="X398" s="2">
        <f t="shared" ca="1" si="43"/>
        <v>0</v>
      </c>
      <c r="Y398">
        <f t="shared" ca="1" si="44"/>
        <v>0</v>
      </c>
      <c r="AA398" s="63" t="e">
        <f t="shared" ca="1" si="46"/>
        <v>#N/A</v>
      </c>
      <c r="AB398" s="63" t="e">
        <f t="shared" ca="1" si="47"/>
        <v>#N/A</v>
      </c>
      <c r="AC398" s="3" t="e">
        <f t="shared" ca="1" si="48"/>
        <v>#N/A</v>
      </c>
    </row>
    <row r="399" spans="8:29">
      <c r="H399" t="e">
        <f t="shared" ca="1" si="45"/>
        <v>#N/A</v>
      </c>
      <c r="I399" t="e">
        <f t="shared" ca="1" si="42"/>
        <v>#N/A</v>
      </c>
      <c r="J399" s="2" t="e">
        <f ca="1"/>
        <v>#N/A</v>
      </c>
      <c r="K399" t="e">
        <f ca="1"/>
        <v>#N/A</v>
      </c>
      <c r="L399" t="e">
        <f ca="1"/>
        <v>#N/A</v>
      </c>
      <c r="M399" t="e">
        <f ca="1"/>
        <v>#N/A</v>
      </c>
      <c r="N399" t="e">
        <f ca="1"/>
        <v>#N/A</v>
      </c>
      <c r="O399" t="e">
        <f ca="1"/>
        <v>#N/A</v>
      </c>
      <c r="P399" t="e">
        <f ca="1"/>
        <v>#N/A</v>
      </c>
      <c r="Q399" t="e">
        <f ca="1"/>
        <v>#N/A</v>
      </c>
      <c r="R399" t="e">
        <f ca="1"/>
        <v>#N/A</v>
      </c>
      <c r="S399" t="e">
        <f ca="1"/>
        <v>#N/A</v>
      </c>
      <c r="T399" t="e">
        <f ca="1"/>
        <v>#N/A</v>
      </c>
      <c r="U399" t="e">
        <f ca="1"/>
        <v>#N/A</v>
      </c>
      <c r="V399" t="e">
        <f ca="1"/>
        <v>#N/A</v>
      </c>
      <c r="X399" s="2">
        <f t="shared" ca="1" si="43"/>
        <v>0</v>
      </c>
      <c r="Y399">
        <f t="shared" ca="1" si="44"/>
        <v>0</v>
      </c>
      <c r="AA399" s="63" t="e">
        <f t="shared" ca="1" si="46"/>
        <v>#N/A</v>
      </c>
      <c r="AB399" s="63" t="e">
        <f t="shared" ca="1" si="47"/>
        <v>#N/A</v>
      </c>
      <c r="AC399" s="3" t="e">
        <f t="shared" ca="1" si="48"/>
        <v>#N/A</v>
      </c>
    </row>
    <row r="400" spans="8:29">
      <c r="H400" t="e">
        <f t="shared" ca="1" si="45"/>
        <v>#N/A</v>
      </c>
      <c r="I400" t="e">
        <f t="shared" ca="1" si="42"/>
        <v>#N/A</v>
      </c>
      <c r="J400" s="2" t="e">
        <f ca="1"/>
        <v>#N/A</v>
      </c>
      <c r="K400" t="e">
        <f ca="1"/>
        <v>#N/A</v>
      </c>
      <c r="L400" t="e">
        <f ca="1"/>
        <v>#N/A</v>
      </c>
      <c r="M400" t="e">
        <f ca="1"/>
        <v>#N/A</v>
      </c>
      <c r="N400" t="e">
        <f ca="1"/>
        <v>#N/A</v>
      </c>
      <c r="O400" t="e">
        <f ca="1"/>
        <v>#N/A</v>
      </c>
      <c r="P400" t="e">
        <f ca="1"/>
        <v>#N/A</v>
      </c>
      <c r="Q400" t="e">
        <f ca="1"/>
        <v>#N/A</v>
      </c>
      <c r="R400" t="e">
        <f ca="1"/>
        <v>#N/A</v>
      </c>
      <c r="S400" t="e">
        <f ca="1"/>
        <v>#N/A</v>
      </c>
      <c r="T400" t="e">
        <f ca="1"/>
        <v>#N/A</v>
      </c>
      <c r="U400" t="e">
        <f ca="1"/>
        <v>#N/A</v>
      </c>
      <c r="V400" t="e">
        <f ca="1"/>
        <v>#N/A</v>
      </c>
      <c r="X400" s="2">
        <f t="shared" ca="1" si="43"/>
        <v>0</v>
      </c>
      <c r="Y400">
        <f t="shared" ca="1" si="44"/>
        <v>0</v>
      </c>
      <c r="AA400" s="63" t="e">
        <f t="shared" ca="1" si="46"/>
        <v>#N/A</v>
      </c>
      <c r="AB400" s="63" t="e">
        <f t="shared" ca="1" si="47"/>
        <v>#N/A</v>
      </c>
      <c r="AC400" s="3" t="e">
        <f t="shared" ca="1" si="48"/>
        <v>#N/A</v>
      </c>
    </row>
    <row r="401" spans="8:29">
      <c r="H401" t="e">
        <f t="shared" ca="1" si="45"/>
        <v>#N/A</v>
      </c>
      <c r="I401" t="e">
        <f t="shared" ca="1" si="42"/>
        <v>#N/A</v>
      </c>
      <c r="J401" s="2" t="e">
        <f ca="1"/>
        <v>#N/A</v>
      </c>
      <c r="K401" t="e">
        <f ca="1"/>
        <v>#N/A</v>
      </c>
      <c r="L401" t="e">
        <f ca="1"/>
        <v>#N/A</v>
      </c>
      <c r="M401" t="e">
        <f ca="1"/>
        <v>#N/A</v>
      </c>
      <c r="N401" t="e">
        <f ca="1"/>
        <v>#N/A</v>
      </c>
      <c r="O401" t="e">
        <f ca="1"/>
        <v>#N/A</v>
      </c>
      <c r="P401" t="e">
        <f ca="1"/>
        <v>#N/A</v>
      </c>
      <c r="Q401" t="e">
        <f ca="1"/>
        <v>#N/A</v>
      </c>
      <c r="R401" t="e">
        <f ca="1"/>
        <v>#N/A</v>
      </c>
      <c r="S401" t="e">
        <f ca="1"/>
        <v>#N/A</v>
      </c>
      <c r="T401" t="e">
        <f ca="1"/>
        <v>#N/A</v>
      </c>
      <c r="U401" t="e">
        <f ca="1"/>
        <v>#N/A</v>
      </c>
      <c r="V401" t="e">
        <f ca="1"/>
        <v>#N/A</v>
      </c>
      <c r="X401" s="2">
        <f t="shared" ca="1" si="43"/>
        <v>0</v>
      </c>
      <c r="Y401">
        <f t="shared" ca="1" si="44"/>
        <v>0</v>
      </c>
      <c r="AA401" s="63" t="e">
        <f t="shared" ca="1" si="46"/>
        <v>#N/A</v>
      </c>
      <c r="AB401" s="63" t="e">
        <f t="shared" ca="1" si="47"/>
        <v>#N/A</v>
      </c>
      <c r="AC401" s="3" t="e">
        <f t="shared" ca="1" si="48"/>
        <v>#N/A</v>
      </c>
    </row>
    <row r="402" spans="8:29">
      <c r="H402" t="e">
        <f t="shared" ca="1" si="45"/>
        <v>#N/A</v>
      </c>
      <c r="I402" t="e">
        <f t="shared" ca="1" si="42"/>
        <v>#N/A</v>
      </c>
      <c r="J402" s="2" t="e">
        <f ca="1"/>
        <v>#N/A</v>
      </c>
      <c r="K402" t="e">
        <f ca="1"/>
        <v>#N/A</v>
      </c>
      <c r="L402" t="e">
        <f ca="1"/>
        <v>#N/A</v>
      </c>
      <c r="M402" t="e">
        <f ca="1"/>
        <v>#N/A</v>
      </c>
      <c r="N402" t="e">
        <f ca="1"/>
        <v>#N/A</v>
      </c>
      <c r="O402" t="e">
        <f ca="1"/>
        <v>#N/A</v>
      </c>
      <c r="P402" t="e">
        <f ca="1"/>
        <v>#N/A</v>
      </c>
      <c r="Q402" t="e">
        <f ca="1"/>
        <v>#N/A</v>
      </c>
      <c r="R402" t="e">
        <f ca="1"/>
        <v>#N/A</v>
      </c>
      <c r="S402" t="e">
        <f ca="1"/>
        <v>#N/A</v>
      </c>
      <c r="T402" t="e">
        <f ca="1"/>
        <v>#N/A</v>
      </c>
      <c r="U402" t="e">
        <f ca="1"/>
        <v>#N/A</v>
      </c>
      <c r="V402" t="e">
        <f ca="1"/>
        <v>#N/A</v>
      </c>
      <c r="X402" s="2">
        <f t="shared" ca="1" si="43"/>
        <v>0</v>
      </c>
      <c r="Y402">
        <f t="shared" ca="1" si="44"/>
        <v>0</v>
      </c>
      <c r="AA402" s="63" t="e">
        <f t="shared" ca="1" si="46"/>
        <v>#N/A</v>
      </c>
      <c r="AB402" s="63" t="e">
        <f t="shared" ca="1" si="47"/>
        <v>#N/A</v>
      </c>
      <c r="AC402" s="3" t="e">
        <f t="shared" ca="1" si="48"/>
        <v>#N/A</v>
      </c>
    </row>
    <row r="403" spans="8:29">
      <c r="H403" t="e">
        <f t="shared" ca="1" si="45"/>
        <v>#N/A</v>
      </c>
      <c r="I403" t="e">
        <f t="shared" ca="1" si="42"/>
        <v>#N/A</v>
      </c>
      <c r="J403" s="2" t="e">
        <f ca="1"/>
        <v>#N/A</v>
      </c>
      <c r="K403" t="e">
        <f ca="1"/>
        <v>#N/A</v>
      </c>
      <c r="L403" t="e">
        <f ca="1"/>
        <v>#N/A</v>
      </c>
      <c r="M403" t="e">
        <f ca="1"/>
        <v>#N/A</v>
      </c>
      <c r="N403" t="e">
        <f ca="1"/>
        <v>#N/A</v>
      </c>
      <c r="O403" t="e">
        <f ca="1"/>
        <v>#N/A</v>
      </c>
      <c r="P403" t="e">
        <f ca="1"/>
        <v>#N/A</v>
      </c>
      <c r="Q403" t="e">
        <f ca="1"/>
        <v>#N/A</v>
      </c>
      <c r="R403" t="e">
        <f ca="1"/>
        <v>#N/A</v>
      </c>
      <c r="S403" t="e">
        <f ca="1"/>
        <v>#N/A</v>
      </c>
      <c r="T403" t="e">
        <f ca="1"/>
        <v>#N/A</v>
      </c>
      <c r="U403" t="e">
        <f ca="1"/>
        <v>#N/A</v>
      </c>
      <c r="V403" t="e">
        <f ca="1"/>
        <v>#N/A</v>
      </c>
      <c r="X403" s="2">
        <f t="shared" ca="1" si="43"/>
        <v>0</v>
      </c>
      <c r="Y403">
        <f t="shared" ca="1" si="44"/>
        <v>0</v>
      </c>
      <c r="AA403" s="63" t="e">
        <f t="shared" ca="1" si="46"/>
        <v>#N/A</v>
      </c>
      <c r="AB403" s="63" t="e">
        <f t="shared" ca="1" si="47"/>
        <v>#N/A</v>
      </c>
      <c r="AC403" s="3" t="e">
        <f t="shared" ca="1" si="48"/>
        <v>#N/A</v>
      </c>
    </row>
    <row r="404" spans="8:29">
      <c r="H404" t="e">
        <f t="shared" ca="1" si="45"/>
        <v>#N/A</v>
      </c>
      <c r="I404" t="e">
        <f t="shared" ca="1" si="42"/>
        <v>#N/A</v>
      </c>
      <c r="J404" s="2" t="e">
        <f ca="1"/>
        <v>#N/A</v>
      </c>
      <c r="K404" t="e">
        <f ca="1"/>
        <v>#N/A</v>
      </c>
      <c r="L404" t="e">
        <f ca="1"/>
        <v>#N/A</v>
      </c>
      <c r="M404" t="e">
        <f ca="1"/>
        <v>#N/A</v>
      </c>
      <c r="N404" t="e">
        <f ca="1"/>
        <v>#N/A</v>
      </c>
      <c r="O404" t="e">
        <f ca="1"/>
        <v>#N/A</v>
      </c>
      <c r="P404" t="e">
        <f ca="1"/>
        <v>#N/A</v>
      </c>
      <c r="Q404" t="e">
        <f ca="1"/>
        <v>#N/A</v>
      </c>
      <c r="R404" t="e">
        <f ca="1"/>
        <v>#N/A</v>
      </c>
      <c r="S404" t="e">
        <f ca="1"/>
        <v>#N/A</v>
      </c>
      <c r="T404" t="e">
        <f ca="1"/>
        <v>#N/A</v>
      </c>
      <c r="U404" t="e">
        <f ca="1"/>
        <v>#N/A</v>
      </c>
      <c r="V404" t="e">
        <f ca="1"/>
        <v>#N/A</v>
      </c>
      <c r="X404" s="2">
        <f t="shared" ca="1" si="43"/>
        <v>0</v>
      </c>
      <c r="Y404">
        <f t="shared" ca="1" si="44"/>
        <v>0</v>
      </c>
      <c r="AA404" s="63" t="e">
        <f t="shared" ca="1" si="46"/>
        <v>#N/A</v>
      </c>
      <c r="AB404" s="63" t="e">
        <f t="shared" ca="1" si="47"/>
        <v>#N/A</v>
      </c>
      <c r="AC404" s="3" t="e">
        <f t="shared" ca="1" si="48"/>
        <v>#N/A</v>
      </c>
    </row>
    <row r="405" spans="8:29">
      <c r="H405" t="e">
        <f t="shared" ca="1" si="45"/>
        <v>#N/A</v>
      </c>
      <c r="I405" t="e">
        <f t="shared" ca="1" si="42"/>
        <v>#N/A</v>
      </c>
      <c r="J405" s="2" t="e">
        <f ca="1"/>
        <v>#N/A</v>
      </c>
      <c r="K405" t="e">
        <f ca="1"/>
        <v>#N/A</v>
      </c>
      <c r="L405" t="e">
        <f ca="1"/>
        <v>#N/A</v>
      </c>
      <c r="M405" t="e">
        <f ca="1"/>
        <v>#N/A</v>
      </c>
      <c r="N405" t="e">
        <f ca="1"/>
        <v>#N/A</v>
      </c>
      <c r="O405" t="e">
        <f ca="1"/>
        <v>#N/A</v>
      </c>
      <c r="P405" t="e">
        <f ca="1"/>
        <v>#N/A</v>
      </c>
      <c r="Q405" t="e">
        <f ca="1"/>
        <v>#N/A</v>
      </c>
      <c r="R405" t="e">
        <f ca="1"/>
        <v>#N/A</v>
      </c>
      <c r="S405" t="e">
        <f ca="1"/>
        <v>#N/A</v>
      </c>
      <c r="T405" t="e">
        <f ca="1"/>
        <v>#N/A</v>
      </c>
      <c r="U405" t="e">
        <f ca="1"/>
        <v>#N/A</v>
      </c>
      <c r="V405" t="e">
        <f ca="1"/>
        <v>#N/A</v>
      </c>
      <c r="X405" s="2">
        <f t="shared" ca="1" si="43"/>
        <v>0</v>
      </c>
      <c r="Y405">
        <f t="shared" ca="1" si="44"/>
        <v>0</v>
      </c>
      <c r="AA405" s="63" t="e">
        <f t="shared" ca="1" si="46"/>
        <v>#N/A</v>
      </c>
      <c r="AB405" s="63" t="e">
        <f t="shared" ca="1" si="47"/>
        <v>#N/A</v>
      </c>
      <c r="AC405" s="3" t="e">
        <f t="shared" ca="1" si="48"/>
        <v>#N/A</v>
      </c>
    </row>
    <row r="406" spans="8:29">
      <c r="H406" t="e">
        <f t="shared" ca="1" si="45"/>
        <v>#N/A</v>
      </c>
      <c r="I406" t="e">
        <f t="shared" ca="1" si="42"/>
        <v>#N/A</v>
      </c>
      <c r="J406" s="2" t="e">
        <f ca="1"/>
        <v>#N/A</v>
      </c>
      <c r="K406" t="e">
        <f ca="1"/>
        <v>#N/A</v>
      </c>
      <c r="L406" t="e">
        <f ca="1"/>
        <v>#N/A</v>
      </c>
      <c r="M406" t="e">
        <f ca="1"/>
        <v>#N/A</v>
      </c>
      <c r="N406" t="e">
        <f ca="1"/>
        <v>#N/A</v>
      </c>
      <c r="O406" t="e">
        <f ca="1"/>
        <v>#N/A</v>
      </c>
      <c r="P406" t="e">
        <f ca="1"/>
        <v>#N/A</v>
      </c>
      <c r="Q406" t="e">
        <f ca="1"/>
        <v>#N/A</v>
      </c>
      <c r="R406" t="e">
        <f ca="1"/>
        <v>#N/A</v>
      </c>
      <c r="S406" t="e">
        <f ca="1"/>
        <v>#N/A</v>
      </c>
      <c r="T406" t="e">
        <f ca="1"/>
        <v>#N/A</v>
      </c>
      <c r="U406" t="e">
        <f ca="1"/>
        <v>#N/A</v>
      </c>
      <c r="V406" t="e">
        <f ca="1"/>
        <v>#N/A</v>
      </c>
      <c r="X406" s="2">
        <f t="shared" ca="1" si="43"/>
        <v>0</v>
      </c>
      <c r="Y406">
        <f t="shared" ca="1" si="44"/>
        <v>0</v>
      </c>
      <c r="AA406" s="63" t="e">
        <f t="shared" ca="1" si="46"/>
        <v>#N/A</v>
      </c>
      <c r="AB406" s="63" t="e">
        <f t="shared" ca="1" si="47"/>
        <v>#N/A</v>
      </c>
      <c r="AC406" s="3" t="e">
        <f t="shared" ca="1" si="48"/>
        <v>#N/A</v>
      </c>
    </row>
    <row r="407" spans="8:29">
      <c r="H407" t="e">
        <f t="shared" ca="1" si="45"/>
        <v>#N/A</v>
      </c>
      <c r="I407" t="e">
        <f t="shared" ca="1" si="42"/>
        <v>#N/A</v>
      </c>
      <c r="J407" s="2" t="e">
        <f ca="1"/>
        <v>#N/A</v>
      </c>
      <c r="K407" t="e">
        <f ca="1"/>
        <v>#N/A</v>
      </c>
      <c r="L407" t="e">
        <f ca="1"/>
        <v>#N/A</v>
      </c>
      <c r="M407" t="e">
        <f ca="1"/>
        <v>#N/A</v>
      </c>
      <c r="N407" t="e">
        <f ca="1"/>
        <v>#N/A</v>
      </c>
      <c r="O407" t="e">
        <f ca="1"/>
        <v>#N/A</v>
      </c>
      <c r="P407" t="e">
        <f ca="1"/>
        <v>#N/A</v>
      </c>
      <c r="Q407" t="e">
        <f ca="1"/>
        <v>#N/A</v>
      </c>
      <c r="R407" t="e">
        <f ca="1"/>
        <v>#N/A</v>
      </c>
      <c r="S407" t="e">
        <f ca="1"/>
        <v>#N/A</v>
      </c>
      <c r="T407" t="e">
        <f ca="1"/>
        <v>#N/A</v>
      </c>
      <c r="U407" t="e">
        <f ca="1"/>
        <v>#N/A</v>
      </c>
      <c r="V407" t="e">
        <f ca="1"/>
        <v>#N/A</v>
      </c>
      <c r="X407" s="2">
        <f t="shared" ca="1" si="43"/>
        <v>0</v>
      </c>
      <c r="Y407">
        <f t="shared" ca="1" si="44"/>
        <v>0</v>
      </c>
      <c r="AA407" s="63" t="e">
        <f t="shared" ca="1" si="46"/>
        <v>#N/A</v>
      </c>
      <c r="AB407" s="63" t="e">
        <f t="shared" ca="1" si="47"/>
        <v>#N/A</v>
      </c>
      <c r="AC407" s="3" t="e">
        <f t="shared" ca="1" si="48"/>
        <v>#N/A</v>
      </c>
    </row>
    <row r="408" spans="8:29">
      <c r="H408" t="e">
        <f t="shared" ca="1" si="45"/>
        <v>#N/A</v>
      </c>
      <c r="I408" t="e">
        <f t="shared" ca="1" si="42"/>
        <v>#N/A</v>
      </c>
      <c r="J408" s="2" t="e">
        <f ca="1"/>
        <v>#N/A</v>
      </c>
      <c r="K408" t="e">
        <f ca="1"/>
        <v>#N/A</v>
      </c>
      <c r="L408" t="e">
        <f ca="1"/>
        <v>#N/A</v>
      </c>
      <c r="M408" t="e">
        <f ca="1"/>
        <v>#N/A</v>
      </c>
      <c r="N408" t="e">
        <f ca="1"/>
        <v>#N/A</v>
      </c>
      <c r="O408" t="e">
        <f ca="1"/>
        <v>#N/A</v>
      </c>
      <c r="P408" t="e">
        <f ca="1"/>
        <v>#N/A</v>
      </c>
      <c r="Q408" t="e">
        <f ca="1"/>
        <v>#N/A</v>
      </c>
      <c r="R408" t="e">
        <f ca="1"/>
        <v>#N/A</v>
      </c>
      <c r="S408" t="e">
        <f ca="1"/>
        <v>#N/A</v>
      </c>
      <c r="T408" t="e">
        <f ca="1"/>
        <v>#N/A</v>
      </c>
      <c r="U408" t="e">
        <f ca="1"/>
        <v>#N/A</v>
      </c>
      <c r="V408" t="e">
        <f ca="1"/>
        <v>#N/A</v>
      </c>
      <c r="X408" s="2">
        <f t="shared" ca="1" si="43"/>
        <v>0</v>
      </c>
      <c r="Y408">
        <f t="shared" ca="1" si="44"/>
        <v>0</v>
      </c>
      <c r="AA408" s="63" t="e">
        <f t="shared" ca="1" si="46"/>
        <v>#N/A</v>
      </c>
      <c r="AB408" s="63" t="e">
        <f t="shared" ca="1" si="47"/>
        <v>#N/A</v>
      </c>
      <c r="AC408" s="3" t="e">
        <f t="shared" ca="1" si="48"/>
        <v>#N/A</v>
      </c>
    </row>
    <row r="409" spans="8:29">
      <c r="H409" t="e">
        <f t="shared" ca="1" si="45"/>
        <v>#N/A</v>
      </c>
      <c r="I409" t="e">
        <f t="shared" ca="1" si="42"/>
        <v>#N/A</v>
      </c>
      <c r="J409" s="2" t="e">
        <f ca="1"/>
        <v>#N/A</v>
      </c>
      <c r="K409" t="e">
        <f ca="1"/>
        <v>#N/A</v>
      </c>
      <c r="L409" t="e">
        <f ca="1"/>
        <v>#N/A</v>
      </c>
      <c r="M409" t="e">
        <f ca="1"/>
        <v>#N/A</v>
      </c>
      <c r="N409" t="e">
        <f ca="1"/>
        <v>#N/A</v>
      </c>
      <c r="O409" t="e">
        <f ca="1"/>
        <v>#N/A</v>
      </c>
      <c r="P409" t="e">
        <f ca="1"/>
        <v>#N/A</v>
      </c>
      <c r="Q409" t="e">
        <f ca="1"/>
        <v>#N/A</v>
      </c>
      <c r="R409" t="e">
        <f ca="1"/>
        <v>#N/A</v>
      </c>
      <c r="S409" t="e">
        <f ca="1"/>
        <v>#N/A</v>
      </c>
      <c r="T409" t="e">
        <f ca="1"/>
        <v>#N/A</v>
      </c>
      <c r="U409" t="e">
        <f ca="1"/>
        <v>#N/A</v>
      </c>
      <c r="V409" t="e">
        <f ca="1"/>
        <v>#N/A</v>
      </c>
      <c r="X409" s="2">
        <f t="shared" ca="1" si="43"/>
        <v>0</v>
      </c>
      <c r="Y409">
        <f t="shared" ca="1" si="44"/>
        <v>0</v>
      </c>
      <c r="AA409" s="63" t="e">
        <f t="shared" ca="1" si="46"/>
        <v>#N/A</v>
      </c>
      <c r="AB409" s="63" t="e">
        <f t="shared" ca="1" si="47"/>
        <v>#N/A</v>
      </c>
      <c r="AC409" s="3" t="e">
        <f t="shared" ca="1" si="48"/>
        <v>#N/A</v>
      </c>
    </row>
    <row r="410" spans="8:29">
      <c r="H410" t="e">
        <f t="shared" ca="1" si="45"/>
        <v>#N/A</v>
      </c>
      <c r="I410" t="e">
        <f t="shared" ca="1" si="42"/>
        <v>#N/A</v>
      </c>
      <c r="J410" s="2" t="e">
        <f ca="1"/>
        <v>#N/A</v>
      </c>
      <c r="K410" t="e">
        <f ca="1"/>
        <v>#N/A</v>
      </c>
      <c r="L410" t="e">
        <f ca="1"/>
        <v>#N/A</v>
      </c>
      <c r="M410" t="e">
        <f ca="1"/>
        <v>#N/A</v>
      </c>
      <c r="N410" t="e">
        <f ca="1"/>
        <v>#N/A</v>
      </c>
      <c r="O410" t="e">
        <f ca="1"/>
        <v>#N/A</v>
      </c>
      <c r="P410" t="e">
        <f ca="1"/>
        <v>#N/A</v>
      </c>
      <c r="Q410" t="e">
        <f ca="1"/>
        <v>#N/A</v>
      </c>
      <c r="R410" t="e">
        <f ca="1"/>
        <v>#N/A</v>
      </c>
      <c r="S410" t="e">
        <f ca="1"/>
        <v>#N/A</v>
      </c>
      <c r="T410" t="e">
        <f ca="1"/>
        <v>#N/A</v>
      </c>
      <c r="U410" t="e">
        <f ca="1"/>
        <v>#N/A</v>
      </c>
      <c r="V410" t="e">
        <f ca="1"/>
        <v>#N/A</v>
      </c>
      <c r="X410" s="2">
        <f t="shared" ca="1" si="43"/>
        <v>0</v>
      </c>
      <c r="Y410">
        <f t="shared" ca="1" si="44"/>
        <v>0</v>
      </c>
      <c r="AA410" s="63" t="e">
        <f t="shared" ca="1" si="46"/>
        <v>#N/A</v>
      </c>
      <c r="AB410" s="63" t="e">
        <f t="shared" ca="1" si="47"/>
        <v>#N/A</v>
      </c>
      <c r="AC410" s="3" t="e">
        <f t="shared" ca="1" si="48"/>
        <v>#N/A</v>
      </c>
    </row>
    <row r="411" spans="8:29">
      <c r="H411" t="e">
        <f t="shared" ca="1" si="45"/>
        <v>#N/A</v>
      </c>
      <c r="I411" t="e">
        <f t="shared" ca="1" si="42"/>
        <v>#N/A</v>
      </c>
      <c r="J411" s="2" t="e">
        <f ca="1"/>
        <v>#N/A</v>
      </c>
      <c r="K411" t="e">
        <f ca="1"/>
        <v>#N/A</v>
      </c>
      <c r="L411" t="e">
        <f ca="1"/>
        <v>#N/A</v>
      </c>
      <c r="M411" t="e">
        <f ca="1"/>
        <v>#N/A</v>
      </c>
      <c r="N411" t="e">
        <f ca="1"/>
        <v>#N/A</v>
      </c>
      <c r="O411" t="e">
        <f ca="1"/>
        <v>#N/A</v>
      </c>
      <c r="P411" t="e">
        <f ca="1"/>
        <v>#N/A</v>
      </c>
      <c r="Q411" t="e">
        <f ca="1"/>
        <v>#N/A</v>
      </c>
      <c r="R411" t="e">
        <f ca="1"/>
        <v>#N/A</v>
      </c>
      <c r="S411" t="e">
        <f ca="1"/>
        <v>#N/A</v>
      </c>
      <c r="T411" t="e">
        <f ca="1"/>
        <v>#N/A</v>
      </c>
      <c r="U411" t="e">
        <f ca="1"/>
        <v>#N/A</v>
      </c>
      <c r="V411" t="e">
        <f ca="1"/>
        <v>#N/A</v>
      </c>
      <c r="X411" s="2">
        <f t="shared" ca="1" si="43"/>
        <v>0</v>
      </c>
      <c r="Y411">
        <f t="shared" ca="1" si="44"/>
        <v>0</v>
      </c>
      <c r="AA411" s="63" t="e">
        <f t="shared" ca="1" si="46"/>
        <v>#N/A</v>
      </c>
      <c r="AB411" s="63" t="e">
        <f t="shared" ca="1" si="47"/>
        <v>#N/A</v>
      </c>
      <c r="AC411" s="3" t="e">
        <f t="shared" ca="1" si="48"/>
        <v>#N/A</v>
      </c>
    </row>
    <row r="412" spans="8:29">
      <c r="H412" t="e">
        <f t="shared" ca="1" si="45"/>
        <v>#N/A</v>
      </c>
      <c r="I412" t="e">
        <f t="shared" ca="1" si="42"/>
        <v>#N/A</v>
      </c>
      <c r="J412" s="2" t="e">
        <f ca="1"/>
        <v>#N/A</v>
      </c>
      <c r="K412" t="e">
        <f ca="1"/>
        <v>#N/A</v>
      </c>
      <c r="L412" t="e">
        <f ca="1"/>
        <v>#N/A</v>
      </c>
      <c r="M412" t="e">
        <f ca="1"/>
        <v>#N/A</v>
      </c>
      <c r="N412" t="e">
        <f ca="1"/>
        <v>#N/A</v>
      </c>
      <c r="O412" t="e">
        <f ca="1"/>
        <v>#N/A</v>
      </c>
      <c r="P412" t="e">
        <f ca="1"/>
        <v>#N/A</v>
      </c>
      <c r="Q412" t="e">
        <f ca="1"/>
        <v>#N/A</v>
      </c>
      <c r="R412" t="e">
        <f ca="1"/>
        <v>#N/A</v>
      </c>
      <c r="S412" t="e">
        <f ca="1"/>
        <v>#N/A</v>
      </c>
      <c r="T412" t="e">
        <f ca="1"/>
        <v>#N/A</v>
      </c>
      <c r="U412" t="e">
        <f ca="1"/>
        <v>#N/A</v>
      </c>
      <c r="V412" t="e">
        <f ca="1"/>
        <v>#N/A</v>
      </c>
      <c r="X412" s="2">
        <f t="shared" ca="1" si="43"/>
        <v>0</v>
      </c>
      <c r="Y412">
        <f t="shared" ca="1" si="44"/>
        <v>0</v>
      </c>
      <c r="AA412" s="63" t="e">
        <f t="shared" ca="1" si="46"/>
        <v>#N/A</v>
      </c>
      <c r="AB412" s="63" t="e">
        <f t="shared" ca="1" si="47"/>
        <v>#N/A</v>
      </c>
      <c r="AC412" s="3" t="e">
        <f t="shared" ca="1" si="48"/>
        <v>#N/A</v>
      </c>
    </row>
    <row r="413" spans="8:29">
      <c r="H413" t="e">
        <f t="shared" ca="1" si="45"/>
        <v>#N/A</v>
      </c>
      <c r="I413" t="e">
        <f t="shared" ca="1" si="42"/>
        <v>#N/A</v>
      </c>
      <c r="J413" s="2" t="e">
        <f ca="1"/>
        <v>#N/A</v>
      </c>
      <c r="K413" t="e">
        <f ca="1"/>
        <v>#N/A</v>
      </c>
      <c r="L413" t="e">
        <f ca="1"/>
        <v>#N/A</v>
      </c>
      <c r="M413" t="e">
        <f ca="1"/>
        <v>#N/A</v>
      </c>
      <c r="N413" t="e">
        <f ca="1"/>
        <v>#N/A</v>
      </c>
      <c r="O413" t="e">
        <f ca="1"/>
        <v>#N/A</v>
      </c>
      <c r="P413" t="e">
        <f ca="1"/>
        <v>#N/A</v>
      </c>
      <c r="Q413" t="e">
        <f ca="1"/>
        <v>#N/A</v>
      </c>
      <c r="R413" t="e">
        <f ca="1"/>
        <v>#N/A</v>
      </c>
      <c r="S413" t="e">
        <f ca="1"/>
        <v>#N/A</v>
      </c>
      <c r="T413" t="e">
        <f ca="1"/>
        <v>#N/A</v>
      </c>
      <c r="U413" t="e">
        <f ca="1"/>
        <v>#N/A</v>
      </c>
      <c r="V413" t="e">
        <f ca="1"/>
        <v>#N/A</v>
      </c>
      <c r="X413" s="2">
        <f t="shared" ca="1" si="43"/>
        <v>0</v>
      </c>
      <c r="Y413">
        <f t="shared" ca="1" si="44"/>
        <v>0</v>
      </c>
      <c r="AA413" s="63" t="e">
        <f t="shared" ca="1" si="46"/>
        <v>#N/A</v>
      </c>
      <c r="AB413" s="63" t="e">
        <f t="shared" ca="1" si="47"/>
        <v>#N/A</v>
      </c>
      <c r="AC413" s="3" t="e">
        <f t="shared" ca="1" si="48"/>
        <v>#N/A</v>
      </c>
    </row>
    <row r="414" spans="8:29">
      <c r="H414" t="e">
        <f t="shared" ca="1" si="45"/>
        <v>#N/A</v>
      </c>
      <c r="I414" t="e">
        <f t="shared" ca="1" si="42"/>
        <v>#N/A</v>
      </c>
      <c r="J414" s="2" t="e">
        <f ca="1"/>
        <v>#N/A</v>
      </c>
      <c r="K414" t="e">
        <f ca="1"/>
        <v>#N/A</v>
      </c>
      <c r="L414" t="e">
        <f ca="1"/>
        <v>#N/A</v>
      </c>
      <c r="M414" t="e">
        <f ca="1"/>
        <v>#N/A</v>
      </c>
      <c r="N414" t="e">
        <f ca="1"/>
        <v>#N/A</v>
      </c>
      <c r="O414" t="e">
        <f ca="1"/>
        <v>#N/A</v>
      </c>
      <c r="P414" t="e">
        <f ca="1"/>
        <v>#N/A</v>
      </c>
      <c r="Q414" t="e">
        <f ca="1"/>
        <v>#N/A</v>
      </c>
      <c r="R414" t="e">
        <f ca="1"/>
        <v>#N/A</v>
      </c>
      <c r="S414" t="e">
        <f ca="1"/>
        <v>#N/A</v>
      </c>
      <c r="T414" t="e">
        <f ca="1"/>
        <v>#N/A</v>
      </c>
      <c r="U414" t="e">
        <f ca="1"/>
        <v>#N/A</v>
      </c>
      <c r="V414" t="e">
        <f ca="1"/>
        <v>#N/A</v>
      </c>
      <c r="X414" s="2">
        <f t="shared" ca="1" si="43"/>
        <v>0</v>
      </c>
      <c r="Y414">
        <f t="shared" ca="1" si="44"/>
        <v>0</v>
      </c>
      <c r="AA414" s="63" t="e">
        <f t="shared" ca="1" si="46"/>
        <v>#N/A</v>
      </c>
      <c r="AB414" s="63" t="e">
        <f t="shared" ca="1" si="47"/>
        <v>#N/A</v>
      </c>
      <c r="AC414" s="3" t="e">
        <f t="shared" ca="1" si="48"/>
        <v>#N/A</v>
      </c>
    </row>
    <row r="415" spans="8:29">
      <c r="H415" t="e">
        <f t="shared" ca="1" si="45"/>
        <v>#N/A</v>
      </c>
      <c r="I415" t="e">
        <f t="shared" ca="1" si="42"/>
        <v>#N/A</v>
      </c>
      <c r="J415" s="2" t="e">
        <f ca="1"/>
        <v>#N/A</v>
      </c>
      <c r="K415" t="e">
        <f ca="1"/>
        <v>#N/A</v>
      </c>
      <c r="L415" t="e">
        <f ca="1"/>
        <v>#N/A</v>
      </c>
      <c r="M415" t="e">
        <f ca="1"/>
        <v>#N/A</v>
      </c>
      <c r="N415" t="e">
        <f ca="1"/>
        <v>#N/A</v>
      </c>
      <c r="O415" t="e">
        <f ca="1"/>
        <v>#N/A</v>
      </c>
      <c r="P415" t="e">
        <f ca="1"/>
        <v>#N/A</v>
      </c>
      <c r="Q415" t="e">
        <f ca="1"/>
        <v>#N/A</v>
      </c>
      <c r="R415" t="e">
        <f ca="1"/>
        <v>#N/A</v>
      </c>
      <c r="S415" t="e">
        <f ca="1"/>
        <v>#N/A</v>
      </c>
      <c r="T415" t="e">
        <f ca="1"/>
        <v>#N/A</v>
      </c>
      <c r="U415" t="e">
        <f ca="1"/>
        <v>#N/A</v>
      </c>
      <c r="V415" t="e">
        <f ca="1"/>
        <v>#N/A</v>
      </c>
      <c r="X415" s="2">
        <f t="shared" ca="1" si="43"/>
        <v>0</v>
      </c>
      <c r="Y415">
        <f t="shared" ca="1" si="44"/>
        <v>0</v>
      </c>
      <c r="AA415" s="63" t="e">
        <f t="shared" ca="1" si="46"/>
        <v>#N/A</v>
      </c>
      <c r="AB415" s="63" t="e">
        <f t="shared" ca="1" si="47"/>
        <v>#N/A</v>
      </c>
      <c r="AC415" s="3" t="e">
        <f t="shared" ca="1" si="48"/>
        <v>#N/A</v>
      </c>
    </row>
    <row r="416" spans="8:29">
      <c r="H416" t="e">
        <f t="shared" ca="1" si="45"/>
        <v>#N/A</v>
      </c>
      <c r="I416" t="e">
        <f t="shared" ca="1" si="42"/>
        <v>#N/A</v>
      </c>
      <c r="J416" s="2" t="e">
        <f ca="1"/>
        <v>#N/A</v>
      </c>
      <c r="K416" t="e">
        <f ca="1"/>
        <v>#N/A</v>
      </c>
      <c r="L416" t="e">
        <f ca="1"/>
        <v>#N/A</v>
      </c>
      <c r="M416" t="e">
        <f ca="1"/>
        <v>#N/A</v>
      </c>
      <c r="N416" t="e">
        <f ca="1"/>
        <v>#N/A</v>
      </c>
      <c r="O416" t="e">
        <f ca="1"/>
        <v>#N/A</v>
      </c>
      <c r="P416" t="e">
        <f ca="1"/>
        <v>#N/A</v>
      </c>
      <c r="Q416" t="e">
        <f ca="1"/>
        <v>#N/A</v>
      </c>
      <c r="R416" t="e">
        <f ca="1"/>
        <v>#N/A</v>
      </c>
      <c r="S416" t="e">
        <f ca="1"/>
        <v>#N/A</v>
      </c>
      <c r="T416" t="e">
        <f ca="1"/>
        <v>#N/A</v>
      </c>
      <c r="U416" t="e">
        <f ca="1"/>
        <v>#N/A</v>
      </c>
      <c r="V416" t="e">
        <f ca="1"/>
        <v>#N/A</v>
      </c>
      <c r="X416" s="2">
        <f t="shared" ca="1" si="43"/>
        <v>0</v>
      </c>
      <c r="Y416">
        <f t="shared" ca="1" si="44"/>
        <v>0</v>
      </c>
      <c r="AA416" s="63" t="e">
        <f t="shared" ca="1" si="46"/>
        <v>#N/A</v>
      </c>
      <c r="AB416" s="63" t="e">
        <f t="shared" ca="1" si="47"/>
        <v>#N/A</v>
      </c>
      <c r="AC416" s="3" t="e">
        <f t="shared" ca="1" si="48"/>
        <v>#N/A</v>
      </c>
    </row>
    <row r="417" spans="8:29">
      <c r="H417" t="e">
        <f t="shared" ca="1" si="45"/>
        <v>#N/A</v>
      </c>
      <c r="I417" t="e">
        <f t="shared" ca="1" si="42"/>
        <v>#N/A</v>
      </c>
      <c r="J417" s="2" t="e">
        <f ca="1"/>
        <v>#N/A</v>
      </c>
      <c r="K417" t="e">
        <f ca="1"/>
        <v>#N/A</v>
      </c>
      <c r="L417" t="e">
        <f ca="1"/>
        <v>#N/A</v>
      </c>
      <c r="M417" t="e">
        <f ca="1"/>
        <v>#N/A</v>
      </c>
      <c r="N417" t="e">
        <f ca="1"/>
        <v>#N/A</v>
      </c>
      <c r="O417" t="e">
        <f ca="1"/>
        <v>#N/A</v>
      </c>
      <c r="P417" t="e">
        <f ca="1"/>
        <v>#N/A</v>
      </c>
      <c r="Q417" t="e">
        <f ca="1"/>
        <v>#N/A</v>
      </c>
      <c r="R417" t="e">
        <f ca="1"/>
        <v>#N/A</v>
      </c>
      <c r="S417" t="e">
        <f ca="1"/>
        <v>#N/A</v>
      </c>
      <c r="T417" t="e">
        <f ca="1"/>
        <v>#N/A</v>
      </c>
      <c r="U417" t="e">
        <f ca="1"/>
        <v>#N/A</v>
      </c>
      <c r="V417" t="e">
        <f ca="1"/>
        <v>#N/A</v>
      </c>
      <c r="X417" s="2">
        <f t="shared" ca="1" si="43"/>
        <v>0</v>
      </c>
      <c r="Y417">
        <f t="shared" ca="1" si="44"/>
        <v>0</v>
      </c>
      <c r="AA417" s="63" t="e">
        <f t="shared" ca="1" si="46"/>
        <v>#N/A</v>
      </c>
      <c r="AB417" s="63" t="e">
        <f t="shared" ca="1" si="47"/>
        <v>#N/A</v>
      </c>
      <c r="AC417" s="3" t="e">
        <f t="shared" ca="1" si="48"/>
        <v>#N/A</v>
      </c>
    </row>
    <row r="418" spans="8:29">
      <c r="H418" t="e">
        <f t="shared" ca="1" si="45"/>
        <v>#N/A</v>
      </c>
      <c r="I418" t="e">
        <f t="shared" ca="1" si="42"/>
        <v>#N/A</v>
      </c>
      <c r="J418" s="2" t="e">
        <f ca="1"/>
        <v>#N/A</v>
      </c>
      <c r="K418" t="e">
        <f ca="1"/>
        <v>#N/A</v>
      </c>
      <c r="L418" t="e">
        <f ca="1"/>
        <v>#N/A</v>
      </c>
      <c r="M418" t="e">
        <f ca="1"/>
        <v>#N/A</v>
      </c>
      <c r="N418" t="e">
        <f ca="1"/>
        <v>#N/A</v>
      </c>
      <c r="O418" t="e">
        <f ca="1"/>
        <v>#N/A</v>
      </c>
      <c r="P418" t="e">
        <f ca="1"/>
        <v>#N/A</v>
      </c>
      <c r="Q418" t="e">
        <f ca="1"/>
        <v>#N/A</v>
      </c>
      <c r="R418" t="e">
        <f ca="1"/>
        <v>#N/A</v>
      </c>
      <c r="S418" t="e">
        <f ca="1"/>
        <v>#N/A</v>
      </c>
      <c r="T418" t="e">
        <f ca="1"/>
        <v>#N/A</v>
      </c>
      <c r="U418" t="e">
        <f ca="1"/>
        <v>#N/A</v>
      </c>
      <c r="V418" t="e">
        <f ca="1"/>
        <v>#N/A</v>
      </c>
      <c r="X418" s="2">
        <f t="shared" ca="1" si="43"/>
        <v>0</v>
      </c>
      <c r="Y418">
        <f t="shared" ca="1" si="44"/>
        <v>0</v>
      </c>
      <c r="AA418" s="63" t="e">
        <f t="shared" ca="1" si="46"/>
        <v>#N/A</v>
      </c>
      <c r="AB418" s="63" t="e">
        <f t="shared" ca="1" si="47"/>
        <v>#N/A</v>
      </c>
      <c r="AC418" s="3" t="e">
        <f t="shared" ca="1" si="48"/>
        <v>#N/A</v>
      </c>
    </row>
    <row r="419" spans="8:29">
      <c r="H419" t="e">
        <f t="shared" ca="1" si="45"/>
        <v>#N/A</v>
      </c>
      <c r="I419" t="e">
        <f t="shared" ca="1" si="42"/>
        <v>#N/A</v>
      </c>
      <c r="J419" s="2" t="e">
        <f ca="1"/>
        <v>#N/A</v>
      </c>
      <c r="K419" t="e">
        <f ca="1"/>
        <v>#N/A</v>
      </c>
      <c r="L419" t="e">
        <f ca="1"/>
        <v>#N/A</v>
      </c>
      <c r="M419" t="e">
        <f ca="1"/>
        <v>#N/A</v>
      </c>
      <c r="N419" t="e">
        <f ca="1"/>
        <v>#N/A</v>
      </c>
      <c r="O419" t="e">
        <f ca="1"/>
        <v>#N/A</v>
      </c>
      <c r="P419" t="e">
        <f ca="1"/>
        <v>#N/A</v>
      </c>
      <c r="Q419" t="e">
        <f ca="1"/>
        <v>#N/A</v>
      </c>
      <c r="R419" t="e">
        <f ca="1"/>
        <v>#N/A</v>
      </c>
      <c r="S419" t="e">
        <f ca="1"/>
        <v>#N/A</v>
      </c>
      <c r="T419" t="e">
        <f ca="1"/>
        <v>#N/A</v>
      </c>
      <c r="U419" t="e">
        <f ca="1"/>
        <v>#N/A</v>
      </c>
      <c r="V419" t="e">
        <f ca="1"/>
        <v>#N/A</v>
      </c>
      <c r="X419" s="2">
        <f t="shared" ca="1" si="43"/>
        <v>0</v>
      </c>
      <c r="Y419">
        <f t="shared" ca="1" si="44"/>
        <v>0</v>
      </c>
      <c r="AA419" s="63" t="e">
        <f t="shared" ca="1" si="46"/>
        <v>#N/A</v>
      </c>
      <c r="AB419" s="63" t="e">
        <f t="shared" ca="1" si="47"/>
        <v>#N/A</v>
      </c>
      <c r="AC419" s="3" t="e">
        <f t="shared" ca="1" si="48"/>
        <v>#N/A</v>
      </c>
    </row>
    <row r="420" spans="8:29">
      <c r="H420" t="e">
        <f t="shared" ca="1" si="45"/>
        <v>#N/A</v>
      </c>
      <c r="I420" t="e">
        <f t="shared" ca="1" si="42"/>
        <v>#N/A</v>
      </c>
      <c r="J420" s="2" t="e">
        <f ca="1"/>
        <v>#N/A</v>
      </c>
      <c r="K420" t="e">
        <f ca="1"/>
        <v>#N/A</v>
      </c>
      <c r="L420" t="e">
        <f ca="1"/>
        <v>#N/A</v>
      </c>
      <c r="M420" t="e">
        <f ca="1"/>
        <v>#N/A</v>
      </c>
      <c r="N420" t="e">
        <f ca="1"/>
        <v>#N/A</v>
      </c>
      <c r="O420" t="e">
        <f ca="1"/>
        <v>#N/A</v>
      </c>
      <c r="P420" t="e">
        <f ca="1"/>
        <v>#N/A</v>
      </c>
      <c r="Q420" t="e">
        <f ca="1"/>
        <v>#N/A</v>
      </c>
      <c r="R420" t="e">
        <f ca="1"/>
        <v>#N/A</v>
      </c>
      <c r="S420" t="e">
        <f ca="1"/>
        <v>#N/A</v>
      </c>
      <c r="T420" t="e">
        <f ca="1"/>
        <v>#N/A</v>
      </c>
      <c r="U420" t="e">
        <f ca="1"/>
        <v>#N/A</v>
      </c>
      <c r="V420" t="e">
        <f ca="1"/>
        <v>#N/A</v>
      </c>
      <c r="X420" s="2">
        <f t="shared" ca="1" si="43"/>
        <v>0</v>
      </c>
      <c r="Y420">
        <f t="shared" ca="1" si="44"/>
        <v>0</v>
      </c>
      <c r="AA420" s="63" t="e">
        <f t="shared" ca="1" si="46"/>
        <v>#N/A</v>
      </c>
      <c r="AB420" s="63" t="e">
        <f t="shared" ca="1" si="47"/>
        <v>#N/A</v>
      </c>
      <c r="AC420" s="3" t="e">
        <f t="shared" ca="1" si="48"/>
        <v>#N/A</v>
      </c>
    </row>
    <row r="421" spans="8:29">
      <c r="H421" t="e">
        <f t="shared" ca="1" si="45"/>
        <v>#N/A</v>
      </c>
      <c r="I421" t="e">
        <f t="shared" ca="1" si="42"/>
        <v>#N/A</v>
      </c>
      <c r="J421" s="2" t="e">
        <f ca="1"/>
        <v>#N/A</v>
      </c>
      <c r="K421" t="e">
        <f ca="1"/>
        <v>#N/A</v>
      </c>
      <c r="L421" t="e">
        <f ca="1"/>
        <v>#N/A</v>
      </c>
      <c r="M421" t="e">
        <f ca="1"/>
        <v>#N/A</v>
      </c>
      <c r="N421" t="e">
        <f ca="1"/>
        <v>#N/A</v>
      </c>
      <c r="O421" t="e">
        <f ca="1"/>
        <v>#N/A</v>
      </c>
      <c r="P421" t="e">
        <f ca="1"/>
        <v>#N/A</v>
      </c>
      <c r="Q421" t="e">
        <f ca="1"/>
        <v>#N/A</v>
      </c>
      <c r="R421" t="e">
        <f ca="1"/>
        <v>#N/A</v>
      </c>
      <c r="S421" t="e">
        <f ca="1"/>
        <v>#N/A</v>
      </c>
      <c r="T421" t="e">
        <f ca="1"/>
        <v>#N/A</v>
      </c>
      <c r="U421" t="e">
        <f ca="1"/>
        <v>#N/A</v>
      </c>
      <c r="V421" t="e">
        <f ca="1"/>
        <v>#N/A</v>
      </c>
      <c r="X421" s="2">
        <f t="shared" ca="1" si="43"/>
        <v>0</v>
      </c>
      <c r="Y421">
        <f t="shared" ca="1" si="44"/>
        <v>0</v>
      </c>
      <c r="AA421" s="63" t="e">
        <f t="shared" ca="1" si="46"/>
        <v>#N/A</v>
      </c>
      <c r="AB421" s="63" t="e">
        <f t="shared" ca="1" si="47"/>
        <v>#N/A</v>
      </c>
      <c r="AC421" s="3" t="e">
        <f t="shared" ca="1" si="48"/>
        <v>#N/A</v>
      </c>
    </row>
    <row r="422" spans="8:29">
      <c r="H422" t="e">
        <f t="shared" ca="1" si="45"/>
        <v>#N/A</v>
      </c>
      <c r="I422" t="e">
        <f t="shared" ca="1" si="42"/>
        <v>#N/A</v>
      </c>
      <c r="J422" s="2" t="e">
        <f ca="1"/>
        <v>#N/A</v>
      </c>
      <c r="K422" t="e">
        <f ca="1"/>
        <v>#N/A</v>
      </c>
      <c r="L422" t="e">
        <f ca="1"/>
        <v>#N/A</v>
      </c>
      <c r="M422" t="e">
        <f ca="1"/>
        <v>#N/A</v>
      </c>
      <c r="N422" t="e">
        <f ca="1"/>
        <v>#N/A</v>
      </c>
      <c r="O422" t="e">
        <f ca="1"/>
        <v>#N/A</v>
      </c>
      <c r="P422" t="e">
        <f ca="1"/>
        <v>#N/A</v>
      </c>
      <c r="Q422" t="e">
        <f ca="1"/>
        <v>#N/A</v>
      </c>
      <c r="R422" t="e">
        <f ca="1"/>
        <v>#N/A</v>
      </c>
      <c r="S422" t="e">
        <f ca="1"/>
        <v>#N/A</v>
      </c>
      <c r="T422" t="e">
        <f ca="1"/>
        <v>#N/A</v>
      </c>
      <c r="U422" t="e">
        <f ca="1"/>
        <v>#N/A</v>
      </c>
      <c r="V422" t="e">
        <f ca="1"/>
        <v>#N/A</v>
      </c>
      <c r="X422" s="2">
        <f t="shared" ca="1" si="43"/>
        <v>0</v>
      </c>
      <c r="Y422">
        <f t="shared" ca="1" si="44"/>
        <v>0</v>
      </c>
      <c r="AA422" s="63" t="e">
        <f t="shared" ca="1" si="46"/>
        <v>#N/A</v>
      </c>
      <c r="AB422" s="63" t="e">
        <f t="shared" ca="1" si="47"/>
        <v>#N/A</v>
      </c>
      <c r="AC422" s="3" t="e">
        <f t="shared" ca="1" si="48"/>
        <v>#N/A</v>
      </c>
    </row>
    <row r="423" spans="8:29">
      <c r="H423" t="e">
        <f t="shared" ca="1" si="45"/>
        <v>#N/A</v>
      </c>
      <c r="I423" t="e">
        <f t="shared" ca="1" si="42"/>
        <v>#N/A</v>
      </c>
      <c r="J423" s="2" t="e">
        <f ca="1"/>
        <v>#N/A</v>
      </c>
      <c r="K423" t="e">
        <f ca="1"/>
        <v>#N/A</v>
      </c>
      <c r="L423" t="e">
        <f ca="1"/>
        <v>#N/A</v>
      </c>
      <c r="M423" t="e">
        <f ca="1"/>
        <v>#N/A</v>
      </c>
      <c r="N423" t="e">
        <f ca="1"/>
        <v>#N/A</v>
      </c>
      <c r="O423" t="e">
        <f ca="1"/>
        <v>#N/A</v>
      </c>
      <c r="P423" t="e">
        <f ca="1"/>
        <v>#N/A</v>
      </c>
      <c r="Q423" t="e">
        <f ca="1"/>
        <v>#N/A</v>
      </c>
      <c r="R423" t="e">
        <f ca="1"/>
        <v>#N/A</v>
      </c>
      <c r="S423" t="e">
        <f ca="1"/>
        <v>#N/A</v>
      </c>
      <c r="T423" t="e">
        <f ca="1"/>
        <v>#N/A</v>
      </c>
      <c r="U423" t="e">
        <f ca="1"/>
        <v>#N/A</v>
      </c>
      <c r="V423" t="e">
        <f ca="1"/>
        <v>#N/A</v>
      </c>
      <c r="X423" s="2">
        <f t="shared" ca="1" si="43"/>
        <v>0</v>
      </c>
      <c r="Y423">
        <f t="shared" ca="1" si="44"/>
        <v>0</v>
      </c>
      <c r="AA423" s="63" t="e">
        <f t="shared" ca="1" si="46"/>
        <v>#N/A</v>
      </c>
      <c r="AB423" s="63" t="e">
        <f t="shared" ca="1" si="47"/>
        <v>#N/A</v>
      </c>
      <c r="AC423" s="3" t="e">
        <f t="shared" ca="1" si="48"/>
        <v>#N/A</v>
      </c>
    </row>
    <row r="424" spans="8:29">
      <c r="H424" t="e">
        <f t="shared" ca="1" si="45"/>
        <v>#N/A</v>
      </c>
      <c r="I424" t="e">
        <f t="shared" ca="1" si="42"/>
        <v>#N/A</v>
      </c>
      <c r="J424" s="2" t="e">
        <f ca="1"/>
        <v>#N/A</v>
      </c>
      <c r="K424" t="e">
        <f ca="1"/>
        <v>#N/A</v>
      </c>
      <c r="L424" t="e">
        <f ca="1"/>
        <v>#N/A</v>
      </c>
      <c r="M424" t="e">
        <f ca="1"/>
        <v>#N/A</v>
      </c>
      <c r="N424" t="e">
        <f ca="1"/>
        <v>#N/A</v>
      </c>
      <c r="O424" t="e">
        <f ca="1"/>
        <v>#N/A</v>
      </c>
      <c r="P424" t="e">
        <f ca="1"/>
        <v>#N/A</v>
      </c>
      <c r="Q424" t="e">
        <f ca="1"/>
        <v>#N/A</v>
      </c>
      <c r="R424" t="e">
        <f ca="1"/>
        <v>#N/A</v>
      </c>
      <c r="S424" t="e">
        <f ca="1"/>
        <v>#N/A</v>
      </c>
      <c r="T424" t="e">
        <f ca="1"/>
        <v>#N/A</v>
      </c>
      <c r="U424" t="e">
        <f ca="1"/>
        <v>#N/A</v>
      </c>
      <c r="V424" t="e">
        <f ca="1"/>
        <v>#N/A</v>
      </c>
      <c r="X424" s="2">
        <f t="shared" ca="1" si="43"/>
        <v>0</v>
      </c>
      <c r="Y424">
        <f t="shared" ca="1" si="44"/>
        <v>0</v>
      </c>
      <c r="AA424" s="63" t="e">
        <f t="shared" ca="1" si="46"/>
        <v>#N/A</v>
      </c>
      <c r="AB424" s="63" t="e">
        <f t="shared" ca="1" si="47"/>
        <v>#N/A</v>
      </c>
      <c r="AC424" s="3" t="e">
        <f t="shared" ca="1" si="48"/>
        <v>#N/A</v>
      </c>
    </row>
    <row r="425" spans="8:29">
      <c r="H425" t="e">
        <f t="shared" ca="1" si="45"/>
        <v>#N/A</v>
      </c>
      <c r="I425" t="e">
        <f t="shared" ca="1" si="42"/>
        <v>#N/A</v>
      </c>
      <c r="J425" s="2" t="e">
        <f ca="1"/>
        <v>#N/A</v>
      </c>
      <c r="K425" t="e">
        <f ca="1"/>
        <v>#N/A</v>
      </c>
      <c r="L425" t="e">
        <f ca="1"/>
        <v>#N/A</v>
      </c>
      <c r="M425" t="e">
        <f ca="1"/>
        <v>#N/A</v>
      </c>
      <c r="N425" t="e">
        <f ca="1"/>
        <v>#N/A</v>
      </c>
      <c r="O425" t="e">
        <f ca="1"/>
        <v>#N/A</v>
      </c>
      <c r="P425" t="e">
        <f ca="1"/>
        <v>#N/A</v>
      </c>
      <c r="Q425" t="e">
        <f ca="1"/>
        <v>#N/A</v>
      </c>
      <c r="R425" t="e">
        <f ca="1"/>
        <v>#N/A</v>
      </c>
      <c r="S425" t="e">
        <f ca="1"/>
        <v>#N/A</v>
      </c>
      <c r="T425" t="e">
        <f ca="1"/>
        <v>#N/A</v>
      </c>
      <c r="U425" t="e">
        <f ca="1"/>
        <v>#N/A</v>
      </c>
      <c r="V425" t="e">
        <f ca="1"/>
        <v>#N/A</v>
      </c>
      <c r="X425" s="2">
        <f t="shared" ca="1" si="43"/>
        <v>0</v>
      </c>
      <c r="Y425">
        <f t="shared" ca="1" si="44"/>
        <v>0</v>
      </c>
      <c r="AA425" s="63" t="e">
        <f t="shared" ca="1" si="46"/>
        <v>#N/A</v>
      </c>
      <c r="AB425" s="63" t="e">
        <f t="shared" ca="1" si="47"/>
        <v>#N/A</v>
      </c>
      <c r="AC425" s="3" t="e">
        <f t="shared" ca="1" si="48"/>
        <v>#N/A</v>
      </c>
    </row>
    <row r="426" spans="8:29">
      <c r="H426" t="e">
        <f t="shared" ca="1" si="45"/>
        <v>#N/A</v>
      </c>
      <c r="I426" t="e">
        <f t="shared" ca="1" si="42"/>
        <v>#N/A</v>
      </c>
      <c r="J426" s="2" t="e">
        <f ca="1"/>
        <v>#N/A</v>
      </c>
      <c r="K426" t="e">
        <f ca="1"/>
        <v>#N/A</v>
      </c>
      <c r="L426" t="e">
        <f ca="1"/>
        <v>#N/A</v>
      </c>
      <c r="M426" t="e">
        <f ca="1"/>
        <v>#N/A</v>
      </c>
      <c r="N426" t="e">
        <f ca="1"/>
        <v>#N/A</v>
      </c>
      <c r="O426" t="e">
        <f ca="1"/>
        <v>#N/A</v>
      </c>
      <c r="P426" t="e">
        <f ca="1"/>
        <v>#N/A</v>
      </c>
      <c r="Q426" t="e">
        <f ca="1"/>
        <v>#N/A</v>
      </c>
      <c r="R426" t="e">
        <f ca="1"/>
        <v>#N/A</v>
      </c>
      <c r="S426" t="e">
        <f ca="1"/>
        <v>#N/A</v>
      </c>
      <c r="T426" t="e">
        <f ca="1"/>
        <v>#N/A</v>
      </c>
      <c r="U426" t="e">
        <f ca="1"/>
        <v>#N/A</v>
      </c>
      <c r="V426" t="e">
        <f ca="1"/>
        <v>#N/A</v>
      </c>
      <c r="X426" s="2">
        <f t="shared" ca="1" si="43"/>
        <v>0</v>
      </c>
      <c r="Y426">
        <f t="shared" ca="1" si="44"/>
        <v>0</v>
      </c>
      <c r="AA426" s="63" t="e">
        <f t="shared" ca="1" si="46"/>
        <v>#N/A</v>
      </c>
      <c r="AB426" s="63" t="e">
        <f t="shared" ca="1" si="47"/>
        <v>#N/A</v>
      </c>
      <c r="AC426" s="3" t="e">
        <f t="shared" ca="1" si="48"/>
        <v>#N/A</v>
      </c>
    </row>
    <row r="427" spans="8:29">
      <c r="H427" t="e">
        <f t="shared" ca="1" si="45"/>
        <v>#N/A</v>
      </c>
      <c r="I427" t="e">
        <f t="shared" ca="1" si="42"/>
        <v>#N/A</v>
      </c>
      <c r="J427" s="2" t="e">
        <f ca="1"/>
        <v>#N/A</v>
      </c>
      <c r="K427" t="e">
        <f ca="1"/>
        <v>#N/A</v>
      </c>
      <c r="L427" t="e">
        <f ca="1"/>
        <v>#N/A</v>
      </c>
      <c r="M427" t="e">
        <f ca="1"/>
        <v>#N/A</v>
      </c>
      <c r="N427" t="e">
        <f ca="1"/>
        <v>#N/A</v>
      </c>
      <c r="O427" t="e">
        <f ca="1"/>
        <v>#N/A</v>
      </c>
      <c r="P427" t="e">
        <f ca="1"/>
        <v>#N/A</v>
      </c>
      <c r="Q427" t="e">
        <f ca="1"/>
        <v>#N/A</v>
      </c>
      <c r="R427" t="e">
        <f ca="1"/>
        <v>#N/A</v>
      </c>
      <c r="S427" t="e">
        <f ca="1"/>
        <v>#N/A</v>
      </c>
      <c r="T427" t="e">
        <f ca="1"/>
        <v>#N/A</v>
      </c>
      <c r="U427" t="e">
        <f ca="1"/>
        <v>#N/A</v>
      </c>
      <c r="V427" t="e">
        <f ca="1"/>
        <v>#N/A</v>
      </c>
      <c r="X427" s="2">
        <f t="shared" ca="1" si="43"/>
        <v>0</v>
      </c>
      <c r="Y427">
        <f t="shared" ca="1" si="44"/>
        <v>0</v>
      </c>
      <c r="AA427" s="63" t="e">
        <f t="shared" ca="1" si="46"/>
        <v>#N/A</v>
      </c>
      <c r="AB427" s="63" t="e">
        <f t="shared" ca="1" si="47"/>
        <v>#N/A</v>
      </c>
      <c r="AC427" s="3" t="e">
        <f t="shared" ca="1" si="48"/>
        <v>#N/A</v>
      </c>
    </row>
    <row r="428" spans="8:29">
      <c r="H428" t="e">
        <f t="shared" ca="1" si="45"/>
        <v>#N/A</v>
      </c>
      <c r="I428" t="e">
        <f t="shared" ca="1" si="42"/>
        <v>#N/A</v>
      </c>
      <c r="J428" s="2" t="e">
        <f ca="1"/>
        <v>#N/A</v>
      </c>
      <c r="K428" t="e">
        <f ca="1"/>
        <v>#N/A</v>
      </c>
      <c r="L428" t="e">
        <f ca="1"/>
        <v>#N/A</v>
      </c>
      <c r="M428" t="e">
        <f ca="1"/>
        <v>#N/A</v>
      </c>
      <c r="N428" t="e">
        <f ca="1"/>
        <v>#N/A</v>
      </c>
      <c r="O428" t="e">
        <f ca="1"/>
        <v>#N/A</v>
      </c>
      <c r="P428" t="e">
        <f ca="1"/>
        <v>#N/A</v>
      </c>
      <c r="Q428" t="e">
        <f ca="1"/>
        <v>#N/A</v>
      </c>
      <c r="R428" t="e">
        <f ca="1"/>
        <v>#N/A</v>
      </c>
      <c r="S428" t="e">
        <f ca="1"/>
        <v>#N/A</v>
      </c>
      <c r="T428" t="e">
        <f ca="1"/>
        <v>#N/A</v>
      </c>
      <c r="U428" t="e">
        <f ca="1"/>
        <v>#N/A</v>
      </c>
      <c r="V428" t="e">
        <f ca="1"/>
        <v>#N/A</v>
      </c>
      <c r="X428" s="2">
        <f t="shared" ca="1" si="43"/>
        <v>0</v>
      </c>
      <c r="Y428">
        <f t="shared" ca="1" si="44"/>
        <v>0</v>
      </c>
      <c r="AA428" s="63" t="e">
        <f t="shared" ca="1" si="46"/>
        <v>#N/A</v>
      </c>
      <c r="AB428" s="63" t="e">
        <f t="shared" ca="1" si="47"/>
        <v>#N/A</v>
      </c>
      <c r="AC428" s="3" t="e">
        <f t="shared" ca="1" si="48"/>
        <v>#N/A</v>
      </c>
    </row>
    <row r="429" spans="8:29">
      <c r="H429" t="e">
        <f t="shared" ca="1" si="45"/>
        <v>#N/A</v>
      </c>
      <c r="I429" t="e">
        <f t="shared" ca="1" si="42"/>
        <v>#N/A</v>
      </c>
      <c r="J429" s="2" t="e">
        <f ca="1"/>
        <v>#N/A</v>
      </c>
      <c r="K429" t="e">
        <f ca="1"/>
        <v>#N/A</v>
      </c>
      <c r="L429" t="e">
        <f ca="1"/>
        <v>#N/A</v>
      </c>
      <c r="M429" t="e">
        <f ca="1"/>
        <v>#N/A</v>
      </c>
      <c r="N429" t="e">
        <f ca="1"/>
        <v>#N/A</v>
      </c>
      <c r="O429" t="e">
        <f ca="1"/>
        <v>#N/A</v>
      </c>
      <c r="P429" t="e">
        <f ca="1"/>
        <v>#N/A</v>
      </c>
      <c r="Q429" t="e">
        <f ca="1"/>
        <v>#N/A</v>
      </c>
      <c r="R429" t="e">
        <f ca="1"/>
        <v>#N/A</v>
      </c>
      <c r="S429" t="e">
        <f ca="1"/>
        <v>#N/A</v>
      </c>
      <c r="T429" t="e">
        <f ca="1"/>
        <v>#N/A</v>
      </c>
      <c r="U429" t="e">
        <f ca="1"/>
        <v>#N/A</v>
      </c>
      <c r="V429" t="e">
        <f ca="1"/>
        <v>#N/A</v>
      </c>
      <c r="X429" s="2">
        <f t="shared" ca="1" si="43"/>
        <v>0</v>
      </c>
      <c r="Y429">
        <f t="shared" ca="1" si="44"/>
        <v>0</v>
      </c>
      <c r="AA429" s="63" t="e">
        <f t="shared" ca="1" si="46"/>
        <v>#N/A</v>
      </c>
      <c r="AB429" s="63" t="e">
        <f t="shared" ca="1" si="47"/>
        <v>#N/A</v>
      </c>
      <c r="AC429" s="3" t="e">
        <f t="shared" ca="1" si="48"/>
        <v>#N/A</v>
      </c>
    </row>
    <row r="430" spans="8:29">
      <c r="H430" t="e">
        <f t="shared" ca="1" si="45"/>
        <v>#N/A</v>
      </c>
      <c r="I430" t="e">
        <f t="shared" ca="1" si="42"/>
        <v>#N/A</v>
      </c>
      <c r="J430" s="2" t="e">
        <f ca="1"/>
        <v>#N/A</v>
      </c>
      <c r="K430" t="e">
        <f ca="1"/>
        <v>#N/A</v>
      </c>
      <c r="L430" t="e">
        <f ca="1"/>
        <v>#N/A</v>
      </c>
      <c r="M430" t="e">
        <f ca="1"/>
        <v>#N/A</v>
      </c>
      <c r="N430" t="e">
        <f ca="1"/>
        <v>#N/A</v>
      </c>
      <c r="O430" t="e">
        <f ca="1"/>
        <v>#N/A</v>
      </c>
      <c r="P430" t="e">
        <f ca="1"/>
        <v>#N/A</v>
      </c>
      <c r="Q430" t="e">
        <f ca="1"/>
        <v>#N/A</v>
      </c>
      <c r="R430" t="e">
        <f ca="1"/>
        <v>#N/A</v>
      </c>
      <c r="S430" t="e">
        <f ca="1"/>
        <v>#N/A</v>
      </c>
      <c r="T430" t="e">
        <f ca="1"/>
        <v>#N/A</v>
      </c>
      <c r="U430" t="e">
        <f ca="1"/>
        <v>#N/A</v>
      </c>
      <c r="V430" t="e">
        <f ca="1"/>
        <v>#N/A</v>
      </c>
      <c r="X430" s="2">
        <f t="shared" ca="1" si="43"/>
        <v>0</v>
      </c>
      <c r="Y430">
        <f t="shared" ca="1" si="44"/>
        <v>0</v>
      </c>
      <c r="AA430" s="63" t="e">
        <f t="shared" ca="1" si="46"/>
        <v>#N/A</v>
      </c>
      <c r="AB430" s="63" t="e">
        <f t="shared" ca="1" si="47"/>
        <v>#N/A</v>
      </c>
      <c r="AC430" s="3" t="e">
        <f t="shared" ca="1" si="48"/>
        <v>#N/A</v>
      </c>
    </row>
    <row r="431" spans="8:29">
      <c r="H431" t="e">
        <f t="shared" ca="1" si="45"/>
        <v>#N/A</v>
      </c>
      <c r="I431" t="e">
        <f t="shared" ca="1" si="42"/>
        <v>#N/A</v>
      </c>
      <c r="J431" s="2" t="e">
        <f ca="1"/>
        <v>#N/A</v>
      </c>
      <c r="K431" t="e">
        <f ca="1"/>
        <v>#N/A</v>
      </c>
      <c r="L431" t="e">
        <f ca="1"/>
        <v>#N/A</v>
      </c>
      <c r="M431" t="e">
        <f ca="1"/>
        <v>#N/A</v>
      </c>
      <c r="N431" t="e">
        <f ca="1"/>
        <v>#N/A</v>
      </c>
      <c r="O431" t="e">
        <f ca="1"/>
        <v>#N/A</v>
      </c>
      <c r="P431" t="e">
        <f ca="1"/>
        <v>#N/A</v>
      </c>
      <c r="Q431" t="e">
        <f ca="1"/>
        <v>#N/A</v>
      </c>
      <c r="R431" t="e">
        <f ca="1"/>
        <v>#N/A</v>
      </c>
      <c r="S431" t="e">
        <f ca="1"/>
        <v>#N/A</v>
      </c>
      <c r="T431" t="e">
        <f ca="1"/>
        <v>#N/A</v>
      </c>
      <c r="U431" t="e">
        <f ca="1"/>
        <v>#N/A</v>
      </c>
      <c r="V431" t="e">
        <f ca="1"/>
        <v>#N/A</v>
      </c>
      <c r="X431" s="2">
        <f t="shared" ca="1" si="43"/>
        <v>0</v>
      </c>
      <c r="Y431">
        <f t="shared" ca="1" si="44"/>
        <v>0</v>
      </c>
      <c r="AA431" s="63" t="e">
        <f t="shared" ca="1" si="46"/>
        <v>#N/A</v>
      </c>
      <c r="AB431" s="63" t="e">
        <f t="shared" ca="1" si="47"/>
        <v>#N/A</v>
      </c>
      <c r="AC431" s="3" t="e">
        <f t="shared" ca="1" si="48"/>
        <v>#N/A</v>
      </c>
    </row>
    <row r="432" spans="8:29">
      <c r="H432" t="e">
        <f t="shared" ca="1" si="45"/>
        <v>#N/A</v>
      </c>
      <c r="I432" t="e">
        <f t="shared" ca="1" si="42"/>
        <v>#N/A</v>
      </c>
      <c r="J432" s="2" t="e">
        <f ca="1"/>
        <v>#N/A</v>
      </c>
      <c r="K432" t="e">
        <f ca="1"/>
        <v>#N/A</v>
      </c>
      <c r="L432" t="e">
        <f ca="1"/>
        <v>#N/A</v>
      </c>
      <c r="M432" t="e">
        <f ca="1"/>
        <v>#N/A</v>
      </c>
      <c r="N432" t="e">
        <f ca="1"/>
        <v>#N/A</v>
      </c>
      <c r="O432" t="e">
        <f ca="1"/>
        <v>#N/A</v>
      </c>
      <c r="P432" t="e">
        <f ca="1"/>
        <v>#N/A</v>
      </c>
      <c r="Q432" t="e">
        <f ca="1"/>
        <v>#N/A</v>
      </c>
      <c r="R432" t="e">
        <f ca="1"/>
        <v>#N/A</v>
      </c>
      <c r="S432" t="e">
        <f ca="1"/>
        <v>#N/A</v>
      </c>
      <c r="T432" t="e">
        <f ca="1"/>
        <v>#N/A</v>
      </c>
      <c r="U432" t="e">
        <f ca="1"/>
        <v>#N/A</v>
      </c>
      <c r="V432" t="e">
        <f ca="1"/>
        <v>#N/A</v>
      </c>
      <c r="X432" s="2">
        <f t="shared" ca="1" si="43"/>
        <v>0</v>
      </c>
      <c r="Y432">
        <f t="shared" ca="1" si="44"/>
        <v>0</v>
      </c>
      <c r="AA432" s="63" t="e">
        <f t="shared" ca="1" si="46"/>
        <v>#N/A</v>
      </c>
      <c r="AB432" s="63" t="e">
        <f t="shared" ca="1" si="47"/>
        <v>#N/A</v>
      </c>
      <c r="AC432" s="3" t="e">
        <f t="shared" ca="1" si="48"/>
        <v>#N/A</v>
      </c>
    </row>
    <row r="433" spans="8:29">
      <c r="H433" t="e">
        <f t="shared" ca="1" si="45"/>
        <v>#N/A</v>
      </c>
      <c r="I433" t="e">
        <f t="shared" ca="1" si="42"/>
        <v>#N/A</v>
      </c>
      <c r="J433" s="2" t="e">
        <f ca="1"/>
        <v>#N/A</v>
      </c>
      <c r="K433" t="e">
        <f ca="1"/>
        <v>#N/A</v>
      </c>
      <c r="L433" t="e">
        <f ca="1"/>
        <v>#N/A</v>
      </c>
      <c r="M433" t="e">
        <f ca="1"/>
        <v>#N/A</v>
      </c>
      <c r="N433" t="e">
        <f ca="1"/>
        <v>#N/A</v>
      </c>
      <c r="O433" t="e">
        <f ca="1"/>
        <v>#N/A</v>
      </c>
      <c r="P433" t="e">
        <f ca="1"/>
        <v>#N/A</v>
      </c>
      <c r="Q433" t="e">
        <f ca="1"/>
        <v>#N/A</v>
      </c>
      <c r="R433" t="e">
        <f ca="1"/>
        <v>#N/A</v>
      </c>
      <c r="S433" t="e">
        <f ca="1"/>
        <v>#N/A</v>
      </c>
      <c r="T433" t="e">
        <f ca="1"/>
        <v>#N/A</v>
      </c>
      <c r="U433" t="e">
        <f ca="1"/>
        <v>#N/A</v>
      </c>
      <c r="V433" t="e">
        <f ca="1"/>
        <v>#N/A</v>
      </c>
      <c r="X433" s="2">
        <f t="shared" ca="1" si="43"/>
        <v>0</v>
      </c>
      <c r="Y433">
        <f t="shared" ca="1" si="44"/>
        <v>0</v>
      </c>
      <c r="AA433" s="63" t="e">
        <f t="shared" ca="1" si="46"/>
        <v>#N/A</v>
      </c>
      <c r="AB433" s="63" t="e">
        <f t="shared" ca="1" si="47"/>
        <v>#N/A</v>
      </c>
      <c r="AC433" s="3" t="e">
        <f t="shared" ca="1" si="48"/>
        <v>#N/A</v>
      </c>
    </row>
    <row r="434" spans="8:29">
      <c r="H434" t="e">
        <f t="shared" ca="1" si="45"/>
        <v>#N/A</v>
      </c>
      <c r="I434" t="e">
        <f t="shared" ca="1" si="42"/>
        <v>#N/A</v>
      </c>
      <c r="J434" s="2" t="e">
        <f ca="1"/>
        <v>#N/A</v>
      </c>
      <c r="K434" t="e">
        <f ca="1"/>
        <v>#N/A</v>
      </c>
      <c r="L434" t="e">
        <f ca="1"/>
        <v>#N/A</v>
      </c>
      <c r="M434" t="e">
        <f ca="1"/>
        <v>#N/A</v>
      </c>
      <c r="N434" t="e">
        <f ca="1"/>
        <v>#N/A</v>
      </c>
      <c r="O434" t="e">
        <f ca="1"/>
        <v>#N/A</v>
      </c>
      <c r="P434" t="e">
        <f ca="1"/>
        <v>#N/A</v>
      </c>
      <c r="Q434" t="e">
        <f ca="1"/>
        <v>#N/A</v>
      </c>
      <c r="R434" t="e">
        <f ca="1"/>
        <v>#N/A</v>
      </c>
      <c r="S434" t="e">
        <f ca="1"/>
        <v>#N/A</v>
      </c>
      <c r="T434" t="e">
        <f ca="1"/>
        <v>#N/A</v>
      </c>
      <c r="U434" t="e">
        <f ca="1"/>
        <v>#N/A</v>
      </c>
      <c r="V434" t="e">
        <f ca="1"/>
        <v>#N/A</v>
      </c>
      <c r="X434" s="2">
        <f t="shared" ca="1" si="43"/>
        <v>0</v>
      </c>
      <c r="Y434">
        <f t="shared" ca="1" si="44"/>
        <v>0</v>
      </c>
      <c r="AA434" s="63" t="e">
        <f t="shared" ca="1" si="46"/>
        <v>#N/A</v>
      </c>
      <c r="AB434" s="63" t="e">
        <f t="shared" ca="1" si="47"/>
        <v>#N/A</v>
      </c>
      <c r="AC434" s="3" t="e">
        <f t="shared" ca="1" si="48"/>
        <v>#N/A</v>
      </c>
    </row>
    <row r="435" spans="8:29">
      <c r="H435" t="e">
        <f t="shared" ca="1" si="45"/>
        <v>#N/A</v>
      </c>
      <c r="I435" t="e">
        <f t="shared" ca="1" si="42"/>
        <v>#N/A</v>
      </c>
      <c r="J435" s="2" t="e">
        <f ca="1"/>
        <v>#N/A</v>
      </c>
      <c r="K435" t="e">
        <f ca="1"/>
        <v>#N/A</v>
      </c>
      <c r="L435" t="e">
        <f ca="1"/>
        <v>#N/A</v>
      </c>
      <c r="M435" t="e">
        <f ca="1"/>
        <v>#N/A</v>
      </c>
      <c r="N435" t="e">
        <f ca="1"/>
        <v>#N/A</v>
      </c>
      <c r="O435" t="e">
        <f ca="1"/>
        <v>#N/A</v>
      </c>
      <c r="P435" t="e">
        <f ca="1"/>
        <v>#N/A</v>
      </c>
      <c r="Q435" t="e">
        <f ca="1"/>
        <v>#N/A</v>
      </c>
      <c r="R435" t="e">
        <f ca="1"/>
        <v>#N/A</v>
      </c>
      <c r="S435" t="e">
        <f ca="1"/>
        <v>#N/A</v>
      </c>
      <c r="T435" t="e">
        <f ca="1"/>
        <v>#N/A</v>
      </c>
      <c r="U435" t="e">
        <f ca="1"/>
        <v>#N/A</v>
      </c>
      <c r="V435" t="e">
        <f ca="1"/>
        <v>#N/A</v>
      </c>
      <c r="X435" s="2">
        <f t="shared" ca="1" si="43"/>
        <v>0</v>
      </c>
      <c r="Y435">
        <f t="shared" ca="1" si="44"/>
        <v>0</v>
      </c>
      <c r="AA435" s="63" t="e">
        <f t="shared" ca="1" si="46"/>
        <v>#N/A</v>
      </c>
      <c r="AB435" s="63" t="e">
        <f t="shared" ca="1" si="47"/>
        <v>#N/A</v>
      </c>
      <c r="AC435" s="3" t="e">
        <f t="shared" ca="1" si="48"/>
        <v>#N/A</v>
      </c>
    </row>
    <row r="436" spans="8:29">
      <c r="H436" t="e">
        <f t="shared" ca="1" si="45"/>
        <v>#N/A</v>
      </c>
      <c r="I436" t="e">
        <f t="shared" ca="1" si="42"/>
        <v>#N/A</v>
      </c>
      <c r="J436" s="2" t="e">
        <f ca="1"/>
        <v>#N/A</v>
      </c>
      <c r="K436" t="e">
        <f ca="1"/>
        <v>#N/A</v>
      </c>
      <c r="L436" t="e">
        <f ca="1"/>
        <v>#N/A</v>
      </c>
      <c r="M436" t="e">
        <f ca="1"/>
        <v>#N/A</v>
      </c>
      <c r="N436" t="e">
        <f ca="1"/>
        <v>#N/A</v>
      </c>
      <c r="O436" t="e">
        <f ca="1"/>
        <v>#N/A</v>
      </c>
      <c r="P436" t="e">
        <f ca="1"/>
        <v>#N/A</v>
      </c>
      <c r="Q436" t="e">
        <f ca="1"/>
        <v>#N/A</v>
      </c>
      <c r="R436" t="e">
        <f ca="1"/>
        <v>#N/A</v>
      </c>
      <c r="S436" t="e">
        <f ca="1"/>
        <v>#N/A</v>
      </c>
      <c r="T436" t="e">
        <f ca="1"/>
        <v>#N/A</v>
      </c>
      <c r="U436" t="e">
        <f ca="1"/>
        <v>#N/A</v>
      </c>
      <c r="V436" t="e">
        <f ca="1"/>
        <v>#N/A</v>
      </c>
      <c r="X436" s="2">
        <f t="shared" ca="1" si="43"/>
        <v>0</v>
      </c>
      <c r="Y436">
        <f t="shared" ca="1" si="44"/>
        <v>0</v>
      </c>
      <c r="AA436" s="63" t="e">
        <f t="shared" ca="1" si="46"/>
        <v>#N/A</v>
      </c>
      <c r="AB436" s="63" t="e">
        <f t="shared" ca="1" si="47"/>
        <v>#N/A</v>
      </c>
      <c r="AC436" s="3" t="e">
        <f t="shared" ca="1" si="48"/>
        <v>#N/A</v>
      </c>
    </row>
    <row r="437" spans="8:29">
      <c r="H437" t="e">
        <f t="shared" ca="1" si="45"/>
        <v>#N/A</v>
      </c>
      <c r="I437" t="e">
        <f t="shared" ca="1" si="42"/>
        <v>#N/A</v>
      </c>
      <c r="J437" s="2" t="e">
        <f ca="1"/>
        <v>#N/A</v>
      </c>
      <c r="K437" t="e">
        <f ca="1"/>
        <v>#N/A</v>
      </c>
      <c r="L437" t="e">
        <f ca="1"/>
        <v>#N/A</v>
      </c>
      <c r="M437" t="e">
        <f ca="1"/>
        <v>#N/A</v>
      </c>
      <c r="N437" t="e">
        <f ca="1"/>
        <v>#N/A</v>
      </c>
      <c r="O437" t="e">
        <f ca="1"/>
        <v>#N/A</v>
      </c>
      <c r="P437" t="e">
        <f ca="1"/>
        <v>#N/A</v>
      </c>
      <c r="Q437" t="e">
        <f ca="1"/>
        <v>#N/A</v>
      </c>
      <c r="R437" t="e">
        <f ca="1"/>
        <v>#N/A</v>
      </c>
      <c r="S437" t="e">
        <f ca="1"/>
        <v>#N/A</v>
      </c>
      <c r="T437" t="e">
        <f ca="1"/>
        <v>#N/A</v>
      </c>
      <c r="U437" t="e">
        <f ca="1"/>
        <v>#N/A</v>
      </c>
      <c r="V437" t="e">
        <f ca="1"/>
        <v>#N/A</v>
      </c>
      <c r="X437" s="2">
        <f t="shared" ca="1" si="43"/>
        <v>0</v>
      </c>
      <c r="Y437">
        <f t="shared" ca="1" si="44"/>
        <v>0</v>
      </c>
      <c r="AA437" s="63" t="e">
        <f t="shared" ca="1" si="46"/>
        <v>#N/A</v>
      </c>
      <c r="AB437" s="63" t="e">
        <f t="shared" ca="1" si="47"/>
        <v>#N/A</v>
      </c>
      <c r="AC437" s="3" t="e">
        <f t="shared" ca="1" si="48"/>
        <v>#N/A</v>
      </c>
    </row>
    <row r="438" spans="8:29">
      <c r="H438" t="e">
        <f t="shared" ca="1" si="45"/>
        <v>#N/A</v>
      </c>
      <c r="I438" t="e">
        <f t="shared" ca="1" si="42"/>
        <v>#N/A</v>
      </c>
      <c r="J438" s="2" t="e">
        <f ca="1"/>
        <v>#N/A</v>
      </c>
      <c r="K438" t="e">
        <f ca="1"/>
        <v>#N/A</v>
      </c>
      <c r="L438" t="e">
        <f ca="1"/>
        <v>#N/A</v>
      </c>
      <c r="M438" t="e">
        <f ca="1"/>
        <v>#N/A</v>
      </c>
      <c r="N438" t="e">
        <f ca="1"/>
        <v>#N/A</v>
      </c>
      <c r="O438" t="e">
        <f ca="1"/>
        <v>#N/A</v>
      </c>
      <c r="P438" t="e">
        <f ca="1"/>
        <v>#N/A</v>
      </c>
      <c r="Q438" t="e">
        <f ca="1"/>
        <v>#N/A</v>
      </c>
      <c r="R438" t="e">
        <f ca="1"/>
        <v>#N/A</v>
      </c>
      <c r="S438" t="e">
        <f ca="1"/>
        <v>#N/A</v>
      </c>
      <c r="T438" t="e">
        <f ca="1"/>
        <v>#N/A</v>
      </c>
      <c r="U438" t="e">
        <f ca="1"/>
        <v>#N/A</v>
      </c>
      <c r="V438" t="e">
        <f ca="1"/>
        <v>#N/A</v>
      </c>
      <c r="X438" s="2">
        <f t="shared" ca="1" si="43"/>
        <v>0</v>
      </c>
      <c r="Y438">
        <f t="shared" ca="1" si="44"/>
        <v>0</v>
      </c>
      <c r="AA438" s="63" t="e">
        <f t="shared" ca="1" si="46"/>
        <v>#N/A</v>
      </c>
      <c r="AB438" s="63" t="e">
        <f t="shared" ca="1" si="47"/>
        <v>#N/A</v>
      </c>
      <c r="AC438" s="3" t="e">
        <f t="shared" ca="1" si="48"/>
        <v>#N/A</v>
      </c>
    </row>
    <row r="439" spans="8:29">
      <c r="H439" t="e">
        <f t="shared" ca="1" si="45"/>
        <v>#N/A</v>
      </c>
      <c r="I439" t="e">
        <f t="shared" ca="1" si="42"/>
        <v>#N/A</v>
      </c>
      <c r="J439" s="2" t="e">
        <f ca="1"/>
        <v>#N/A</v>
      </c>
      <c r="K439" t="e">
        <f ca="1"/>
        <v>#N/A</v>
      </c>
      <c r="L439" t="e">
        <f ca="1"/>
        <v>#N/A</v>
      </c>
      <c r="M439" t="e">
        <f ca="1"/>
        <v>#N/A</v>
      </c>
      <c r="N439" t="e">
        <f ca="1"/>
        <v>#N/A</v>
      </c>
      <c r="O439" t="e">
        <f ca="1"/>
        <v>#N/A</v>
      </c>
      <c r="P439" t="e">
        <f ca="1"/>
        <v>#N/A</v>
      </c>
      <c r="Q439" t="e">
        <f ca="1"/>
        <v>#N/A</v>
      </c>
      <c r="R439" t="e">
        <f ca="1"/>
        <v>#N/A</v>
      </c>
      <c r="S439" t="e">
        <f ca="1"/>
        <v>#N/A</v>
      </c>
      <c r="T439" t="e">
        <f ca="1"/>
        <v>#N/A</v>
      </c>
      <c r="U439" t="e">
        <f ca="1"/>
        <v>#N/A</v>
      </c>
      <c r="V439" t="e">
        <f ca="1"/>
        <v>#N/A</v>
      </c>
      <c r="X439" s="2">
        <f t="shared" ca="1" si="43"/>
        <v>0</v>
      </c>
      <c r="Y439">
        <f t="shared" ca="1" si="44"/>
        <v>0</v>
      </c>
      <c r="AA439" s="63" t="e">
        <f t="shared" ca="1" si="46"/>
        <v>#N/A</v>
      </c>
      <c r="AB439" s="63" t="e">
        <f t="shared" ca="1" si="47"/>
        <v>#N/A</v>
      </c>
      <c r="AC439" s="3" t="e">
        <f t="shared" ca="1" si="48"/>
        <v>#N/A</v>
      </c>
    </row>
    <row r="440" spans="8:29">
      <c r="H440" t="e">
        <f t="shared" ca="1" si="45"/>
        <v>#N/A</v>
      </c>
      <c r="I440" t="e">
        <f t="shared" ca="1" si="42"/>
        <v>#N/A</v>
      </c>
      <c r="J440" s="2" t="e">
        <f ca="1"/>
        <v>#N/A</v>
      </c>
      <c r="K440" t="e">
        <f ca="1"/>
        <v>#N/A</v>
      </c>
      <c r="L440" t="e">
        <f ca="1"/>
        <v>#N/A</v>
      </c>
      <c r="M440" t="e">
        <f ca="1"/>
        <v>#N/A</v>
      </c>
      <c r="N440" t="e">
        <f ca="1"/>
        <v>#N/A</v>
      </c>
      <c r="O440" t="e">
        <f ca="1"/>
        <v>#N/A</v>
      </c>
      <c r="P440" t="e">
        <f ca="1"/>
        <v>#N/A</v>
      </c>
      <c r="Q440" t="e">
        <f ca="1"/>
        <v>#N/A</v>
      </c>
      <c r="R440" t="e">
        <f ca="1"/>
        <v>#N/A</v>
      </c>
      <c r="S440" t="e">
        <f ca="1"/>
        <v>#N/A</v>
      </c>
      <c r="T440" t="e">
        <f ca="1"/>
        <v>#N/A</v>
      </c>
      <c r="U440" t="e">
        <f ca="1"/>
        <v>#N/A</v>
      </c>
      <c r="V440" t="e">
        <f ca="1"/>
        <v>#N/A</v>
      </c>
      <c r="X440" s="2">
        <f t="shared" ca="1" si="43"/>
        <v>0</v>
      </c>
      <c r="Y440">
        <f t="shared" ca="1" si="44"/>
        <v>0</v>
      </c>
      <c r="AA440" s="63" t="e">
        <f t="shared" ca="1" si="46"/>
        <v>#N/A</v>
      </c>
      <c r="AB440" s="63" t="e">
        <f t="shared" ca="1" si="47"/>
        <v>#N/A</v>
      </c>
      <c r="AC440" s="3" t="e">
        <f t="shared" ca="1" si="48"/>
        <v>#N/A</v>
      </c>
    </row>
    <row r="441" spans="8:29">
      <c r="H441" t="e">
        <f t="shared" ca="1" si="45"/>
        <v>#N/A</v>
      </c>
      <c r="I441" t="e">
        <f t="shared" ca="1" si="42"/>
        <v>#N/A</v>
      </c>
      <c r="J441" s="2" t="e">
        <f ca="1"/>
        <v>#N/A</v>
      </c>
      <c r="K441" t="e">
        <f ca="1"/>
        <v>#N/A</v>
      </c>
      <c r="L441" t="e">
        <f ca="1"/>
        <v>#N/A</v>
      </c>
      <c r="M441" t="e">
        <f ca="1"/>
        <v>#N/A</v>
      </c>
      <c r="N441" t="e">
        <f ca="1"/>
        <v>#N/A</v>
      </c>
      <c r="O441" t="e">
        <f ca="1"/>
        <v>#N/A</v>
      </c>
      <c r="P441" t="e">
        <f ca="1"/>
        <v>#N/A</v>
      </c>
      <c r="Q441" t="e">
        <f ca="1"/>
        <v>#N/A</v>
      </c>
      <c r="R441" t="e">
        <f ca="1"/>
        <v>#N/A</v>
      </c>
      <c r="S441" t="e">
        <f ca="1"/>
        <v>#N/A</v>
      </c>
      <c r="T441" t="e">
        <f ca="1"/>
        <v>#N/A</v>
      </c>
      <c r="U441" t="e">
        <f ca="1"/>
        <v>#N/A</v>
      </c>
      <c r="V441" t="e">
        <f ca="1"/>
        <v>#N/A</v>
      </c>
      <c r="X441" s="2">
        <f t="shared" ca="1" si="43"/>
        <v>0</v>
      </c>
      <c r="Y441">
        <f t="shared" ca="1" si="44"/>
        <v>0</v>
      </c>
      <c r="AA441" s="63" t="e">
        <f t="shared" ca="1" si="46"/>
        <v>#N/A</v>
      </c>
      <c r="AB441" s="63" t="e">
        <f t="shared" ca="1" si="47"/>
        <v>#N/A</v>
      </c>
      <c r="AC441" s="3" t="e">
        <f t="shared" ca="1" si="48"/>
        <v>#N/A</v>
      </c>
    </row>
    <row r="442" spans="8:29">
      <c r="H442" t="e">
        <f t="shared" ca="1" si="45"/>
        <v>#N/A</v>
      </c>
      <c r="I442" t="e">
        <f t="shared" ca="1" si="42"/>
        <v>#N/A</v>
      </c>
      <c r="J442" s="2" t="e">
        <f ca="1"/>
        <v>#N/A</v>
      </c>
      <c r="K442" t="e">
        <f ca="1"/>
        <v>#N/A</v>
      </c>
      <c r="L442" t="e">
        <f ca="1"/>
        <v>#N/A</v>
      </c>
      <c r="M442" t="e">
        <f ca="1"/>
        <v>#N/A</v>
      </c>
      <c r="N442" t="e">
        <f ca="1"/>
        <v>#N/A</v>
      </c>
      <c r="O442" t="e">
        <f ca="1"/>
        <v>#N/A</v>
      </c>
      <c r="P442" t="e">
        <f ca="1"/>
        <v>#N/A</v>
      </c>
      <c r="Q442" t="e">
        <f ca="1"/>
        <v>#N/A</v>
      </c>
      <c r="R442" t="e">
        <f ca="1"/>
        <v>#N/A</v>
      </c>
      <c r="S442" t="e">
        <f ca="1"/>
        <v>#N/A</v>
      </c>
      <c r="T442" t="e">
        <f ca="1"/>
        <v>#N/A</v>
      </c>
      <c r="U442" t="e">
        <f ca="1"/>
        <v>#N/A</v>
      </c>
      <c r="V442" t="e">
        <f ca="1"/>
        <v>#N/A</v>
      </c>
      <c r="X442" s="2">
        <f t="shared" ca="1" si="43"/>
        <v>0</v>
      </c>
      <c r="Y442">
        <f t="shared" ca="1" si="44"/>
        <v>0</v>
      </c>
      <c r="AA442" s="63" t="e">
        <f t="shared" ca="1" si="46"/>
        <v>#N/A</v>
      </c>
      <c r="AB442" s="63" t="e">
        <f t="shared" ca="1" si="47"/>
        <v>#N/A</v>
      </c>
      <c r="AC442" s="3" t="e">
        <f t="shared" ca="1" si="48"/>
        <v>#N/A</v>
      </c>
    </row>
    <row r="443" spans="8:29">
      <c r="H443" t="e">
        <f t="shared" ca="1" si="45"/>
        <v>#N/A</v>
      </c>
      <c r="I443" t="e">
        <f t="shared" ca="1" si="42"/>
        <v>#N/A</v>
      </c>
      <c r="J443" s="2" t="e">
        <f ca="1"/>
        <v>#N/A</v>
      </c>
      <c r="K443" t="e">
        <f ca="1"/>
        <v>#N/A</v>
      </c>
      <c r="L443" t="e">
        <f ca="1"/>
        <v>#N/A</v>
      </c>
      <c r="M443" t="e">
        <f ca="1"/>
        <v>#N/A</v>
      </c>
      <c r="N443" t="e">
        <f ca="1"/>
        <v>#N/A</v>
      </c>
      <c r="O443" t="e">
        <f ca="1"/>
        <v>#N/A</v>
      </c>
      <c r="P443" t="e">
        <f ca="1"/>
        <v>#N/A</v>
      </c>
      <c r="Q443" t="e">
        <f ca="1"/>
        <v>#N/A</v>
      </c>
      <c r="R443" t="e">
        <f ca="1"/>
        <v>#N/A</v>
      </c>
      <c r="S443" t="e">
        <f ca="1"/>
        <v>#N/A</v>
      </c>
      <c r="T443" t="e">
        <f ca="1"/>
        <v>#N/A</v>
      </c>
      <c r="U443" t="e">
        <f ca="1"/>
        <v>#N/A</v>
      </c>
      <c r="V443" t="e">
        <f ca="1"/>
        <v>#N/A</v>
      </c>
      <c r="X443" s="2">
        <f t="shared" ca="1" si="43"/>
        <v>0</v>
      </c>
      <c r="Y443">
        <f t="shared" ca="1" si="44"/>
        <v>0</v>
      </c>
      <c r="AA443" s="63" t="e">
        <f t="shared" ca="1" si="46"/>
        <v>#N/A</v>
      </c>
      <c r="AB443" s="63" t="e">
        <f t="shared" ca="1" si="47"/>
        <v>#N/A</v>
      </c>
      <c r="AC443" s="3" t="e">
        <f t="shared" ca="1" si="48"/>
        <v>#N/A</v>
      </c>
    </row>
    <row r="444" spans="8:29">
      <c r="H444" t="e">
        <f t="shared" ca="1" si="45"/>
        <v>#N/A</v>
      </c>
      <c r="I444" t="e">
        <f t="shared" ca="1" si="42"/>
        <v>#N/A</v>
      </c>
      <c r="J444" s="2" t="e">
        <f ca="1"/>
        <v>#N/A</v>
      </c>
      <c r="K444" t="e">
        <f ca="1"/>
        <v>#N/A</v>
      </c>
      <c r="L444" t="e">
        <f ca="1"/>
        <v>#N/A</v>
      </c>
      <c r="M444" t="e">
        <f ca="1"/>
        <v>#N/A</v>
      </c>
      <c r="N444" t="e">
        <f ca="1"/>
        <v>#N/A</v>
      </c>
      <c r="O444" t="e">
        <f ca="1"/>
        <v>#N/A</v>
      </c>
      <c r="P444" t="e">
        <f ca="1"/>
        <v>#N/A</v>
      </c>
      <c r="Q444" t="e">
        <f ca="1"/>
        <v>#N/A</v>
      </c>
      <c r="R444" t="e">
        <f ca="1"/>
        <v>#N/A</v>
      </c>
      <c r="S444" t="e">
        <f ca="1"/>
        <v>#N/A</v>
      </c>
      <c r="T444" t="e">
        <f ca="1"/>
        <v>#N/A</v>
      </c>
      <c r="U444" t="e">
        <f ca="1"/>
        <v>#N/A</v>
      </c>
      <c r="V444" t="e">
        <f ca="1"/>
        <v>#N/A</v>
      </c>
      <c r="X444" s="2">
        <f t="shared" ca="1" si="43"/>
        <v>0</v>
      </c>
      <c r="Y444">
        <f t="shared" ca="1" si="44"/>
        <v>0</v>
      </c>
      <c r="AA444" s="63" t="e">
        <f t="shared" ca="1" si="46"/>
        <v>#N/A</v>
      </c>
      <c r="AB444" s="63" t="e">
        <f t="shared" ca="1" si="47"/>
        <v>#N/A</v>
      </c>
      <c r="AC444" s="3" t="e">
        <f t="shared" ca="1" si="48"/>
        <v>#N/A</v>
      </c>
    </row>
    <row r="445" spans="8:29">
      <c r="H445" t="e">
        <f t="shared" ca="1" si="45"/>
        <v>#N/A</v>
      </c>
      <c r="I445" t="e">
        <f t="shared" ca="1" si="42"/>
        <v>#N/A</v>
      </c>
      <c r="J445" s="2" t="e">
        <f ca="1"/>
        <v>#N/A</v>
      </c>
      <c r="K445" t="e">
        <f ca="1"/>
        <v>#N/A</v>
      </c>
      <c r="L445" t="e">
        <f ca="1"/>
        <v>#N/A</v>
      </c>
      <c r="M445" t="e">
        <f ca="1"/>
        <v>#N/A</v>
      </c>
      <c r="N445" t="e">
        <f ca="1"/>
        <v>#N/A</v>
      </c>
      <c r="O445" t="e">
        <f ca="1"/>
        <v>#N/A</v>
      </c>
      <c r="P445" t="e">
        <f ca="1"/>
        <v>#N/A</v>
      </c>
      <c r="Q445" t="e">
        <f ca="1"/>
        <v>#N/A</v>
      </c>
      <c r="R445" t="e">
        <f ca="1"/>
        <v>#N/A</v>
      </c>
      <c r="S445" t="e">
        <f ca="1"/>
        <v>#N/A</v>
      </c>
      <c r="T445" t="e">
        <f ca="1"/>
        <v>#N/A</v>
      </c>
      <c r="U445" t="e">
        <f ca="1"/>
        <v>#N/A</v>
      </c>
      <c r="V445" t="e">
        <f ca="1"/>
        <v>#N/A</v>
      </c>
      <c r="X445" s="2">
        <f t="shared" ca="1" si="43"/>
        <v>0</v>
      </c>
      <c r="Y445">
        <f t="shared" ca="1" si="44"/>
        <v>0</v>
      </c>
      <c r="AA445" s="63" t="e">
        <f t="shared" ca="1" si="46"/>
        <v>#N/A</v>
      </c>
      <c r="AB445" s="63" t="e">
        <f t="shared" ca="1" si="47"/>
        <v>#N/A</v>
      </c>
      <c r="AC445" s="3" t="e">
        <f t="shared" ca="1" si="48"/>
        <v>#N/A</v>
      </c>
    </row>
    <row r="446" spans="8:29">
      <c r="H446" t="e">
        <f t="shared" ca="1" si="45"/>
        <v>#N/A</v>
      </c>
      <c r="I446" t="e">
        <f t="shared" ca="1" si="42"/>
        <v>#N/A</v>
      </c>
      <c r="J446" s="2" t="e">
        <f ca="1"/>
        <v>#N/A</v>
      </c>
      <c r="K446" t="e">
        <f ca="1"/>
        <v>#N/A</v>
      </c>
      <c r="L446" t="e">
        <f ca="1"/>
        <v>#N/A</v>
      </c>
      <c r="M446" t="e">
        <f ca="1"/>
        <v>#N/A</v>
      </c>
      <c r="N446" t="e">
        <f ca="1"/>
        <v>#N/A</v>
      </c>
      <c r="O446" t="e">
        <f ca="1"/>
        <v>#N/A</v>
      </c>
      <c r="P446" t="e">
        <f ca="1"/>
        <v>#N/A</v>
      </c>
      <c r="Q446" t="e">
        <f ca="1"/>
        <v>#N/A</v>
      </c>
      <c r="R446" t="e">
        <f ca="1"/>
        <v>#N/A</v>
      </c>
      <c r="S446" t="e">
        <f ca="1"/>
        <v>#N/A</v>
      </c>
      <c r="T446" t="e">
        <f ca="1"/>
        <v>#N/A</v>
      </c>
      <c r="U446" t="e">
        <f ca="1"/>
        <v>#N/A</v>
      </c>
      <c r="V446" t="e">
        <f ca="1"/>
        <v>#N/A</v>
      </c>
      <c r="X446" s="2">
        <f t="shared" ca="1" si="43"/>
        <v>0</v>
      </c>
      <c r="Y446">
        <f t="shared" ca="1" si="44"/>
        <v>0</v>
      </c>
      <c r="AA446" s="63" t="e">
        <f t="shared" ca="1" si="46"/>
        <v>#N/A</v>
      </c>
      <c r="AB446" s="63" t="e">
        <f t="shared" ca="1" si="47"/>
        <v>#N/A</v>
      </c>
      <c r="AC446" s="3" t="e">
        <f t="shared" ca="1" si="48"/>
        <v>#N/A</v>
      </c>
    </row>
    <row r="447" spans="8:29">
      <c r="H447" t="e">
        <f t="shared" ca="1" si="45"/>
        <v>#N/A</v>
      </c>
      <c r="I447" t="e">
        <f t="shared" ca="1" si="42"/>
        <v>#N/A</v>
      </c>
      <c r="J447" s="2" t="e">
        <f ca="1"/>
        <v>#N/A</v>
      </c>
      <c r="K447" t="e">
        <f ca="1"/>
        <v>#N/A</v>
      </c>
      <c r="L447" t="e">
        <f ca="1"/>
        <v>#N/A</v>
      </c>
      <c r="M447" t="e">
        <f ca="1"/>
        <v>#N/A</v>
      </c>
      <c r="N447" t="e">
        <f ca="1"/>
        <v>#N/A</v>
      </c>
      <c r="O447" t="e">
        <f ca="1"/>
        <v>#N/A</v>
      </c>
      <c r="P447" t="e">
        <f ca="1"/>
        <v>#N/A</v>
      </c>
      <c r="Q447" t="e">
        <f ca="1"/>
        <v>#N/A</v>
      </c>
      <c r="R447" t="e">
        <f ca="1"/>
        <v>#N/A</v>
      </c>
      <c r="S447" t="e">
        <f ca="1"/>
        <v>#N/A</v>
      </c>
      <c r="T447" t="e">
        <f ca="1"/>
        <v>#N/A</v>
      </c>
      <c r="U447" t="e">
        <f ca="1"/>
        <v>#N/A</v>
      </c>
      <c r="V447" t="e">
        <f ca="1"/>
        <v>#N/A</v>
      </c>
      <c r="X447" s="2">
        <f t="shared" ca="1" si="43"/>
        <v>0</v>
      </c>
      <c r="Y447">
        <f t="shared" ca="1" si="44"/>
        <v>0</v>
      </c>
      <c r="AA447" s="63" t="e">
        <f t="shared" ca="1" si="46"/>
        <v>#N/A</v>
      </c>
      <c r="AB447" s="63" t="e">
        <f t="shared" ca="1" si="47"/>
        <v>#N/A</v>
      </c>
      <c r="AC447" s="3" t="e">
        <f t="shared" ca="1" si="48"/>
        <v>#N/A</v>
      </c>
    </row>
    <row r="448" spans="8:29">
      <c r="H448" t="e">
        <f t="shared" ca="1" si="45"/>
        <v>#N/A</v>
      </c>
      <c r="I448" t="e">
        <f t="shared" ca="1" si="42"/>
        <v>#N/A</v>
      </c>
      <c r="J448" s="2" t="e">
        <f ca="1"/>
        <v>#N/A</v>
      </c>
      <c r="K448" t="e">
        <f ca="1"/>
        <v>#N/A</v>
      </c>
      <c r="L448" t="e">
        <f ca="1"/>
        <v>#N/A</v>
      </c>
      <c r="M448" t="e">
        <f ca="1"/>
        <v>#N/A</v>
      </c>
      <c r="N448" t="e">
        <f ca="1"/>
        <v>#N/A</v>
      </c>
      <c r="O448" t="e">
        <f ca="1"/>
        <v>#N/A</v>
      </c>
      <c r="P448" t="e">
        <f ca="1"/>
        <v>#N/A</v>
      </c>
      <c r="Q448" t="e">
        <f ca="1"/>
        <v>#N/A</v>
      </c>
      <c r="R448" t="e">
        <f ca="1"/>
        <v>#N/A</v>
      </c>
      <c r="S448" t="e">
        <f ca="1"/>
        <v>#N/A</v>
      </c>
      <c r="T448" t="e">
        <f ca="1"/>
        <v>#N/A</v>
      </c>
      <c r="U448" t="e">
        <f ca="1"/>
        <v>#N/A</v>
      </c>
      <c r="V448" t="e">
        <f ca="1"/>
        <v>#N/A</v>
      </c>
      <c r="X448" s="2">
        <f t="shared" ca="1" si="43"/>
        <v>0</v>
      </c>
      <c r="Y448">
        <f t="shared" ca="1" si="44"/>
        <v>0</v>
      </c>
      <c r="AA448" s="63" t="e">
        <f t="shared" ca="1" si="46"/>
        <v>#N/A</v>
      </c>
      <c r="AB448" s="63" t="e">
        <f t="shared" ca="1" si="47"/>
        <v>#N/A</v>
      </c>
      <c r="AC448" s="3" t="e">
        <f t="shared" ca="1" si="48"/>
        <v>#N/A</v>
      </c>
    </row>
    <row r="449" spans="8:29">
      <c r="H449" t="e">
        <f t="shared" ca="1" si="45"/>
        <v>#N/A</v>
      </c>
      <c r="I449" t="e">
        <f t="shared" ca="1" si="42"/>
        <v>#N/A</v>
      </c>
      <c r="J449" s="2" t="e">
        <f ca="1"/>
        <v>#N/A</v>
      </c>
      <c r="K449" t="e">
        <f ca="1"/>
        <v>#N/A</v>
      </c>
      <c r="L449" t="e">
        <f ca="1"/>
        <v>#N/A</v>
      </c>
      <c r="M449" t="e">
        <f ca="1"/>
        <v>#N/A</v>
      </c>
      <c r="N449" t="e">
        <f ca="1"/>
        <v>#N/A</v>
      </c>
      <c r="O449" t="e">
        <f ca="1"/>
        <v>#N/A</v>
      </c>
      <c r="P449" t="e">
        <f ca="1"/>
        <v>#N/A</v>
      </c>
      <c r="Q449" t="e">
        <f ca="1"/>
        <v>#N/A</v>
      </c>
      <c r="R449" t="e">
        <f ca="1"/>
        <v>#N/A</v>
      </c>
      <c r="S449" t="e">
        <f ca="1"/>
        <v>#N/A</v>
      </c>
      <c r="T449" t="e">
        <f ca="1"/>
        <v>#N/A</v>
      </c>
      <c r="U449" t="e">
        <f ca="1"/>
        <v>#N/A</v>
      </c>
      <c r="V449" t="e">
        <f ca="1"/>
        <v>#N/A</v>
      </c>
      <c r="X449" s="2">
        <f t="shared" ca="1" si="43"/>
        <v>0</v>
      </c>
      <c r="Y449">
        <f t="shared" ca="1" si="44"/>
        <v>0</v>
      </c>
      <c r="AA449" s="63" t="e">
        <f t="shared" ca="1" si="46"/>
        <v>#N/A</v>
      </c>
      <c r="AB449" s="63" t="e">
        <f t="shared" ca="1" si="47"/>
        <v>#N/A</v>
      </c>
      <c r="AC449" s="3" t="e">
        <f t="shared" ca="1" si="48"/>
        <v>#N/A</v>
      </c>
    </row>
    <row r="450" spans="8:29">
      <c r="H450" t="e">
        <f t="shared" ca="1" si="45"/>
        <v>#N/A</v>
      </c>
      <c r="I450" t="e">
        <f t="shared" ca="1" si="42"/>
        <v>#N/A</v>
      </c>
      <c r="J450" s="2" t="e">
        <f ca="1"/>
        <v>#N/A</v>
      </c>
      <c r="K450" t="e">
        <f ca="1"/>
        <v>#N/A</v>
      </c>
      <c r="L450" t="e">
        <f ca="1"/>
        <v>#N/A</v>
      </c>
      <c r="M450" t="e">
        <f ca="1"/>
        <v>#N/A</v>
      </c>
      <c r="N450" t="e">
        <f ca="1"/>
        <v>#N/A</v>
      </c>
      <c r="O450" t="e">
        <f ca="1"/>
        <v>#N/A</v>
      </c>
      <c r="P450" t="e">
        <f ca="1"/>
        <v>#N/A</v>
      </c>
      <c r="Q450" t="e">
        <f ca="1"/>
        <v>#N/A</v>
      </c>
      <c r="R450" t="e">
        <f ca="1"/>
        <v>#N/A</v>
      </c>
      <c r="S450" t="e">
        <f ca="1"/>
        <v>#N/A</v>
      </c>
      <c r="T450" t="e">
        <f ca="1"/>
        <v>#N/A</v>
      </c>
      <c r="U450" t="e">
        <f ca="1"/>
        <v>#N/A</v>
      </c>
      <c r="V450" t="e">
        <f ca="1"/>
        <v>#N/A</v>
      </c>
      <c r="X450" s="2">
        <f t="shared" ca="1" si="43"/>
        <v>0</v>
      </c>
      <c r="Y450">
        <f t="shared" ca="1" si="44"/>
        <v>0</v>
      </c>
      <c r="AA450" s="63" t="e">
        <f t="shared" ca="1" si="46"/>
        <v>#N/A</v>
      </c>
      <c r="AB450" s="63" t="e">
        <f t="shared" ca="1" si="47"/>
        <v>#N/A</v>
      </c>
      <c r="AC450" s="3" t="e">
        <f t="shared" ca="1" si="48"/>
        <v>#N/A</v>
      </c>
    </row>
    <row r="451" spans="8:29">
      <c r="H451" t="e">
        <f t="shared" ca="1" si="45"/>
        <v>#N/A</v>
      </c>
      <c r="I451" t="e">
        <f t="shared" ca="1" si="42"/>
        <v>#N/A</v>
      </c>
      <c r="J451" s="2" t="e">
        <f ca="1"/>
        <v>#N/A</v>
      </c>
      <c r="K451" t="e">
        <f ca="1"/>
        <v>#N/A</v>
      </c>
      <c r="L451" t="e">
        <f ca="1"/>
        <v>#N/A</v>
      </c>
      <c r="M451" t="e">
        <f ca="1"/>
        <v>#N/A</v>
      </c>
      <c r="N451" t="e">
        <f ca="1"/>
        <v>#N/A</v>
      </c>
      <c r="O451" t="e">
        <f ca="1"/>
        <v>#N/A</v>
      </c>
      <c r="P451" t="e">
        <f ca="1"/>
        <v>#N/A</v>
      </c>
      <c r="Q451" t="e">
        <f ca="1"/>
        <v>#N/A</v>
      </c>
      <c r="R451" t="e">
        <f ca="1"/>
        <v>#N/A</v>
      </c>
      <c r="S451" t="e">
        <f ca="1"/>
        <v>#N/A</v>
      </c>
      <c r="T451" t="e">
        <f ca="1"/>
        <v>#N/A</v>
      </c>
      <c r="U451" t="e">
        <f ca="1"/>
        <v>#N/A</v>
      </c>
      <c r="V451" t="e">
        <f ca="1"/>
        <v>#N/A</v>
      </c>
      <c r="X451" s="2">
        <f t="shared" ca="1" si="43"/>
        <v>0</v>
      </c>
      <c r="Y451">
        <f t="shared" ca="1" si="44"/>
        <v>0</v>
      </c>
      <c r="AA451" s="63" t="e">
        <f t="shared" ca="1" si="46"/>
        <v>#N/A</v>
      </c>
      <c r="AB451" s="63" t="e">
        <f t="shared" ca="1" si="47"/>
        <v>#N/A</v>
      </c>
      <c r="AC451" s="3" t="e">
        <f t="shared" ca="1" si="48"/>
        <v>#N/A</v>
      </c>
    </row>
    <row r="452" spans="8:29">
      <c r="H452" t="e">
        <f t="shared" ca="1" si="45"/>
        <v>#N/A</v>
      </c>
      <c r="I452" t="e">
        <f t="shared" ca="1" si="42"/>
        <v>#N/A</v>
      </c>
      <c r="J452" s="2" t="e">
        <f ca="1"/>
        <v>#N/A</v>
      </c>
      <c r="K452" t="e">
        <f ca="1"/>
        <v>#N/A</v>
      </c>
      <c r="L452" t="e">
        <f ca="1"/>
        <v>#N/A</v>
      </c>
      <c r="M452" t="e">
        <f ca="1"/>
        <v>#N/A</v>
      </c>
      <c r="N452" t="e">
        <f ca="1"/>
        <v>#N/A</v>
      </c>
      <c r="O452" t="e">
        <f ca="1"/>
        <v>#N/A</v>
      </c>
      <c r="P452" t="e">
        <f ca="1"/>
        <v>#N/A</v>
      </c>
      <c r="Q452" t="e">
        <f ca="1"/>
        <v>#N/A</v>
      </c>
      <c r="R452" t="e">
        <f ca="1"/>
        <v>#N/A</v>
      </c>
      <c r="S452" t="e">
        <f ca="1"/>
        <v>#N/A</v>
      </c>
      <c r="T452" t="e">
        <f ca="1"/>
        <v>#N/A</v>
      </c>
      <c r="U452" t="e">
        <f ca="1"/>
        <v>#N/A</v>
      </c>
      <c r="V452" t="e">
        <f ca="1"/>
        <v>#N/A</v>
      </c>
      <c r="X452" s="2">
        <f t="shared" ca="1" si="43"/>
        <v>0</v>
      </c>
      <c r="Y452">
        <f t="shared" ca="1" si="44"/>
        <v>0</v>
      </c>
      <c r="AA452" s="63" t="e">
        <f t="shared" ca="1" si="46"/>
        <v>#N/A</v>
      </c>
      <c r="AB452" s="63" t="e">
        <f t="shared" ca="1" si="47"/>
        <v>#N/A</v>
      </c>
      <c r="AC452" s="3" t="e">
        <f t="shared" ca="1" si="48"/>
        <v>#N/A</v>
      </c>
    </row>
    <row r="453" spans="8:29">
      <c r="H453" t="e">
        <f t="shared" ca="1" si="45"/>
        <v>#N/A</v>
      </c>
      <c r="I453" t="e">
        <f t="shared" ca="1" si="42"/>
        <v>#N/A</v>
      </c>
      <c r="J453" s="2" t="e">
        <f ca="1"/>
        <v>#N/A</v>
      </c>
      <c r="K453" t="e">
        <f ca="1"/>
        <v>#N/A</v>
      </c>
      <c r="L453" t="e">
        <f ca="1"/>
        <v>#N/A</v>
      </c>
      <c r="M453" t="e">
        <f ca="1"/>
        <v>#N/A</v>
      </c>
      <c r="N453" t="e">
        <f ca="1"/>
        <v>#N/A</v>
      </c>
      <c r="O453" t="e">
        <f ca="1"/>
        <v>#N/A</v>
      </c>
      <c r="P453" t="e">
        <f ca="1"/>
        <v>#N/A</v>
      </c>
      <c r="Q453" t="e">
        <f ca="1"/>
        <v>#N/A</v>
      </c>
      <c r="R453" t="e">
        <f ca="1"/>
        <v>#N/A</v>
      </c>
      <c r="S453" t="e">
        <f ca="1"/>
        <v>#N/A</v>
      </c>
      <c r="T453" t="e">
        <f ca="1"/>
        <v>#N/A</v>
      </c>
      <c r="U453" t="e">
        <f ca="1"/>
        <v>#N/A</v>
      </c>
      <c r="V453" t="e">
        <f ca="1"/>
        <v>#N/A</v>
      </c>
      <c r="X453" s="2">
        <f t="shared" ca="1" si="43"/>
        <v>0</v>
      </c>
      <c r="Y453">
        <f t="shared" ca="1" si="44"/>
        <v>0</v>
      </c>
      <c r="AA453" s="63" t="e">
        <f t="shared" ca="1" si="46"/>
        <v>#N/A</v>
      </c>
      <c r="AB453" s="63" t="e">
        <f t="shared" ca="1" si="47"/>
        <v>#N/A</v>
      </c>
      <c r="AC453" s="3" t="e">
        <f t="shared" ca="1" si="48"/>
        <v>#N/A</v>
      </c>
    </row>
    <row r="454" spans="8:29">
      <c r="H454" t="e">
        <f t="shared" ca="1" si="45"/>
        <v>#N/A</v>
      </c>
      <c r="I454" t="e">
        <f t="shared" ca="1" si="42"/>
        <v>#N/A</v>
      </c>
      <c r="J454" s="2" t="e">
        <f ca="1"/>
        <v>#N/A</v>
      </c>
      <c r="K454" t="e">
        <f ca="1"/>
        <v>#N/A</v>
      </c>
      <c r="L454" t="e">
        <f ca="1"/>
        <v>#N/A</v>
      </c>
      <c r="M454" t="e">
        <f ca="1"/>
        <v>#N/A</v>
      </c>
      <c r="N454" t="e">
        <f ca="1"/>
        <v>#N/A</v>
      </c>
      <c r="O454" t="e">
        <f ca="1"/>
        <v>#N/A</v>
      </c>
      <c r="P454" t="e">
        <f ca="1"/>
        <v>#N/A</v>
      </c>
      <c r="Q454" t="e">
        <f ca="1"/>
        <v>#N/A</v>
      </c>
      <c r="R454" t="e">
        <f ca="1"/>
        <v>#N/A</v>
      </c>
      <c r="S454" t="e">
        <f ca="1"/>
        <v>#N/A</v>
      </c>
      <c r="T454" t="e">
        <f ca="1"/>
        <v>#N/A</v>
      </c>
      <c r="U454" t="e">
        <f ca="1"/>
        <v>#N/A</v>
      </c>
      <c r="V454" t="e">
        <f ca="1"/>
        <v>#N/A</v>
      </c>
      <c r="X454" s="2">
        <f t="shared" ca="1" si="43"/>
        <v>0</v>
      </c>
      <c r="Y454">
        <f t="shared" ca="1" si="44"/>
        <v>0</v>
      </c>
      <c r="AA454" s="63" t="e">
        <f t="shared" ca="1" si="46"/>
        <v>#N/A</v>
      </c>
      <c r="AB454" s="63" t="e">
        <f t="shared" ca="1" si="47"/>
        <v>#N/A</v>
      </c>
      <c r="AC454" s="3" t="e">
        <f t="shared" ca="1" si="48"/>
        <v>#N/A</v>
      </c>
    </row>
    <row r="455" spans="8:29">
      <c r="H455" t="e">
        <f t="shared" ca="1" si="45"/>
        <v>#N/A</v>
      </c>
      <c r="I455" t="e">
        <f t="shared" ref="I455:I496" ca="1" si="49">AND(IF(J455&gt;($J$3-1),TRUE,FALSE),IF(J455&lt;($J$4+1),TRUE,FALSE))</f>
        <v>#N/A</v>
      </c>
      <c r="J455" s="2" t="e">
        <f ca="1"/>
        <v>#N/A</v>
      </c>
      <c r="K455" t="e">
        <f ca="1"/>
        <v>#N/A</v>
      </c>
      <c r="L455" t="e">
        <f ca="1"/>
        <v>#N/A</v>
      </c>
      <c r="M455" t="e">
        <f ca="1"/>
        <v>#N/A</v>
      </c>
      <c r="N455" t="e">
        <f ca="1"/>
        <v>#N/A</v>
      </c>
      <c r="O455" t="e">
        <f ca="1"/>
        <v>#N/A</v>
      </c>
      <c r="P455" t="e">
        <f ca="1"/>
        <v>#N/A</v>
      </c>
      <c r="Q455" t="e">
        <f ca="1"/>
        <v>#N/A</v>
      </c>
      <c r="R455" t="e">
        <f ca="1"/>
        <v>#N/A</v>
      </c>
      <c r="S455" t="e">
        <f ca="1"/>
        <v>#N/A</v>
      </c>
      <c r="T455" t="e">
        <f ca="1"/>
        <v>#N/A</v>
      </c>
      <c r="U455" t="e">
        <f ca="1"/>
        <v>#N/A</v>
      </c>
      <c r="V455" t="e">
        <f ca="1"/>
        <v>#N/A</v>
      </c>
      <c r="X455" s="2">
        <f t="shared" ref="X455:X496" ca="1" si="50">IFERROR(J455,$X$5)</f>
        <v>0</v>
      </c>
      <c r="Y455">
        <f t="shared" ref="Y455:Y496" ca="1" si="51">IFERROR(O455,0)</f>
        <v>0</v>
      </c>
      <c r="AA455" s="63" t="e">
        <f t="shared" ca="1" si="46"/>
        <v>#N/A</v>
      </c>
      <c r="AB455" s="63" t="e">
        <f t="shared" ca="1" si="47"/>
        <v>#N/A</v>
      </c>
      <c r="AC455" s="3" t="e">
        <f t="shared" ca="1" si="48"/>
        <v>#N/A</v>
      </c>
    </row>
    <row r="456" spans="8:29">
      <c r="H456" t="e">
        <f t="shared" ref="H456:H496" ca="1" si="52">IF(J456&lt;$J$4,TRUE,FALSE)</f>
        <v>#N/A</v>
      </c>
      <c r="I456" t="e">
        <f t="shared" ca="1" si="49"/>
        <v>#N/A</v>
      </c>
      <c r="J456" s="2" t="e">
        <f ca="1"/>
        <v>#N/A</v>
      </c>
      <c r="K456" t="e">
        <f ca="1"/>
        <v>#N/A</v>
      </c>
      <c r="L456" t="e">
        <f ca="1"/>
        <v>#N/A</v>
      </c>
      <c r="M456" t="e">
        <f ca="1"/>
        <v>#N/A</v>
      </c>
      <c r="N456" t="e">
        <f ca="1"/>
        <v>#N/A</v>
      </c>
      <c r="O456" t="e">
        <f ca="1"/>
        <v>#N/A</v>
      </c>
      <c r="P456" t="e">
        <f ca="1"/>
        <v>#N/A</v>
      </c>
      <c r="Q456" t="e">
        <f ca="1"/>
        <v>#N/A</v>
      </c>
      <c r="R456" t="e">
        <f ca="1"/>
        <v>#N/A</v>
      </c>
      <c r="S456" t="e">
        <f ca="1"/>
        <v>#N/A</v>
      </c>
      <c r="T456" t="e">
        <f ca="1"/>
        <v>#N/A</v>
      </c>
      <c r="U456" t="e">
        <f ca="1"/>
        <v>#N/A</v>
      </c>
      <c r="V456" t="e">
        <f ca="1"/>
        <v>#N/A</v>
      </c>
      <c r="X456" s="2">
        <f t="shared" ca="1" si="50"/>
        <v>0</v>
      </c>
      <c r="Y456">
        <f t="shared" ca="1" si="51"/>
        <v>0</v>
      </c>
      <c r="AA456" s="63" t="e">
        <f t="shared" ca="1" si="46"/>
        <v>#N/A</v>
      </c>
      <c r="AB456" s="63" t="e">
        <f t="shared" ca="1" si="47"/>
        <v>#N/A</v>
      </c>
      <c r="AC456" s="3" t="e">
        <f t="shared" ca="1" si="48"/>
        <v>#N/A</v>
      </c>
    </row>
    <row r="457" spans="8:29">
      <c r="H457" t="e">
        <f t="shared" ca="1" si="52"/>
        <v>#N/A</v>
      </c>
      <c r="I457" t="e">
        <f t="shared" ca="1" si="49"/>
        <v>#N/A</v>
      </c>
      <c r="J457" s="2" t="e">
        <f ca="1"/>
        <v>#N/A</v>
      </c>
      <c r="K457" t="e">
        <f ca="1"/>
        <v>#N/A</v>
      </c>
      <c r="L457" t="e">
        <f ca="1"/>
        <v>#N/A</v>
      </c>
      <c r="M457" t="e">
        <f ca="1"/>
        <v>#N/A</v>
      </c>
      <c r="N457" t="e">
        <f ca="1"/>
        <v>#N/A</v>
      </c>
      <c r="O457" t="e">
        <f ca="1"/>
        <v>#N/A</v>
      </c>
      <c r="P457" t="e">
        <f ca="1"/>
        <v>#N/A</v>
      </c>
      <c r="Q457" t="e">
        <f ca="1"/>
        <v>#N/A</v>
      </c>
      <c r="R457" t="e">
        <f ca="1"/>
        <v>#N/A</v>
      </c>
      <c r="S457" t="e">
        <f ca="1"/>
        <v>#N/A</v>
      </c>
      <c r="T457" t="e">
        <f ca="1"/>
        <v>#N/A</v>
      </c>
      <c r="U457" t="e">
        <f ca="1"/>
        <v>#N/A</v>
      </c>
      <c r="V457" t="e">
        <f ca="1"/>
        <v>#N/A</v>
      </c>
      <c r="X457" s="2">
        <f t="shared" ca="1" si="50"/>
        <v>0</v>
      </c>
      <c r="Y457">
        <f t="shared" ca="1" si="51"/>
        <v>0</v>
      </c>
      <c r="AA457" s="63" t="e">
        <f t="shared" ca="1" si="46"/>
        <v>#N/A</v>
      </c>
      <c r="AB457" s="63" t="e">
        <f t="shared" ca="1" si="47"/>
        <v>#N/A</v>
      </c>
      <c r="AC457" s="3" t="e">
        <f t="shared" ca="1" si="48"/>
        <v>#N/A</v>
      </c>
    </row>
    <row r="458" spans="8:29">
      <c r="H458" t="e">
        <f t="shared" ca="1" si="52"/>
        <v>#N/A</v>
      </c>
      <c r="I458" t="e">
        <f t="shared" ca="1" si="49"/>
        <v>#N/A</v>
      </c>
      <c r="J458" s="2" t="e">
        <f ca="1"/>
        <v>#N/A</v>
      </c>
      <c r="K458" t="e">
        <f ca="1"/>
        <v>#N/A</v>
      </c>
      <c r="L458" t="e">
        <f ca="1"/>
        <v>#N/A</v>
      </c>
      <c r="M458" t="e">
        <f ca="1"/>
        <v>#N/A</v>
      </c>
      <c r="N458" t="e">
        <f ca="1"/>
        <v>#N/A</v>
      </c>
      <c r="O458" t="e">
        <f ca="1"/>
        <v>#N/A</v>
      </c>
      <c r="P458" t="e">
        <f ca="1"/>
        <v>#N/A</v>
      </c>
      <c r="Q458" t="e">
        <f ca="1"/>
        <v>#N/A</v>
      </c>
      <c r="R458" t="e">
        <f ca="1"/>
        <v>#N/A</v>
      </c>
      <c r="S458" t="e">
        <f ca="1"/>
        <v>#N/A</v>
      </c>
      <c r="T458" t="e">
        <f ca="1"/>
        <v>#N/A</v>
      </c>
      <c r="U458" t="e">
        <f ca="1"/>
        <v>#N/A</v>
      </c>
      <c r="V458" t="e">
        <f ca="1"/>
        <v>#N/A</v>
      </c>
      <c r="X458" s="2">
        <f t="shared" ca="1" si="50"/>
        <v>0</v>
      </c>
      <c r="Y458">
        <f t="shared" ca="1" si="51"/>
        <v>0</v>
      </c>
      <c r="AA458" s="63" t="e">
        <f t="shared" ca="1" si="46"/>
        <v>#N/A</v>
      </c>
      <c r="AB458" s="63" t="e">
        <f t="shared" ca="1" si="47"/>
        <v>#N/A</v>
      </c>
      <c r="AC458" s="3" t="e">
        <f t="shared" ca="1" si="48"/>
        <v>#N/A</v>
      </c>
    </row>
    <row r="459" spans="8:29">
      <c r="H459" t="e">
        <f t="shared" ca="1" si="52"/>
        <v>#N/A</v>
      </c>
      <c r="I459" t="e">
        <f t="shared" ca="1" si="49"/>
        <v>#N/A</v>
      </c>
      <c r="J459" s="2" t="e">
        <f ca="1"/>
        <v>#N/A</v>
      </c>
      <c r="K459" t="e">
        <f ca="1"/>
        <v>#N/A</v>
      </c>
      <c r="L459" t="e">
        <f ca="1"/>
        <v>#N/A</v>
      </c>
      <c r="M459" t="e">
        <f ca="1"/>
        <v>#N/A</v>
      </c>
      <c r="N459" t="e">
        <f ca="1"/>
        <v>#N/A</v>
      </c>
      <c r="O459" t="e">
        <f ca="1"/>
        <v>#N/A</v>
      </c>
      <c r="P459" t="e">
        <f ca="1"/>
        <v>#N/A</v>
      </c>
      <c r="Q459" t="e">
        <f ca="1"/>
        <v>#N/A</v>
      </c>
      <c r="R459" t="e">
        <f ca="1"/>
        <v>#N/A</v>
      </c>
      <c r="S459" t="e">
        <f ca="1"/>
        <v>#N/A</v>
      </c>
      <c r="T459" t="e">
        <f ca="1"/>
        <v>#N/A</v>
      </c>
      <c r="U459" t="e">
        <f ca="1"/>
        <v>#N/A</v>
      </c>
      <c r="V459" t="e">
        <f ca="1"/>
        <v>#N/A</v>
      </c>
      <c r="X459" s="2">
        <f t="shared" ca="1" si="50"/>
        <v>0</v>
      </c>
      <c r="Y459">
        <f t="shared" ca="1" si="51"/>
        <v>0</v>
      </c>
      <c r="AA459" s="63" t="e">
        <f t="shared" ca="1" si="46"/>
        <v>#N/A</v>
      </c>
      <c r="AB459" s="63" t="e">
        <f t="shared" ca="1" si="47"/>
        <v>#N/A</v>
      </c>
      <c r="AC459" s="3" t="e">
        <f t="shared" ca="1" si="48"/>
        <v>#N/A</v>
      </c>
    </row>
    <row r="460" spans="8:29">
      <c r="H460" t="e">
        <f t="shared" ca="1" si="52"/>
        <v>#N/A</v>
      </c>
      <c r="I460" t="e">
        <f t="shared" ca="1" si="49"/>
        <v>#N/A</v>
      </c>
      <c r="J460" s="2" t="e">
        <f ca="1"/>
        <v>#N/A</v>
      </c>
      <c r="K460" t="e">
        <f ca="1"/>
        <v>#N/A</v>
      </c>
      <c r="L460" t="e">
        <f ca="1"/>
        <v>#N/A</v>
      </c>
      <c r="M460" t="e">
        <f ca="1"/>
        <v>#N/A</v>
      </c>
      <c r="N460" t="e">
        <f ca="1"/>
        <v>#N/A</v>
      </c>
      <c r="O460" t="e">
        <f ca="1"/>
        <v>#N/A</v>
      </c>
      <c r="P460" t="e">
        <f ca="1"/>
        <v>#N/A</v>
      </c>
      <c r="Q460" t="e">
        <f ca="1"/>
        <v>#N/A</v>
      </c>
      <c r="R460" t="e">
        <f ca="1"/>
        <v>#N/A</v>
      </c>
      <c r="S460" t="e">
        <f ca="1"/>
        <v>#N/A</v>
      </c>
      <c r="T460" t="e">
        <f ca="1"/>
        <v>#N/A</v>
      </c>
      <c r="U460" t="e">
        <f ca="1"/>
        <v>#N/A</v>
      </c>
      <c r="V460" t="e">
        <f ca="1"/>
        <v>#N/A</v>
      </c>
      <c r="X460" s="2">
        <f t="shared" ca="1" si="50"/>
        <v>0</v>
      </c>
      <c r="Y460">
        <f t="shared" ca="1" si="51"/>
        <v>0</v>
      </c>
      <c r="AA460" s="63" t="e">
        <f t="shared" ref="AA460:AA496" ca="1" si="53">K459+M460+N460+O460</f>
        <v>#N/A</v>
      </c>
      <c r="AB460" s="63" t="e">
        <f t="shared" ref="AB460:AB496" ca="1" si="54">K460+L460+R460</f>
        <v>#N/A</v>
      </c>
      <c r="AC460" s="3" t="e">
        <f t="shared" ref="AC460:AC496" ca="1" si="55">AB460-AA460</f>
        <v>#N/A</v>
      </c>
    </row>
    <row r="461" spans="8:29">
      <c r="H461" t="e">
        <f t="shared" ca="1" si="52"/>
        <v>#N/A</v>
      </c>
      <c r="I461" t="e">
        <f t="shared" ca="1" si="49"/>
        <v>#N/A</v>
      </c>
      <c r="J461" s="2" t="e">
        <f ca="1"/>
        <v>#N/A</v>
      </c>
      <c r="K461" t="e">
        <f ca="1"/>
        <v>#N/A</v>
      </c>
      <c r="L461" t="e">
        <f ca="1"/>
        <v>#N/A</v>
      </c>
      <c r="M461" t="e">
        <f ca="1"/>
        <v>#N/A</v>
      </c>
      <c r="N461" t="e">
        <f ca="1"/>
        <v>#N/A</v>
      </c>
      <c r="O461" t="e">
        <f ca="1"/>
        <v>#N/A</v>
      </c>
      <c r="P461" t="e">
        <f ca="1"/>
        <v>#N/A</v>
      </c>
      <c r="Q461" t="e">
        <f ca="1"/>
        <v>#N/A</v>
      </c>
      <c r="R461" t="e">
        <f ca="1"/>
        <v>#N/A</v>
      </c>
      <c r="S461" t="e">
        <f ca="1"/>
        <v>#N/A</v>
      </c>
      <c r="T461" t="e">
        <f ca="1"/>
        <v>#N/A</v>
      </c>
      <c r="U461" t="e">
        <f ca="1"/>
        <v>#N/A</v>
      </c>
      <c r="V461" t="e">
        <f ca="1"/>
        <v>#N/A</v>
      </c>
      <c r="X461" s="2">
        <f t="shared" ca="1" si="50"/>
        <v>0</v>
      </c>
      <c r="Y461">
        <f t="shared" ca="1" si="51"/>
        <v>0</v>
      </c>
      <c r="AA461" s="63" t="e">
        <f t="shared" ca="1" si="53"/>
        <v>#N/A</v>
      </c>
      <c r="AB461" s="63" t="e">
        <f t="shared" ca="1" si="54"/>
        <v>#N/A</v>
      </c>
      <c r="AC461" s="3" t="e">
        <f t="shared" ca="1" si="55"/>
        <v>#N/A</v>
      </c>
    </row>
    <row r="462" spans="8:29">
      <c r="H462" t="e">
        <f t="shared" ca="1" si="52"/>
        <v>#N/A</v>
      </c>
      <c r="I462" t="e">
        <f t="shared" ca="1" si="49"/>
        <v>#N/A</v>
      </c>
      <c r="J462" s="2" t="e">
        <f ca="1"/>
        <v>#N/A</v>
      </c>
      <c r="K462" t="e">
        <f ca="1"/>
        <v>#N/A</v>
      </c>
      <c r="L462" t="e">
        <f ca="1"/>
        <v>#N/A</v>
      </c>
      <c r="M462" t="e">
        <f ca="1"/>
        <v>#N/A</v>
      </c>
      <c r="N462" t="e">
        <f ca="1"/>
        <v>#N/A</v>
      </c>
      <c r="O462" t="e">
        <f ca="1"/>
        <v>#N/A</v>
      </c>
      <c r="P462" t="e">
        <f ca="1"/>
        <v>#N/A</v>
      </c>
      <c r="Q462" t="e">
        <f ca="1"/>
        <v>#N/A</v>
      </c>
      <c r="R462" t="e">
        <f ca="1"/>
        <v>#N/A</v>
      </c>
      <c r="S462" t="e">
        <f ca="1"/>
        <v>#N/A</v>
      </c>
      <c r="T462" t="e">
        <f ca="1"/>
        <v>#N/A</v>
      </c>
      <c r="U462" t="e">
        <f ca="1"/>
        <v>#N/A</v>
      </c>
      <c r="V462" t="e">
        <f ca="1"/>
        <v>#N/A</v>
      </c>
      <c r="X462" s="2">
        <f t="shared" ca="1" si="50"/>
        <v>0</v>
      </c>
      <c r="Y462">
        <f t="shared" ca="1" si="51"/>
        <v>0</v>
      </c>
      <c r="AA462" s="63" t="e">
        <f t="shared" ca="1" si="53"/>
        <v>#N/A</v>
      </c>
      <c r="AB462" s="63" t="e">
        <f t="shared" ca="1" si="54"/>
        <v>#N/A</v>
      </c>
      <c r="AC462" s="3" t="e">
        <f t="shared" ca="1" si="55"/>
        <v>#N/A</v>
      </c>
    </row>
    <row r="463" spans="8:29">
      <c r="H463" t="e">
        <f t="shared" ca="1" si="52"/>
        <v>#N/A</v>
      </c>
      <c r="I463" t="e">
        <f t="shared" ca="1" si="49"/>
        <v>#N/A</v>
      </c>
      <c r="J463" s="2" t="e">
        <f ca="1"/>
        <v>#N/A</v>
      </c>
      <c r="K463" t="e">
        <f ca="1"/>
        <v>#N/A</v>
      </c>
      <c r="L463" t="e">
        <f ca="1"/>
        <v>#N/A</v>
      </c>
      <c r="M463" t="e">
        <f ca="1"/>
        <v>#N/A</v>
      </c>
      <c r="N463" t="e">
        <f ca="1"/>
        <v>#N/A</v>
      </c>
      <c r="O463" t="e">
        <f ca="1"/>
        <v>#N/A</v>
      </c>
      <c r="P463" t="e">
        <f ca="1"/>
        <v>#N/A</v>
      </c>
      <c r="Q463" t="e">
        <f ca="1"/>
        <v>#N/A</v>
      </c>
      <c r="R463" t="e">
        <f ca="1"/>
        <v>#N/A</v>
      </c>
      <c r="S463" t="e">
        <f ca="1"/>
        <v>#N/A</v>
      </c>
      <c r="T463" t="e">
        <f ca="1"/>
        <v>#N/A</v>
      </c>
      <c r="U463" t="e">
        <f ca="1"/>
        <v>#N/A</v>
      </c>
      <c r="V463" t="e">
        <f ca="1"/>
        <v>#N/A</v>
      </c>
      <c r="X463" s="2">
        <f t="shared" ca="1" si="50"/>
        <v>0</v>
      </c>
      <c r="Y463">
        <f t="shared" ca="1" si="51"/>
        <v>0</v>
      </c>
      <c r="AA463" s="63" t="e">
        <f t="shared" ca="1" si="53"/>
        <v>#N/A</v>
      </c>
      <c r="AB463" s="63" t="e">
        <f t="shared" ca="1" si="54"/>
        <v>#N/A</v>
      </c>
      <c r="AC463" s="3" t="e">
        <f t="shared" ca="1" si="55"/>
        <v>#N/A</v>
      </c>
    </row>
    <row r="464" spans="8:29">
      <c r="H464" t="e">
        <f t="shared" ca="1" si="52"/>
        <v>#N/A</v>
      </c>
      <c r="I464" t="e">
        <f t="shared" ca="1" si="49"/>
        <v>#N/A</v>
      </c>
      <c r="J464" s="2" t="e">
        <f ca="1"/>
        <v>#N/A</v>
      </c>
      <c r="K464" t="e">
        <f ca="1"/>
        <v>#N/A</v>
      </c>
      <c r="L464" t="e">
        <f ca="1"/>
        <v>#N/A</v>
      </c>
      <c r="M464" t="e">
        <f ca="1"/>
        <v>#N/A</v>
      </c>
      <c r="N464" t="e">
        <f ca="1"/>
        <v>#N/A</v>
      </c>
      <c r="O464" t="e">
        <f ca="1"/>
        <v>#N/A</v>
      </c>
      <c r="P464" t="e">
        <f ca="1"/>
        <v>#N/A</v>
      </c>
      <c r="Q464" t="e">
        <f ca="1"/>
        <v>#N/A</v>
      </c>
      <c r="R464" t="e">
        <f ca="1"/>
        <v>#N/A</v>
      </c>
      <c r="S464" t="e">
        <f ca="1"/>
        <v>#N/A</v>
      </c>
      <c r="T464" t="e">
        <f ca="1"/>
        <v>#N/A</v>
      </c>
      <c r="U464" t="e">
        <f ca="1"/>
        <v>#N/A</v>
      </c>
      <c r="V464" t="e">
        <f ca="1"/>
        <v>#N/A</v>
      </c>
      <c r="X464" s="2">
        <f t="shared" ca="1" si="50"/>
        <v>0</v>
      </c>
      <c r="Y464">
        <f t="shared" ca="1" si="51"/>
        <v>0</v>
      </c>
      <c r="AA464" s="63" t="e">
        <f t="shared" ca="1" si="53"/>
        <v>#N/A</v>
      </c>
      <c r="AB464" s="63" t="e">
        <f t="shared" ca="1" si="54"/>
        <v>#N/A</v>
      </c>
      <c r="AC464" s="3" t="e">
        <f t="shared" ca="1" si="55"/>
        <v>#N/A</v>
      </c>
    </row>
    <row r="465" spans="8:29">
      <c r="H465" t="e">
        <f t="shared" ca="1" si="52"/>
        <v>#N/A</v>
      </c>
      <c r="I465" t="e">
        <f t="shared" ca="1" si="49"/>
        <v>#N/A</v>
      </c>
      <c r="J465" s="2" t="e">
        <f ca="1"/>
        <v>#N/A</v>
      </c>
      <c r="K465" t="e">
        <f ca="1"/>
        <v>#N/A</v>
      </c>
      <c r="L465" t="e">
        <f ca="1"/>
        <v>#N/A</v>
      </c>
      <c r="M465" t="e">
        <f ca="1"/>
        <v>#N/A</v>
      </c>
      <c r="N465" t="e">
        <f ca="1"/>
        <v>#N/A</v>
      </c>
      <c r="O465" t="e">
        <f ca="1"/>
        <v>#N/A</v>
      </c>
      <c r="P465" t="e">
        <f ca="1"/>
        <v>#N/A</v>
      </c>
      <c r="Q465" t="e">
        <f ca="1"/>
        <v>#N/A</v>
      </c>
      <c r="R465" t="e">
        <f ca="1"/>
        <v>#N/A</v>
      </c>
      <c r="S465" t="e">
        <f ca="1"/>
        <v>#N/A</v>
      </c>
      <c r="T465" t="e">
        <f ca="1"/>
        <v>#N/A</v>
      </c>
      <c r="U465" t="e">
        <f ca="1"/>
        <v>#N/A</v>
      </c>
      <c r="V465" t="e">
        <f ca="1"/>
        <v>#N/A</v>
      </c>
      <c r="X465" s="2">
        <f t="shared" ca="1" si="50"/>
        <v>0</v>
      </c>
      <c r="Y465">
        <f t="shared" ca="1" si="51"/>
        <v>0</v>
      </c>
      <c r="AA465" s="63" t="e">
        <f t="shared" ca="1" si="53"/>
        <v>#N/A</v>
      </c>
      <c r="AB465" s="63" t="e">
        <f t="shared" ca="1" si="54"/>
        <v>#N/A</v>
      </c>
      <c r="AC465" s="3" t="e">
        <f t="shared" ca="1" si="55"/>
        <v>#N/A</v>
      </c>
    </row>
    <row r="466" spans="8:29">
      <c r="H466" t="e">
        <f t="shared" ca="1" si="52"/>
        <v>#N/A</v>
      </c>
      <c r="I466" t="e">
        <f t="shared" ca="1" si="49"/>
        <v>#N/A</v>
      </c>
      <c r="J466" s="2" t="e">
        <f ca="1"/>
        <v>#N/A</v>
      </c>
      <c r="K466" t="e">
        <f ca="1"/>
        <v>#N/A</v>
      </c>
      <c r="L466" t="e">
        <f ca="1"/>
        <v>#N/A</v>
      </c>
      <c r="M466" t="e">
        <f ca="1"/>
        <v>#N/A</v>
      </c>
      <c r="N466" t="e">
        <f ca="1"/>
        <v>#N/A</v>
      </c>
      <c r="O466" t="e">
        <f ca="1"/>
        <v>#N/A</v>
      </c>
      <c r="P466" t="e">
        <f ca="1"/>
        <v>#N/A</v>
      </c>
      <c r="Q466" t="e">
        <f ca="1"/>
        <v>#N/A</v>
      </c>
      <c r="R466" t="e">
        <f ca="1"/>
        <v>#N/A</v>
      </c>
      <c r="S466" t="e">
        <f ca="1"/>
        <v>#N/A</v>
      </c>
      <c r="T466" t="e">
        <f ca="1"/>
        <v>#N/A</v>
      </c>
      <c r="U466" t="e">
        <f ca="1"/>
        <v>#N/A</v>
      </c>
      <c r="V466" t="e">
        <f ca="1"/>
        <v>#N/A</v>
      </c>
      <c r="X466" s="2">
        <f t="shared" ca="1" si="50"/>
        <v>0</v>
      </c>
      <c r="Y466">
        <f t="shared" ca="1" si="51"/>
        <v>0</v>
      </c>
      <c r="AA466" s="63" t="e">
        <f t="shared" ca="1" si="53"/>
        <v>#N/A</v>
      </c>
      <c r="AB466" s="63" t="e">
        <f t="shared" ca="1" si="54"/>
        <v>#N/A</v>
      </c>
      <c r="AC466" s="3" t="e">
        <f t="shared" ca="1" si="55"/>
        <v>#N/A</v>
      </c>
    </row>
    <row r="467" spans="8:29">
      <c r="H467" t="e">
        <f t="shared" ca="1" si="52"/>
        <v>#N/A</v>
      </c>
      <c r="I467" t="e">
        <f t="shared" ca="1" si="49"/>
        <v>#N/A</v>
      </c>
      <c r="J467" s="2" t="e">
        <f ca="1"/>
        <v>#N/A</v>
      </c>
      <c r="K467" t="e">
        <f ca="1"/>
        <v>#N/A</v>
      </c>
      <c r="L467" t="e">
        <f ca="1"/>
        <v>#N/A</v>
      </c>
      <c r="M467" t="e">
        <f ca="1"/>
        <v>#N/A</v>
      </c>
      <c r="N467" t="e">
        <f ca="1"/>
        <v>#N/A</v>
      </c>
      <c r="O467" t="e">
        <f ca="1"/>
        <v>#N/A</v>
      </c>
      <c r="P467" t="e">
        <f ca="1"/>
        <v>#N/A</v>
      </c>
      <c r="Q467" t="e">
        <f ca="1"/>
        <v>#N/A</v>
      </c>
      <c r="R467" t="e">
        <f ca="1"/>
        <v>#N/A</v>
      </c>
      <c r="S467" t="e">
        <f ca="1"/>
        <v>#N/A</v>
      </c>
      <c r="T467" t="e">
        <f ca="1"/>
        <v>#N/A</v>
      </c>
      <c r="U467" t="e">
        <f ca="1"/>
        <v>#N/A</v>
      </c>
      <c r="V467" t="e">
        <f ca="1"/>
        <v>#N/A</v>
      </c>
      <c r="X467" s="2">
        <f t="shared" ca="1" si="50"/>
        <v>0</v>
      </c>
      <c r="Y467">
        <f t="shared" ca="1" si="51"/>
        <v>0</v>
      </c>
      <c r="AA467" s="63" t="e">
        <f t="shared" ca="1" si="53"/>
        <v>#N/A</v>
      </c>
      <c r="AB467" s="63" t="e">
        <f t="shared" ca="1" si="54"/>
        <v>#N/A</v>
      </c>
      <c r="AC467" s="3" t="e">
        <f t="shared" ca="1" si="55"/>
        <v>#N/A</v>
      </c>
    </row>
    <row r="468" spans="8:29">
      <c r="H468" t="e">
        <f t="shared" ca="1" si="52"/>
        <v>#N/A</v>
      </c>
      <c r="I468" t="e">
        <f t="shared" ca="1" si="49"/>
        <v>#N/A</v>
      </c>
      <c r="J468" s="2" t="e">
        <f ca="1"/>
        <v>#N/A</v>
      </c>
      <c r="K468" t="e">
        <f ca="1"/>
        <v>#N/A</v>
      </c>
      <c r="L468" t="e">
        <f ca="1"/>
        <v>#N/A</v>
      </c>
      <c r="M468" t="e">
        <f ca="1"/>
        <v>#N/A</v>
      </c>
      <c r="N468" t="e">
        <f ca="1"/>
        <v>#N/A</v>
      </c>
      <c r="O468" t="e">
        <f ca="1"/>
        <v>#N/A</v>
      </c>
      <c r="P468" t="e">
        <f ca="1"/>
        <v>#N/A</v>
      </c>
      <c r="Q468" t="e">
        <f ca="1"/>
        <v>#N/A</v>
      </c>
      <c r="R468" t="e">
        <f ca="1"/>
        <v>#N/A</v>
      </c>
      <c r="S468" t="e">
        <f ca="1"/>
        <v>#N/A</v>
      </c>
      <c r="T468" t="e">
        <f ca="1"/>
        <v>#N/A</v>
      </c>
      <c r="U468" t="e">
        <f ca="1"/>
        <v>#N/A</v>
      </c>
      <c r="V468" t="e">
        <f ca="1"/>
        <v>#N/A</v>
      </c>
      <c r="X468" s="2">
        <f t="shared" ca="1" si="50"/>
        <v>0</v>
      </c>
      <c r="Y468">
        <f t="shared" ca="1" si="51"/>
        <v>0</v>
      </c>
      <c r="AA468" s="63" t="e">
        <f t="shared" ca="1" si="53"/>
        <v>#N/A</v>
      </c>
      <c r="AB468" s="63" t="e">
        <f t="shared" ca="1" si="54"/>
        <v>#N/A</v>
      </c>
      <c r="AC468" s="3" t="e">
        <f t="shared" ca="1" si="55"/>
        <v>#N/A</v>
      </c>
    </row>
    <row r="469" spans="8:29">
      <c r="H469" t="e">
        <f t="shared" ca="1" si="52"/>
        <v>#N/A</v>
      </c>
      <c r="I469" t="e">
        <f t="shared" ca="1" si="49"/>
        <v>#N/A</v>
      </c>
      <c r="J469" s="2" t="e">
        <f ca="1"/>
        <v>#N/A</v>
      </c>
      <c r="K469" t="e">
        <f ca="1"/>
        <v>#N/A</v>
      </c>
      <c r="L469" t="e">
        <f ca="1"/>
        <v>#N/A</v>
      </c>
      <c r="M469" t="e">
        <f ca="1"/>
        <v>#N/A</v>
      </c>
      <c r="N469" t="e">
        <f ca="1"/>
        <v>#N/A</v>
      </c>
      <c r="O469" t="e">
        <f ca="1"/>
        <v>#N/A</v>
      </c>
      <c r="P469" t="e">
        <f ca="1"/>
        <v>#N/A</v>
      </c>
      <c r="Q469" t="e">
        <f ca="1"/>
        <v>#N/A</v>
      </c>
      <c r="R469" t="e">
        <f ca="1"/>
        <v>#N/A</v>
      </c>
      <c r="S469" t="e">
        <f ca="1"/>
        <v>#N/A</v>
      </c>
      <c r="T469" t="e">
        <f ca="1"/>
        <v>#N/A</v>
      </c>
      <c r="U469" t="e">
        <f ca="1"/>
        <v>#N/A</v>
      </c>
      <c r="V469" t="e">
        <f ca="1"/>
        <v>#N/A</v>
      </c>
      <c r="X469" s="2">
        <f t="shared" ca="1" si="50"/>
        <v>0</v>
      </c>
      <c r="Y469">
        <f t="shared" ca="1" si="51"/>
        <v>0</v>
      </c>
      <c r="AA469" s="63" t="e">
        <f t="shared" ca="1" si="53"/>
        <v>#N/A</v>
      </c>
      <c r="AB469" s="63" t="e">
        <f t="shared" ca="1" si="54"/>
        <v>#N/A</v>
      </c>
      <c r="AC469" s="3" t="e">
        <f t="shared" ca="1" si="55"/>
        <v>#N/A</v>
      </c>
    </row>
    <row r="470" spans="8:29">
      <c r="H470" t="e">
        <f t="shared" ca="1" si="52"/>
        <v>#N/A</v>
      </c>
      <c r="I470" t="e">
        <f t="shared" ca="1" si="49"/>
        <v>#N/A</v>
      </c>
      <c r="J470" s="2" t="e">
        <f ca="1"/>
        <v>#N/A</v>
      </c>
      <c r="K470" t="e">
        <f ca="1"/>
        <v>#N/A</v>
      </c>
      <c r="L470" t="e">
        <f ca="1"/>
        <v>#N/A</v>
      </c>
      <c r="M470" t="e">
        <f ca="1"/>
        <v>#N/A</v>
      </c>
      <c r="N470" t="e">
        <f ca="1"/>
        <v>#N/A</v>
      </c>
      <c r="O470" t="e">
        <f ca="1"/>
        <v>#N/A</v>
      </c>
      <c r="P470" t="e">
        <f ca="1"/>
        <v>#N/A</v>
      </c>
      <c r="Q470" t="e">
        <f ca="1"/>
        <v>#N/A</v>
      </c>
      <c r="R470" t="e">
        <f ca="1"/>
        <v>#N/A</v>
      </c>
      <c r="S470" t="e">
        <f ca="1"/>
        <v>#N/A</v>
      </c>
      <c r="T470" t="e">
        <f ca="1"/>
        <v>#N/A</v>
      </c>
      <c r="U470" t="e">
        <f ca="1"/>
        <v>#N/A</v>
      </c>
      <c r="V470" t="e">
        <f ca="1"/>
        <v>#N/A</v>
      </c>
      <c r="X470" s="2">
        <f t="shared" ca="1" si="50"/>
        <v>0</v>
      </c>
      <c r="Y470">
        <f t="shared" ca="1" si="51"/>
        <v>0</v>
      </c>
      <c r="AA470" s="63" t="e">
        <f t="shared" ca="1" si="53"/>
        <v>#N/A</v>
      </c>
      <c r="AB470" s="63" t="e">
        <f t="shared" ca="1" si="54"/>
        <v>#N/A</v>
      </c>
      <c r="AC470" s="3" t="e">
        <f t="shared" ca="1" si="55"/>
        <v>#N/A</v>
      </c>
    </row>
    <row r="471" spans="8:29">
      <c r="H471" t="e">
        <f t="shared" ca="1" si="52"/>
        <v>#N/A</v>
      </c>
      <c r="I471" t="e">
        <f t="shared" ca="1" si="49"/>
        <v>#N/A</v>
      </c>
      <c r="J471" s="2" t="e">
        <f ca="1"/>
        <v>#N/A</v>
      </c>
      <c r="K471" t="e">
        <f ca="1"/>
        <v>#N/A</v>
      </c>
      <c r="L471" t="e">
        <f ca="1"/>
        <v>#N/A</v>
      </c>
      <c r="M471" t="e">
        <f ca="1"/>
        <v>#N/A</v>
      </c>
      <c r="N471" t="e">
        <f ca="1"/>
        <v>#N/A</v>
      </c>
      <c r="O471" t="e">
        <f ca="1"/>
        <v>#N/A</v>
      </c>
      <c r="P471" t="e">
        <f ca="1"/>
        <v>#N/A</v>
      </c>
      <c r="Q471" t="e">
        <f ca="1"/>
        <v>#N/A</v>
      </c>
      <c r="R471" t="e">
        <f ca="1"/>
        <v>#N/A</v>
      </c>
      <c r="S471" t="e">
        <f ca="1"/>
        <v>#N/A</v>
      </c>
      <c r="T471" t="e">
        <f ca="1"/>
        <v>#N/A</v>
      </c>
      <c r="U471" t="e">
        <f ca="1"/>
        <v>#N/A</v>
      </c>
      <c r="V471" t="e">
        <f ca="1"/>
        <v>#N/A</v>
      </c>
      <c r="X471" s="2">
        <f t="shared" ca="1" si="50"/>
        <v>0</v>
      </c>
      <c r="Y471">
        <f t="shared" ca="1" si="51"/>
        <v>0</v>
      </c>
      <c r="AA471" s="63" t="e">
        <f t="shared" ca="1" si="53"/>
        <v>#N/A</v>
      </c>
      <c r="AB471" s="63" t="e">
        <f t="shared" ca="1" si="54"/>
        <v>#N/A</v>
      </c>
      <c r="AC471" s="3" t="e">
        <f t="shared" ca="1" si="55"/>
        <v>#N/A</v>
      </c>
    </row>
    <row r="472" spans="8:29">
      <c r="H472" t="e">
        <f t="shared" ca="1" si="52"/>
        <v>#N/A</v>
      </c>
      <c r="I472" t="e">
        <f t="shared" ca="1" si="49"/>
        <v>#N/A</v>
      </c>
      <c r="J472" s="2" t="e">
        <f ca="1"/>
        <v>#N/A</v>
      </c>
      <c r="K472" t="e">
        <f ca="1"/>
        <v>#N/A</v>
      </c>
      <c r="L472" t="e">
        <f ca="1"/>
        <v>#N/A</v>
      </c>
      <c r="M472" t="e">
        <f ca="1"/>
        <v>#N/A</v>
      </c>
      <c r="N472" t="e">
        <f ca="1"/>
        <v>#N/A</v>
      </c>
      <c r="O472" t="e">
        <f ca="1"/>
        <v>#N/A</v>
      </c>
      <c r="P472" t="e">
        <f ca="1"/>
        <v>#N/A</v>
      </c>
      <c r="Q472" t="e">
        <f ca="1"/>
        <v>#N/A</v>
      </c>
      <c r="R472" t="e">
        <f ca="1"/>
        <v>#N/A</v>
      </c>
      <c r="S472" t="e">
        <f ca="1"/>
        <v>#N/A</v>
      </c>
      <c r="T472" t="e">
        <f ca="1"/>
        <v>#N/A</v>
      </c>
      <c r="U472" t="e">
        <f ca="1"/>
        <v>#N/A</v>
      </c>
      <c r="V472" t="e">
        <f ca="1"/>
        <v>#N/A</v>
      </c>
      <c r="X472" s="2">
        <f t="shared" ca="1" si="50"/>
        <v>0</v>
      </c>
      <c r="Y472">
        <f t="shared" ca="1" si="51"/>
        <v>0</v>
      </c>
      <c r="AA472" s="63" t="e">
        <f t="shared" ca="1" si="53"/>
        <v>#N/A</v>
      </c>
      <c r="AB472" s="63" t="e">
        <f t="shared" ca="1" si="54"/>
        <v>#N/A</v>
      </c>
      <c r="AC472" s="3" t="e">
        <f t="shared" ca="1" si="55"/>
        <v>#N/A</v>
      </c>
    </row>
    <row r="473" spans="8:29">
      <c r="H473" t="e">
        <f t="shared" ca="1" si="52"/>
        <v>#N/A</v>
      </c>
      <c r="I473" t="e">
        <f t="shared" ca="1" si="49"/>
        <v>#N/A</v>
      </c>
      <c r="J473" s="2" t="e">
        <f ca="1"/>
        <v>#N/A</v>
      </c>
      <c r="K473" t="e">
        <f ca="1"/>
        <v>#N/A</v>
      </c>
      <c r="L473" t="e">
        <f ca="1"/>
        <v>#N/A</v>
      </c>
      <c r="M473" t="e">
        <f ca="1"/>
        <v>#N/A</v>
      </c>
      <c r="N473" t="e">
        <f ca="1"/>
        <v>#N/A</v>
      </c>
      <c r="O473" t="e">
        <f ca="1"/>
        <v>#N/A</v>
      </c>
      <c r="P473" t="e">
        <f ca="1"/>
        <v>#N/A</v>
      </c>
      <c r="Q473" t="e">
        <f ca="1"/>
        <v>#N/A</v>
      </c>
      <c r="R473" t="e">
        <f ca="1"/>
        <v>#N/A</v>
      </c>
      <c r="S473" t="e">
        <f ca="1"/>
        <v>#N/A</v>
      </c>
      <c r="T473" t="e">
        <f ca="1"/>
        <v>#N/A</v>
      </c>
      <c r="U473" t="e">
        <f ca="1"/>
        <v>#N/A</v>
      </c>
      <c r="V473" t="e">
        <f ca="1"/>
        <v>#N/A</v>
      </c>
      <c r="X473" s="2">
        <f t="shared" ca="1" si="50"/>
        <v>0</v>
      </c>
      <c r="Y473">
        <f t="shared" ca="1" si="51"/>
        <v>0</v>
      </c>
      <c r="AA473" s="63" t="e">
        <f t="shared" ca="1" si="53"/>
        <v>#N/A</v>
      </c>
      <c r="AB473" s="63" t="e">
        <f t="shared" ca="1" si="54"/>
        <v>#N/A</v>
      </c>
      <c r="AC473" s="3" t="e">
        <f t="shared" ca="1" si="55"/>
        <v>#N/A</v>
      </c>
    </row>
    <row r="474" spans="8:29">
      <c r="H474" t="e">
        <f t="shared" ca="1" si="52"/>
        <v>#N/A</v>
      </c>
      <c r="I474" t="e">
        <f t="shared" ca="1" si="49"/>
        <v>#N/A</v>
      </c>
      <c r="J474" s="2" t="e">
        <f ca="1"/>
        <v>#N/A</v>
      </c>
      <c r="K474" t="e">
        <f ca="1"/>
        <v>#N/A</v>
      </c>
      <c r="L474" t="e">
        <f ca="1"/>
        <v>#N/A</v>
      </c>
      <c r="M474" t="e">
        <f ca="1"/>
        <v>#N/A</v>
      </c>
      <c r="N474" t="e">
        <f ca="1"/>
        <v>#N/A</v>
      </c>
      <c r="O474" t="e">
        <f ca="1"/>
        <v>#N/A</v>
      </c>
      <c r="P474" t="e">
        <f ca="1"/>
        <v>#N/A</v>
      </c>
      <c r="Q474" t="e">
        <f ca="1"/>
        <v>#N/A</v>
      </c>
      <c r="R474" t="e">
        <f ca="1"/>
        <v>#N/A</v>
      </c>
      <c r="S474" t="e">
        <f ca="1"/>
        <v>#N/A</v>
      </c>
      <c r="T474" t="e">
        <f ca="1"/>
        <v>#N/A</v>
      </c>
      <c r="U474" t="e">
        <f ca="1"/>
        <v>#N/A</v>
      </c>
      <c r="V474" t="e">
        <f ca="1"/>
        <v>#N/A</v>
      </c>
      <c r="X474" s="2">
        <f t="shared" ca="1" si="50"/>
        <v>0</v>
      </c>
      <c r="Y474">
        <f t="shared" ca="1" si="51"/>
        <v>0</v>
      </c>
      <c r="AA474" s="63" t="e">
        <f t="shared" ca="1" si="53"/>
        <v>#N/A</v>
      </c>
      <c r="AB474" s="63" t="e">
        <f t="shared" ca="1" si="54"/>
        <v>#N/A</v>
      </c>
      <c r="AC474" s="3" t="e">
        <f t="shared" ca="1" si="55"/>
        <v>#N/A</v>
      </c>
    </row>
    <row r="475" spans="8:29">
      <c r="H475" t="e">
        <f t="shared" ca="1" si="52"/>
        <v>#N/A</v>
      </c>
      <c r="I475" t="e">
        <f t="shared" ca="1" si="49"/>
        <v>#N/A</v>
      </c>
      <c r="J475" s="2" t="e">
        <f ca="1"/>
        <v>#N/A</v>
      </c>
      <c r="K475" t="e">
        <f ca="1"/>
        <v>#N/A</v>
      </c>
      <c r="L475" t="e">
        <f ca="1"/>
        <v>#N/A</v>
      </c>
      <c r="M475" t="e">
        <f ca="1"/>
        <v>#N/A</v>
      </c>
      <c r="N475" t="e">
        <f ca="1"/>
        <v>#N/A</v>
      </c>
      <c r="O475" t="e">
        <f ca="1"/>
        <v>#N/A</v>
      </c>
      <c r="P475" t="e">
        <f ca="1"/>
        <v>#N/A</v>
      </c>
      <c r="Q475" t="e">
        <f ca="1"/>
        <v>#N/A</v>
      </c>
      <c r="R475" t="e">
        <f ca="1"/>
        <v>#N/A</v>
      </c>
      <c r="S475" t="e">
        <f ca="1"/>
        <v>#N/A</v>
      </c>
      <c r="T475" t="e">
        <f ca="1"/>
        <v>#N/A</v>
      </c>
      <c r="U475" t="e">
        <f ca="1"/>
        <v>#N/A</v>
      </c>
      <c r="V475" t="e">
        <f ca="1"/>
        <v>#N/A</v>
      </c>
      <c r="X475" s="2">
        <f t="shared" ca="1" si="50"/>
        <v>0</v>
      </c>
      <c r="Y475">
        <f t="shared" ca="1" si="51"/>
        <v>0</v>
      </c>
      <c r="AA475" s="63" t="e">
        <f t="shared" ca="1" si="53"/>
        <v>#N/A</v>
      </c>
      <c r="AB475" s="63" t="e">
        <f t="shared" ca="1" si="54"/>
        <v>#N/A</v>
      </c>
      <c r="AC475" s="3" t="e">
        <f t="shared" ca="1" si="55"/>
        <v>#N/A</v>
      </c>
    </row>
    <row r="476" spans="8:29">
      <c r="H476" t="e">
        <f t="shared" ca="1" si="52"/>
        <v>#N/A</v>
      </c>
      <c r="I476" t="e">
        <f t="shared" ca="1" si="49"/>
        <v>#N/A</v>
      </c>
      <c r="J476" s="2" t="e">
        <f ca="1"/>
        <v>#N/A</v>
      </c>
      <c r="K476" t="e">
        <f ca="1"/>
        <v>#N/A</v>
      </c>
      <c r="L476" t="e">
        <f ca="1"/>
        <v>#N/A</v>
      </c>
      <c r="M476" t="e">
        <f ca="1"/>
        <v>#N/A</v>
      </c>
      <c r="N476" t="e">
        <f ca="1"/>
        <v>#N/A</v>
      </c>
      <c r="O476" t="e">
        <f ca="1"/>
        <v>#N/A</v>
      </c>
      <c r="P476" t="e">
        <f ca="1"/>
        <v>#N/A</v>
      </c>
      <c r="Q476" t="e">
        <f ca="1"/>
        <v>#N/A</v>
      </c>
      <c r="R476" t="e">
        <f ca="1"/>
        <v>#N/A</v>
      </c>
      <c r="S476" t="e">
        <f ca="1"/>
        <v>#N/A</v>
      </c>
      <c r="T476" t="e">
        <f ca="1"/>
        <v>#N/A</v>
      </c>
      <c r="U476" t="e">
        <f ca="1"/>
        <v>#N/A</v>
      </c>
      <c r="V476" t="e">
        <f ca="1"/>
        <v>#N/A</v>
      </c>
      <c r="X476" s="2">
        <f t="shared" ca="1" si="50"/>
        <v>0</v>
      </c>
      <c r="Y476">
        <f t="shared" ca="1" si="51"/>
        <v>0</v>
      </c>
      <c r="AA476" s="63" t="e">
        <f t="shared" ca="1" si="53"/>
        <v>#N/A</v>
      </c>
      <c r="AB476" s="63" t="e">
        <f t="shared" ca="1" si="54"/>
        <v>#N/A</v>
      </c>
      <c r="AC476" s="3" t="e">
        <f t="shared" ca="1" si="55"/>
        <v>#N/A</v>
      </c>
    </row>
    <row r="477" spans="8:29">
      <c r="H477" t="e">
        <f t="shared" ca="1" si="52"/>
        <v>#N/A</v>
      </c>
      <c r="I477" t="e">
        <f t="shared" ca="1" si="49"/>
        <v>#N/A</v>
      </c>
      <c r="J477" s="2" t="e">
        <f ca="1"/>
        <v>#N/A</v>
      </c>
      <c r="K477" t="e">
        <f ca="1"/>
        <v>#N/A</v>
      </c>
      <c r="L477" t="e">
        <f ca="1"/>
        <v>#N/A</v>
      </c>
      <c r="M477" t="e">
        <f ca="1"/>
        <v>#N/A</v>
      </c>
      <c r="N477" t="e">
        <f ca="1"/>
        <v>#N/A</v>
      </c>
      <c r="O477" t="e">
        <f ca="1"/>
        <v>#N/A</v>
      </c>
      <c r="P477" t="e">
        <f ca="1"/>
        <v>#N/A</v>
      </c>
      <c r="Q477" t="e">
        <f ca="1"/>
        <v>#N/A</v>
      </c>
      <c r="R477" t="e">
        <f ca="1"/>
        <v>#N/A</v>
      </c>
      <c r="S477" t="e">
        <f ca="1"/>
        <v>#N/A</v>
      </c>
      <c r="T477" t="e">
        <f ca="1"/>
        <v>#N/A</v>
      </c>
      <c r="U477" t="e">
        <f ca="1"/>
        <v>#N/A</v>
      </c>
      <c r="V477" t="e">
        <f ca="1"/>
        <v>#N/A</v>
      </c>
      <c r="X477" s="2">
        <f t="shared" ca="1" si="50"/>
        <v>0</v>
      </c>
      <c r="Y477">
        <f t="shared" ca="1" si="51"/>
        <v>0</v>
      </c>
      <c r="AA477" s="63" t="e">
        <f t="shared" ca="1" si="53"/>
        <v>#N/A</v>
      </c>
      <c r="AB477" s="63" t="e">
        <f t="shared" ca="1" si="54"/>
        <v>#N/A</v>
      </c>
      <c r="AC477" s="3" t="e">
        <f t="shared" ca="1" si="55"/>
        <v>#N/A</v>
      </c>
    </row>
    <row r="478" spans="8:29">
      <c r="H478" t="e">
        <f t="shared" ca="1" si="52"/>
        <v>#N/A</v>
      </c>
      <c r="I478" t="e">
        <f t="shared" ca="1" si="49"/>
        <v>#N/A</v>
      </c>
      <c r="J478" s="2" t="e">
        <f ca="1"/>
        <v>#N/A</v>
      </c>
      <c r="K478" t="e">
        <f ca="1"/>
        <v>#N/A</v>
      </c>
      <c r="L478" t="e">
        <f ca="1"/>
        <v>#N/A</v>
      </c>
      <c r="M478" t="e">
        <f ca="1"/>
        <v>#N/A</v>
      </c>
      <c r="N478" t="e">
        <f ca="1"/>
        <v>#N/A</v>
      </c>
      <c r="O478" t="e">
        <f ca="1"/>
        <v>#N/A</v>
      </c>
      <c r="P478" t="e">
        <f ca="1"/>
        <v>#N/A</v>
      </c>
      <c r="Q478" t="e">
        <f ca="1"/>
        <v>#N/A</v>
      </c>
      <c r="R478" t="e">
        <f ca="1"/>
        <v>#N/A</v>
      </c>
      <c r="S478" t="e">
        <f ca="1"/>
        <v>#N/A</v>
      </c>
      <c r="T478" t="e">
        <f ca="1"/>
        <v>#N/A</v>
      </c>
      <c r="U478" t="e">
        <f ca="1"/>
        <v>#N/A</v>
      </c>
      <c r="V478" t="e">
        <f ca="1"/>
        <v>#N/A</v>
      </c>
      <c r="X478" s="2">
        <f t="shared" ca="1" si="50"/>
        <v>0</v>
      </c>
      <c r="Y478">
        <f t="shared" ca="1" si="51"/>
        <v>0</v>
      </c>
      <c r="AA478" s="63" t="e">
        <f t="shared" ca="1" si="53"/>
        <v>#N/A</v>
      </c>
      <c r="AB478" s="63" t="e">
        <f t="shared" ca="1" si="54"/>
        <v>#N/A</v>
      </c>
      <c r="AC478" s="3" t="e">
        <f t="shared" ca="1" si="55"/>
        <v>#N/A</v>
      </c>
    </row>
    <row r="479" spans="8:29">
      <c r="H479" t="e">
        <f t="shared" ca="1" si="52"/>
        <v>#N/A</v>
      </c>
      <c r="I479" t="e">
        <f t="shared" ca="1" si="49"/>
        <v>#N/A</v>
      </c>
      <c r="J479" s="2" t="e">
        <f ca="1"/>
        <v>#N/A</v>
      </c>
      <c r="K479" t="e">
        <f ca="1"/>
        <v>#N/A</v>
      </c>
      <c r="L479" t="e">
        <f ca="1"/>
        <v>#N/A</v>
      </c>
      <c r="M479" t="e">
        <f ca="1"/>
        <v>#N/A</v>
      </c>
      <c r="N479" t="e">
        <f ca="1"/>
        <v>#N/A</v>
      </c>
      <c r="O479" t="e">
        <f ca="1"/>
        <v>#N/A</v>
      </c>
      <c r="P479" t="e">
        <f ca="1"/>
        <v>#N/A</v>
      </c>
      <c r="Q479" t="e">
        <f ca="1"/>
        <v>#N/A</v>
      </c>
      <c r="R479" t="e">
        <f ca="1"/>
        <v>#N/A</v>
      </c>
      <c r="S479" t="e">
        <f ca="1"/>
        <v>#N/A</v>
      </c>
      <c r="T479" t="e">
        <f ca="1"/>
        <v>#N/A</v>
      </c>
      <c r="U479" t="e">
        <f ca="1"/>
        <v>#N/A</v>
      </c>
      <c r="V479" t="e">
        <f ca="1"/>
        <v>#N/A</v>
      </c>
      <c r="X479" s="2">
        <f t="shared" ca="1" si="50"/>
        <v>0</v>
      </c>
      <c r="Y479">
        <f t="shared" ca="1" si="51"/>
        <v>0</v>
      </c>
      <c r="AA479" s="63" t="e">
        <f t="shared" ca="1" si="53"/>
        <v>#N/A</v>
      </c>
      <c r="AB479" s="63" t="e">
        <f t="shared" ca="1" si="54"/>
        <v>#N/A</v>
      </c>
      <c r="AC479" s="3" t="e">
        <f t="shared" ca="1" si="55"/>
        <v>#N/A</v>
      </c>
    </row>
    <row r="480" spans="8:29">
      <c r="H480" t="e">
        <f t="shared" ca="1" si="52"/>
        <v>#N/A</v>
      </c>
      <c r="I480" t="e">
        <f t="shared" ca="1" si="49"/>
        <v>#N/A</v>
      </c>
      <c r="J480" s="2" t="e">
        <f ca="1"/>
        <v>#N/A</v>
      </c>
      <c r="K480" t="e">
        <f ca="1"/>
        <v>#N/A</v>
      </c>
      <c r="L480" t="e">
        <f ca="1"/>
        <v>#N/A</v>
      </c>
      <c r="M480" t="e">
        <f ca="1"/>
        <v>#N/A</v>
      </c>
      <c r="N480" t="e">
        <f ca="1"/>
        <v>#N/A</v>
      </c>
      <c r="O480" t="e">
        <f ca="1"/>
        <v>#N/A</v>
      </c>
      <c r="P480" t="e">
        <f ca="1"/>
        <v>#N/A</v>
      </c>
      <c r="Q480" t="e">
        <f ca="1"/>
        <v>#N/A</v>
      </c>
      <c r="R480" t="e">
        <f ca="1"/>
        <v>#N/A</v>
      </c>
      <c r="S480" t="e">
        <f ca="1"/>
        <v>#N/A</v>
      </c>
      <c r="T480" t="e">
        <f ca="1"/>
        <v>#N/A</v>
      </c>
      <c r="U480" t="e">
        <f ca="1"/>
        <v>#N/A</v>
      </c>
      <c r="V480" t="e">
        <f ca="1"/>
        <v>#N/A</v>
      </c>
      <c r="X480" s="2">
        <f t="shared" ca="1" si="50"/>
        <v>0</v>
      </c>
      <c r="Y480">
        <f t="shared" ca="1" si="51"/>
        <v>0</v>
      </c>
      <c r="AA480" s="63" t="e">
        <f t="shared" ca="1" si="53"/>
        <v>#N/A</v>
      </c>
      <c r="AB480" s="63" t="e">
        <f t="shared" ca="1" si="54"/>
        <v>#N/A</v>
      </c>
      <c r="AC480" s="3" t="e">
        <f t="shared" ca="1" si="55"/>
        <v>#N/A</v>
      </c>
    </row>
    <row r="481" spans="8:29">
      <c r="H481" t="e">
        <f t="shared" ca="1" si="52"/>
        <v>#N/A</v>
      </c>
      <c r="I481" t="e">
        <f t="shared" ca="1" si="49"/>
        <v>#N/A</v>
      </c>
      <c r="J481" s="2" t="e">
        <f ca="1"/>
        <v>#N/A</v>
      </c>
      <c r="K481" t="e">
        <f ca="1"/>
        <v>#N/A</v>
      </c>
      <c r="L481" t="e">
        <f ca="1"/>
        <v>#N/A</v>
      </c>
      <c r="M481" t="e">
        <f ca="1"/>
        <v>#N/A</v>
      </c>
      <c r="N481" t="e">
        <f ca="1"/>
        <v>#N/A</v>
      </c>
      <c r="O481" t="e">
        <f ca="1"/>
        <v>#N/A</v>
      </c>
      <c r="P481" t="e">
        <f ca="1"/>
        <v>#N/A</v>
      </c>
      <c r="Q481" t="e">
        <f ca="1"/>
        <v>#N/A</v>
      </c>
      <c r="R481" t="e">
        <f ca="1"/>
        <v>#N/A</v>
      </c>
      <c r="S481" t="e">
        <f ca="1"/>
        <v>#N/A</v>
      </c>
      <c r="T481" t="e">
        <f ca="1"/>
        <v>#N/A</v>
      </c>
      <c r="U481" t="e">
        <f ca="1"/>
        <v>#N/A</v>
      </c>
      <c r="V481" t="e">
        <f ca="1"/>
        <v>#N/A</v>
      </c>
      <c r="X481" s="2">
        <f t="shared" ca="1" si="50"/>
        <v>0</v>
      </c>
      <c r="Y481">
        <f t="shared" ca="1" si="51"/>
        <v>0</v>
      </c>
      <c r="AA481" s="63" t="e">
        <f t="shared" ca="1" si="53"/>
        <v>#N/A</v>
      </c>
      <c r="AB481" s="63" t="e">
        <f t="shared" ca="1" si="54"/>
        <v>#N/A</v>
      </c>
      <c r="AC481" s="3" t="e">
        <f t="shared" ca="1" si="55"/>
        <v>#N/A</v>
      </c>
    </row>
    <row r="482" spans="8:29">
      <c r="H482" t="e">
        <f t="shared" ca="1" si="52"/>
        <v>#N/A</v>
      </c>
      <c r="I482" t="e">
        <f t="shared" ca="1" si="49"/>
        <v>#N/A</v>
      </c>
      <c r="J482" s="2" t="e">
        <f ca="1"/>
        <v>#N/A</v>
      </c>
      <c r="K482" t="e">
        <f ca="1"/>
        <v>#N/A</v>
      </c>
      <c r="L482" t="e">
        <f ca="1"/>
        <v>#N/A</v>
      </c>
      <c r="M482" t="e">
        <f ca="1"/>
        <v>#N/A</v>
      </c>
      <c r="N482" t="e">
        <f ca="1"/>
        <v>#N/A</v>
      </c>
      <c r="O482" t="e">
        <f ca="1"/>
        <v>#N/A</v>
      </c>
      <c r="P482" t="e">
        <f ca="1"/>
        <v>#N/A</v>
      </c>
      <c r="Q482" t="e">
        <f ca="1"/>
        <v>#N/A</v>
      </c>
      <c r="R482" t="e">
        <f ca="1"/>
        <v>#N/A</v>
      </c>
      <c r="S482" t="e">
        <f ca="1"/>
        <v>#N/A</v>
      </c>
      <c r="T482" t="e">
        <f ca="1"/>
        <v>#N/A</v>
      </c>
      <c r="U482" t="e">
        <f ca="1"/>
        <v>#N/A</v>
      </c>
      <c r="V482" t="e">
        <f ca="1"/>
        <v>#N/A</v>
      </c>
      <c r="X482" s="2">
        <f t="shared" ca="1" si="50"/>
        <v>0</v>
      </c>
      <c r="Y482">
        <f t="shared" ca="1" si="51"/>
        <v>0</v>
      </c>
      <c r="AA482" s="63" t="e">
        <f t="shared" ca="1" si="53"/>
        <v>#N/A</v>
      </c>
      <c r="AB482" s="63" t="e">
        <f t="shared" ca="1" si="54"/>
        <v>#N/A</v>
      </c>
      <c r="AC482" s="3" t="e">
        <f t="shared" ca="1" si="55"/>
        <v>#N/A</v>
      </c>
    </row>
    <row r="483" spans="8:29">
      <c r="H483" t="e">
        <f t="shared" ca="1" si="52"/>
        <v>#N/A</v>
      </c>
      <c r="I483" t="e">
        <f t="shared" ca="1" si="49"/>
        <v>#N/A</v>
      </c>
      <c r="J483" s="2" t="e">
        <f ca="1"/>
        <v>#N/A</v>
      </c>
      <c r="K483" t="e">
        <f ca="1"/>
        <v>#N/A</v>
      </c>
      <c r="L483" t="e">
        <f ca="1"/>
        <v>#N/A</v>
      </c>
      <c r="M483" t="e">
        <f ca="1"/>
        <v>#N/A</v>
      </c>
      <c r="N483" t="e">
        <f ca="1"/>
        <v>#N/A</v>
      </c>
      <c r="O483" t="e">
        <f ca="1"/>
        <v>#N/A</v>
      </c>
      <c r="P483" t="e">
        <f ca="1"/>
        <v>#N/A</v>
      </c>
      <c r="Q483" t="e">
        <f ca="1"/>
        <v>#N/A</v>
      </c>
      <c r="R483" t="e">
        <f ca="1"/>
        <v>#N/A</v>
      </c>
      <c r="S483" t="e">
        <f ca="1"/>
        <v>#N/A</v>
      </c>
      <c r="T483" t="e">
        <f ca="1"/>
        <v>#N/A</v>
      </c>
      <c r="U483" t="e">
        <f ca="1"/>
        <v>#N/A</v>
      </c>
      <c r="V483" t="e">
        <f ca="1"/>
        <v>#N/A</v>
      </c>
      <c r="X483" s="2">
        <f t="shared" ca="1" si="50"/>
        <v>0</v>
      </c>
      <c r="Y483">
        <f t="shared" ca="1" si="51"/>
        <v>0</v>
      </c>
      <c r="AA483" s="63" t="e">
        <f t="shared" ca="1" si="53"/>
        <v>#N/A</v>
      </c>
      <c r="AB483" s="63" t="e">
        <f t="shared" ca="1" si="54"/>
        <v>#N/A</v>
      </c>
      <c r="AC483" s="3" t="e">
        <f t="shared" ca="1" si="55"/>
        <v>#N/A</v>
      </c>
    </row>
    <row r="484" spans="8:29">
      <c r="H484" t="e">
        <f t="shared" ca="1" si="52"/>
        <v>#N/A</v>
      </c>
      <c r="I484" t="e">
        <f t="shared" ca="1" si="49"/>
        <v>#N/A</v>
      </c>
      <c r="J484" s="2" t="e">
        <f ca="1"/>
        <v>#N/A</v>
      </c>
      <c r="K484" t="e">
        <f ca="1"/>
        <v>#N/A</v>
      </c>
      <c r="L484" t="e">
        <f ca="1"/>
        <v>#N/A</v>
      </c>
      <c r="M484" t="e">
        <f ca="1"/>
        <v>#N/A</v>
      </c>
      <c r="N484" t="e">
        <f ca="1"/>
        <v>#N/A</v>
      </c>
      <c r="O484" t="e">
        <f ca="1"/>
        <v>#N/A</v>
      </c>
      <c r="P484" t="e">
        <f ca="1"/>
        <v>#N/A</v>
      </c>
      <c r="Q484" t="e">
        <f ca="1"/>
        <v>#N/A</v>
      </c>
      <c r="R484" t="e">
        <f ca="1"/>
        <v>#N/A</v>
      </c>
      <c r="S484" t="e">
        <f ca="1"/>
        <v>#N/A</v>
      </c>
      <c r="T484" t="e">
        <f ca="1"/>
        <v>#N/A</v>
      </c>
      <c r="U484" t="e">
        <f ca="1"/>
        <v>#N/A</v>
      </c>
      <c r="V484" t="e">
        <f ca="1"/>
        <v>#N/A</v>
      </c>
      <c r="X484" s="2">
        <f t="shared" ca="1" si="50"/>
        <v>0</v>
      </c>
      <c r="Y484">
        <f t="shared" ca="1" si="51"/>
        <v>0</v>
      </c>
      <c r="AA484" s="63" t="e">
        <f t="shared" ca="1" si="53"/>
        <v>#N/A</v>
      </c>
      <c r="AB484" s="63" t="e">
        <f t="shared" ca="1" si="54"/>
        <v>#N/A</v>
      </c>
      <c r="AC484" s="3" t="e">
        <f t="shared" ca="1" si="55"/>
        <v>#N/A</v>
      </c>
    </row>
    <row r="485" spans="8:29">
      <c r="H485" t="e">
        <f t="shared" ca="1" si="52"/>
        <v>#N/A</v>
      </c>
      <c r="I485" t="e">
        <f t="shared" ca="1" si="49"/>
        <v>#N/A</v>
      </c>
      <c r="J485" s="2" t="e">
        <f ca="1"/>
        <v>#N/A</v>
      </c>
      <c r="K485" t="e">
        <f ca="1"/>
        <v>#N/A</v>
      </c>
      <c r="L485" t="e">
        <f ca="1"/>
        <v>#N/A</v>
      </c>
      <c r="M485" t="e">
        <f ca="1"/>
        <v>#N/A</v>
      </c>
      <c r="N485" t="e">
        <f ca="1"/>
        <v>#N/A</v>
      </c>
      <c r="O485" t="e">
        <f ca="1"/>
        <v>#N/A</v>
      </c>
      <c r="P485" t="e">
        <f ca="1"/>
        <v>#N/A</v>
      </c>
      <c r="Q485" t="e">
        <f ca="1"/>
        <v>#N/A</v>
      </c>
      <c r="R485" t="e">
        <f ca="1"/>
        <v>#N/A</v>
      </c>
      <c r="S485" t="e">
        <f ca="1"/>
        <v>#N/A</v>
      </c>
      <c r="T485" t="e">
        <f ca="1"/>
        <v>#N/A</v>
      </c>
      <c r="U485" t="e">
        <f ca="1"/>
        <v>#N/A</v>
      </c>
      <c r="V485" t="e">
        <f ca="1"/>
        <v>#N/A</v>
      </c>
      <c r="X485" s="2">
        <f t="shared" ca="1" si="50"/>
        <v>0</v>
      </c>
      <c r="Y485">
        <f t="shared" ca="1" si="51"/>
        <v>0</v>
      </c>
      <c r="AA485" s="63" t="e">
        <f t="shared" ca="1" si="53"/>
        <v>#N/A</v>
      </c>
      <c r="AB485" s="63" t="e">
        <f t="shared" ca="1" si="54"/>
        <v>#N/A</v>
      </c>
      <c r="AC485" s="3" t="e">
        <f t="shared" ca="1" si="55"/>
        <v>#N/A</v>
      </c>
    </row>
    <row r="486" spans="8:29">
      <c r="H486" t="e">
        <f t="shared" ca="1" si="52"/>
        <v>#N/A</v>
      </c>
      <c r="I486" t="e">
        <f t="shared" ca="1" si="49"/>
        <v>#N/A</v>
      </c>
      <c r="J486" s="2" t="e">
        <f ca="1"/>
        <v>#N/A</v>
      </c>
      <c r="K486" t="e">
        <f ca="1"/>
        <v>#N/A</v>
      </c>
      <c r="L486" t="e">
        <f ca="1"/>
        <v>#N/A</v>
      </c>
      <c r="M486" t="e">
        <f ca="1"/>
        <v>#N/A</v>
      </c>
      <c r="N486" t="e">
        <f ca="1"/>
        <v>#N/A</v>
      </c>
      <c r="O486" t="e">
        <f ca="1"/>
        <v>#N/A</v>
      </c>
      <c r="P486" t="e">
        <f ca="1"/>
        <v>#N/A</v>
      </c>
      <c r="Q486" t="e">
        <f ca="1"/>
        <v>#N/A</v>
      </c>
      <c r="R486" t="e">
        <f ca="1"/>
        <v>#N/A</v>
      </c>
      <c r="S486" t="e">
        <f ca="1"/>
        <v>#N/A</v>
      </c>
      <c r="T486" t="e">
        <f ca="1"/>
        <v>#N/A</v>
      </c>
      <c r="U486" t="e">
        <f ca="1"/>
        <v>#N/A</v>
      </c>
      <c r="V486" t="e">
        <f ca="1"/>
        <v>#N/A</v>
      </c>
      <c r="X486" s="2">
        <f t="shared" ca="1" si="50"/>
        <v>0</v>
      </c>
      <c r="Y486">
        <f t="shared" ca="1" si="51"/>
        <v>0</v>
      </c>
      <c r="AA486" s="63" t="e">
        <f t="shared" ca="1" si="53"/>
        <v>#N/A</v>
      </c>
      <c r="AB486" s="63" t="e">
        <f t="shared" ca="1" si="54"/>
        <v>#N/A</v>
      </c>
      <c r="AC486" s="3" t="e">
        <f t="shared" ca="1" si="55"/>
        <v>#N/A</v>
      </c>
    </row>
    <row r="487" spans="8:29">
      <c r="H487" t="e">
        <f t="shared" ca="1" si="52"/>
        <v>#N/A</v>
      </c>
      <c r="I487" t="e">
        <f t="shared" ca="1" si="49"/>
        <v>#N/A</v>
      </c>
      <c r="J487" s="2" t="e">
        <f ca="1"/>
        <v>#N/A</v>
      </c>
      <c r="K487" t="e">
        <f ca="1"/>
        <v>#N/A</v>
      </c>
      <c r="L487" t="e">
        <f ca="1"/>
        <v>#N/A</v>
      </c>
      <c r="M487" t="e">
        <f ca="1"/>
        <v>#N/A</v>
      </c>
      <c r="N487" t="e">
        <f ca="1"/>
        <v>#N/A</v>
      </c>
      <c r="O487" t="e">
        <f ca="1"/>
        <v>#N/A</v>
      </c>
      <c r="P487" t="e">
        <f ca="1"/>
        <v>#N/A</v>
      </c>
      <c r="Q487" t="e">
        <f ca="1"/>
        <v>#N/A</v>
      </c>
      <c r="R487" t="e">
        <f ca="1"/>
        <v>#N/A</v>
      </c>
      <c r="S487" t="e">
        <f ca="1"/>
        <v>#N/A</v>
      </c>
      <c r="T487" t="e">
        <f ca="1"/>
        <v>#N/A</v>
      </c>
      <c r="U487" t="e">
        <f ca="1"/>
        <v>#N/A</v>
      </c>
      <c r="V487" t="e">
        <f ca="1"/>
        <v>#N/A</v>
      </c>
      <c r="X487" s="2">
        <f t="shared" ca="1" si="50"/>
        <v>0</v>
      </c>
      <c r="Y487">
        <f t="shared" ca="1" si="51"/>
        <v>0</v>
      </c>
      <c r="AA487" s="63" t="e">
        <f t="shared" ca="1" si="53"/>
        <v>#N/A</v>
      </c>
      <c r="AB487" s="63" t="e">
        <f t="shared" ca="1" si="54"/>
        <v>#N/A</v>
      </c>
      <c r="AC487" s="3" t="e">
        <f t="shared" ca="1" si="55"/>
        <v>#N/A</v>
      </c>
    </row>
    <row r="488" spans="8:29">
      <c r="H488" t="e">
        <f t="shared" ca="1" si="52"/>
        <v>#N/A</v>
      </c>
      <c r="I488" t="e">
        <f t="shared" ca="1" si="49"/>
        <v>#N/A</v>
      </c>
      <c r="J488" s="2" t="e">
        <f ca="1"/>
        <v>#N/A</v>
      </c>
      <c r="K488" t="e">
        <f ca="1"/>
        <v>#N/A</v>
      </c>
      <c r="L488" t="e">
        <f ca="1"/>
        <v>#N/A</v>
      </c>
      <c r="M488" t="e">
        <f ca="1"/>
        <v>#N/A</v>
      </c>
      <c r="N488" t="e">
        <f ca="1"/>
        <v>#N/A</v>
      </c>
      <c r="O488" t="e">
        <f ca="1"/>
        <v>#N/A</v>
      </c>
      <c r="P488" t="e">
        <f ca="1"/>
        <v>#N/A</v>
      </c>
      <c r="Q488" t="e">
        <f ca="1"/>
        <v>#N/A</v>
      </c>
      <c r="R488" t="e">
        <f ca="1"/>
        <v>#N/A</v>
      </c>
      <c r="S488" t="e">
        <f ca="1"/>
        <v>#N/A</v>
      </c>
      <c r="T488" t="e">
        <f ca="1"/>
        <v>#N/A</v>
      </c>
      <c r="U488" t="e">
        <f ca="1"/>
        <v>#N/A</v>
      </c>
      <c r="V488" t="e">
        <f ca="1"/>
        <v>#N/A</v>
      </c>
      <c r="X488" s="2">
        <f t="shared" ca="1" si="50"/>
        <v>0</v>
      </c>
      <c r="Y488">
        <f t="shared" ca="1" si="51"/>
        <v>0</v>
      </c>
      <c r="AA488" s="63" t="e">
        <f t="shared" ca="1" si="53"/>
        <v>#N/A</v>
      </c>
      <c r="AB488" s="63" t="e">
        <f t="shared" ca="1" si="54"/>
        <v>#N/A</v>
      </c>
      <c r="AC488" s="3" t="e">
        <f t="shared" ca="1" si="55"/>
        <v>#N/A</v>
      </c>
    </row>
    <row r="489" spans="8:29">
      <c r="H489" t="e">
        <f t="shared" ca="1" si="52"/>
        <v>#N/A</v>
      </c>
      <c r="I489" t="e">
        <f t="shared" ca="1" si="49"/>
        <v>#N/A</v>
      </c>
      <c r="J489" s="2" t="e">
        <f ca="1"/>
        <v>#N/A</v>
      </c>
      <c r="K489" t="e">
        <f ca="1"/>
        <v>#N/A</v>
      </c>
      <c r="L489" t="e">
        <f ca="1"/>
        <v>#N/A</v>
      </c>
      <c r="M489" t="e">
        <f ca="1"/>
        <v>#N/A</v>
      </c>
      <c r="N489" t="e">
        <f ca="1"/>
        <v>#N/A</v>
      </c>
      <c r="O489" t="e">
        <f ca="1"/>
        <v>#N/A</v>
      </c>
      <c r="P489" t="e">
        <f ca="1"/>
        <v>#N/A</v>
      </c>
      <c r="Q489" t="e">
        <f ca="1"/>
        <v>#N/A</v>
      </c>
      <c r="R489" t="e">
        <f ca="1"/>
        <v>#N/A</v>
      </c>
      <c r="S489" t="e">
        <f ca="1"/>
        <v>#N/A</v>
      </c>
      <c r="T489" t="e">
        <f ca="1"/>
        <v>#N/A</v>
      </c>
      <c r="U489" t="e">
        <f ca="1"/>
        <v>#N/A</v>
      </c>
      <c r="V489" t="e">
        <f ca="1"/>
        <v>#N/A</v>
      </c>
      <c r="X489" s="2">
        <f t="shared" ca="1" si="50"/>
        <v>0</v>
      </c>
      <c r="Y489">
        <f t="shared" ca="1" si="51"/>
        <v>0</v>
      </c>
      <c r="AA489" s="63" t="e">
        <f t="shared" ca="1" si="53"/>
        <v>#N/A</v>
      </c>
      <c r="AB489" s="63" t="e">
        <f t="shared" ca="1" si="54"/>
        <v>#N/A</v>
      </c>
      <c r="AC489" s="3" t="e">
        <f t="shared" ca="1" si="55"/>
        <v>#N/A</v>
      </c>
    </row>
    <row r="490" spans="8:29">
      <c r="H490" t="e">
        <f t="shared" ca="1" si="52"/>
        <v>#N/A</v>
      </c>
      <c r="I490" t="e">
        <f t="shared" ca="1" si="49"/>
        <v>#N/A</v>
      </c>
      <c r="J490" s="2" t="e">
        <f ca="1"/>
        <v>#N/A</v>
      </c>
      <c r="K490" t="e">
        <f ca="1"/>
        <v>#N/A</v>
      </c>
      <c r="L490" t="e">
        <f ca="1"/>
        <v>#N/A</v>
      </c>
      <c r="M490" t="e">
        <f ca="1"/>
        <v>#N/A</v>
      </c>
      <c r="N490" t="e">
        <f ca="1"/>
        <v>#N/A</v>
      </c>
      <c r="O490" t="e">
        <f ca="1"/>
        <v>#N/A</v>
      </c>
      <c r="P490" t="e">
        <f ca="1"/>
        <v>#N/A</v>
      </c>
      <c r="Q490" t="e">
        <f ca="1"/>
        <v>#N/A</v>
      </c>
      <c r="R490" t="e">
        <f ca="1"/>
        <v>#N/A</v>
      </c>
      <c r="S490" t="e">
        <f ca="1"/>
        <v>#N/A</v>
      </c>
      <c r="T490" t="e">
        <f ca="1"/>
        <v>#N/A</v>
      </c>
      <c r="U490" t="e">
        <f ca="1"/>
        <v>#N/A</v>
      </c>
      <c r="V490" t="e">
        <f ca="1"/>
        <v>#N/A</v>
      </c>
      <c r="X490" s="2">
        <f t="shared" ca="1" si="50"/>
        <v>0</v>
      </c>
      <c r="Y490">
        <f t="shared" ca="1" si="51"/>
        <v>0</v>
      </c>
      <c r="AA490" s="63" t="e">
        <f t="shared" ca="1" si="53"/>
        <v>#N/A</v>
      </c>
      <c r="AB490" s="63" t="e">
        <f t="shared" ca="1" si="54"/>
        <v>#N/A</v>
      </c>
      <c r="AC490" s="3" t="e">
        <f t="shared" ca="1" si="55"/>
        <v>#N/A</v>
      </c>
    </row>
    <row r="491" spans="8:29">
      <c r="H491" t="e">
        <f t="shared" ca="1" si="52"/>
        <v>#N/A</v>
      </c>
      <c r="I491" t="e">
        <f t="shared" ca="1" si="49"/>
        <v>#N/A</v>
      </c>
      <c r="J491" s="2" t="e">
        <f ca="1"/>
        <v>#N/A</v>
      </c>
      <c r="K491" t="e">
        <f ca="1"/>
        <v>#N/A</v>
      </c>
      <c r="L491" t="e">
        <f ca="1"/>
        <v>#N/A</v>
      </c>
      <c r="M491" t="e">
        <f ca="1"/>
        <v>#N/A</v>
      </c>
      <c r="N491" t="e">
        <f ca="1"/>
        <v>#N/A</v>
      </c>
      <c r="O491" t="e">
        <f ca="1"/>
        <v>#N/A</v>
      </c>
      <c r="P491" t="e">
        <f ca="1"/>
        <v>#N/A</v>
      </c>
      <c r="Q491" t="e">
        <f ca="1"/>
        <v>#N/A</v>
      </c>
      <c r="R491" t="e">
        <f ca="1"/>
        <v>#N/A</v>
      </c>
      <c r="S491" t="e">
        <f ca="1"/>
        <v>#N/A</v>
      </c>
      <c r="T491" t="e">
        <f ca="1"/>
        <v>#N/A</v>
      </c>
      <c r="U491" t="e">
        <f ca="1"/>
        <v>#N/A</v>
      </c>
      <c r="V491" t="e">
        <f ca="1"/>
        <v>#N/A</v>
      </c>
      <c r="X491" s="2">
        <f t="shared" ca="1" si="50"/>
        <v>0</v>
      </c>
      <c r="Y491">
        <f t="shared" ca="1" si="51"/>
        <v>0</v>
      </c>
      <c r="AA491" s="63" t="e">
        <f t="shared" ca="1" si="53"/>
        <v>#N/A</v>
      </c>
      <c r="AB491" s="63" t="e">
        <f t="shared" ca="1" si="54"/>
        <v>#N/A</v>
      </c>
      <c r="AC491" s="3" t="e">
        <f t="shared" ca="1" si="55"/>
        <v>#N/A</v>
      </c>
    </row>
    <row r="492" spans="8:29">
      <c r="H492" t="e">
        <f t="shared" ca="1" si="52"/>
        <v>#N/A</v>
      </c>
      <c r="I492" t="e">
        <f t="shared" ca="1" si="49"/>
        <v>#N/A</v>
      </c>
      <c r="J492" s="2" t="e">
        <f ca="1"/>
        <v>#N/A</v>
      </c>
      <c r="K492" t="e">
        <f ca="1"/>
        <v>#N/A</v>
      </c>
      <c r="L492" t="e">
        <f ca="1"/>
        <v>#N/A</v>
      </c>
      <c r="M492" t="e">
        <f ca="1"/>
        <v>#N/A</v>
      </c>
      <c r="N492" t="e">
        <f ca="1"/>
        <v>#N/A</v>
      </c>
      <c r="O492" t="e">
        <f ca="1"/>
        <v>#N/A</v>
      </c>
      <c r="P492" t="e">
        <f ca="1"/>
        <v>#N/A</v>
      </c>
      <c r="Q492" t="e">
        <f ca="1"/>
        <v>#N/A</v>
      </c>
      <c r="R492" t="e">
        <f ca="1"/>
        <v>#N/A</v>
      </c>
      <c r="S492" t="e">
        <f ca="1"/>
        <v>#N/A</v>
      </c>
      <c r="T492" t="e">
        <f ca="1"/>
        <v>#N/A</v>
      </c>
      <c r="U492" t="e">
        <f ca="1"/>
        <v>#N/A</v>
      </c>
      <c r="V492" t="e">
        <f ca="1"/>
        <v>#N/A</v>
      </c>
      <c r="X492" s="2">
        <f t="shared" ca="1" si="50"/>
        <v>0</v>
      </c>
      <c r="Y492">
        <f t="shared" ca="1" si="51"/>
        <v>0</v>
      </c>
      <c r="AA492" s="63" t="e">
        <f t="shared" ca="1" si="53"/>
        <v>#N/A</v>
      </c>
      <c r="AB492" s="63" t="e">
        <f t="shared" ca="1" si="54"/>
        <v>#N/A</v>
      </c>
      <c r="AC492" s="3" t="e">
        <f t="shared" ca="1" si="55"/>
        <v>#N/A</v>
      </c>
    </row>
    <row r="493" spans="8:29">
      <c r="H493" t="e">
        <f t="shared" ca="1" si="52"/>
        <v>#N/A</v>
      </c>
      <c r="I493" t="e">
        <f t="shared" ca="1" si="49"/>
        <v>#N/A</v>
      </c>
      <c r="J493" s="2" t="e">
        <f ca="1"/>
        <v>#N/A</v>
      </c>
      <c r="K493" t="e">
        <f ca="1"/>
        <v>#N/A</v>
      </c>
      <c r="L493" t="e">
        <f ca="1"/>
        <v>#N/A</v>
      </c>
      <c r="M493" t="e">
        <f ca="1"/>
        <v>#N/A</v>
      </c>
      <c r="N493" t="e">
        <f ca="1"/>
        <v>#N/A</v>
      </c>
      <c r="O493" t="e">
        <f ca="1"/>
        <v>#N/A</v>
      </c>
      <c r="P493" t="e">
        <f ca="1"/>
        <v>#N/A</v>
      </c>
      <c r="Q493" t="e">
        <f ca="1"/>
        <v>#N/A</v>
      </c>
      <c r="R493" t="e">
        <f ca="1"/>
        <v>#N/A</v>
      </c>
      <c r="S493" t="e">
        <f ca="1"/>
        <v>#N/A</v>
      </c>
      <c r="T493" t="e">
        <f ca="1"/>
        <v>#N/A</v>
      </c>
      <c r="U493" t="e">
        <f ca="1"/>
        <v>#N/A</v>
      </c>
      <c r="V493" t="e">
        <f ca="1"/>
        <v>#N/A</v>
      </c>
      <c r="X493" s="2">
        <f t="shared" ca="1" si="50"/>
        <v>0</v>
      </c>
      <c r="Y493">
        <f t="shared" ca="1" si="51"/>
        <v>0</v>
      </c>
      <c r="AA493" s="63" t="e">
        <f t="shared" ca="1" si="53"/>
        <v>#N/A</v>
      </c>
      <c r="AB493" s="63" t="e">
        <f t="shared" ca="1" si="54"/>
        <v>#N/A</v>
      </c>
      <c r="AC493" s="3" t="e">
        <f t="shared" ca="1" si="55"/>
        <v>#N/A</v>
      </c>
    </row>
    <row r="494" spans="8:29">
      <c r="H494" t="e">
        <f t="shared" ca="1" si="52"/>
        <v>#N/A</v>
      </c>
      <c r="I494" t="e">
        <f t="shared" ca="1" si="49"/>
        <v>#N/A</v>
      </c>
      <c r="J494" s="2" t="e">
        <f ca="1"/>
        <v>#N/A</v>
      </c>
      <c r="K494" t="e">
        <f ca="1"/>
        <v>#N/A</v>
      </c>
      <c r="L494" t="e">
        <f ca="1"/>
        <v>#N/A</v>
      </c>
      <c r="M494" t="e">
        <f ca="1"/>
        <v>#N/A</v>
      </c>
      <c r="N494" t="e">
        <f ca="1"/>
        <v>#N/A</v>
      </c>
      <c r="O494" t="e">
        <f ca="1"/>
        <v>#N/A</v>
      </c>
      <c r="P494" t="e">
        <f ca="1"/>
        <v>#N/A</v>
      </c>
      <c r="Q494" t="e">
        <f ca="1"/>
        <v>#N/A</v>
      </c>
      <c r="R494" t="e">
        <f ca="1"/>
        <v>#N/A</v>
      </c>
      <c r="S494" t="e">
        <f ca="1"/>
        <v>#N/A</v>
      </c>
      <c r="T494" t="e">
        <f ca="1"/>
        <v>#N/A</v>
      </c>
      <c r="U494" t="e">
        <f ca="1"/>
        <v>#N/A</v>
      </c>
      <c r="V494" t="e">
        <f ca="1"/>
        <v>#N/A</v>
      </c>
      <c r="X494" s="2">
        <f t="shared" ca="1" si="50"/>
        <v>0</v>
      </c>
      <c r="Y494">
        <f t="shared" ca="1" si="51"/>
        <v>0</v>
      </c>
      <c r="AA494" s="63" t="e">
        <f t="shared" ca="1" si="53"/>
        <v>#N/A</v>
      </c>
      <c r="AB494" s="63" t="e">
        <f t="shared" ca="1" si="54"/>
        <v>#N/A</v>
      </c>
      <c r="AC494" s="3" t="e">
        <f t="shared" ca="1" si="55"/>
        <v>#N/A</v>
      </c>
    </row>
    <row r="495" spans="8:29">
      <c r="H495" t="e">
        <f t="shared" ca="1" si="52"/>
        <v>#N/A</v>
      </c>
      <c r="I495" t="e">
        <f t="shared" ca="1" si="49"/>
        <v>#N/A</v>
      </c>
      <c r="J495" s="2" t="e">
        <f ca="1"/>
        <v>#N/A</v>
      </c>
      <c r="K495" t="e">
        <f ca="1"/>
        <v>#N/A</v>
      </c>
      <c r="L495" t="e">
        <f ca="1"/>
        <v>#N/A</v>
      </c>
      <c r="M495" t="e">
        <f ca="1"/>
        <v>#N/A</v>
      </c>
      <c r="N495" t="e">
        <f ca="1"/>
        <v>#N/A</v>
      </c>
      <c r="O495" t="e">
        <f ca="1"/>
        <v>#N/A</v>
      </c>
      <c r="P495" t="e">
        <f ca="1"/>
        <v>#N/A</v>
      </c>
      <c r="Q495" t="e">
        <f ca="1"/>
        <v>#N/A</v>
      </c>
      <c r="R495" t="e">
        <f ca="1"/>
        <v>#N/A</v>
      </c>
      <c r="S495" t="e">
        <f ca="1"/>
        <v>#N/A</v>
      </c>
      <c r="T495" t="e">
        <f ca="1"/>
        <v>#N/A</v>
      </c>
      <c r="U495" t="e">
        <f ca="1"/>
        <v>#N/A</v>
      </c>
      <c r="V495" t="e">
        <f ca="1"/>
        <v>#N/A</v>
      </c>
      <c r="X495" s="2">
        <f t="shared" ca="1" si="50"/>
        <v>0</v>
      </c>
      <c r="Y495">
        <f t="shared" ca="1" si="51"/>
        <v>0</v>
      </c>
      <c r="AA495" s="63" t="e">
        <f t="shared" ca="1" si="53"/>
        <v>#N/A</v>
      </c>
      <c r="AB495" s="63" t="e">
        <f t="shared" ca="1" si="54"/>
        <v>#N/A</v>
      </c>
      <c r="AC495" s="3" t="e">
        <f t="shared" ca="1" si="55"/>
        <v>#N/A</v>
      </c>
    </row>
    <row r="496" spans="8:29">
      <c r="H496" t="e">
        <f t="shared" ca="1" si="52"/>
        <v>#N/A</v>
      </c>
      <c r="I496" t="e">
        <f t="shared" ca="1" si="49"/>
        <v>#N/A</v>
      </c>
      <c r="J496" s="2" t="e">
        <f ca="1"/>
        <v>#N/A</v>
      </c>
      <c r="K496" t="e">
        <f ca="1"/>
        <v>#N/A</v>
      </c>
      <c r="L496" t="e">
        <f ca="1"/>
        <v>#N/A</v>
      </c>
      <c r="M496" t="e">
        <f ca="1"/>
        <v>#N/A</v>
      </c>
      <c r="N496" t="e">
        <f ca="1"/>
        <v>#N/A</v>
      </c>
      <c r="O496" t="e">
        <f ca="1"/>
        <v>#N/A</v>
      </c>
      <c r="P496" t="e">
        <f ca="1"/>
        <v>#N/A</v>
      </c>
      <c r="Q496" t="e">
        <f ca="1"/>
        <v>#N/A</v>
      </c>
      <c r="R496" t="e">
        <f ca="1"/>
        <v>#N/A</v>
      </c>
      <c r="S496" t="e">
        <f ca="1"/>
        <v>#N/A</v>
      </c>
      <c r="T496" t="e">
        <f ca="1"/>
        <v>#N/A</v>
      </c>
      <c r="U496" t="e">
        <f ca="1"/>
        <v>#N/A</v>
      </c>
      <c r="V496" t="e">
        <f ca="1"/>
        <v>#N/A</v>
      </c>
      <c r="X496" s="2">
        <f t="shared" ca="1" si="50"/>
        <v>0</v>
      </c>
      <c r="Y496">
        <f t="shared" ca="1" si="51"/>
        <v>0</v>
      </c>
      <c r="AA496" s="63" t="e">
        <f t="shared" ca="1" si="53"/>
        <v>#N/A</v>
      </c>
      <c r="AB496" s="63" t="e">
        <f t="shared" ca="1" si="54"/>
        <v>#N/A</v>
      </c>
      <c r="AC496" s="3" t="e">
        <f t="shared" ca="1" si="55"/>
        <v>#N/A</v>
      </c>
    </row>
    <row r="497" spans="8:29">
      <c r="H497" t="e">
        <f t="shared" ref="H497:H560" ca="1" si="56">IF(J497&lt;$J$4,TRUE,FALSE)</f>
        <v>#N/A</v>
      </c>
      <c r="I497" t="e">
        <f t="shared" ref="I497:I560" ca="1" si="57">AND(IF(J497&gt;($J$3-1),TRUE,FALSE),IF(J497&lt;($J$4+1),TRUE,FALSE))</f>
        <v>#N/A</v>
      </c>
      <c r="J497" t="e">
        <f ca="1"/>
        <v>#N/A</v>
      </c>
      <c r="K497" t="e">
        <f ca="1"/>
        <v>#N/A</v>
      </c>
      <c r="L497" t="e">
        <f ca="1"/>
        <v>#N/A</v>
      </c>
      <c r="M497" t="e">
        <f ca="1"/>
        <v>#N/A</v>
      </c>
      <c r="N497" t="e">
        <f ca="1"/>
        <v>#N/A</v>
      </c>
      <c r="O497" t="e">
        <f ca="1"/>
        <v>#N/A</v>
      </c>
      <c r="P497" t="e">
        <f ca="1"/>
        <v>#N/A</v>
      </c>
      <c r="Q497" t="e">
        <f ca="1"/>
        <v>#N/A</v>
      </c>
      <c r="R497" t="e">
        <f ca="1"/>
        <v>#N/A</v>
      </c>
      <c r="S497" t="e">
        <f ca="1"/>
        <v>#N/A</v>
      </c>
      <c r="T497" t="e">
        <f ca="1"/>
        <v>#N/A</v>
      </c>
      <c r="U497" t="e">
        <f ca="1"/>
        <v>#N/A</v>
      </c>
      <c r="V497" t="e">
        <f ca="1"/>
        <v>#N/A</v>
      </c>
      <c r="X497" s="2">
        <f t="shared" ref="X497:X560" ca="1" si="58">IFERROR(J497,$X$5)</f>
        <v>0</v>
      </c>
      <c r="Y497">
        <f t="shared" ref="Y497:Y560" ca="1" si="59">IFERROR(O497,0)</f>
        <v>0</v>
      </c>
      <c r="AA497" s="63" t="e">
        <f t="shared" ref="AA497:AA560" ca="1" si="60">K496+M497+N497+O497</f>
        <v>#N/A</v>
      </c>
      <c r="AB497" s="63" t="e">
        <f t="shared" ref="AB497:AB560" ca="1" si="61">K497+L497+R497</f>
        <v>#N/A</v>
      </c>
      <c r="AC497" s="3" t="e">
        <f t="shared" ref="AC497:AC560" ca="1" si="62">AB497-AA497</f>
        <v>#N/A</v>
      </c>
    </row>
    <row r="498" spans="8:29">
      <c r="H498" t="e">
        <f t="shared" ca="1" si="56"/>
        <v>#N/A</v>
      </c>
      <c r="I498" t="e">
        <f t="shared" ca="1" si="57"/>
        <v>#N/A</v>
      </c>
      <c r="J498" t="e">
        <f ca="1"/>
        <v>#N/A</v>
      </c>
      <c r="K498" t="e">
        <f ca="1"/>
        <v>#N/A</v>
      </c>
      <c r="L498" t="e">
        <f ca="1"/>
        <v>#N/A</v>
      </c>
      <c r="M498" t="e">
        <f ca="1"/>
        <v>#N/A</v>
      </c>
      <c r="N498" t="e">
        <f ca="1"/>
        <v>#N/A</v>
      </c>
      <c r="O498" t="e">
        <f ca="1"/>
        <v>#N/A</v>
      </c>
      <c r="P498" t="e">
        <f ca="1"/>
        <v>#N/A</v>
      </c>
      <c r="Q498" t="e">
        <f ca="1"/>
        <v>#N/A</v>
      </c>
      <c r="R498" t="e">
        <f ca="1"/>
        <v>#N/A</v>
      </c>
      <c r="S498" t="e">
        <f ca="1"/>
        <v>#N/A</v>
      </c>
      <c r="T498" t="e">
        <f ca="1"/>
        <v>#N/A</v>
      </c>
      <c r="U498" t="e">
        <f ca="1"/>
        <v>#N/A</v>
      </c>
      <c r="V498" t="e">
        <f ca="1"/>
        <v>#N/A</v>
      </c>
      <c r="X498" s="2">
        <f t="shared" ca="1" si="58"/>
        <v>0</v>
      </c>
      <c r="Y498">
        <f t="shared" ca="1" si="59"/>
        <v>0</v>
      </c>
      <c r="AA498" s="63" t="e">
        <f t="shared" ca="1" si="60"/>
        <v>#N/A</v>
      </c>
      <c r="AB498" s="63" t="e">
        <f t="shared" ca="1" si="61"/>
        <v>#N/A</v>
      </c>
      <c r="AC498" s="3" t="e">
        <f t="shared" ca="1" si="62"/>
        <v>#N/A</v>
      </c>
    </row>
    <row r="499" spans="8:29">
      <c r="H499" t="e">
        <f t="shared" ca="1" si="56"/>
        <v>#N/A</v>
      </c>
      <c r="I499" t="e">
        <f t="shared" ca="1" si="57"/>
        <v>#N/A</v>
      </c>
      <c r="J499" t="e">
        <f ca="1"/>
        <v>#N/A</v>
      </c>
      <c r="K499" t="e">
        <f ca="1"/>
        <v>#N/A</v>
      </c>
      <c r="L499" t="e">
        <f ca="1"/>
        <v>#N/A</v>
      </c>
      <c r="M499" t="e">
        <f ca="1"/>
        <v>#N/A</v>
      </c>
      <c r="N499" t="e">
        <f ca="1"/>
        <v>#N/A</v>
      </c>
      <c r="O499" t="e">
        <f ca="1"/>
        <v>#N/A</v>
      </c>
      <c r="P499" t="e">
        <f ca="1"/>
        <v>#N/A</v>
      </c>
      <c r="Q499" t="e">
        <f ca="1"/>
        <v>#N/A</v>
      </c>
      <c r="R499" t="e">
        <f ca="1"/>
        <v>#N/A</v>
      </c>
      <c r="S499" t="e">
        <f ca="1"/>
        <v>#N/A</v>
      </c>
      <c r="T499" t="e">
        <f ca="1"/>
        <v>#N/A</v>
      </c>
      <c r="U499" t="e">
        <f ca="1"/>
        <v>#N/A</v>
      </c>
      <c r="V499" t="e">
        <f ca="1"/>
        <v>#N/A</v>
      </c>
      <c r="X499" s="2">
        <f t="shared" ca="1" si="58"/>
        <v>0</v>
      </c>
      <c r="Y499">
        <f t="shared" ca="1" si="59"/>
        <v>0</v>
      </c>
      <c r="AA499" s="63" t="e">
        <f t="shared" ca="1" si="60"/>
        <v>#N/A</v>
      </c>
      <c r="AB499" s="63" t="e">
        <f t="shared" ca="1" si="61"/>
        <v>#N/A</v>
      </c>
      <c r="AC499" s="3" t="e">
        <f t="shared" ca="1" si="62"/>
        <v>#N/A</v>
      </c>
    </row>
    <row r="500" spans="8:29">
      <c r="H500" t="e">
        <f t="shared" ca="1" si="56"/>
        <v>#N/A</v>
      </c>
      <c r="I500" t="e">
        <f t="shared" ca="1" si="57"/>
        <v>#N/A</v>
      </c>
      <c r="J500" t="e">
        <f ca="1"/>
        <v>#N/A</v>
      </c>
      <c r="K500" t="e">
        <f ca="1"/>
        <v>#N/A</v>
      </c>
      <c r="L500" t="e">
        <f ca="1"/>
        <v>#N/A</v>
      </c>
      <c r="M500" t="e">
        <f ca="1"/>
        <v>#N/A</v>
      </c>
      <c r="N500" t="e">
        <f ca="1"/>
        <v>#N/A</v>
      </c>
      <c r="O500" t="e">
        <f ca="1"/>
        <v>#N/A</v>
      </c>
      <c r="P500" t="e">
        <f ca="1"/>
        <v>#N/A</v>
      </c>
      <c r="Q500" t="e">
        <f ca="1"/>
        <v>#N/A</v>
      </c>
      <c r="R500" t="e">
        <f ca="1"/>
        <v>#N/A</v>
      </c>
      <c r="S500" t="e">
        <f ca="1"/>
        <v>#N/A</v>
      </c>
      <c r="T500" t="e">
        <f ca="1"/>
        <v>#N/A</v>
      </c>
      <c r="U500" t="e">
        <f ca="1"/>
        <v>#N/A</v>
      </c>
      <c r="V500" t="e">
        <f ca="1"/>
        <v>#N/A</v>
      </c>
      <c r="X500" s="2">
        <f t="shared" ca="1" si="58"/>
        <v>0</v>
      </c>
      <c r="Y500">
        <f t="shared" ca="1" si="59"/>
        <v>0</v>
      </c>
      <c r="AA500" s="63" t="e">
        <f t="shared" ca="1" si="60"/>
        <v>#N/A</v>
      </c>
      <c r="AB500" s="63" t="e">
        <f t="shared" ca="1" si="61"/>
        <v>#N/A</v>
      </c>
      <c r="AC500" s="3" t="e">
        <f t="shared" ca="1" si="62"/>
        <v>#N/A</v>
      </c>
    </row>
    <row r="501" spans="8:29">
      <c r="H501" t="e">
        <f t="shared" ca="1" si="56"/>
        <v>#N/A</v>
      </c>
      <c r="I501" t="e">
        <f t="shared" ca="1" si="57"/>
        <v>#N/A</v>
      </c>
      <c r="J501" t="e">
        <f ca="1"/>
        <v>#N/A</v>
      </c>
      <c r="K501" t="e">
        <f ca="1"/>
        <v>#N/A</v>
      </c>
      <c r="L501" t="e">
        <f ca="1"/>
        <v>#N/A</v>
      </c>
      <c r="M501" t="e">
        <f ca="1"/>
        <v>#N/A</v>
      </c>
      <c r="N501" t="e">
        <f ca="1"/>
        <v>#N/A</v>
      </c>
      <c r="O501" t="e">
        <f ca="1"/>
        <v>#N/A</v>
      </c>
      <c r="P501" t="e">
        <f ca="1"/>
        <v>#N/A</v>
      </c>
      <c r="Q501" t="e">
        <f ca="1"/>
        <v>#N/A</v>
      </c>
      <c r="R501" t="e">
        <f ca="1"/>
        <v>#N/A</v>
      </c>
      <c r="S501" t="e">
        <f ca="1"/>
        <v>#N/A</v>
      </c>
      <c r="T501" t="e">
        <f ca="1"/>
        <v>#N/A</v>
      </c>
      <c r="U501" t="e">
        <f ca="1"/>
        <v>#N/A</v>
      </c>
      <c r="V501" t="e">
        <f ca="1"/>
        <v>#N/A</v>
      </c>
      <c r="X501" s="2">
        <f t="shared" ca="1" si="58"/>
        <v>0</v>
      </c>
      <c r="Y501">
        <f t="shared" ca="1" si="59"/>
        <v>0</v>
      </c>
      <c r="AA501" s="63" t="e">
        <f t="shared" ca="1" si="60"/>
        <v>#N/A</v>
      </c>
      <c r="AB501" s="63" t="e">
        <f t="shared" ca="1" si="61"/>
        <v>#N/A</v>
      </c>
      <c r="AC501" s="3" t="e">
        <f t="shared" ca="1" si="62"/>
        <v>#N/A</v>
      </c>
    </row>
    <row r="502" spans="8:29">
      <c r="H502" t="e">
        <f t="shared" ca="1" si="56"/>
        <v>#N/A</v>
      </c>
      <c r="I502" t="e">
        <f t="shared" ca="1" si="57"/>
        <v>#N/A</v>
      </c>
      <c r="J502" t="e">
        <f ca="1"/>
        <v>#N/A</v>
      </c>
      <c r="K502" t="e">
        <f ca="1"/>
        <v>#N/A</v>
      </c>
      <c r="L502" t="e">
        <f ca="1"/>
        <v>#N/A</v>
      </c>
      <c r="M502" t="e">
        <f ca="1"/>
        <v>#N/A</v>
      </c>
      <c r="N502" t="e">
        <f ca="1"/>
        <v>#N/A</v>
      </c>
      <c r="O502" t="e">
        <f ca="1"/>
        <v>#N/A</v>
      </c>
      <c r="P502" t="e">
        <f ca="1"/>
        <v>#N/A</v>
      </c>
      <c r="Q502" t="e">
        <f ca="1"/>
        <v>#N/A</v>
      </c>
      <c r="R502" t="e">
        <f ca="1"/>
        <v>#N/A</v>
      </c>
      <c r="S502" t="e">
        <f ca="1"/>
        <v>#N/A</v>
      </c>
      <c r="T502" t="e">
        <f ca="1"/>
        <v>#N/A</v>
      </c>
      <c r="U502" t="e">
        <f ca="1"/>
        <v>#N/A</v>
      </c>
      <c r="V502" t="e">
        <f ca="1"/>
        <v>#N/A</v>
      </c>
      <c r="X502" s="2">
        <f t="shared" ca="1" si="58"/>
        <v>0</v>
      </c>
      <c r="Y502">
        <f t="shared" ca="1" si="59"/>
        <v>0</v>
      </c>
      <c r="AA502" s="63" t="e">
        <f t="shared" ca="1" si="60"/>
        <v>#N/A</v>
      </c>
      <c r="AB502" s="63" t="e">
        <f t="shared" ca="1" si="61"/>
        <v>#N/A</v>
      </c>
      <c r="AC502" s="3" t="e">
        <f t="shared" ca="1" si="62"/>
        <v>#N/A</v>
      </c>
    </row>
    <row r="503" spans="8:29">
      <c r="H503" t="e">
        <f t="shared" ca="1" si="56"/>
        <v>#N/A</v>
      </c>
      <c r="I503" t="e">
        <f t="shared" ca="1" si="57"/>
        <v>#N/A</v>
      </c>
      <c r="J503" t="e">
        <f ca="1"/>
        <v>#N/A</v>
      </c>
      <c r="K503" t="e">
        <f ca="1"/>
        <v>#N/A</v>
      </c>
      <c r="L503" t="e">
        <f ca="1"/>
        <v>#N/A</v>
      </c>
      <c r="M503" t="e">
        <f ca="1"/>
        <v>#N/A</v>
      </c>
      <c r="N503" t="e">
        <f ca="1"/>
        <v>#N/A</v>
      </c>
      <c r="O503" t="e">
        <f ca="1"/>
        <v>#N/A</v>
      </c>
      <c r="P503" t="e">
        <f ca="1"/>
        <v>#N/A</v>
      </c>
      <c r="Q503" t="e">
        <f ca="1"/>
        <v>#N/A</v>
      </c>
      <c r="R503" t="e">
        <f ca="1"/>
        <v>#N/A</v>
      </c>
      <c r="S503" t="e">
        <f ca="1"/>
        <v>#N/A</v>
      </c>
      <c r="T503" t="e">
        <f ca="1"/>
        <v>#N/A</v>
      </c>
      <c r="U503" t="e">
        <f ca="1"/>
        <v>#N/A</v>
      </c>
      <c r="V503" t="e">
        <f ca="1"/>
        <v>#N/A</v>
      </c>
      <c r="X503" s="2">
        <f t="shared" ca="1" si="58"/>
        <v>0</v>
      </c>
      <c r="Y503">
        <f t="shared" ca="1" si="59"/>
        <v>0</v>
      </c>
      <c r="AA503" s="63" t="e">
        <f t="shared" ca="1" si="60"/>
        <v>#N/A</v>
      </c>
      <c r="AB503" s="63" t="e">
        <f t="shared" ca="1" si="61"/>
        <v>#N/A</v>
      </c>
      <c r="AC503" s="3" t="e">
        <f t="shared" ca="1" si="62"/>
        <v>#N/A</v>
      </c>
    </row>
    <row r="504" spans="8:29">
      <c r="H504" t="e">
        <f t="shared" ca="1" si="56"/>
        <v>#N/A</v>
      </c>
      <c r="I504" t="e">
        <f t="shared" ca="1" si="57"/>
        <v>#N/A</v>
      </c>
      <c r="J504" t="e">
        <f ca="1"/>
        <v>#N/A</v>
      </c>
      <c r="K504" t="e">
        <f ca="1"/>
        <v>#N/A</v>
      </c>
      <c r="L504" t="e">
        <f ca="1"/>
        <v>#N/A</v>
      </c>
      <c r="M504" t="e">
        <f ca="1"/>
        <v>#N/A</v>
      </c>
      <c r="N504" t="e">
        <f ca="1"/>
        <v>#N/A</v>
      </c>
      <c r="O504" t="e">
        <f ca="1"/>
        <v>#N/A</v>
      </c>
      <c r="P504" t="e">
        <f ca="1"/>
        <v>#N/A</v>
      </c>
      <c r="Q504" t="e">
        <f ca="1"/>
        <v>#N/A</v>
      </c>
      <c r="R504" t="e">
        <f ca="1"/>
        <v>#N/A</v>
      </c>
      <c r="S504" t="e">
        <f ca="1"/>
        <v>#N/A</v>
      </c>
      <c r="T504" t="e">
        <f ca="1"/>
        <v>#N/A</v>
      </c>
      <c r="U504" t="e">
        <f ca="1"/>
        <v>#N/A</v>
      </c>
      <c r="V504" t="e">
        <f ca="1"/>
        <v>#N/A</v>
      </c>
      <c r="X504" s="2">
        <f t="shared" ca="1" si="58"/>
        <v>0</v>
      </c>
      <c r="Y504">
        <f t="shared" ca="1" si="59"/>
        <v>0</v>
      </c>
      <c r="AA504" s="63" t="e">
        <f t="shared" ca="1" si="60"/>
        <v>#N/A</v>
      </c>
      <c r="AB504" s="63" t="e">
        <f t="shared" ca="1" si="61"/>
        <v>#N/A</v>
      </c>
      <c r="AC504" s="3" t="e">
        <f t="shared" ca="1" si="62"/>
        <v>#N/A</v>
      </c>
    </row>
    <row r="505" spans="8:29">
      <c r="H505" t="e">
        <f t="shared" ca="1" si="56"/>
        <v>#N/A</v>
      </c>
      <c r="I505" t="e">
        <f t="shared" ca="1" si="57"/>
        <v>#N/A</v>
      </c>
      <c r="J505" t="e">
        <f ca="1"/>
        <v>#N/A</v>
      </c>
      <c r="K505" t="e">
        <f ca="1"/>
        <v>#N/A</v>
      </c>
      <c r="L505" t="e">
        <f ca="1"/>
        <v>#N/A</v>
      </c>
      <c r="M505" t="e">
        <f ca="1"/>
        <v>#N/A</v>
      </c>
      <c r="N505" t="e">
        <f ca="1"/>
        <v>#N/A</v>
      </c>
      <c r="O505" t="e">
        <f ca="1"/>
        <v>#N/A</v>
      </c>
      <c r="P505" t="e">
        <f ca="1"/>
        <v>#N/A</v>
      </c>
      <c r="Q505" t="e">
        <f ca="1"/>
        <v>#N/A</v>
      </c>
      <c r="R505" t="e">
        <f ca="1"/>
        <v>#N/A</v>
      </c>
      <c r="S505" t="e">
        <f ca="1"/>
        <v>#N/A</v>
      </c>
      <c r="T505" t="e">
        <f ca="1"/>
        <v>#N/A</v>
      </c>
      <c r="U505" t="e">
        <f ca="1"/>
        <v>#N/A</v>
      </c>
      <c r="V505" t="e">
        <f ca="1"/>
        <v>#N/A</v>
      </c>
      <c r="X505" s="2">
        <f t="shared" ca="1" si="58"/>
        <v>0</v>
      </c>
      <c r="Y505">
        <f t="shared" ca="1" si="59"/>
        <v>0</v>
      </c>
      <c r="AA505" s="63" t="e">
        <f t="shared" ca="1" si="60"/>
        <v>#N/A</v>
      </c>
      <c r="AB505" s="63" t="e">
        <f t="shared" ca="1" si="61"/>
        <v>#N/A</v>
      </c>
      <c r="AC505" s="3" t="e">
        <f t="shared" ca="1" si="62"/>
        <v>#N/A</v>
      </c>
    </row>
    <row r="506" spans="8:29">
      <c r="H506" t="e">
        <f t="shared" ca="1" si="56"/>
        <v>#N/A</v>
      </c>
      <c r="I506" t="e">
        <f t="shared" ca="1" si="57"/>
        <v>#N/A</v>
      </c>
      <c r="J506" t="e">
        <f ca="1"/>
        <v>#N/A</v>
      </c>
      <c r="K506" t="e">
        <f ca="1"/>
        <v>#N/A</v>
      </c>
      <c r="L506" t="e">
        <f ca="1"/>
        <v>#N/A</v>
      </c>
      <c r="M506" t="e">
        <f ca="1"/>
        <v>#N/A</v>
      </c>
      <c r="N506" t="e">
        <f ca="1"/>
        <v>#N/A</v>
      </c>
      <c r="O506" t="e">
        <f ca="1"/>
        <v>#N/A</v>
      </c>
      <c r="P506" t="e">
        <f ca="1"/>
        <v>#N/A</v>
      </c>
      <c r="Q506" t="e">
        <f ca="1"/>
        <v>#N/A</v>
      </c>
      <c r="R506" t="e">
        <f ca="1"/>
        <v>#N/A</v>
      </c>
      <c r="S506" t="e">
        <f ca="1"/>
        <v>#N/A</v>
      </c>
      <c r="T506" t="e">
        <f ca="1"/>
        <v>#N/A</v>
      </c>
      <c r="U506" t="e">
        <f ca="1"/>
        <v>#N/A</v>
      </c>
      <c r="V506" t="e">
        <f ca="1"/>
        <v>#N/A</v>
      </c>
      <c r="X506" s="2">
        <f t="shared" ca="1" si="58"/>
        <v>0</v>
      </c>
      <c r="Y506">
        <f t="shared" ca="1" si="59"/>
        <v>0</v>
      </c>
      <c r="AA506" s="63" t="e">
        <f t="shared" ca="1" si="60"/>
        <v>#N/A</v>
      </c>
      <c r="AB506" s="63" t="e">
        <f t="shared" ca="1" si="61"/>
        <v>#N/A</v>
      </c>
      <c r="AC506" s="3" t="e">
        <f t="shared" ca="1" si="62"/>
        <v>#N/A</v>
      </c>
    </row>
    <row r="507" spans="8:29">
      <c r="H507" t="e">
        <f t="shared" ca="1" si="56"/>
        <v>#N/A</v>
      </c>
      <c r="I507" t="e">
        <f t="shared" ca="1" si="57"/>
        <v>#N/A</v>
      </c>
      <c r="J507" t="e">
        <f ca="1"/>
        <v>#N/A</v>
      </c>
      <c r="K507" t="e">
        <f ca="1"/>
        <v>#N/A</v>
      </c>
      <c r="L507" t="e">
        <f ca="1"/>
        <v>#N/A</v>
      </c>
      <c r="M507" t="e">
        <f ca="1"/>
        <v>#N/A</v>
      </c>
      <c r="N507" t="e">
        <f ca="1"/>
        <v>#N/A</v>
      </c>
      <c r="O507" t="e">
        <f ca="1"/>
        <v>#N/A</v>
      </c>
      <c r="P507" t="e">
        <f ca="1"/>
        <v>#N/A</v>
      </c>
      <c r="Q507" t="e">
        <f ca="1"/>
        <v>#N/A</v>
      </c>
      <c r="R507" t="e">
        <f ca="1"/>
        <v>#N/A</v>
      </c>
      <c r="S507" t="e">
        <f ca="1"/>
        <v>#N/A</v>
      </c>
      <c r="T507" t="e">
        <f ca="1"/>
        <v>#N/A</v>
      </c>
      <c r="U507" t="e">
        <f ca="1"/>
        <v>#N/A</v>
      </c>
      <c r="V507" t="e">
        <f ca="1"/>
        <v>#N/A</v>
      </c>
      <c r="X507" s="2">
        <f t="shared" ca="1" si="58"/>
        <v>0</v>
      </c>
      <c r="Y507">
        <f t="shared" ca="1" si="59"/>
        <v>0</v>
      </c>
      <c r="AA507" s="63" t="e">
        <f t="shared" ca="1" si="60"/>
        <v>#N/A</v>
      </c>
      <c r="AB507" s="63" t="e">
        <f t="shared" ca="1" si="61"/>
        <v>#N/A</v>
      </c>
      <c r="AC507" s="3" t="e">
        <f t="shared" ca="1" si="62"/>
        <v>#N/A</v>
      </c>
    </row>
    <row r="508" spans="8:29">
      <c r="H508" t="e">
        <f t="shared" ca="1" si="56"/>
        <v>#N/A</v>
      </c>
      <c r="I508" t="e">
        <f t="shared" ca="1" si="57"/>
        <v>#N/A</v>
      </c>
      <c r="J508" t="e">
        <f ca="1"/>
        <v>#N/A</v>
      </c>
      <c r="K508" t="e">
        <f ca="1"/>
        <v>#N/A</v>
      </c>
      <c r="L508" t="e">
        <f ca="1"/>
        <v>#N/A</v>
      </c>
      <c r="M508" t="e">
        <f ca="1"/>
        <v>#N/A</v>
      </c>
      <c r="N508" t="e">
        <f ca="1"/>
        <v>#N/A</v>
      </c>
      <c r="O508" t="e">
        <f ca="1"/>
        <v>#N/A</v>
      </c>
      <c r="P508" t="e">
        <f ca="1"/>
        <v>#N/A</v>
      </c>
      <c r="Q508" t="e">
        <f ca="1"/>
        <v>#N/A</v>
      </c>
      <c r="R508" t="e">
        <f ca="1"/>
        <v>#N/A</v>
      </c>
      <c r="S508" t="e">
        <f ca="1"/>
        <v>#N/A</v>
      </c>
      <c r="T508" t="e">
        <f ca="1"/>
        <v>#N/A</v>
      </c>
      <c r="U508" t="e">
        <f ca="1"/>
        <v>#N/A</v>
      </c>
      <c r="V508" t="e">
        <f ca="1"/>
        <v>#N/A</v>
      </c>
      <c r="X508" s="2">
        <f t="shared" ca="1" si="58"/>
        <v>0</v>
      </c>
      <c r="Y508">
        <f t="shared" ca="1" si="59"/>
        <v>0</v>
      </c>
      <c r="AA508" s="63" t="e">
        <f t="shared" ca="1" si="60"/>
        <v>#N/A</v>
      </c>
      <c r="AB508" s="63" t="e">
        <f t="shared" ca="1" si="61"/>
        <v>#N/A</v>
      </c>
      <c r="AC508" s="3" t="e">
        <f t="shared" ca="1" si="62"/>
        <v>#N/A</v>
      </c>
    </row>
    <row r="509" spans="8:29">
      <c r="H509" t="e">
        <f t="shared" ca="1" si="56"/>
        <v>#N/A</v>
      </c>
      <c r="I509" t="e">
        <f t="shared" ca="1" si="57"/>
        <v>#N/A</v>
      </c>
      <c r="J509" t="e">
        <f ca="1"/>
        <v>#N/A</v>
      </c>
      <c r="K509" t="e">
        <f ca="1"/>
        <v>#N/A</v>
      </c>
      <c r="L509" t="e">
        <f ca="1"/>
        <v>#N/A</v>
      </c>
      <c r="M509" t="e">
        <f ca="1"/>
        <v>#N/A</v>
      </c>
      <c r="N509" t="e">
        <f ca="1"/>
        <v>#N/A</v>
      </c>
      <c r="O509" t="e">
        <f ca="1"/>
        <v>#N/A</v>
      </c>
      <c r="P509" t="e">
        <f ca="1"/>
        <v>#N/A</v>
      </c>
      <c r="Q509" t="e">
        <f ca="1"/>
        <v>#N/A</v>
      </c>
      <c r="R509" t="e">
        <f ca="1"/>
        <v>#N/A</v>
      </c>
      <c r="S509" t="e">
        <f ca="1"/>
        <v>#N/A</v>
      </c>
      <c r="T509" t="e">
        <f ca="1"/>
        <v>#N/A</v>
      </c>
      <c r="U509" t="e">
        <f ca="1"/>
        <v>#N/A</v>
      </c>
      <c r="V509" t="e">
        <f ca="1"/>
        <v>#N/A</v>
      </c>
      <c r="X509" s="2">
        <f t="shared" ca="1" si="58"/>
        <v>0</v>
      </c>
      <c r="Y509">
        <f t="shared" ca="1" si="59"/>
        <v>0</v>
      </c>
      <c r="AA509" s="63" t="e">
        <f t="shared" ca="1" si="60"/>
        <v>#N/A</v>
      </c>
      <c r="AB509" s="63" t="e">
        <f t="shared" ca="1" si="61"/>
        <v>#N/A</v>
      </c>
      <c r="AC509" s="3" t="e">
        <f t="shared" ca="1" si="62"/>
        <v>#N/A</v>
      </c>
    </row>
    <row r="510" spans="8:29">
      <c r="H510" t="e">
        <f t="shared" ca="1" si="56"/>
        <v>#N/A</v>
      </c>
      <c r="I510" t="e">
        <f t="shared" ca="1" si="57"/>
        <v>#N/A</v>
      </c>
      <c r="J510" t="e">
        <f ca="1"/>
        <v>#N/A</v>
      </c>
      <c r="K510" t="e">
        <f ca="1"/>
        <v>#N/A</v>
      </c>
      <c r="L510" t="e">
        <f ca="1"/>
        <v>#N/A</v>
      </c>
      <c r="M510" t="e">
        <f ca="1"/>
        <v>#N/A</v>
      </c>
      <c r="N510" t="e">
        <f ca="1"/>
        <v>#N/A</v>
      </c>
      <c r="O510" t="e">
        <f ca="1"/>
        <v>#N/A</v>
      </c>
      <c r="P510" t="e">
        <f ca="1"/>
        <v>#N/A</v>
      </c>
      <c r="Q510" t="e">
        <f ca="1"/>
        <v>#N/A</v>
      </c>
      <c r="R510" t="e">
        <f ca="1"/>
        <v>#N/A</v>
      </c>
      <c r="S510" t="e">
        <f ca="1"/>
        <v>#N/A</v>
      </c>
      <c r="T510" t="e">
        <f ca="1"/>
        <v>#N/A</v>
      </c>
      <c r="U510" t="e">
        <f ca="1"/>
        <v>#N/A</v>
      </c>
      <c r="V510" t="e">
        <f ca="1"/>
        <v>#N/A</v>
      </c>
      <c r="X510" s="2">
        <f t="shared" ca="1" si="58"/>
        <v>0</v>
      </c>
      <c r="Y510">
        <f t="shared" ca="1" si="59"/>
        <v>0</v>
      </c>
      <c r="AA510" s="63" t="e">
        <f t="shared" ca="1" si="60"/>
        <v>#N/A</v>
      </c>
      <c r="AB510" s="63" t="e">
        <f t="shared" ca="1" si="61"/>
        <v>#N/A</v>
      </c>
      <c r="AC510" s="3" t="e">
        <f t="shared" ca="1" si="62"/>
        <v>#N/A</v>
      </c>
    </row>
    <row r="511" spans="8:29">
      <c r="H511" t="e">
        <f t="shared" ca="1" si="56"/>
        <v>#N/A</v>
      </c>
      <c r="I511" t="e">
        <f t="shared" ca="1" si="57"/>
        <v>#N/A</v>
      </c>
      <c r="J511" t="e">
        <f ca="1"/>
        <v>#N/A</v>
      </c>
      <c r="K511" t="e">
        <f ca="1"/>
        <v>#N/A</v>
      </c>
      <c r="L511" t="e">
        <f ca="1"/>
        <v>#N/A</v>
      </c>
      <c r="M511" t="e">
        <f ca="1"/>
        <v>#N/A</v>
      </c>
      <c r="N511" t="e">
        <f ca="1"/>
        <v>#N/A</v>
      </c>
      <c r="O511" t="e">
        <f ca="1"/>
        <v>#N/A</v>
      </c>
      <c r="P511" t="e">
        <f ca="1"/>
        <v>#N/A</v>
      </c>
      <c r="Q511" t="e">
        <f ca="1"/>
        <v>#N/A</v>
      </c>
      <c r="R511" t="e">
        <f ca="1"/>
        <v>#N/A</v>
      </c>
      <c r="S511" t="e">
        <f ca="1"/>
        <v>#N/A</v>
      </c>
      <c r="T511" t="e">
        <f ca="1"/>
        <v>#N/A</v>
      </c>
      <c r="U511" t="e">
        <f ca="1"/>
        <v>#N/A</v>
      </c>
      <c r="V511" t="e">
        <f ca="1"/>
        <v>#N/A</v>
      </c>
      <c r="X511" s="2">
        <f t="shared" ca="1" si="58"/>
        <v>0</v>
      </c>
      <c r="Y511">
        <f t="shared" ca="1" si="59"/>
        <v>0</v>
      </c>
      <c r="AA511" s="63" t="e">
        <f t="shared" ca="1" si="60"/>
        <v>#N/A</v>
      </c>
      <c r="AB511" s="63" t="e">
        <f t="shared" ca="1" si="61"/>
        <v>#N/A</v>
      </c>
      <c r="AC511" s="3" t="e">
        <f t="shared" ca="1" si="62"/>
        <v>#N/A</v>
      </c>
    </row>
    <row r="512" spans="8:29">
      <c r="H512" t="e">
        <f t="shared" ca="1" si="56"/>
        <v>#N/A</v>
      </c>
      <c r="I512" t="e">
        <f t="shared" ca="1" si="57"/>
        <v>#N/A</v>
      </c>
      <c r="J512" t="e">
        <f ca="1"/>
        <v>#N/A</v>
      </c>
      <c r="K512" t="e">
        <f ca="1"/>
        <v>#N/A</v>
      </c>
      <c r="L512" t="e">
        <f ca="1"/>
        <v>#N/A</v>
      </c>
      <c r="M512" t="e">
        <f ca="1"/>
        <v>#N/A</v>
      </c>
      <c r="N512" t="e">
        <f ca="1"/>
        <v>#N/A</v>
      </c>
      <c r="O512" t="e">
        <f ca="1"/>
        <v>#N/A</v>
      </c>
      <c r="P512" t="e">
        <f ca="1"/>
        <v>#N/A</v>
      </c>
      <c r="Q512" t="e">
        <f ca="1"/>
        <v>#N/A</v>
      </c>
      <c r="R512" t="e">
        <f ca="1"/>
        <v>#N/A</v>
      </c>
      <c r="S512" t="e">
        <f ca="1"/>
        <v>#N/A</v>
      </c>
      <c r="T512" t="e">
        <f ca="1"/>
        <v>#N/A</v>
      </c>
      <c r="U512" t="e">
        <f ca="1"/>
        <v>#N/A</v>
      </c>
      <c r="V512" t="e">
        <f ca="1"/>
        <v>#N/A</v>
      </c>
      <c r="X512" s="2">
        <f t="shared" ca="1" si="58"/>
        <v>0</v>
      </c>
      <c r="Y512">
        <f t="shared" ca="1" si="59"/>
        <v>0</v>
      </c>
      <c r="AA512" s="63" t="e">
        <f t="shared" ca="1" si="60"/>
        <v>#N/A</v>
      </c>
      <c r="AB512" s="63" t="e">
        <f t="shared" ca="1" si="61"/>
        <v>#N/A</v>
      </c>
      <c r="AC512" s="3" t="e">
        <f t="shared" ca="1" si="62"/>
        <v>#N/A</v>
      </c>
    </row>
    <row r="513" spans="8:29">
      <c r="H513" t="e">
        <f t="shared" ca="1" si="56"/>
        <v>#N/A</v>
      </c>
      <c r="I513" t="e">
        <f t="shared" ca="1" si="57"/>
        <v>#N/A</v>
      </c>
      <c r="J513" t="e">
        <f ca="1"/>
        <v>#N/A</v>
      </c>
      <c r="K513" t="e">
        <f ca="1"/>
        <v>#N/A</v>
      </c>
      <c r="L513" t="e">
        <f ca="1"/>
        <v>#N/A</v>
      </c>
      <c r="M513" t="e">
        <f ca="1"/>
        <v>#N/A</v>
      </c>
      <c r="N513" t="e">
        <f ca="1"/>
        <v>#N/A</v>
      </c>
      <c r="O513" t="e">
        <f ca="1"/>
        <v>#N/A</v>
      </c>
      <c r="P513" t="e">
        <f ca="1"/>
        <v>#N/A</v>
      </c>
      <c r="Q513" t="e">
        <f ca="1"/>
        <v>#N/A</v>
      </c>
      <c r="R513" t="e">
        <f ca="1"/>
        <v>#N/A</v>
      </c>
      <c r="S513" t="e">
        <f ca="1"/>
        <v>#N/A</v>
      </c>
      <c r="T513" t="e">
        <f ca="1"/>
        <v>#N/A</v>
      </c>
      <c r="U513" t="e">
        <f ca="1"/>
        <v>#N/A</v>
      </c>
      <c r="V513" t="e">
        <f ca="1"/>
        <v>#N/A</v>
      </c>
      <c r="X513" s="2">
        <f t="shared" ca="1" si="58"/>
        <v>0</v>
      </c>
      <c r="Y513">
        <f t="shared" ca="1" si="59"/>
        <v>0</v>
      </c>
      <c r="AA513" s="63" t="e">
        <f t="shared" ca="1" si="60"/>
        <v>#N/A</v>
      </c>
      <c r="AB513" s="63" t="e">
        <f t="shared" ca="1" si="61"/>
        <v>#N/A</v>
      </c>
      <c r="AC513" s="3" t="e">
        <f t="shared" ca="1" si="62"/>
        <v>#N/A</v>
      </c>
    </row>
    <row r="514" spans="8:29">
      <c r="H514" t="e">
        <f t="shared" ca="1" si="56"/>
        <v>#N/A</v>
      </c>
      <c r="I514" t="e">
        <f t="shared" ca="1" si="57"/>
        <v>#N/A</v>
      </c>
      <c r="J514" t="e">
        <f ca="1"/>
        <v>#N/A</v>
      </c>
      <c r="K514" t="e">
        <f ca="1"/>
        <v>#N/A</v>
      </c>
      <c r="L514" t="e">
        <f ca="1"/>
        <v>#N/A</v>
      </c>
      <c r="M514" t="e">
        <f ca="1"/>
        <v>#N/A</v>
      </c>
      <c r="N514" t="e">
        <f ca="1"/>
        <v>#N/A</v>
      </c>
      <c r="O514" t="e">
        <f ca="1"/>
        <v>#N/A</v>
      </c>
      <c r="P514" t="e">
        <f ca="1"/>
        <v>#N/A</v>
      </c>
      <c r="Q514" t="e">
        <f ca="1"/>
        <v>#N/A</v>
      </c>
      <c r="R514" t="e">
        <f ca="1"/>
        <v>#N/A</v>
      </c>
      <c r="S514" t="e">
        <f ca="1"/>
        <v>#N/A</v>
      </c>
      <c r="T514" t="e">
        <f ca="1"/>
        <v>#N/A</v>
      </c>
      <c r="U514" t="e">
        <f ca="1"/>
        <v>#N/A</v>
      </c>
      <c r="V514" t="e">
        <f ca="1"/>
        <v>#N/A</v>
      </c>
      <c r="X514" s="2">
        <f t="shared" ca="1" si="58"/>
        <v>0</v>
      </c>
      <c r="Y514">
        <f t="shared" ca="1" si="59"/>
        <v>0</v>
      </c>
      <c r="AA514" s="63" t="e">
        <f t="shared" ca="1" si="60"/>
        <v>#N/A</v>
      </c>
      <c r="AB514" s="63" t="e">
        <f t="shared" ca="1" si="61"/>
        <v>#N/A</v>
      </c>
      <c r="AC514" s="3" t="e">
        <f t="shared" ca="1" si="62"/>
        <v>#N/A</v>
      </c>
    </row>
    <row r="515" spans="8:29">
      <c r="H515" t="e">
        <f t="shared" ca="1" si="56"/>
        <v>#N/A</v>
      </c>
      <c r="I515" t="e">
        <f t="shared" ca="1" si="57"/>
        <v>#N/A</v>
      </c>
      <c r="J515" t="e">
        <f ca="1"/>
        <v>#N/A</v>
      </c>
      <c r="K515" t="e">
        <f ca="1"/>
        <v>#N/A</v>
      </c>
      <c r="L515" t="e">
        <f ca="1"/>
        <v>#N/A</v>
      </c>
      <c r="M515" t="e">
        <f ca="1"/>
        <v>#N/A</v>
      </c>
      <c r="N515" t="e">
        <f ca="1"/>
        <v>#N/A</v>
      </c>
      <c r="O515" t="e">
        <f ca="1"/>
        <v>#N/A</v>
      </c>
      <c r="P515" t="e">
        <f ca="1"/>
        <v>#N/A</v>
      </c>
      <c r="Q515" t="e">
        <f ca="1"/>
        <v>#N/A</v>
      </c>
      <c r="R515" t="e">
        <f ca="1"/>
        <v>#N/A</v>
      </c>
      <c r="S515" t="e">
        <f ca="1"/>
        <v>#N/A</v>
      </c>
      <c r="T515" t="e">
        <f ca="1"/>
        <v>#N/A</v>
      </c>
      <c r="U515" t="e">
        <f ca="1"/>
        <v>#N/A</v>
      </c>
      <c r="V515" t="e">
        <f ca="1"/>
        <v>#N/A</v>
      </c>
      <c r="X515" s="2">
        <f t="shared" ca="1" si="58"/>
        <v>0</v>
      </c>
      <c r="Y515">
        <f t="shared" ca="1" si="59"/>
        <v>0</v>
      </c>
      <c r="AA515" s="63" t="e">
        <f t="shared" ca="1" si="60"/>
        <v>#N/A</v>
      </c>
      <c r="AB515" s="63" t="e">
        <f t="shared" ca="1" si="61"/>
        <v>#N/A</v>
      </c>
      <c r="AC515" s="3" t="e">
        <f t="shared" ca="1" si="62"/>
        <v>#N/A</v>
      </c>
    </row>
    <row r="516" spans="8:29">
      <c r="H516" t="e">
        <f t="shared" ca="1" si="56"/>
        <v>#N/A</v>
      </c>
      <c r="I516" t="e">
        <f t="shared" ca="1" si="57"/>
        <v>#N/A</v>
      </c>
      <c r="J516" t="e">
        <f ca="1"/>
        <v>#N/A</v>
      </c>
      <c r="K516" t="e">
        <f ca="1"/>
        <v>#N/A</v>
      </c>
      <c r="L516" t="e">
        <f ca="1"/>
        <v>#N/A</v>
      </c>
      <c r="M516" t="e">
        <f ca="1"/>
        <v>#N/A</v>
      </c>
      <c r="N516" t="e">
        <f ca="1"/>
        <v>#N/A</v>
      </c>
      <c r="O516" t="e">
        <f ca="1"/>
        <v>#N/A</v>
      </c>
      <c r="P516" t="e">
        <f ca="1"/>
        <v>#N/A</v>
      </c>
      <c r="Q516" t="e">
        <f ca="1"/>
        <v>#N/A</v>
      </c>
      <c r="R516" t="e">
        <f ca="1"/>
        <v>#N/A</v>
      </c>
      <c r="S516" t="e">
        <f ca="1"/>
        <v>#N/A</v>
      </c>
      <c r="T516" t="e">
        <f ca="1"/>
        <v>#N/A</v>
      </c>
      <c r="U516" t="e">
        <f ca="1"/>
        <v>#N/A</v>
      </c>
      <c r="V516" t="e">
        <f ca="1"/>
        <v>#N/A</v>
      </c>
      <c r="X516" s="2">
        <f t="shared" ca="1" si="58"/>
        <v>0</v>
      </c>
      <c r="Y516">
        <f t="shared" ca="1" si="59"/>
        <v>0</v>
      </c>
      <c r="AA516" s="63" t="e">
        <f t="shared" ca="1" si="60"/>
        <v>#N/A</v>
      </c>
      <c r="AB516" s="63" t="e">
        <f t="shared" ca="1" si="61"/>
        <v>#N/A</v>
      </c>
      <c r="AC516" s="3" t="e">
        <f t="shared" ca="1" si="62"/>
        <v>#N/A</v>
      </c>
    </row>
    <row r="517" spans="8:29">
      <c r="H517" t="e">
        <f t="shared" ca="1" si="56"/>
        <v>#N/A</v>
      </c>
      <c r="I517" t="e">
        <f t="shared" ca="1" si="57"/>
        <v>#N/A</v>
      </c>
      <c r="J517" t="e">
        <f ca="1"/>
        <v>#N/A</v>
      </c>
      <c r="K517" t="e">
        <f ca="1"/>
        <v>#N/A</v>
      </c>
      <c r="L517" t="e">
        <f ca="1"/>
        <v>#N/A</v>
      </c>
      <c r="M517" t="e">
        <f ca="1"/>
        <v>#N/A</v>
      </c>
      <c r="N517" t="e">
        <f ca="1"/>
        <v>#N/A</v>
      </c>
      <c r="O517" t="e">
        <f ca="1"/>
        <v>#N/A</v>
      </c>
      <c r="P517" t="e">
        <f ca="1"/>
        <v>#N/A</v>
      </c>
      <c r="Q517" t="e">
        <f ca="1"/>
        <v>#N/A</v>
      </c>
      <c r="R517" t="e">
        <f ca="1"/>
        <v>#N/A</v>
      </c>
      <c r="S517" t="e">
        <f ca="1"/>
        <v>#N/A</v>
      </c>
      <c r="T517" t="e">
        <f ca="1"/>
        <v>#N/A</v>
      </c>
      <c r="U517" t="e">
        <f ca="1"/>
        <v>#N/A</v>
      </c>
      <c r="V517" t="e">
        <f ca="1"/>
        <v>#N/A</v>
      </c>
      <c r="X517" s="2">
        <f t="shared" ca="1" si="58"/>
        <v>0</v>
      </c>
      <c r="Y517">
        <f t="shared" ca="1" si="59"/>
        <v>0</v>
      </c>
      <c r="AA517" s="63" t="e">
        <f t="shared" ca="1" si="60"/>
        <v>#N/A</v>
      </c>
      <c r="AB517" s="63" t="e">
        <f t="shared" ca="1" si="61"/>
        <v>#N/A</v>
      </c>
      <c r="AC517" s="3" t="e">
        <f t="shared" ca="1" si="62"/>
        <v>#N/A</v>
      </c>
    </row>
    <row r="518" spans="8:29">
      <c r="H518" t="e">
        <f t="shared" ca="1" si="56"/>
        <v>#N/A</v>
      </c>
      <c r="I518" t="e">
        <f t="shared" ca="1" si="57"/>
        <v>#N/A</v>
      </c>
      <c r="J518" t="e">
        <f ca="1"/>
        <v>#N/A</v>
      </c>
      <c r="K518" t="e">
        <f ca="1"/>
        <v>#N/A</v>
      </c>
      <c r="L518" t="e">
        <f ca="1"/>
        <v>#N/A</v>
      </c>
      <c r="M518" t="e">
        <f ca="1"/>
        <v>#N/A</v>
      </c>
      <c r="N518" t="e">
        <f ca="1"/>
        <v>#N/A</v>
      </c>
      <c r="O518" t="e">
        <f ca="1"/>
        <v>#N/A</v>
      </c>
      <c r="P518" t="e">
        <f ca="1"/>
        <v>#N/A</v>
      </c>
      <c r="Q518" t="e">
        <f ca="1"/>
        <v>#N/A</v>
      </c>
      <c r="R518" t="e">
        <f ca="1"/>
        <v>#N/A</v>
      </c>
      <c r="S518" t="e">
        <f ca="1"/>
        <v>#N/A</v>
      </c>
      <c r="T518" t="e">
        <f ca="1"/>
        <v>#N/A</v>
      </c>
      <c r="U518" t="e">
        <f ca="1"/>
        <v>#N/A</v>
      </c>
      <c r="V518" t="e">
        <f ca="1"/>
        <v>#N/A</v>
      </c>
      <c r="X518" s="2">
        <f t="shared" ca="1" si="58"/>
        <v>0</v>
      </c>
      <c r="Y518">
        <f t="shared" ca="1" si="59"/>
        <v>0</v>
      </c>
      <c r="AA518" s="63" t="e">
        <f t="shared" ca="1" si="60"/>
        <v>#N/A</v>
      </c>
      <c r="AB518" s="63" t="e">
        <f t="shared" ca="1" si="61"/>
        <v>#N/A</v>
      </c>
      <c r="AC518" s="3" t="e">
        <f t="shared" ca="1" si="62"/>
        <v>#N/A</v>
      </c>
    </row>
    <row r="519" spans="8:29">
      <c r="H519" t="e">
        <f t="shared" ca="1" si="56"/>
        <v>#N/A</v>
      </c>
      <c r="I519" t="e">
        <f t="shared" ca="1" si="57"/>
        <v>#N/A</v>
      </c>
      <c r="J519" t="e">
        <f ca="1"/>
        <v>#N/A</v>
      </c>
      <c r="K519" t="e">
        <f ca="1"/>
        <v>#N/A</v>
      </c>
      <c r="L519" t="e">
        <f ca="1"/>
        <v>#N/A</v>
      </c>
      <c r="M519" t="e">
        <f ca="1"/>
        <v>#N/A</v>
      </c>
      <c r="N519" t="e">
        <f ca="1"/>
        <v>#N/A</v>
      </c>
      <c r="O519" t="e">
        <f ca="1"/>
        <v>#N/A</v>
      </c>
      <c r="P519" t="e">
        <f ca="1"/>
        <v>#N/A</v>
      </c>
      <c r="Q519" t="e">
        <f ca="1"/>
        <v>#N/A</v>
      </c>
      <c r="R519" t="e">
        <f ca="1"/>
        <v>#N/A</v>
      </c>
      <c r="S519" t="e">
        <f ca="1"/>
        <v>#N/A</v>
      </c>
      <c r="T519" t="e">
        <f ca="1"/>
        <v>#N/A</v>
      </c>
      <c r="U519" t="e">
        <f ca="1"/>
        <v>#N/A</v>
      </c>
      <c r="V519" t="e">
        <f ca="1"/>
        <v>#N/A</v>
      </c>
      <c r="X519" s="2">
        <f t="shared" ca="1" si="58"/>
        <v>0</v>
      </c>
      <c r="Y519">
        <f t="shared" ca="1" si="59"/>
        <v>0</v>
      </c>
      <c r="AA519" s="63" t="e">
        <f t="shared" ca="1" si="60"/>
        <v>#N/A</v>
      </c>
      <c r="AB519" s="63" t="e">
        <f t="shared" ca="1" si="61"/>
        <v>#N/A</v>
      </c>
      <c r="AC519" s="3" t="e">
        <f t="shared" ca="1" si="62"/>
        <v>#N/A</v>
      </c>
    </row>
    <row r="520" spans="8:29">
      <c r="H520" t="e">
        <f t="shared" ca="1" si="56"/>
        <v>#N/A</v>
      </c>
      <c r="I520" t="e">
        <f t="shared" ca="1" si="57"/>
        <v>#N/A</v>
      </c>
      <c r="J520" t="e">
        <f ca="1"/>
        <v>#N/A</v>
      </c>
      <c r="K520" t="e">
        <f ca="1"/>
        <v>#N/A</v>
      </c>
      <c r="L520" t="e">
        <f ca="1"/>
        <v>#N/A</v>
      </c>
      <c r="M520" t="e">
        <f ca="1"/>
        <v>#N/A</v>
      </c>
      <c r="N520" t="e">
        <f ca="1"/>
        <v>#N/A</v>
      </c>
      <c r="O520" t="e">
        <f ca="1"/>
        <v>#N/A</v>
      </c>
      <c r="P520" t="e">
        <f ca="1"/>
        <v>#N/A</v>
      </c>
      <c r="Q520" t="e">
        <f ca="1"/>
        <v>#N/A</v>
      </c>
      <c r="R520" t="e">
        <f ca="1"/>
        <v>#N/A</v>
      </c>
      <c r="S520" t="e">
        <f ca="1"/>
        <v>#N/A</v>
      </c>
      <c r="T520" t="e">
        <f ca="1"/>
        <v>#N/A</v>
      </c>
      <c r="U520" t="e">
        <f ca="1"/>
        <v>#N/A</v>
      </c>
      <c r="V520" t="e">
        <f ca="1"/>
        <v>#N/A</v>
      </c>
      <c r="X520" s="2">
        <f t="shared" ca="1" si="58"/>
        <v>0</v>
      </c>
      <c r="Y520">
        <f t="shared" ca="1" si="59"/>
        <v>0</v>
      </c>
      <c r="AA520" s="63" t="e">
        <f t="shared" ca="1" si="60"/>
        <v>#N/A</v>
      </c>
      <c r="AB520" s="63" t="e">
        <f t="shared" ca="1" si="61"/>
        <v>#N/A</v>
      </c>
      <c r="AC520" s="3" t="e">
        <f t="shared" ca="1" si="62"/>
        <v>#N/A</v>
      </c>
    </row>
    <row r="521" spans="8:29">
      <c r="H521" t="e">
        <f t="shared" ca="1" si="56"/>
        <v>#N/A</v>
      </c>
      <c r="I521" t="e">
        <f t="shared" ca="1" si="57"/>
        <v>#N/A</v>
      </c>
      <c r="J521" t="e">
        <f ca="1"/>
        <v>#N/A</v>
      </c>
      <c r="K521" t="e">
        <f ca="1"/>
        <v>#N/A</v>
      </c>
      <c r="L521" t="e">
        <f ca="1"/>
        <v>#N/A</v>
      </c>
      <c r="M521" t="e">
        <f ca="1"/>
        <v>#N/A</v>
      </c>
      <c r="N521" t="e">
        <f ca="1"/>
        <v>#N/A</v>
      </c>
      <c r="O521" t="e">
        <f ca="1"/>
        <v>#N/A</v>
      </c>
      <c r="P521" t="e">
        <f ca="1"/>
        <v>#N/A</v>
      </c>
      <c r="Q521" t="e">
        <f ca="1"/>
        <v>#N/A</v>
      </c>
      <c r="R521" t="e">
        <f ca="1"/>
        <v>#N/A</v>
      </c>
      <c r="S521" t="e">
        <f ca="1"/>
        <v>#N/A</v>
      </c>
      <c r="T521" t="e">
        <f ca="1"/>
        <v>#N/A</v>
      </c>
      <c r="U521" t="e">
        <f ca="1"/>
        <v>#N/A</v>
      </c>
      <c r="V521" t="e">
        <f ca="1"/>
        <v>#N/A</v>
      </c>
      <c r="X521" s="2">
        <f t="shared" ca="1" si="58"/>
        <v>0</v>
      </c>
      <c r="Y521">
        <f t="shared" ca="1" si="59"/>
        <v>0</v>
      </c>
      <c r="AA521" s="63" t="e">
        <f t="shared" ca="1" si="60"/>
        <v>#N/A</v>
      </c>
      <c r="AB521" s="63" t="e">
        <f t="shared" ca="1" si="61"/>
        <v>#N/A</v>
      </c>
      <c r="AC521" s="3" t="e">
        <f t="shared" ca="1" si="62"/>
        <v>#N/A</v>
      </c>
    </row>
    <row r="522" spans="8:29">
      <c r="H522" t="e">
        <f t="shared" ca="1" si="56"/>
        <v>#N/A</v>
      </c>
      <c r="I522" t="e">
        <f t="shared" ca="1" si="57"/>
        <v>#N/A</v>
      </c>
      <c r="J522" t="e">
        <f ca="1"/>
        <v>#N/A</v>
      </c>
      <c r="K522" t="e">
        <f ca="1"/>
        <v>#N/A</v>
      </c>
      <c r="L522" t="e">
        <f ca="1"/>
        <v>#N/A</v>
      </c>
      <c r="M522" t="e">
        <f ca="1"/>
        <v>#N/A</v>
      </c>
      <c r="N522" t="e">
        <f ca="1"/>
        <v>#N/A</v>
      </c>
      <c r="O522" t="e">
        <f ca="1"/>
        <v>#N/A</v>
      </c>
      <c r="P522" t="e">
        <f ca="1"/>
        <v>#N/A</v>
      </c>
      <c r="Q522" t="e">
        <f ca="1"/>
        <v>#N/A</v>
      </c>
      <c r="R522" t="e">
        <f ca="1"/>
        <v>#N/A</v>
      </c>
      <c r="S522" t="e">
        <f ca="1"/>
        <v>#N/A</v>
      </c>
      <c r="T522" t="e">
        <f ca="1"/>
        <v>#N/A</v>
      </c>
      <c r="U522" t="e">
        <f ca="1"/>
        <v>#N/A</v>
      </c>
      <c r="V522" t="e">
        <f ca="1"/>
        <v>#N/A</v>
      </c>
      <c r="X522" s="2">
        <f t="shared" ca="1" si="58"/>
        <v>0</v>
      </c>
      <c r="Y522">
        <f t="shared" ca="1" si="59"/>
        <v>0</v>
      </c>
      <c r="AA522" s="63" t="e">
        <f t="shared" ca="1" si="60"/>
        <v>#N/A</v>
      </c>
      <c r="AB522" s="63" t="e">
        <f t="shared" ca="1" si="61"/>
        <v>#N/A</v>
      </c>
      <c r="AC522" s="3" t="e">
        <f t="shared" ca="1" si="62"/>
        <v>#N/A</v>
      </c>
    </row>
    <row r="523" spans="8:29">
      <c r="H523" t="e">
        <f t="shared" ca="1" si="56"/>
        <v>#N/A</v>
      </c>
      <c r="I523" t="e">
        <f t="shared" ca="1" si="57"/>
        <v>#N/A</v>
      </c>
      <c r="J523" t="e">
        <f ca="1"/>
        <v>#N/A</v>
      </c>
      <c r="K523" t="e">
        <f ca="1"/>
        <v>#N/A</v>
      </c>
      <c r="L523" t="e">
        <f ca="1"/>
        <v>#N/A</v>
      </c>
      <c r="M523" t="e">
        <f ca="1"/>
        <v>#N/A</v>
      </c>
      <c r="N523" t="e">
        <f ca="1"/>
        <v>#N/A</v>
      </c>
      <c r="O523" t="e">
        <f ca="1"/>
        <v>#N/A</v>
      </c>
      <c r="P523" t="e">
        <f ca="1"/>
        <v>#N/A</v>
      </c>
      <c r="Q523" t="e">
        <f ca="1"/>
        <v>#N/A</v>
      </c>
      <c r="R523" t="e">
        <f ca="1"/>
        <v>#N/A</v>
      </c>
      <c r="S523" t="e">
        <f ca="1"/>
        <v>#N/A</v>
      </c>
      <c r="T523" t="e">
        <f ca="1"/>
        <v>#N/A</v>
      </c>
      <c r="U523" t="e">
        <f ca="1"/>
        <v>#N/A</v>
      </c>
      <c r="V523" t="e">
        <f ca="1"/>
        <v>#N/A</v>
      </c>
      <c r="X523" s="2">
        <f t="shared" ca="1" si="58"/>
        <v>0</v>
      </c>
      <c r="Y523">
        <f t="shared" ca="1" si="59"/>
        <v>0</v>
      </c>
      <c r="AA523" s="63" t="e">
        <f t="shared" ca="1" si="60"/>
        <v>#N/A</v>
      </c>
      <c r="AB523" s="63" t="e">
        <f t="shared" ca="1" si="61"/>
        <v>#N/A</v>
      </c>
      <c r="AC523" s="3" t="e">
        <f t="shared" ca="1" si="62"/>
        <v>#N/A</v>
      </c>
    </row>
    <row r="524" spans="8:29">
      <c r="H524" t="e">
        <f t="shared" ca="1" si="56"/>
        <v>#N/A</v>
      </c>
      <c r="I524" t="e">
        <f t="shared" ca="1" si="57"/>
        <v>#N/A</v>
      </c>
      <c r="J524" t="e">
        <f ca="1"/>
        <v>#N/A</v>
      </c>
      <c r="K524" t="e">
        <f ca="1"/>
        <v>#N/A</v>
      </c>
      <c r="L524" t="e">
        <f ca="1"/>
        <v>#N/A</v>
      </c>
      <c r="M524" t="e">
        <f ca="1"/>
        <v>#N/A</v>
      </c>
      <c r="N524" t="e">
        <f ca="1"/>
        <v>#N/A</v>
      </c>
      <c r="O524" t="e">
        <f ca="1"/>
        <v>#N/A</v>
      </c>
      <c r="P524" t="e">
        <f ca="1"/>
        <v>#N/A</v>
      </c>
      <c r="Q524" t="e">
        <f ca="1"/>
        <v>#N/A</v>
      </c>
      <c r="R524" t="e">
        <f ca="1"/>
        <v>#N/A</v>
      </c>
      <c r="S524" t="e">
        <f ca="1"/>
        <v>#N/A</v>
      </c>
      <c r="T524" t="e">
        <f ca="1"/>
        <v>#N/A</v>
      </c>
      <c r="U524" t="e">
        <f ca="1"/>
        <v>#N/A</v>
      </c>
      <c r="V524" t="e">
        <f ca="1"/>
        <v>#N/A</v>
      </c>
      <c r="X524" s="2">
        <f t="shared" ca="1" si="58"/>
        <v>0</v>
      </c>
      <c r="Y524">
        <f t="shared" ca="1" si="59"/>
        <v>0</v>
      </c>
      <c r="AA524" s="63" t="e">
        <f t="shared" ca="1" si="60"/>
        <v>#N/A</v>
      </c>
      <c r="AB524" s="63" t="e">
        <f t="shared" ca="1" si="61"/>
        <v>#N/A</v>
      </c>
      <c r="AC524" s="3" t="e">
        <f t="shared" ca="1" si="62"/>
        <v>#N/A</v>
      </c>
    </row>
    <row r="525" spans="8:29">
      <c r="H525" t="e">
        <f t="shared" ca="1" si="56"/>
        <v>#N/A</v>
      </c>
      <c r="I525" t="e">
        <f t="shared" ca="1" si="57"/>
        <v>#N/A</v>
      </c>
      <c r="J525" t="e">
        <f ca="1"/>
        <v>#N/A</v>
      </c>
      <c r="K525" t="e">
        <f ca="1"/>
        <v>#N/A</v>
      </c>
      <c r="L525" t="e">
        <f ca="1"/>
        <v>#N/A</v>
      </c>
      <c r="M525" t="e">
        <f ca="1"/>
        <v>#N/A</v>
      </c>
      <c r="N525" t="e">
        <f ca="1"/>
        <v>#N/A</v>
      </c>
      <c r="O525" t="e">
        <f ca="1"/>
        <v>#N/A</v>
      </c>
      <c r="P525" t="e">
        <f ca="1"/>
        <v>#N/A</v>
      </c>
      <c r="Q525" t="e">
        <f ca="1"/>
        <v>#N/A</v>
      </c>
      <c r="R525" t="e">
        <f ca="1"/>
        <v>#N/A</v>
      </c>
      <c r="S525" t="e">
        <f ca="1"/>
        <v>#N/A</v>
      </c>
      <c r="T525" t="e">
        <f ca="1"/>
        <v>#N/A</v>
      </c>
      <c r="U525" t="e">
        <f ca="1"/>
        <v>#N/A</v>
      </c>
      <c r="V525" t="e">
        <f ca="1"/>
        <v>#N/A</v>
      </c>
      <c r="X525" s="2">
        <f t="shared" ca="1" si="58"/>
        <v>0</v>
      </c>
      <c r="Y525">
        <f t="shared" ca="1" si="59"/>
        <v>0</v>
      </c>
      <c r="AA525" s="63" t="e">
        <f t="shared" ca="1" si="60"/>
        <v>#N/A</v>
      </c>
      <c r="AB525" s="63" t="e">
        <f t="shared" ca="1" si="61"/>
        <v>#N/A</v>
      </c>
      <c r="AC525" s="3" t="e">
        <f t="shared" ca="1" si="62"/>
        <v>#N/A</v>
      </c>
    </row>
    <row r="526" spans="8:29">
      <c r="H526" t="e">
        <f t="shared" ca="1" si="56"/>
        <v>#N/A</v>
      </c>
      <c r="I526" t="e">
        <f t="shared" ca="1" si="57"/>
        <v>#N/A</v>
      </c>
      <c r="J526" t="e">
        <f ca="1"/>
        <v>#N/A</v>
      </c>
      <c r="K526" t="e">
        <f ca="1"/>
        <v>#N/A</v>
      </c>
      <c r="L526" t="e">
        <f ca="1"/>
        <v>#N/A</v>
      </c>
      <c r="M526" t="e">
        <f ca="1"/>
        <v>#N/A</v>
      </c>
      <c r="N526" t="e">
        <f ca="1"/>
        <v>#N/A</v>
      </c>
      <c r="O526" t="e">
        <f ca="1"/>
        <v>#N/A</v>
      </c>
      <c r="P526" t="e">
        <f ca="1"/>
        <v>#N/A</v>
      </c>
      <c r="Q526" t="e">
        <f ca="1"/>
        <v>#N/A</v>
      </c>
      <c r="R526" t="e">
        <f ca="1"/>
        <v>#N/A</v>
      </c>
      <c r="S526" t="e">
        <f ca="1"/>
        <v>#N/A</v>
      </c>
      <c r="T526" t="e">
        <f ca="1"/>
        <v>#N/A</v>
      </c>
      <c r="U526" t="e">
        <f ca="1"/>
        <v>#N/A</v>
      </c>
      <c r="V526" t="e">
        <f ca="1"/>
        <v>#N/A</v>
      </c>
      <c r="X526" s="2">
        <f t="shared" ca="1" si="58"/>
        <v>0</v>
      </c>
      <c r="Y526">
        <f t="shared" ca="1" si="59"/>
        <v>0</v>
      </c>
      <c r="AA526" s="63" t="e">
        <f t="shared" ca="1" si="60"/>
        <v>#N/A</v>
      </c>
      <c r="AB526" s="63" t="e">
        <f t="shared" ca="1" si="61"/>
        <v>#N/A</v>
      </c>
      <c r="AC526" s="3" t="e">
        <f t="shared" ca="1" si="62"/>
        <v>#N/A</v>
      </c>
    </row>
    <row r="527" spans="8:29">
      <c r="H527" t="e">
        <f t="shared" ca="1" si="56"/>
        <v>#N/A</v>
      </c>
      <c r="I527" t="e">
        <f t="shared" ca="1" si="57"/>
        <v>#N/A</v>
      </c>
      <c r="J527" t="e">
        <f ca="1"/>
        <v>#N/A</v>
      </c>
      <c r="K527" t="e">
        <f ca="1"/>
        <v>#N/A</v>
      </c>
      <c r="L527" t="e">
        <f ca="1"/>
        <v>#N/A</v>
      </c>
      <c r="M527" t="e">
        <f ca="1"/>
        <v>#N/A</v>
      </c>
      <c r="N527" t="e">
        <f ca="1"/>
        <v>#N/A</v>
      </c>
      <c r="O527" t="e">
        <f ca="1"/>
        <v>#N/A</v>
      </c>
      <c r="P527" t="e">
        <f ca="1"/>
        <v>#N/A</v>
      </c>
      <c r="Q527" t="e">
        <f ca="1"/>
        <v>#N/A</v>
      </c>
      <c r="R527" t="e">
        <f ca="1"/>
        <v>#N/A</v>
      </c>
      <c r="S527" t="e">
        <f ca="1"/>
        <v>#N/A</v>
      </c>
      <c r="T527" t="e">
        <f ca="1"/>
        <v>#N/A</v>
      </c>
      <c r="U527" t="e">
        <f ca="1"/>
        <v>#N/A</v>
      </c>
      <c r="V527" t="e">
        <f ca="1"/>
        <v>#N/A</v>
      </c>
      <c r="X527" s="2">
        <f t="shared" ca="1" si="58"/>
        <v>0</v>
      </c>
      <c r="Y527">
        <f t="shared" ca="1" si="59"/>
        <v>0</v>
      </c>
      <c r="AA527" s="63" t="e">
        <f t="shared" ca="1" si="60"/>
        <v>#N/A</v>
      </c>
      <c r="AB527" s="63" t="e">
        <f t="shared" ca="1" si="61"/>
        <v>#N/A</v>
      </c>
      <c r="AC527" s="3" t="e">
        <f t="shared" ca="1" si="62"/>
        <v>#N/A</v>
      </c>
    </row>
    <row r="528" spans="8:29">
      <c r="H528" t="e">
        <f t="shared" ca="1" si="56"/>
        <v>#N/A</v>
      </c>
      <c r="I528" t="e">
        <f t="shared" ca="1" si="57"/>
        <v>#N/A</v>
      </c>
      <c r="J528" t="e">
        <f ca="1"/>
        <v>#N/A</v>
      </c>
      <c r="K528" t="e">
        <f ca="1"/>
        <v>#N/A</v>
      </c>
      <c r="L528" t="e">
        <f ca="1"/>
        <v>#N/A</v>
      </c>
      <c r="M528" t="e">
        <f ca="1"/>
        <v>#N/A</v>
      </c>
      <c r="N528" t="e">
        <f ca="1"/>
        <v>#N/A</v>
      </c>
      <c r="O528" t="e">
        <f ca="1"/>
        <v>#N/A</v>
      </c>
      <c r="P528" t="e">
        <f ca="1"/>
        <v>#N/A</v>
      </c>
      <c r="Q528" t="e">
        <f ca="1"/>
        <v>#N/A</v>
      </c>
      <c r="R528" t="e">
        <f ca="1"/>
        <v>#N/A</v>
      </c>
      <c r="S528" t="e">
        <f ca="1"/>
        <v>#N/A</v>
      </c>
      <c r="T528" t="e">
        <f ca="1"/>
        <v>#N/A</v>
      </c>
      <c r="U528" t="e">
        <f ca="1"/>
        <v>#N/A</v>
      </c>
      <c r="V528" t="e">
        <f ca="1"/>
        <v>#N/A</v>
      </c>
      <c r="X528" s="2">
        <f t="shared" ca="1" si="58"/>
        <v>0</v>
      </c>
      <c r="Y528">
        <f t="shared" ca="1" si="59"/>
        <v>0</v>
      </c>
      <c r="AA528" s="63" t="e">
        <f t="shared" ca="1" si="60"/>
        <v>#N/A</v>
      </c>
      <c r="AB528" s="63" t="e">
        <f t="shared" ca="1" si="61"/>
        <v>#N/A</v>
      </c>
      <c r="AC528" s="3" t="e">
        <f t="shared" ca="1" si="62"/>
        <v>#N/A</v>
      </c>
    </row>
    <row r="529" spans="8:29">
      <c r="H529" t="e">
        <f t="shared" ca="1" si="56"/>
        <v>#N/A</v>
      </c>
      <c r="I529" t="e">
        <f t="shared" ca="1" si="57"/>
        <v>#N/A</v>
      </c>
      <c r="J529" t="e">
        <f ca="1"/>
        <v>#N/A</v>
      </c>
      <c r="K529" t="e">
        <f ca="1"/>
        <v>#N/A</v>
      </c>
      <c r="L529" t="e">
        <f ca="1"/>
        <v>#N/A</v>
      </c>
      <c r="M529" t="e">
        <f ca="1"/>
        <v>#N/A</v>
      </c>
      <c r="N529" t="e">
        <f ca="1"/>
        <v>#N/A</v>
      </c>
      <c r="O529" t="e">
        <f ca="1"/>
        <v>#N/A</v>
      </c>
      <c r="P529" t="e">
        <f ca="1"/>
        <v>#N/A</v>
      </c>
      <c r="Q529" t="e">
        <f ca="1"/>
        <v>#N/A</v>
      </c>
      <c r="R529" t="e">
        <f ca="1"/>
        <v>#N/A</v>
      </c>
      <c r="S529" t="e">
        <f ca="1"/>
        <v>#N/A</v>
      </c>
      <c r="T529" t="e">
        <f ca="1"/>
        <v>#N/A</v>
      </c>
      <c r="U529" t="e">
        <f ca="1"/>
        <v>#N/A</v>
      </c>
      <c r="V529" t="e">
        <f ca="1"/>
        <v>#N/A</v>
      </c>
      <c r="X529" s="2">
        <f t="shared" ca="1" si="58"/>
        <v>0</v>
      </c>
      <c r="Y529">
        <f t="shared" ca="1" si="59"/>
        <v>0</v>
      </c>
      <c r="AA529" s="63" t="e">
        <f t="shared" ca="1" si="60"/>
        <v>#N/A</v>
      </c>
      <c r="AB529" s="63" t="e">
        <f t="shared" ca="1" si="61"/>
        <v>#N/A</v>
      </c>
      <c r="AC529" s="3" t="e">
        <f t="shared" ca="1" si="62"/>
        <v>#N/A</v>
      </c>
    </row>
    <row r="530" spans="8:29">
      <c r="H530" t="e">
        <f t="shared" ca="1" si="56"/>
        <v>#N/A</v>
      </c>
      <c r="I530" t="e">
        <f t="shared" ca="1" si="57"/>
        <v>#N/A</v>
      </c>
      <c r="J530" t="e">
        <f ca="1"/>
        <v>#N/A</v>
      </c>
      <c r="K530" t="e">
        <f ca="1"/>
        <v>#N/A</v>
      </c>
      <c r="L530" t="e">
        <f ca="1"/>
        <v>#N/A</v>
      </c>
      <c r="M530" t="e">
        <f ca="1"/>
        <v>#N/A</v>
      </c>
      <c r="N530" t="e">
        <f ca="1"/>
        <v>#N/A</v>
      </c>
      <c r="O530" t="e">
        <f ca="1"/>
        <v>#N/A</v>
      </c>
      <c r="P530" t="e">
        <f ca="1"/>
        <v>#N/A</v>
      </c>
      <c r="Q530" t="e">
        <f ca="1"/>
        <v>#N/A</v>
      </c>
      <c r="R530" t="e">
        <f ca="1"/>
        <v>#N/A</v>
      </c>
      <c r="S530" t="e">
        <f ca="1"/>
        <v>#N/A</v>
      </c>
      <c r="T530" t="e">
        <f ca="1"/>
        <v>#N/A</v>
      </c>
      <c r="U530" t="e">
        <f ca="1"/>
        <v>#N/A</v>
      </c>
      <c r="V530" t="e">
        <f ca="1"/>
        <v>#N/A</v>
      </c>
      <c r="X530" s="2">
        <f t="shared" ca="1" si="58"/>
        <v>0</v>
      </c>
      <c r="Y530">
        <f t="shared" ca="1" si="59"/>
        <v>0</v>
      </c>
      <c r="AA530" s="63" t="e">
        <f t="shared" ca="1" si="60"/>
        <v>#N/A</v>
      </c>
      <c r="AB530" s="63" t="e">
        <f t="shared" ca="1" si="61"/>
        <v>#N/A</v>
      </c>
      <c r="AC530" s="3" t="e">
        <f t="shared" ca="1" si="62"/>
        <v>#N/A</v>
      </c>
    </row>
    <row r="531" spans="8:29">
      <c r="H531" t="e">
        <f t="shared" ca="1" si="56"/>
        <v>#N/A</v>
      </c>
      <c r="I531" t="e">
        <f t="shared" ca="1" si="57"/>
        <v>#N/A</v>
      </c>
      <c r="J531" t="e">
        <f ca="1"/>
        <v>#N/A</v>
      </c>
      <c r="K531" t="e">
        <f ca="1"/>
        <v>#N/A</v>
      </c>
      <c r="L531" t="e">
        <f ca="1"/>
        <v>#N/A</v>
      </c>
      <c r="M531" t="e">
        <f ca="1"/>
        <v>#N/A</v>
      </c>
      <c r="N531" t="e">
        <f ca="1"/>
        <v>#N/A</v>
      </c>
      <c r="O531" t="e">
        <f ca="1"/>
        <v>#N/A</v>
      </c>
      <c r="P531" t="e">
        <f ca="1"/>
        <v>#N/A</v>
      </c>
      <c r="Q531" t="e">
        <f ca="1"/>
        <v>#N/A</v>
      </c>
      <c r="R531" t="e">
        <f ca="1"/>
        <v>#N/A</v>
      </c>
      <c r="S531" t="e">
        <f ca="1"/>
        <v>#N/A</v>
      </c>
      <c r="T531" t="e">
        <f ca="1"/>
        <v>#N/A</v>
      </c>
      <c r="U531" t="e">
        <f ca="1"/>
        <v>#N/A</v>
      </c>
      <c r="V531" t="e">
        <f ca="1"/>
        <v>#N/A</v>
      </c>
      <c r="X531" s="2">
        <f t="shared" ca="1" si="58"/>
        <v>0</v>
      </c>
      <c r="Y531">
        <f t="shared" ca="1" si="59"/>
        <v>0</v>
      </c>
      <c r="AA531" s="63" t="e">
        <f t="shared" ca="1" si="60"/>
        <v>#N/A</v>
      </c>
      <c r="AB531" s="63" t="e">
        <f t="shared" ca="1" si="61"/>
        <v>#N/A</v>
      </c>
      <c r="AC531" s="3" t="e">
        <f t="shared" ca="1" si="62"/>
        <v>#N/A</v>
      </c>
    </row>
    <row r="532" spans="8:29">
      <c r="H532" t="e">
        <f t="shared" ca="1" si="56"/>
        <v>#N/A</v>
      </c>
      <c r="I532" t="e">
        <f t="shared" ca="1" si="57"/>
        <v>#N/A</v>
      </c>
      <c r="J532" t="e">
        <f ca="1"/>
        <v>#N/A</v>
      </c>
      <c r="K532" t="e">
        <f ca="1"/>
        <v>#N/A</v>
      </c>
      <c r="L532" t="e">
        <f ca="1"/>
        <v>#N/A</v>
      </c>
      <c r="M532" t="e">
        <f ca="1"/>
        <v>#N/A</v>
      </c>
      <c r="N532" t="e">
        <f ca="1"/>
        <v>#N/A</v>
      </c>
      <c r="O532" t="e">
        <f ca="1"/>
        <v>#N/A</v>
      </c>
      <c r="P532" t="e">
        <f ca="1"/>
        <v>#N/A</v>
      </c>
      <c r="Q532" t="e">
        <f ca="1"/>
        <v>#N/A</v>
      </c>
      <c r="R532" t="e">
        <f ca="1"/>
        <v>#N/A</v>
      </c>
      <c r="S532" t="e">
        <f ca="1"/>
        <v>#N/A</v>
      </c>
      <c r="T532" t="e">
        <f ca="1"/>
        <v>#N/A</v>
      </c>
      <c r="U532" t="e">
        <f ca="1"/>
        <v>#N/A</v>
      </c>
      <c r="V532" t="e">
        <f ca="1"/>
        <v>#N/A</v>
      </c>
      <c r="X532" s="2">
        <f t="shared" ca="1" si="58"/>
        <v>0</v>
      </c>
      <c r="Y532">
        <f t="shared" ca="1" si="59"/>
        <v>0</v>
      </c>
      <c r="AA532" s="63" t="e">
        <f t="shared" ca="1" si="60"/>
        <v>#N/A</v>
      </c>
      <c r="AB532" s="63" t="e">
        <f t="shared" ca="1" si="61"/>
        <v>#N/A</v>
      </c>
      <c r="AC532" s="3" t="e">
        <f t="shared" ca="1" si="62"/>
        <v>#N/A</v>
      </c>
    </row>
    <row r="533" spans="8:29">
      <c r="H533" t="e">
        <f t="shared" ca="1" si="56"/>
        <v>#N/A</v>
      </c>
      <c r="I533" t="e">
        <f t="shared" ca="1" si="57"/>
        <v>#N/A</v>
      </c>
      <c r="J533" t="e">
        <f ca="1"/>
        <v>#N/A</v>
      </c>
      <c r="K533" t="e">
        <f ca="1"/>
        <v>#N/A</v>
      </c>
      <c r="L533" t="e">
        <f ca="1"/>
        <v>#N/A</v>
      </c>
      <c r="M533" t="e">
        <f ca="1"/>
        <v>#N/A</v>
      </c>
      <c r="N533" t="e">
        <f ca="1"/>
        <v>#N/A</v>
      </c>
      <c r="O533" t="e">
        <f ca="1"/>
        <v>#N/A</v>
      </c>
      <c r="P533" t="e">
        <f ca="1"/>
        <v>#N/A</v>
      </c>
      <c r="Q533" t="e">
        <f ca="1"/>
        <v>#N/A</v>
      </c>
      <c r="R533" t="e">
        <f ca="1"/>
        <v>#N/A</v>
      </c>
      <c r="S533" t="e">
        <f ca="1"/>
        <v>#N/A</v>
      </c>
      <c r="T533" t="e">
        <f ca="1"/>
        <v>#N/A</v>
      </c>
      <c r="U533" t="e">
        <f ca="1"/>
        <v>#N/A</v>
      </c>
      <c r="V533" t="e">
        <f ca="1"/>
        <v>#N/A</v>
      </c>
      <c r="X533" s="2">
        <f t="shared" ca="1" si="58"/>
        <v>0</v>
      </c>
      <c r="Y533">
        <f t="shared" ca="1" si="59"/>
        <v>0</v>
      </c>
      <c r="AA533" s="63" t="e">
        <f t="shared" ca="1" si="60"/>
        <v>#N/A</v>
      </c>
      <c r="AB533" s="63" t="e">
        <f t="shared" ca="1" si="61"/>
        <v>#N/A</v>
      </c>
      <c r="AC533" s="3" t="e">
        <f t="shared" ca="1" si="62"/>
        <v>#N/A</v>
      </c>
    </row>
    <row r="534" spans="8:29">
      <c r="H534" t="e">
        <f t="shared" ca="1" si="56"/>
        <v>#N/A</v>
      </c>
      <c r="I534" t="e">
        <f t="shared" ca="1" si="57"/>
        <v>#N/A</v>
      </c>
      <c r="J534" t="e">
        <f ca="1"/>
        <v>#N/A</v>
      </c>
      <c r="K534" t="e">
        <f ca="1"/>
        <v>#N/A</v>
      </c>
      <c r="L534" t="e">
        <f ca="1"/>
        <v>#N/A</v>
      </c>
      <c r="M534" t="e">
        <f ca="1"/>
        <v>#N/A</v>
      </c>
      <c r="N534" t="e">
        <f ca="1"/>
        <v>#N/A</v>
      </c>
      <c r="O534" t="e">
        <f ca="1"/>
        <v>#N/A</v>
      </c>
      <c r="P534" t="e">
        <f ca="1"/>
        <v>#N/A</v>
      </c>
      <c r="Q534" t="e">
        <f ca="1"/>
        <v>#N/A</v>
      </c>
      <c r="R534" t="e">
        <f ca="1"/>
        <v>#N/A</v>
      </c>
      <c r="S534" t="e">
        <f ca="1"/>
        <v>#N/A</v>
      </c>
      <c r="T534" t="e">
        <f ca="1"/>
        <v>#N/A</v>
      </c>
      <c r="U534" t="e">
        <f ca="1"/>
        <v>#N/A</v>
      </c>
      <c r="V534" t="e">
        <f ca="1"/>
        <v>#N/A</v>
      </c>
      <c r="X534" s="2">
        <f t="shared" ca="1" si="58"/>
        <v>0</v>
      </c>
      <c r="Y534">
        <f t="shared" ca="1" si="59"/>
        <v>0</v>
      </c>
      <c r="AA534" s="63" t="e">
        <f t="shared" ca="1" si="60"/>
        <v>#N/A</v>
      </c>
      <c r="AB534" s="63" t="e">
        <f t="shared" ca="1" si="61"/>
        <v>#N/A</v>
      </c>
      <c r="AC534" s="3" t="e">
        <f t="shared" ca="1" si="62"/>
        <v>#N/A</v>
      </c>
    </row>
    <row r="535" spans="8:29">
      <c r="H535" t="e">
        <f t="shared" ca="1" si="56"/>
        <v>#N/A</v>
      </c>
      <c r="I535" t="e">
        <f t="shared" ca="1" si="57"/>
        <v>#N/A</v>
      </c>
      <c r="J535" t="e">
        <f ca="1"/>
        <v>#N/A</v>
      </c>
      <c r="K535" t="e">
        <f ca="1"/>
        <v>#N/A</v>
      </c>
      <c r="L535" t="e">
        <f ca="1"/>
        <v>#N/A</v>
      </c>
      <c r="M535" t="e">
        <f ca="1"/>
        <v>#N/A</v>
      </c>
      <c r="N535" t="e">
        <f ca="1"/>
        <v>#N/A</v>
      </c>
      <c r="O535" t="e">
        <f ca="1"/>
        <v>#N/A</v>
      </c>
      <c r="P535" t="e">
        <f ca="1"/>
        <v>#N/A</v>
      </c>
      <c r="Q535" t="e">
        <f ca="1"/>
        <v>#N/A</v>
      </c>
      <c r="R535" t="e">
        <f ca="1"/>
        <v>#N/A</v>
      </c>
      <c r="S535" t="e">
        <f ca="1"/>
        <v>#N/A</v>
      </c>
      <c r="T535" t="e">
        <f ca="1"/>
        <v>#N/A</v>
      </c>
      <c r="U535" t="e">
        <f ca="1"/>
        <v>#N/A</v>
      </c>
      <c r="V535" t="e">
        <f ca="1"/>
        <v>#N/A</v>
      </c>
      <c r="X535" s="2">
        <f t="shared" ca="1" si="58"/>
        <v>0</v>
      </c>
      <c r="Y535">
        <f t="shared" ca="1" si="59"/>
        <v>0</v>
      </c>
      <c r="AA535" s="63" t="e">
        <f t="shared" ca="1" si="60"/>
        <v>#N/A</v>
      </c>
      <c r="AB535" s="63" t="e">
        <f t="shared" ca="1" si="61"/>
        <v>#N/A</v>
      </c>
      <c r="AC535" s="3" t="e">
        <f t="shared" ca="1" si="62"/>
        <v>#N/A</v>
      </c>
    </row>
    <row r="536" spans="8:29">
      <c r="H536" t="e">
        <f t="shared" ca="1" si="56"/>
        <v>#N/A</v>
      </c>
      <c r="I536" t="e">
        <f t="shared" ca="1" si="57"/>
        <v>#N/A</v>
      </c>
      <c r="J536" t="e">
        <f ca="1"/>
        <v>#N/A</v>
      </c>
      <c r="K536" t="e">
        <f ca="1"/>
        <v>#N/A</v>
      </c>
      <c r="L536" t="e">
        <f ca="1"/>
        <v>#N/A</v>
      </c>
      <c r="M536" t="e">
        <f ca="1"/>
        <v>#N/A</v>
      </c>
      <c r="N536" t="e">
        <f ca="1"/>
        <v>#N/A</v>
      </c>
      <c r="O536" t="e">
        <f ca="1"/>
        <v>#N/A</v>
      </c>
      <c r="P536" t="e">
        <f ca="1"/>
        <v>#N/A</v>
      </c>
      <c r="Q536" t="e">
        <f ca="1"/>
        <v>#N/A</v>
      </c>
      <c r="R536" t="e">
        <f ca="1"/>
        <v>#N/A</v>
      </c>
      <c r="S536" t="e">
        <f ca="1"/>
        <v>#N/A</v>
      </c>
      <c r="T536" t="e">
        <f ca="1"/>
        <v>#N/A</v>
      </c>
      <c r="U536" t="e">
        <f ca="1"/>
        <v>#N/A</v>
      </c>
      <c r="V536" t="e">
        <f ca="1"/>
        <v>#N/A</v>
      </c>
      <c r="X536" s="2">
        <f t="shared" ca="1" si="58"/>
        <v>0</v>
      </c>
      <c r="Y536">
        <f t="shared" ca="1" si="59"/>
        <v>0</v>
      </c>
      <c r="AA536" s="63" t="e">
        <f t="shared" ca="1" si="60"/>
        <v>#N/A</v>
      </c>
      <c r="AB536" s="63" t="e">
        <f t="shared" ca="1" si="61"/>
        <v>#N/A</v>
      </c>
      <c r="AC536" s="3" t="e">
        <f t="shared" ca="1" si="62"/>
        <v>#N/A</v>
      </c>
    </row>
    <row r="537" spans="8:29">
      <c r="H537" t="e">
        <f t="shared" ca="1" si="56"/>
        <v>#N/A</v>
      </c>
      <c r="I537" t="e">
        <f t="shared" ca="1" si="57"/>
        <v>#N/A</v>
      </c>
      <c r="J537" t="e">
        <f ca="1"/>
        <v>#N/A</v>
      </c>
      <c r="K537" t="e">
        <f ca="1"/>
        <v>#N/A</v>
      </c>
      <c r="L537" t="e">
        <f ca="1"/>
        <v>#N/A</v>
      </c>
      <c r="M537" t="e">
        <f ca="1"/>
        <v>#N/A</v>
      </c>
      <c r="N537" t="e">
        <f ca="1"/>
        <v>#N/A</v>
      </c>
      <c r="O537" t="e">
        <f ca="1"/>
        <v>#N/A</v>
      </c>
      <c r="P537" t="e">
        <f ca="1"/>
        <v>#N/A</v>
      </c>
      <c r="Q537" t="e">
        <f ca="1"/>
        <v>#N/A</v>
      </c>
      <c r="R537" t="e">
        <f ca="1"/>
        <v>#N/A</v>
      </c>
      <c r="S537" t="e">
        <f ca="1"/>
        <v>#N/A</v>
      </c>
      <c r="T537" t="e">
        <f ca="1"/>
        <v>#N/A</v>
      </c>
      <c r="U537" t="e">
        <f ca="1"/>
        <v>#N/A</v>
      </c>
      <c r="V537" t="e">
        <f ca="1"/>
        <v>#N/A</v>
      </c>
      <c r="X537" s="2">
        <f t="shared" ca="1" si="58"/>
        <v>0</v>
      </c>
      <c r="Y537">
        <f t="shared" ca="1" si="59"/>
        <v>0</v>
      </c>
      <c r="AA537" s="63" t="e">
        <f t="shared" ca="1" si="60"/>
        <v>#N/A</v>
      </c>
      <c r="AB537" s="63" t="e">
        <f t="shared" ca="1" si="61"/>
        <v>#N/A</v>
      </c>
      <c r="AC537" s="3" t="e">
        <f t="shared" ca="1" si="62"/>
        <v>#N/A</v>
      </c>
    </row>
    <row r="538" spans="8:29">
      <c r="H538" t="e">
        <f t="shared" ca="1" si="56"/>
        <v>#N/A</v>
      </c>
      <c r="I538" t="e">
        <f t="shared" ca="1" si="57"/>
        <v>#N/A</v>
      </c>
      <c r="J538" t="e">
        <f ca="1"/>
        <v>#N/A</v>
      </c>
      <c r="K538" t="e">
        <f ca="1"/>
        <v>#N/A</v>
      </c>
      <c r="L538" t="e">
        <f ca="1"/>
        <v>#N/A</v>
      </c>
      <c r="M538" t="e">
        <f ca="1"/>
        <v>#N/A</v>
      </c>
      <c r="N538" t="e">
        <f ca="1"/>
        <v>#N/A</v>
      </c>
      <c r="O538" t="e">
        <f ca="1"/>
        <v>#N/A</v>
      </c>
      <c r="P538" t="e">
        <f ca="1"/>
        <v>#N/A</v>
      </c>
      <c r="Q538" t="e">
        <f ca="1"/>
        <v>#N/A</v>
      </c>
      <c r="R538" t="e">
        <f ca="1"/>
        <v>#N/A</v>
      </c>
      <c r="S538" t="e">
        <f ca="1"/>
        <v>#N/A</v>
      </c>
      <c r="T538" t="e">
        <f ca="1"/>
        <v>#N/A</v>
      </c>
      <c r="U538" t="e">
        <f ca="1"/>
        <v>#N/A</v>
      </c>
      <c r="V538" t="e">
        <f ca="1"/>
        <v>#N/A</v>
      </c>
      <c r="X538" s="2">
        <f t="shared" ca="1" si="58"/>
        <v>0</v>
      </c>
      <c r="Y538">
        <f t="shared" ca="1" si="59"/>
        <v>0</v>
      </c>
      <c r="AA538" s="63" t="e">
        <f t="shared" ca="1" si="60"/>
        <v>#N/A</v>
      </c>
      <c r="AB538" s="63" t="e">
        <f t="shared" ca="1" si="61"/>
        <v>#N/A</v>
      </c>
      <c r="AC538" s="3" t="e">
        <f t="shared" ca="1" si="62"/>
        <v>#N/A</v>
      </c>
    </row>
    <row r="539" spans="8:29">
      <c r="H539" t="e">
        <f t="shared" ca="1" si="56"/>
        <v>#N/A</v>
      </c>
      <c r="I539" t="e">
        <f t="shared" ca="1" si="57"/>
        <v>#N/A</v>
      </c>
      <c r="J539" t="e">
        <f ca="1"/>
        <v>#N/A</v>
      </c>
      <c r="K539" t="e">
        <f ca="1"/>
        <v>#N/A</v>
      </c>
      <c r="L539" t="e">
        <f ca="1"/>
        <v>#N/A</v>
      </c>
      <c r="M539" t="e">
        <f ca="1"/>
        <v>#N/A</v>
      </c>
      <c r="N539" t="e">
        <f ca="1"/>
        <v>#N/A</v>
      </c>
      <c r="O539" t="e">
        <f ca="1"/>
        <v>#N/A</v>
      </c>
      <c r="P539" t="e">
        <f ca="1"/>
        <v>#N/A</v>
      </c>
      <c r="Q539" t="e">
        <f ca="1"/>
        <v>#N/A</v>
      </c>
      <c r="R539" t="e">
        <f ca="1"/>
        <v>#N/A</v>
      </c>
      <c r="S539" t="e">
        <f ca="1"/>
        <v>#N/A</v>
      </c>
      <c r="T539" t="e">
        <f ca="1"/>
        <v>#N/A</v>
      </c>
      <c r="U539" t="e">
        <f ca="1"/>
        <v>#N/A</v>
      </c>
      <c r="V539" t="e">
        <f ca="1"/>
        <v>#N/A</v>
      </c>
      <c r="X539" s="2">
        <f t="shared" ca="1" si="58"/>
        <v>0</v>
      </c>
      <c r="Y539">
        <f t="shared" ca="1" si="59"/>
        <v>0</v>
      </c>
      <c r="AA539" s="63" t="e">
        <f t="shared" ca="1" si="60"/>
        <v>#N/A</v>
      </c>
      <c r="AB539" s="63" t="e">
        <f t="shared" ca="1" si="61"/>
        <v>#N/A</v>
      </c>
      <c r="AC539" s="3" t="e">
        <f t="shared" ca="1" si="62"/>
        <v>#N/A</v>
      </c>
    </row>
    <row r="540" spans="8:29">
      <c r="H540" t="e">
        <f t="shared" ca="1" si="56"/>
        <v>#N/A</v>
      </c>
      <c r="I540" t="e">
        <f t="shared" ca="1" si="57"/>
        <v>#N/A</v>
      </c>
      <c r="J540" t="e">
        <f ca="1"/>
        <v>#N/A</v>
      </c>
      <c r="K540" t="e">
        <f ca="1"/>
        <v>#N/A</v>
      </c>
      <c r="L540" t="e">
        <f ca="1"/>
        <v>#N/A</v>
      </c>
      <c r="M540" t="e">
        <f ca="1"/>
        <v>#N/A</v>
      </c>
      <c r="N540" t="e">
        <f ca="1"/>
        <v>#N/A</v>
      </c>
      <c r="O540" t="e">
        <f ca="1"/>
        <v>#N/A</v>
      </c>
      <c r="P540" t="e">
        <f ca="1"/>
        <v>#N/A</v>
      </c>
      <c r="Q540" t="e">
        <f ca="1"/>
        <v>#N/A</v>
      </c>
      <c r="R540" t="e">
        <f ca="1"/>
        <v>#N/A</v>
      </c>
      <c r="S540" t="e">
        <f ca="1"/>
        <v>#N/A</v>
      </c>
      <c r="T540" t="e">
        <f ca="1"/>
        <v>#N/A</v>
      </c>
      <c r="U540" t="e">
        <f ca="1"/>
        <v>#N/A</v>
      </c>
      <c r="V540" t="e">
        <f ca="1"/>
        <v>#N/A</v>
      </c>
      <c r="X540" s="2">
        <f t="shared" ca="1" si="58"/>
        <v>0</v>
      </c>
      <c r="Y540">
        <f t="shared" ca="1" si="59"/>
        <v>0</v>
      </c>
      <c r="AA540" s="63" t="e">
        <f t="shared" ca="1" si="60"/>
        <v>#N/A</v>
      </c>
      <c r="AB540" s="63" t="e">
        <f t="shared" ca="1" si="61"/>
        <v>#N/A</v>
      </c>
      <c r="AC540" s="3" t="e">
        <f t="shared" ca="1" si="62"/>
        <v>#N/A</v>
      </c>
    </row>
    <row r="541" spans="8:29">
      <c r="H541" t="e">
        <f t="shared" ca="1" si="56"/>
        <v>#N/A</v>
      </c>
      <c r="I541" t="e">
        <f t="shared" ca="1" si="57"/>
        <v>#N/A</v>
      </c>
      <c r="J541" t="e">
        <f ca="1"/>
        <v>#N/A</v>
      </c>
      <c r="K541" t="e">
        <f ca="1"/>
        <v>#N/A</v>
      </c>
      <c r="L541" t="e">
        <f ca="1"/>
        <v>#N/A</v>
      </c>
      <c r="M541" t="e">
        <f ca="1"/>
        <v>#N/A</v>
      </c>
      <c r="N541" t="e">
        <f ca="1"/>
        <v>#N/A</v>
      </c>
      <c r="O541" t="e">
        <f ca="1"/>
        <v>#N/A</v>
      </c>
      <c r="P541" t="e">
        <f ca="1"/>
        <v>#N/A</v>
      </c>
      <c r="Q541" t="e">
        <f ca="1"/>
        <v>#N/A</v>
      </c>
      <c r="R541" t="e">
        <f ca="1"/>
        <v>#N/A</v>
      </c>
      <c r="S541" t="e">
        <f ca="1"/>
        <v>#N/A</v>
      </c>
      <c r="T541" t="e">
        <f ca="1"/>
        <v>#N/A</v>
      </c>
      <c r="U541" t="e">
        <f ca="1"/>
        <v>#N/A</v>
      </c>
      <c r="V541" t="e">
        <f ca="1"/>
        <v>#N/A</v>
      </c>
      <c r="X541" s="2">
        <f t="shared" ca="1" si="58"/>
        <v>0</v>
      </c>
      <c r="Y541">
        <f t="shared" ca="1" si="59"/>
        <v>0</v>
      </c>
      <c r="AA541" s="63" t="e">
        <f t="shared" ca="1" si="60"/>
        <v>#N/A</v>
      </c>
      <c r="AB541" s="63" t="e">
        <f t="shared" ca="1" si="61"/>
        <v>#N/A</v>
      </c>
      <c r="AC541" s="3" t="e">
        <f t="shared" ca="1" si="62"/>
        <v>#N/A</v>
      </c>
    </row>
    <row r="542" spans="8:29">
      <c r="H542" t="e">
        <f t="shared" ca="1" si="56"/>
        <v>#N/A</v>
      </c>
      <c r="I542" t="e">
        <f t="shared" ca="1" si="57"/>
        <v>#N/A</v>
      </c>
      <c r="J542" t="e">
        <f ca="1"/>
        <v>#N/A</v>
      </c>
      <c r="K542" t="e">
        <f ca="1"/>
        <v>#N/A</v>
      </c>
      <c r="L542" t="e">
        <f ca="1"/>
        <v>#N/A</v>
      </c>
      <c r="M542" t="e">
        <f ca="1"/>
        <v>#N/A</v>
      </c>
      <c r="N542" t="e">
        <f ca="1"/>
        <v>#N/A</v>
      </c>
      <c r="O542" t="e">
        <f ca="1"/>
        <v>#N/A</v>
      </c>
      <c r="P542" t="e">
        <f ca="1"/>
        <v>#N/A</v>
      </c>
      <c r="Q542" t="e">
        <f ca="1"/>
        <v>#N/A</v>
      </c>
      <c r="R542" t="e">
        <f ca="1"/>
        <v>#N/A</v>
      </c>
      <c r="S542" t="e">
        <f ca="1"/>
        <v>#N/A</v>
      </c>
      <c r="T542" t="e">
        <f ca="1"/>
        <v>#N/A</v>
      </c>
      <c r="U542" t="e">
        <f ca="1"/>
        <v>#N/A</v>
      </c>
      <c r="V542" t="e">
        <f ca="1"/>
        <v>#N/A</v>
      </c>
      <c r="X542" s="2">
        <f t="shared" ca="1" si="58"/>
        <v>0</v>
      </c>
      <c r="Y542">
        <f t="shared" ca="1" si="59"/>
        <v>0</v>
      </c>
      <c r="AA542" s="63" t="e">
        <f t="shared" ca="1" si="60"/>
        <v>#N/A</v>
      </c>
      <c r="AB542" s="63" t="e">
        <f t="shared" ca="1" si="61"/>
        <v>#N/A</v>
      </c>
      <c r="AC542" s="3" t="e">
        <f t="shared" ca="1" si="62"/>
        <v>#N/A</v>
      </c>
    </row>
    <row r="543" spans="8:29">
      <c r="H543" t="e">
        <f t="shared" ca="1" si="56"/>
        <v>#N/A</v>
      </c>
      <c r="I543" t="e">
        <f t="shared" ca="1" si="57"/>
        <v>#N/A</v>
      </c>
      <c r="J543" t="e">
        <f ca="1"/>
        <v>#N/A</v>
      </c>
      <c r="K543" t="e">
        <f ca="1"/>
        <v>#N/A</v>
      </c>
      <c r="L543" t="e">
        <f ca="1"/>
        <v>#N/A</v>
      </c>
      <c r="M543" t="e">
        <f ca="1"/>
        <v>#N/A</v>
      </c>
      <c r="N543" t="e">
        <f ca="1"/>
        <v>#N/A</v>
      </c>
      <c r="O543" t="e">
        <f ca="1"/>
        <v>#N/A</v>
      </c>
      <c r="P543" t="e">
        <f ca="1"/>
        <v>#N/A</v>
      </c>
      <c r="Q543" t="e">
        <f ca="1"/>
        <v>#N/A</v>
      </c>
      <c r="R543" t="e">
        <f ca="1"/>
        <v>#N/A</v>
      </c>
      <c r="S543" t="e">
        <f ca="1"/>
        <v>#N/A</v>
      </c>
      <c r="T543" t="e">
        <f ca="1"/>
        <v>#N/A</v>
      </c>
      <c r="U543" t="e">
        <f ca="1"/>
        <v>#N/A</v>
      </c>
      <c r="V543" t="e">
        <f ca="1"/>
        <v>#N/A</v>
      </c>
      <c r="X543" s="2">
        <f t="shared" ca="1" si="58"/>
        <v>0</v>
      </c>
      <c r="Y543">
        <f t="shared" ca="1" si="59"/>
        <v>0</v>
      </c>
      <c r="AA543" s="63" t="e">
        <f t="shared" ca="1" si="60"/>
        <v>#N/A</v>
      </c>
      <c r="AB543" s="63" t="e">
        <f t="shared" ca="1" si="61"/>
        <v>#N/A</v>
      </c>
      <c r="AC543" s="3" t="e">
        <f t="shared" ca="1" si="62"/>
        <v>#N/A</v>
      </c>
    </row>
    <row r="544" spans="8:29">
      <c r="H544" t="e">
        <f t="shared" ca="1" si="56"/>
        <v>#N/A</v>
      </c>
      <c r="I544" t="e">
        <f t="shared" ca="1" si="57"/>
        <v>#N/A</v>
      </c>
      <c r="J544" t="e">
        <f ca="1"/>
        <v>#N/A</v>
      </c>
      <c r="K544" t="e">
        <f ca="1"/>
        <v>#N/A</v>
      </c>
      <c r="L544" t="e">
        <f ca="1"/>
        <v>#N/A</v>
      </c>
      <c r="M544" t="e">
        <f ca="1"/>
        <v>#N/A</v>
      </c>
      <c r="N544" t="e">
        <f ca="1"/>
        <v>#N/A</v>
      </c>
      <c r="O544" t="e">
        <f ca="1"/>
        <v>#N/A</v>
      </c>
      <c r="P544" t="e">
        <f ca="1"/>
        <v>#N/A</v>
      </c>
      <c r="Q544" t="e">
        <f ca="1"/>
        <v>#N/A</v>
      </c>
      <c r="R544" t="e">
        <f ca="1"/>
        <v>#N/A</v>
      </c>
      <c r="S544" t="e">
        <f ca="1"/>
        <v>#N/A</v>
      </c>
      <c r="T544" t="e">
        <f ca="1"/>
        <v>#N/A</v>
      </c>
      <c r="U544" t="e">
        <f ca="1"/>
        <v>#N/A</v>
      </c>
      <c r="V544" t="e">
        <f ca="1"/>
        <v>#N/A</v>
      </c>
      <c r="X544" s="2">
        <f t="shared" ca="1" si="58"/>
        <v>0</v>
      </c>
      <c r="Y544">
        <f t="shared" ca="1" si="59"/>
        <v>0</v>
      </c>
      <c r="AA544" s="63" t="e">
        <f t="shared" ca="1" si="60"/>
        <v>#N/A</v>
      </c>
      <c r="AB544" s="63" t="e">
        <f t="shared" ca="1" si="61"/>
        <v>#N/A</v>
      </c>
      <c r="AC544" s="3" t="e">
        <f t="shared" ca="1" si="62"/>
        <v>#N/A</v>
      </c>
    </row>
    <row r="545" spans="8:29">
      <c r="H545" t="e">
        <f t="shared" ca="1" si="56"/>
        <v>#N/A</v>
      </c>
      <c r="I545" t="e">
        <f t="shared" ca="1" si="57"/>
        <v>#N/A</v>
      </c>
      <c r="J545" t="e">
        <f ca="1"/>
        <v>#N/A</v>
      </c>
      <c r="K545" t="e">
        <f ca="1"/>
        <v>#N/A</v>
      </c>
      <c r="L545" t="e">
        <f ca="1"/>
        <v>#N/A</v>
      </c>
      <c r="M545" t="e">
        <f ca="1"/>
        <v>#N/A</v>
      </c>
      <c r="N545" t="e">
        <f ca="1"/>
        <v>#N/A</v>
      </c>
      <c r="O545" t="e">
        <f ca="1"/>
        <v>#N/A</v>
      </c>
      <c r="P545" t="e">
        <f ca="1"/>
        <v>#N/A</v>
      </c>
      <c r="Q545" t="e">
        <f ca="1"/>
        <v>#N/A</v>
      </c>
      <c r="R545" t="e">
        <f ca="1"/>
        <v>#N/A</v>
      </c>
      <c r="S545" t="e">
        <f ca="1"/>
        <v>#N/A</v>
      </c>
      <c r="T545" t="e">
        <f ca="1"/>
        <v>#N/A</v>
      </c>
      <c r="U545" t="e">
        <f ca="1"/>
        <v>#N/A</v>
      </c>
      <c r="V545" t="e">
        <f ca="1"/>
        <v>#N/A</v>
      </c>
      <c r="X545" s="2">
        <f t="shared" ca="1" si="58"/>
        <v>0</v>
      </c>
      <c r="Y545">
        <f t="shared" ca="1" si="59"/>
        <v>0</v>
      </c>
      <c r="AA545" s="63" t="e">
        <f t="shared" ca="1" si="60"/>
        <v>#N/A</v>
      </c>
      <c r="AB545" s="63" t="e">
        <f t="shared" ca="1" si="61"/>
        <v>#N/A</v>
      </c>
      <c r="AC545" s="3" t="e">
        <f t="shared" ca="1" si="62"/>
        <v>#N/A</v>
      </c>
    </row>
    <row r="546" spans="8:29">
      <c r="H546" t="e">
        <f t="shared" ca="1" si="56"/>
        <v>#N/A</v>
      </c>
      <c r="I546" t="e">
        <f t="shared" ca="1" si="57"/>
        <v>#N/A</v>
      </c>
      <c r="J546" t="e">
        <f ca="1"/>
        <v>#N/A</v>
      </c>
      <c r="K546" t="e">
        <f ca="1"/>
        <v>#N/A</v>
      </c>
      <c r="L546" t="e">
        <f ca="1"/>
        <v>#N/A</v>
      </c>
      <c r="M546" t="e">
        <f ca="1"/>
        <v>#N/A</v>
      </c>
      <c r="N546" t="e">
        <f ca="1"/>
        <v>#N/A</v>
      </c>
      <c r="O546" t="e">
        <f ca="1"/>
        <v>#N/A</v>
      </c>
      <c r="P546" t="e">
        <f ca="1"/>
        <v>#N/A</v>
      </c>
      <c r="Q546" t="e">
        <f ca="1"/>
        <v>#N/A</v>
      </c>
      <c r="R546" t="e">
        <f ca="1"/>
        <v>#N/A</v>
      </c>
      <c r="S546" t="e">
        <f ca="1"/>
        <v>#N/A</v>
      </c>
      <c r="T546" t="e">
        <f ca="1"/>
        <v>#N/A</v>
      </c>
      <c r="U546" t="e">
        <f ca="1"/>
        <v>#N/A</v>
      </c>
      <c r="V546" t="e">
        <f ca="1"/>
        <v>#N/A</v>
      </c>
      <c r="X546" s="2">
        <f t="shared" ca="1" si="58"/>
        <v>0</v>
      </c>
      <c r="Y546">
        <f t="shared" ca="1" si="59"/>
        <v>0</v>
      </c>
      <c r="AA546" s="63" t="e">
        <f t="shared" ca="1" si="60"/>
        <v>#N/A</v>
      </c>
      <c r="AB546" s="63" t="e">
        <f t="shared" ca="1" si="61"/>
        <v>#N/A</v>
      </c>
      <c r="AC546" s="3" t="e">
        <f t="shared" ca="1" si="62"/>
        <v>#N/A</v>
      </c>
    </row>
    <row r="547" spans="8:29">
      <c r="H547" t="e">
        <f t="shared" ca="1" si="56"/>
        <v>#N/A</v>
      </c>
      <c r="I547" t="e">
        <f t="shared" ca="1" si="57"/>
        <v>#N/A</v>
      </c>
      <c r="J547" t="e">
        <f ca="1"/>
        <v>#N/A</v>
      </c>
      <c r="K547" t="e">
        <f ca="1"/>
        <v>#N/A</v>
      </c>
      <c r="L547" t="e">
        <f ca="1"/>
        <v>#N/A</v>
      </c>
      <c r="M547" t="e">
        <f ca="1"/>
        <v>#N/A</v>
      </c>
      <c r="N547" t="e">
        <f ca="1"/>
        <v>#N/A</v>
      </c>
      <c r="O547" t="e">
        <f ca="1"/>
        <v>#N/A</v>
      </c>
      <c r="P547" t="e">
        <f ca="1"/>
        <v>#N/A</v>
      </c>
      <c r="Q547" t="e">
        <f ca="1"/>
        <v>#N/A</v>
      </c>
      <c r="R547" t="e">
        <f ca="1"/>
        <v>#N/A</v>
      </c>
      <c r="S547" t="e">
        <f ca="1"/>
        <v>#N/A</v>
      </c>
      <c r="T547" t="e">
        <f ca="1"/>
        <v>#N/A</v>
      </c>
      <c r="U547" t="e">
        <f ca="1"/>
        <v>#N/A</v>
      </c>
      <c r="V547" t="e">
        <f ca="1"/>
        <v>#N/A</v>
      </c>
      <c r="X547" s="2">
        <f t="shared" ca="1" si="58"/>
        <v>0</v>
      </c>
      <c r="Y547">
        <f t="shared" ca="1" si="59"/>
        <v>0</v>
      </c>
      <c r="AA547" s="63" t="e">
        <f t="shared" ca="1" si="60"/>
        <v>#N/A</v>
      </c>
      <c r="AB547" s="63" t="e">
        <f t="shared" ca="1" si="61"/>
        <v>#N/A</v>
      </c>
      <c r="AC547" s="3" t="e">
        <f t="shared" ca="1" si="62"/>
        <v>#N/A</v>
      </c>
    </row>
    <row r="548" spans="8:29">
      <c r="H548" t="e">
        <f t="shared" ca="1" si="56"/>
        <v>#N/A</v>
      </c>
      <c r="I548" t="e">
        <f t="shared" ca="1" si="57"/>
        <v>#N/A</v>
      </c>
      <c r="J548" t="e">
        <f ca="1"/>
        <v>#N/A</v>
      </c>
      <c r="K548" t="e">
        <f ca="1"/>
        <v>#N/A</v>
      </c>
      <c r="L548" t="e">
        <f ca="1"/>
        <v>#N/A</v>
      </c>
      <c r="M548" t="e">
        <f ca="1"/>
        <v>#N/A</v>
      </c>
      <c r="N548" t="e">
        <f ca="1"/>
        <v>#N/A</v>
      </c>
      <c r="O548" t="e">
        <f ca="1"/>
        <v>#N/A</v>
      </c>
      <c r="P548" t="e">
        <f ca="1"/>
        <v>#N/A</v>
      </c>
      <c r="Q548" t="e">
        <f ca="1"/>
        <v>#N/A</v>
      </c>
      <c r="R548" t="e">
        <f ca="1"/>
        <v>#N/A</v>
      </c>
      <c r="S548" t="e">
        <f ca="1"/>
        <v>#N/A</v>
      </c>
      <c r="T548" t="e">
        <f ca="1"/>
        <v>#N/A</v>
      </c>
      <c r="U548" t="e">
        <f ca="1"/>
        <v>#N/A</v>
      </c>
      <c r="V548" t="e">
        <f ca="1"/>
        <v>#N/A</v>
      </c>
      <c r="X548" s="2">
        <f t="shared" ca="1" si="58"/>
        <v>0</v>
      </c>
      <c r="Y548">
        <f t="shared" ca="1" si="59"/>
        <v>0</v>
      </c>
      <c r="AA548" s="63" t="e">
        <f t="shared" ca="1" si="60"/>
        <v>#N/A</v>
      </c>
      <c r="AB548" s="63" t="e">
        <f t="shared" ca="1" si="61"/>
        <v>#N/A</v>
      </c>
      <c r="AC548" s="3" t="e">
        <f t="shared" ca="1" si="62"/>
        <v>#N/A</v>
      </c>
    </row>
    <row r="549" spans="8:29">
      <c r="H549" t="e">
        <f t="shared" ca="1" si="56"/>
        <v>#N/A</v>
      </c>
      <c r="I549" t="e">
        <f t="shared" ca="1" si="57"/>
        <v>#N/A</v>
      </c>
      <c r="J549" t="e">
        <f ca="1"/>
        <v>#N/A</v>
      </c>
      <c r="K549" t="e">
        <f ca="1"/>
        <v>#N/A</v>
      </c>
      <c r="L549" t="e">
        <f ca="1"/>
        <v>#N/A</v>
      </c>
      <c r="M549" t="e">
        <f ca="1"/>
        <v>#N/A</v>
      </c>
      <c r="N549" t="e">
        <f ca="1"/>
        <v>#N/A</v>
      </c>
      <c r="O549" t="e">
        <f ca="1"/>
        <v>#N/A</v>
      </c>
      <c r="P549" t="e">
        <f ca="1"/>
        <v>#N/A</v>
      </c>
      <c r="Q549" t="e">
        <f ca="1"/>
        <v>#N/A</v>
      </c>
      <c r="R549" t="e">
        <f ca="1"/>
        <v>#N/A</v>
      </c>
      <c r="S549" t="e">
        <f ca="1"/>
        <v>#N/A</v>
      </c>
      <c r="T549" t="e">
        <f ca="1"/>
        <v>#N/A</v>
      </c>
      <c r="U549" t="e">
        <f ca="1"/>
        <v>#N/A</v>
      </c>
      <c r="V549" t="e">
        <f ca="1"/>
        <v>#N/A</v>
      </c>
      <c r="X549" s="2">
        <f t="shared" ca="1" si="58"/>
        <v>0</v>
      </c>
      <c r="Y549">
        <f t="shared" ca="1" si="59"/>
        <v>0</v>
      </c>
      <c r="AA549" s="63" t="e">
        <f t="shared" ca="1" si="60"/>
        <v>#N/A</v>
      </c>
      <c r="AB549" s="63" t="e">
        <f t="shared" ca="1" si="61"/>
        <v>#N/A</v>
      </c>
      <c r="AC549" s="3" t="e">
        <f t="shared" ca="1" si="62"/>
        <v>#N/A</v>
      </c>
    </row>
    <row r="550" spans="8:29">
      <c r="H550" t="e">
        <f t="shared" ca="1" si="56"/>
        <v>#N/A</v>
      </c>
      <c r="I550" t="e">
        <f t="shared" ca="1" si="57"/>
        <v>#N/A</v>
      </c>
      <c r="J550" t="e">
        <f ca="1"/>
        <v>#N/A</v>
      </c>
      <c r="K550" t="e">
        <f ca="1"/>
        <v>#N/A</v>
      </c>
      <c r="L550" t="e">
        <f ca="1"/>
        <v>#N/A</v>
      </c>
      <c r="M550" t="e">
        <f ca="1"/>
        <v>#N/A</v>
      </c>
      <c r="N550" t="e">
        <f ca="1"/>
        <v>#N/A</v>
      </c>
      <c r="O550" t="e">
        <f ca="1"/>
        <v>#N/A</v>
      </c>
      <c r="P550" t="e">
        <f ca="1"/>
        <v>#N/A</v>
      </c>
      <c r="Q550" t="e">
        <f ca="1"/>
        <v>#N/A</v>
      </c>
      <c r="R550" t="e">
        <f ca="1"/>
        <v>#N/A</v>
      </c>
      <c r="S550" t="e">
        <f ca="1"/>
        <v>#N/A</v>
      </c>
      <c r="T550" t="e">
        <f ca="1"/>
        <v>#N/A</v>
      </c>
      <c r="U550" t="e">
        <f ca="1"/>
        <v>#N/A</v>
      </c>
      <c r="V550" t="e">
        <f ca="1"/>
        <v>#N/A</v>
      </c>
      <c r="X550" s="2">
        <f t="shared" ca="1" si="58"/>
        <v>0</v>
      </c>
      <c r="Y550">
        <f t="shared" ca="1" si="59"/>
        <v>0</v>
      </c>
      <c r="AA550" s="63" t="e">
        <f t="shared" ca="1" si="60"/>
        <v>#N/A</v>
      </c>
      <c r="AB550" s="63" t="e">
        <f t="shared" ca="1" si="61"/>
        <v>#N/A</v>
      </c>
      <c r="AC550" s="3" t="e">
        <f t="shared" ca="1" si="62"/>
        <v>#N/A</v>
      </c>
    </row>
    <row r="551" spans="8:29">
      <c r="H551" t="e">
        <f t="shared" ca="1" si="56"/>
        <v>#N/A</v>
      </c>
      <c r="I551" t="e">
        <f t="shared" ca="1" si="57"/>
        <v>#N/A</v>
      </c>
      <c r="J551" t="e">
        <f ca="1"/>
        <v>#N/A</v>
      </c>
      <c r="K551" t="e">
        <f ca="1"/>
        <v>#N/A</v>
      </c>
      <c r="L551" t="e">
        <f ca="1"/>
        <v>#N/A</v>
      </c>
      <c r="M551" t="e">
        <f ca="1"/>
        <v>#N/A</v>
      </c>
      <c r="N551" t="e">
        <f ca="1"/>
        <v>#N/A</v>
      </c>
      <c r="O551" t="e">
        <f ca="1"/>
        <v>#N/A</v>
      </c>
      <c r="P551" t="e">
        <f ca="1"/>
        <v>#N/A</v>
      </c>
      <c r="Q551" t="e">
        <f ca="1"/>
        <v>#N/A</v>
      </c>
      <c r="R551" t="e">
        <f ca="1"/>
        <v>#N/A</v>
      </c>
      <c r="S551" t="e">
        <f ca="1"/>
        <v>#N/A</v>
      </c>
      <c r="T551" t="e">
        <f ca="1"/>
        <v>#N/A</v>
      </c>
      <c r="U551" t="e">
        <f ca="1"/>
        <v>#N/A</v>
      </c>
      <c r="V551" t="e">
        <f ca="1"/>
        <v>#N/A</v>
      </c>
      <c r="X551" s="2">
        <f t="shared" ca="1" si="58"/>
        <v>0</v>
      </c>
      <c r="Y551">
        <f t="shared" ca="1" si="59"/>
        <v>0</v>
      </c>
      <c r="AA551" s="63" t="e">
        <f t="shared" ca="1" si="60"/>
        <v>#N/A</v>
      </c>
      <c r="AB551" s="63" t="e">
        <f t="shared" ca="1" si="61"/>
        <v>#N/A</v>
      </c>
      <c r="AC551" s="3" t="e">
        <f t="shared" ca="1" si="62"/>
        <v>#N/A</v>
      </c>
    </row>
    <row r="552" spans="8:29">
      <c r="H552" t="e">
        <f t="shared" ca="1" si="56"/>
        <v>#N/A</v>
      </c>
      <c r="I552" t="e">
        <f t="shared" ca="1" si="57"/>
        <v>#N/A</v>
      </c>
      <c r="J552" t="e">
        <f ca="1"/>
        <v>#N/A</v>
      </c>
      <c r="K552" t="e">
        <f ca="1"/>
        <v>#N/A</v>
      </c>
      <c r="L552" t="e">
        <f ca="1"/>
        <v>#N/A</v>
      </c>
      <c r="M552" t="e">
        <f ca="1"/>
        <v>#N/A</v>
      </c>
      <c r="N552" t="e">
        <f ca="1"/>
        <v>#N/A</v>
      </c>
      <c r="O552" t="e">
        <f ca="1"/>
        <v>#N/A</v>
      </c>
      <c r="P552" t="e">
        <f ca="1"/>
        <v>#N/A</v>
      </c>
      <c r="Q552" t="e">
        <f ca="1"/>
        <v>#N/A</v>
      </c>
      <c r="R552" t="e">
        <f ca="1"/>
        <v>#N/A</v>
      </c>
      <c r="S552" t="e">
        <f ca="1"/>
        <v>#N/A</v>
      </c>
      <c r="T552" t="e">
        <f ca="1"/>
        <v>#N/A</v>
      </c>
      <c r="U552" t="e">
        <f ca="1"/>
        <v>#N/A</v>
      </c>
      <c r="V552" t="e">
        <f ca="1"/>
        <v>#N/A</v>
      </c>
      <c r="X552" s="2">
        <f t="shared" ca="1" si="58"/>
        <v>0</v>
      </c>
      <c r="Y552">
        <f t="shared" ca="1" si="59"/>
        <v>0</v>
      </c>
      <c r="AA552" s="63" t="e">
        <f t="shared" ca="1" si="60"/>
        <v>#N/A</v>
      </c>
      <c r="AB552" s="63" t="e">
        <f t="shared" ca="1" si="61"/>
        <v>#N/A</v>
      </c>
      <c r="AC552" s="3" t="e">
        <f t="shared" ca="1" si="62"/>
        <v>#N/A</v>
      </c>
    </row>
    <row r="553" spans="8:29">
      <c r="H553" t="e">
        <f t="shared" ca="1" si="56"/>
        <v>#N/A</v>
      </c>
      <c r="I553" t="e">
        <f t="shared" ca="1" si="57"/>
        <v>#N/A</v>
      </c>
      <c r="J553" t="e">
        <f ca="1"/>
        <v>#N/A</v>
      </c>
      <c r="K553" t="e">
        <f ca="1"/>
        <v>#N/A</v>
      </c>
      <c r="L553" t="e">
        <f ca="1"/>
        <v>#N/A</v>
      </c>
      <c r="M553" t="e">
        <f ca="1"/>
        <v>#N/A</v>
      </c>
      <c r="N553" t="e">
        <f ca="1"/>
        <v>#N/A</v>
      </c>
      <c r="O553" t="e">
        <f ca="1"/>
        <v>#N/A</v>
      </c>
      <c r="P553" t="e">
        <f ca="1"/>
        <v>#N/A</v>
      </c>
      <c r="Q553" t="e">
        <f ca="1"/>
        <v>#N/A</v>
      </c>
      <c r="R553" t="e">
        <f ca="1"/>
        <v>#N/A</v>
      </c>
      <c r="S553" t="e">
        <f ca="1"/>
        <v>#N/A</v>
      </c>
      <c r="T553" t="e">
        <f ca="1"/>
        <v>#N/A</v>
      </c>
      <c r="U553" t="e">
        <f ca="1"/>
        <v>#N/A</v>
      </c>
      <c r="V553" t="e">
        <f ca="1"/>
        <v>#N/A</v>
      </c>
      <c r="X553" s="2">
        <f t="shared" ca="1" si="58"/>
        <v>0</v>
      </c>
      <c r="Y553">
        <f t="shared" ca="1" si="59"/>
        <v>0</v>
      </c>
      <c r="AA553" s="63" t="e">
        <f t="shared" ca="1" si="60"/>
        <v>#N/A</v>
      </c>
      <c r="AB553" s="63" t="e">
        <f t="shared" ca="1" si="61"/>
        <v>#N/A</v>
      </c>
      <c r="AC553" s="3" t="e">
        <f t="shared" ca="1" si="62"/>
        <v>#N/A</v>
      </c>
    </row>
    <row r="554" spans="8:29">
      <c r="H554" t="e">
        <f t="shared" ca="1" si="56"/>
        <v>#N/A</v>
      </c>
      <c r="I554" t="e">
        <f t="shared" ca="1" si="57"/>
        <v>#N/A</v>
      </c>
      <c r="J554" t="e">
        <f ca="1"/>
        <v>#N/A</v>
      </c>
      <c r="K554" t="e">
        <f ca="1"/>
        <v>#N/A</v>
      </c>
      <c r="L554" t="e">
        <f ca="1"/>
        <v>#N/A</v>
      </c>
      <c r="M554" t="e">
        <f ca="1"/>
        <v>#N/A</v>
      </c>
      <c r="N554" t="e">
        <f ca="1"/>
        <v>#N/A</v>
      </c>
      <c r="O554" t="e">
        <f ca="1"/>
        <v>#N/A</v>
      </c>
      <c r="P554" t="e">
        <f ca="1"/>
        <v>#N/A</v>
      </c>
      <c r="Q554" t="e">
        <f ca="1"/>
        <v>#N/A</v>
      </c>
      <c r="R554" t="e">
        <f ca="1"/>
        <v>#N/A</v>
      </c>
      <c r="S554" t="e">
        <f ca="1"/>
        <v>#N/A</v>
      </c>
      <c r="T554" t="e">
        <f ca="1"/>
        <v>#N/A</v>
      </c>
      <c r="U554" t="e">
        <f ca="1"/>
        <v>#N/A</v>
      </c>
      <c r="V554" t="e">
        <f ca="1"/>
        <v>#N/A</v>
      </c>
      <c r="X554" s="2">
        <f t="shared" ca="1" si="58"/>
        <v>0</v>
      </c>
      <c r="Y554">
        <f t="shared" ca="1" si="59"/>
        <v>0</v>
      </c>
      <c r="AA554" s="63" t="e">
        <f t="shared" ca="1" si="60"/>
        <v>#N/A</v>
      </c>
      <c r="AB554" s="63" t="e">
        <f t="shared" ca="1" si="61"/>
        <v>#N/A</v>
      </c>
      <c r="AC554" s="3" t="e">
        <f t="shared" ca="1" si="62"/>
        <v>#N/A</v>
      </c>
    </row>
    <row r="555" spans="8:29">
      <c r="H555" t="e">
        <f t="shared" ca="1" si="56"/>
        <v>#N/A</v>
      </c>
      <c r="I555" t="e">
        <f t="shared" ca="1" si="57"/>
        <v>#N/A</v>
      </c>
      <c r="J555" t="e">
        <f ca="1"/>
        <v>#N/A</v>
      </c>
      <c r="K555" t="e">
        <f ca="1"/>
        <v>#N/A</v>
      </c>
      <c r="L555" t="e">
        <f ca="1"/>
        <v>#N/A</v>
      </c>
      <c r="M555" t="e">
        <f ca="1"/>
        <v>#N/A</v>
      </c>
      <c r="N555" t="e">
        <f ca="1"/>
        <v>#N/A</v>
      </c>
      <c r="O555" t="e">
        <f ca="1"/>
        <v>#N/A</v>
      </c>
      <c r="P555" t="e">
        <f ca="1"/>
        <v>#N/A</v>
      </c>
      <c r="Q555" t="e">
        <f ca="1"/>
        <v>#N/A</v>
      </c>
      <c r="R555" t="e">
        <f ca="1"/>
        <v>#N/A</v>
      </c>
      <c r="S555" t="e">
        <f ca="1"/>
        <v>#N/A</v>
      </c>
      <c r="T555" t="e">
        <f ca="1"/>
        <v>#N/A</v>
      </c>
      <c r="U555" t="e">
        <f ca="1"/>
        <v>#N/A</v>
      </c>
      <c r="V555" t="e">
        <f ca="1"/>
        <v>#N/A</v>
      </c>
      <c r="X555" s="2">
        <f t="shared" ca="1" si="58"/>
        <v>0</v>
      </c>
      <c r="Y555">
        <f t="shared" ca="1" si="59"/>
        <v>0</v>
      </c>
      <c r="AA555" s="63" t="e">
        <f t="shared" ca="1" si="60"/>
        <v>#N/A</v>
      </c>
      <c r="AB555" s="63" t="e">
        <f t="shared" ca="1" si="61"/>
        <v>#N/A</v>
      </c>
      <c r="AC555" s="3" t="e">
        <f t="shared" ca="1" si="62"/>
        <v>#N/A</v>
      </c>
    </row>
    <row r="556" spans="8:29">
      <c r="H556" t="e">
        <f t="shared" ca="1" si="56"/>
        <v>#N/A</v>
      </c>
      <c r="I556" t="e">
        <f t="shared" ca="1" si="57"/>
        <v>#N/A</v>
      </c>
      <c r="J556" t="e">
        <f ca="1"/>
        <v>#N/A</v>
      </c>
      <c r="K556" t="e">
        <f ca="1"/>
        <v>#N/A</v>
      </c>
      <c r="L556" t="e">
        <f ca="1"/>
        <v>#N/A</v>
      </c>
      <c r="M556" t="e">
        <f ca="1"/>
        <v>#N/A</v>
      </c>
      <c r="N556" t="e">
        <f ca="1"/>
        <v>#N/A</v>
      </c>
      <c r="O556" t="e">
        <f ca="1"/>
        <v>#N/A</v>
      </c>
      <c r="P556" t="e">
        <f ca="1"/>
        <v>#N/A</v>
      </c>
      <c r="Q556" t="e">
        <f ca="1"/>
        <v>#N/A</v>
      </c>
      <c r="R556" t="e">
        <f ca="1"/>
        <v>#N/A</v>
      </c>
      <c r="S556" t="e">
        <f ca="1"/>
        <v>#N/A</v>
      </c>
      <c r="T556" t="e">
        <f ca="1"/>
        <v>#N/A</v>
      </c>
      <c r="U556" t="e">
        <f ca="1"/>
        <v>#N/A</v>
      </c>
      <c r="V556" t="e">
        <f ca="1"/>
        <v>#N/A</v>
      </c>
      <c r="X556" s="2">
        <f t="shared" ca="1" si="58"/>
        <v>0</v>
      </c>
      <c r="Y556">
        <f t="shared" ca="1" si="59"/>
        <v>0</v>
      </c>
      <c r="AA556" s="63" t="e">
        <f t="shared" ca="1" si="60"/>
        <v>#N/A</v>
      </c>
      <c r="AB556" s="63" t="e">
        <f t="shared" ca="1" si="61"/>
        <v>#N/A</v>
      </c>
      <c r="AC556" s="3" t="e">
        <f t="shared" ca="1" si="62"/>
        <v>#N/A</v>
      </c>
    </row>
    <row r="557" spans="8:29">
      <c r="H557" t="e">
        <f t="shared" ca="1" si="56"/>
        <v>#N/A</v>
      </c>
      <c r="I557" t="e">
        <f t="shared" ca="1" si="57"/>
        <v>#N/A</v>
      </c>
      <c r="J557" t="e">
        <f ca="1"/>
        <v>#N/A</v>
      </c>
      <c r="K557" t="e">
        <f ca="1"/>
        <v>#N/A</v>
      </c>
      <c r="L557" t="e">
        <f ca="1"/>
        <v>#N/A</v>
      </c>
      <c r="M557" t="e">
        <f ca="1"/>
        <v>#N/A</v>
      </c>
      <c r="N557" t="e">
        <f ca="1"/>
        <v>#N/A</v>
      </c>
      <c r="O557" t="e">
        <f ca="1"/>
        <v>#N/A</v>
      </c>
      <c r="P557" t="e">
        <f ca="1"/>
        <v>#N/A</v>
      </c>
      <c r="Q557" t="e">
        <f ca="1"/>
        <v>#N/A</v>
      </c>
      <c r="R557" t="e">
        <f ca="1"/>
        <v>#N/A</v>
      </c>
      <c r="S557" t="e">
        <f ca="1"/>
        <v>#N/A</v>
      </c>
      <c r="T557" t="e">
        <f ca="1"/>
        <v>#N/A</v>
      </c>
      <c r="U557" t="e">
        <f ca="1"/>
        <v>#N/A</v>
      </c>
      <c r="V557" t="e">
        <f ca="1"/>
        <v>#N/A</v>
      </c>
      <c r="X557" s="2">
        <f t="shared" ca="1" si="58"/>
        <v>0</v>
      </c>
      <c r="Y557">
        <f t="shared" ca="1" si="59"/>
        <v>0</v>
      </c>
      <c r="AA557" s="63" t="e">
        <f t="shared" ca="1" si="60"/>
        <v>#N/A</v>
      </c>
      <c r="AB557" s="63" t="e">
        <f t="shared" ca="1" si="61"/>
        <v>#N/A</v>
      </c>
      <c r="AC557" s="3" t="e">
        <f t="shared" ca="1" si="62"/>
        <v>#N/A</v>
      </c>
    </row>
    <row r="558" spans="8:29">
      <c r="H558" t="e">
        <f t="shared" ca="1" si="56"/>
        <v>#N/A</v>
      </c>
      <c r="I558" t="e">
        <f t="shared" ca="1" si="57"/>
        <v>#N/A</v>
      </c>
      <c r="J558" t="e">
        <f ca="1"/>
        <v>#N/A</v>
      </c>
      <c r="K558" t="e">
        <f ca="1"/>
        <v>#N/A</v>
      </c>
      <c r="L558" t="e">
        <f ca="1"/>
        <v>#N/A</v>
      </c>
      <c r="M558" t="e">
        <f ca="1"/>
        <v>#N/A</v>
      </c>
      <c r="N558" t="e">
        <f ca="1"/>
        <v>#N/A</v>
      </c>
      <c r="O558" t="e">
        <f ca="1"/>
        <v>#N/A</v>
      </c>
      <c r="P558" t="e">
        <f ca="1"/>
        <v>#N/A</v>
      </c>
      <c r="Q558" t="e">
        <f ca="1"/>
        <v>#N/A</v>
      </c>
      <c r="R558" t="e">
        <f ca="1"/>
        <v>#N/A</v>
      </c>
      <c r="S558" t="e">
        <f ca="1"/>
        <v>#N/A</v>
      </c>
      <c r="T558" t="e">
        <f ca="1"/>
        <v>#N/A</v>
      </c>
      <c r="U558" t="e">
        <f ca="1"/>
        <v>#N/A</v>
      </c>
      <c r="V558" t="e">
        <f ca="1"/>
        <v>#N/A</v>
      </c>
      <c r="X558" s="2">
        <f t="shared" ca="1" si="58"/>
        <v>0</v>
      </c>
      <c r="Y558">
        <f t="shared" ca="1" si="59"/>
        <v>0</v>
      </c>
      <c r="AA558" s="63" t="e">
        <f t="shared" ca="1" si="60"/>
        <v>#N/A</v>
      </c>
      <c r="AB558" s="63" t="e">
        <f t="shared" ca="1" si="61"/>
        <v>#N/A</v>
      </c>
      <c r="AC558" s="3" t="e">
        <f t="shared" ca="1" si="62"/>
        <v>#N/A</v>
      </c>
    </row>
    <row r="559" spans="8:29">
      <c r="H559" t="e">
        <f t="shared" ca="1" si="56"/>
        <v>#N/A</v>
      </c>
      <c r="I559" t="e">
        <f t="shared" ca="1" si="57"/>
        <v>#N/A</v>
      </c>
      <c r="J559" t="e">
        <f ca="1"/>
        <v>#N/A</v>
      </c>
      <c r="K559" t="e">
        <f ca="1"/>
        <v>#N/A</v>
      </c>
      <c r="L559" t="e">
        <f ca="1"/>
        <v>#N/A</v>
      </c>
      <c r="M559" t="e">
        <f ca="1"/>
        <v>#N/A</v>
      </c>
      <c r="N559" t="e">
        <f ca="1"/>
        <v>#N/A</v>
      </c>
      <c r="O559" t="e">
        <f ca="1"/>
        <v>#N/A</v>
      </c>
      <c r="P559" t="e">
        <f ca="1"/>
        <v>#N/A</v>
      </c>
      <c r="Q559" t="e">
        <f ca="1"/>
        <v>#N/A</v>
      </c>
      <c r="R559" t="e">
        <f ca="1"/>
        <v>#N/A</v>
      </c>
      <c r="S559" t="e">
        <f ca="1"/>
        <v>#N/A</v>
      </c>
      <c r="T559" t="e">
        <f ca="1"/>
        <v>#N/A</v>
      </c>
      <c r="U559" t="e">
        <f ca="1"/>
        <v>#N/A</v>
      </c>
      <c r="V559" t="e">
        <f ca="1"/>
        <v>#N/A</v>
      </c>
      <c r="X559" s="2">
        <f t="shared" ca="1" si="58"/>
        <v>0</v>
      </c>
      <c r="Y559">
        <f t="shared" ca="1" si="59"/>
        <v>0</v>
      </c>
      <c r="AA559" s="63" t="e">
        <f t="shared" ca="1" si="60"/>
        <v>#N/A</v>
      </c>
      <c r="AB559" s="63" t="e">
        <f t="shared" ca="1" si="61"/>
        <v>#N/A</v>
      </c>
      <c r="AC559" s="3" t="e">
        <f t="shared" ca="1" si="62"/>
        <v>#N/A</v>
      </c>
    </row>
    <row r="560" spans="8:29">
      <c r="H560" t="e">
        <f t="shared" ca="1" si="56"/>
        <v>#N/A</v>
      </c>
      <c r="I560" t="e">
        <f t="shared" ca="1" si="57"/>
        <v>#N/A</v>
      </c>
      <c r="J560" t="e">
        <f ca="1"/>
        <v>#N/A</v>
      </c>
      <c r="K560" t="e">
        <f ca="1"/>
        <v>#N/A</v>
      </c>
      <c r="L560" t="e">
        <f ca="1"/>
        <v>#N/A</v>
      </c>
      <c r="M560" t="e">
        <f ca="1"/>
        <v>#N/A</v>
      </c>
      <c r="N560" t="e">
        <f ca="1"/>
        <v>#N/A</v>
      </c>
      <c r="O560" t="e">
        <f ca="1"/>
        <v>#N/A</v>
      </c>
      <c r="P560" t="e">
        <f ca="1"/>
        <v>#N/A</v>
      </c>
      <c r="Q560" t="e">
        <f ca="1"/>
        <v>#N/A</v>
      </c>
      <c r="R560" t="e">
        <f ca="1"/>
        <v>#N/A</v>
      </c>
      <c r="S560" t="e">
        <f ca="1"/>
        <v>#N/A</v>
      </c>
      <c r="T560" t="e">
        <f ca="1"/>
        <v>#N/A</v>
      </c>
      <c r="U560" t="e">
        <f ca="1"/>
        <v>#N/A</v>
      </c>
      <c r="V560" t="e">
        <f ca="1"/>
        <v>#N/A</v>
      </c>
      <c r="X560" s="2">
        <f t="shared" ca="1" si="58"/>
        <v>0</v>
      </c>
      <c r="Y560">
        <f t="shared" ca="1" si="59"/>
        <v>0</v>
      </c>
      <c r="AA560" s="63" t="e">
        <f t="shared" ca="1" si="60"/>
        <v>#N/A</v>
      </c>
      <c r="AB560" s="63" t="e">
        <f t="shared" ca="1" si="61"/>
        <v>#N/A</v>
      </c>
      <c r="AC560" s="3" t="e">
        <f t="shared" ca="1" si="62"/>
        <v>#N/A</v>
      </c>
    </row>
    <row r="561" spans="8:29">
      <c r="H561" t="e">
        <f t="shared" ref="H561:H624" ca="1" si="63">IF(J561&lt;$J$4,TRUE,FALSE)</f>
        <v>#N/A</v>
      </c>
      <c r="I561" t="e">
        <f t="shared" ref="I561:I624" ca="1" si="64">AND(IF(J561&gt;($J$3-1),TRUE,FALSE),IF(J561&lt;($J$4+1),TRUE,FALSE))</f>
        <v>#N/A</v>
      </c>
      <c r="J561" t="e">
        <f ca="1"/>
        <v>#N/A</v>
      </c>
      <c r="K561" t="e">
        <f ca="1"/>
        <v>#N/A</v>
      </c>
      <c r="L561" t="e">
        <f ca="1"/>
        <v>#N/A</v>
      </c>
      <c r="M561" t="e">
        <f ca="1"/>
        <v>#N/A</v>
      </c>
      <c r="N561" t="e">
        <f ca="1"/>
        <v>#N/A</v>
      </c>
      <c r="O561" t="e">
        <f ca="1"/>
        <v>#N/A</v>
      </c>
      <c r="P561" t="e">
        <f ca="1"/>
        <v>#N/A</v>
      </c>
      <c r="Q561" t="e">
        <f ca="1"/>
        <v>#N/A</v>
      </c>
      <c r="R561" t="e">
        <f ca="1"/>
        <v>#N/A</v>
      </c>
      <c r="S561" t="e">
        <f ca="1"/>
        <v>#N/A</v>
      </c>
      <c r="T561" t="e">
        <f ca="1"/>
        <v>#N/A</v>
      </c>
      <c r="U561" t="e">
        <f ca="1"/>
        <v>#N/A</v>
      </c>
      <c r="V561" t="e">
        <f ca="1"/>
        <v>#N/A</v>
      </c>
      <c r="X561" s="2">
        <f t="shared" ref="X561:X624" ca="1" si="65">IFERROR(J561,$X$5)</f>
        <v>0</v>
      </c>
      <c r="Y561">
        <f t="shared" ref="Y561:Y624" ca="1" si="66">IFERROR(O561,0)</f>
        <v>0</v>
      </c>
      <c r="AA561" s="63" t="e">
        <f t="shared" ref="AA561:AA624" ca="1" si="67">K560+M561+N561+O561</f>
        <v>#N/A</v>
      </c>
      <c r="AB561" s="63" t="e">
        <f t="shared" ref="AB561:AB624" ca="1" si="68">K561+L561+R561</f>
        <v>#N/A</v>
      </c>
      <c r="AC561" s="3" t="e">
        <f t="shared" ref="AC561:AC624" ca="1" si="69">AB561-AA561</f>
        <v>#N/A</v>
      </c>
    </row>
    <row r="562" spans="8:29">
      <c r="H562" t="e">
        <f t="shared" ca="1" si="63"/>
        <v>#N/A</v>
      </c>
      <c r="I562" t="e">
        <f t="shared" ca="1" si="64"/>
        <v>#N/A</v>
      </c>
      <c r="J562" t="e">
        <f ca="1"/>
        <v>#N/A</v>
      </c>
      <c r="K562" t="e">
        <f ca="1"/>
        <v>#N/A</v>
      </c>
      <c r="L562" t="e">
        <f ca="1"/>
        <v>#N/A</v>
      </c>
      <c r="M562" t="e">
        <f ca="1"/>
        <v>#N/A</v>
      </c>
      <c r="N562" t="e">
        <f ca="1"/>
        <v>#N/A</v>
      </c>
      <c r="O562" t="e">
        <f ca="1"/>
        <v>#N/A</v>
      </c>
      <c r="P562" t="e">
        <f ca="1"/>
        <v>#N/A</v>
      </c>
      <c r="Q562" t="e">
        <f ca="1"/>
        <v>#N/A</v>
      </c>
      <c r="R562" t="e">
        <f ca="1"/>
        <v>#N/A</v>
      </c>
      <c r="S562" t="e">
        <f ca="1"/>
        <v>#N/A</v>
      </c>
      <c r="T562" t="e">
        <f ca="1"/>
        <v>#N/A</v>
      </c>
      <c r="U562" t="e">
        <f ca="1"/>
        <v>#N/A</v>
      </c>
      <c r="V562" t="e">
        <f ca="1"/>
        <v>#N/A</v>
      </c>
      <c r="X562" s="2">
        <f t="shared" ca="1" si="65"/>
        <v>0</v>
      </c>
      <c r="Y562">
        <f t="shared" ca="1" si="66"/>
        <v>0</v>
      </c>
      <c r="AA562" s="63" t="e">
        <f t="shared" ca="1" si="67"/>
        <v>#N/A</v>
      </c>
      <c r="AB562" s="63" t="e">
        <f t="shared" ca="1" si="68"/>
        <v>#N/A</v>
      </c>
      <c r="AC562" s="3" t="e">
        <f t="shared" ca="1" si="69"/>
        <v>#N/A</v>
      </c>
    </row>
    <row r="563" spans="8:29">
      <c r="H563" t="e">
        <f t="shared" ca="1" si="63"/>
        <v>#N/A</v>
      </c>
      <c r="I563" t="e">
        <f t="shared" ca="1" si="64"/>
        <v>#N/A</v>
      </c>
      <c r="J563" t="e">
        <f ca="1"/>
        <v>#N/A</v>
      </c>
      <c r="K563" t="e">
        <f ca="1"/>
        <v>#N/A</v>
      </c>
      <c r="L563" t="e">
        <f ca="1"/>
        <v>#N/A</v>
      </c>
      <c r="M563" t="e">
        <f ca="1"/>
        <v>#N/A</v>
      </c>
      <c r="N563" t="e">
        <f ca="1"/>
        <v>#N/A</v>
      </c>
      <c r="O563" t="e">
        <f ca="1"/>
        <v>#N/A</v>
      </c>
      <c r="P563" t="e">
        <f ca="1"/>
        <v>#N/A</v>
      </c>
      <c r="Q563" t="e">
        <f ca="1"/>
        <v>#N/A</v>
      </c>
      <c r="R563" t="e">
        <f ca="1"/>
        <v>#N/A</v>
      </c>
      <c r="S563" t="e">
        <f ca="1"/>
        <v>#N/A</v>
      </c>
      <c r="T563" t="e">
        <f ca="1"/>
        <v>#N/A</v>
      </c>
      <c r="U563" t="e">
        <f ca="1"/>
        <v>#N/A</v>
      </c>
      <c r="V563" t="e">
        <f ca="1"/>
        <v>#N/A</v>
      </c>
      <c r="X563" s="2">
        <f t="shared" ca="1" si="65"/>
        <v>0</v>
      </c>
      <c r="Y563">
        <f t="shared" ca="1" si="66"/>
        <v>0</v>
      </c>
      <c r="AA563" s="63" t="e">
        <f t="shared" ca="1" si="67"/>
        <v>#N/A</v>
      </c>
      <c r="AB563" s="63" t="e">
        <f t="shared" ca="1" si="68"/>
        <v>#N/A</v>
      </c>
      <c r="AC563" s="3" t="e">
        <f t="shared" ca="1" si="69"/>
        <v>#N/A</v>
      </c>
    </row>
    <row r="564" spans="8:29">
      <c r="H564" t="e">
        <f t="shared" ca="1" si="63"/>
        <v>#N/A</v>
      </c>
      <c r="I564" t="e">
        <f t="shared" ca="1" si="64"/>
        <v>#N/A</v>
      </c>
      <c r="J564" t="e">
        <f ca="1"/>
        <v>#N/A</v>
      </c>
      <c r="K564" t="e">
        <f ca="1"/>
        <v>#N/A</v>
      </c>
      <c r="L564" t="e">
        <f ca="1"/>
        <v>#N/A</v>
      </c>
      <c r="M564" t="e">
        <f ca="1"/>
        <v>#N/A</v>
      </c>
      <c r="N564" t="e">
        <f ca="1"/>
        <v>#N/A</v>
      </c>
      <c r="O564" t="e">
        <f ca="1"/>
        <v>#N/A</v>
      </c>
      <c r="P564" t="e">
        <f ca="1"/>
        <v>#N/A</v>
      </c>
      <c r="Q564" t="e">
        <f ca="1"/>
        <v>#N/A</v>
      </c>
      <c r="R564" t="e">
        <f ca="1"/>
        <v>#N/A</v>
      </c>
      <c r="S564" t="e">
        <f ca="1"/>
        <v>#N/A</v>
      </c>
      <c r="T564" t="e">
        <f ca="1"/>
        <v>#N/A</v>
      </c>
      <c r="U564" t="e">
        <f ca="1"/>
        <v>#N/A</v>
      </c>
      <c r="V564" t="e">
        <f ca="1"/>
        <v>#N/A</v>
      </c>
      <c r="X564" s="2">
        <f t="shared" ca="1" si="65"/>
        <v>0</v>
      </c>
      <c r="Y564">
        <f t="shared" ca="1" si="66"/>
        <v>0</v>
      </c>
      <c r="AA564" s="63" t="e">
        <f t="shared" ca="1" si="67"/>
        <v>#N/A</v>
      </c>
      <c r="AB564" s="63" t="e">
        <f t="shared" ca="1" si="68"/>
        <v>#N/A</v>
      </c>
      <c r="AC564" s="3" t="e">
        <f t="shared" ca="1" si="69"/>
        <v>#N/A</v>
      </c>
    </row>
    <row r="565" spans="8:29">
      <c r="H565" t="e">
        <f t="shared" ca="1" si="63"/>
        <v>#N/A</v>
      </c>
      <c r="I565" t="e">
        <f t="shared" ca="1" si="64"/>
        <v>#N/A</v>
      </c>
      <c r="J565" t="e">
        <f ca="1"/>
        <v>#N/A</v>
      </c>
      <c r="K565" t="e">
        <f ca="1"/>
        <v>#N/A</v>
      </c>
      <c r="L565" t="e">
        <f ca="1"/>
        <v>#N/A</v>
      </c>
      <c r="M565" t="e">
        <f ca="1"/>
        <v>#N/A</v>
      </c>
      <c r="N565" t="e">
        <f ca="1"/>
        <v>#N/A</v>
      </c>
      <c r="O565" t="e">
        <f ca="1"/>
        <v>#N/A</v>
      </c>
      <c r="P565" t="e">
        <f ca="1"/>
        <v>#N/A</v>
      </c>
      <c r="Q565" t="e">
        <f ca="1"/>
        <v>#N/A</v>
      </c>
      <c r="R565" t="e">
        <f ca="1"/>
        <v>#N/A</v>
      </c>
      <c r="S565" t="e">
        <f ca="1"/>
        <v>#N/A</v>
      </c>
      <c r="T565" t="e">
        <f ca="1"/>
        <v>#N/A</v>
      </c>
      <c r="U565" t="e">
        <f ca="1"/>
        <v>#N/A</v>
      </c>
      <c r="V565" t="e">
        <f ca="1"/>
        <v>#N/A</v>
      </c>
      <c r="X565" s="2">
        <f t="shared" ca="1" si="65"/>
        <v>0</v>
      </c>
      <c r="Y565">
        <f t="shared" ca="1" si="66"/>
        <v>0</v>
      </c>
      <c r="AA565" s="63" t="e">
        <f t="shared" ca="1" si="67"/>
        <v>#N/A</v>
      </c>
      <c r="AB565" s="63" t="e">
        <f t="shared" ca="1" si="68"/>
        <v>#N/A</v>
      </c>
      <c r="AC565" s="3" t="e">
        <f t="shared" ca="1" si="69"/>
        <v>#N/A</v>
      </c>
    </row>
    <row r="566" spans="8:29">
      <c r="H566" t="e">
        <f t="shared" ca="1" si="63"/>
        <v>#N/A</v>
      </c>
      <c r="I566" t="e">
        <f t="shared" ca="1" si="64"/>
        <v>#N/A</v>
      </c>
      <c r="J566" t="e">
        <f ca="1"/>
        <v>#N/A</v>
      </c>
      <c r="K566" t="e">
        <f ca="1"/>
        <v>#N/A</v>
      </c>
      <c r="L566" t="e">
        <f ca="1"/>
        <v>#N/A</v>
      </c>
      <c r="M566" t="e">
        <f ca="1"/>
        <v>#N/A</v>
      </c>
      <c r="N566" t="e">
        <f ca="1"/>
        <v>#N/A</v>
      </c>
      <c r="O566" t="e">
        <f ca="1"/>
        <v>#N/A</v>
      </c>
      <c r="P566" t="e">
        <f ca="1"/>
        <v>#N/A</v>
      </c>
      <c r="Q566" t="e">
        <f ca="1"/>
        <v>#N/A</v>
      </c>
      <c r="R566" t="e">
        <f ca="1"/>
        <v>#N/A</v>
      </c>
      <c r="S566" t="e">
        <f ca="1"/>
        <v>#N/A</v>
      </c>
      <c r="T566" t="e">
        <f ca="1"/>
        <v>#N/A</v>
      </c>
      <c r="U566" t="e">
        <f ca="1"/>
        <v>#N/A</v>
      </c>
      <c r="V566" t="e">
        <f ca="1"/>
        <v>#N/A</v>
      </c>
      <c r="X566" s="2">
        <f t="shared" ca="1" si="65"/>
        <v>0</v>
      </c>
      <c r="Y566">
        <f t="shared" ca="1" si="66"/>
        <v>0</v>
      </c>
      <c r="AA566" s="63" t="e">
        <f t="shared" ca="1" si="67"/>
        <v>#N/A</v>
      </c>
      <c r="AB566" s="63" t="e">
        <f t="shared" ca="1" si="68"/>
        <v>#N/A</v>
      </c>
      <c r="AC566" s="3" t="e">
        <f t="shared" ca="1" si="69"/>
        <v>#N/A</v>
      </c>
    </row>
    <row r="567" spans="8:29">
      <c r="H567" t="e">
        <f t="shared" ca="1" si="63"/>
        <v>#N/A</v>
      </c>
      <c r="I567" t="e">
        <f t="shared" ca="1" si="64"/>
        <v>#N/A</v>
      </c>
      <c r="J567" t="e">
        <f ca="1"/>
        <v>#N/A</v>
      </c>
      <c r="K567" t="e">
        <f ca="1"/>
        <v>#N/A</v>
      </c>
      <c r="L567" t="e">
        <f ca="1"/>
        <v>#N/A</v>
      </c>
      <c r="M567" t="e">
        <f ca="1"/>
        <v>#N/A</v>
      </c>
      <c r="N567" t="e">
        <f ca="1"/>
        <v>#N/A</v>
      </c>
      <c r="O567" t="e">
        <f ca="1"/>
        <v>#N/A</v>
      </c>
      <c r="P567" t="e">
        <f ca="1"/>
        <v>#N/A</v>
      </c>
      <c r="Q567" t="e">
        <f ca="1"/>
        <v>#N/A</v>
      </c>
      <c r="R567" t="e">
        <f ca="1"/>
        <v>#N/A</v>
      </c>
      <c r="S567" t="e">
        <f ca="1"/>
        <v>#N/A</v>
      </c>
      <c r="T567" t="e">
        <f ca="1"/>
        <v>#N/A</v>
      </c>
      <c r="U567" t="e">
        <f ca="1"/>
        <v>#N/A</v>
      </c>
      <c r="V567" t="e">
        <f ca="1"/>
        <v>#N/A</v>
      </c>
      <c r="X567" s="2">
        <f t="shared" ca="1" si="65"/>
        <v>0</v>
      </c>
      <c r="Y567">
        <f t="shared" ca="1" si="66"/>
        <v>0</v>
      </c>
      <c r="AA567" s="63" t="e">
        <f t="shared" ca="1" si="67"/>
        <v>#N/A</v>
      </c>
      <c r="AB567" s="63" t="e">
        <f t="shared" ca="1" si="68"/>
        <v>#N/A</v>
      </c>
      <c r="AC567" s="3" t="e">
        <f t="shared" ca="1" si="69"/>
        <v>#N/A</v>
      </c>
    </row>
    <row r="568" spans="8:29">
      <c r="H568" t="e">
        <f t="shared" ca="1" si="63"/>
        <v>#N/A</v>
      </c>
      <c r="I568" t="e">
        <f t="shared" ca="1" si="64"/>
        <v>#N/A</v>
      </c>
      <c r="J568" t="e">
        <f ca="1"/>
        <v>#N/A</v>
      </c>
      <c r="K568" t="e">
        <f ca="1"/>
        <v>#N/A</v>
      </c>
      <c r="L568" t="e">
        <f ca="1"/>
        <v>#N/A</v>
      </c>
      <c r="M568" t="e">
        <f ca="1"/>
        <v>#N/A</v>
      </c>
      <c r="N568" t="e">
        <f ca="1"/>
        <v>#N/A</v>
      </c>
      <c r="O568" t="e">
        <f ca="1"/>
        <v>#N/A</v>
      </c>
      <c r="P568" t="e">
        <f ca="1"/>
        <v>#N/A</v>
      </c>
      <c r="Q568" t="e">
        <f ca="1"/>
        <v>#N/A</v>
      </c>
      <c r="R568" t="e">
        <f ca="1"/>
        <v>#N/A</v>
      </c>
      <c r="S568" t="e">
        <f ca="1"/>
        <v>#N/A</v>
      </c>
      <c r="T568" t="e">
        <f ca="1"/>
        <v>#N/A</v>
      </c>
      <c r="U568" t="e">
        <f ca="1"/>
        <v>#N/A</v>
      </c>
      <c r="V568" t="e">
        <f ca="1"/>
        <v>#N/A</v>
      </c>
      <c r="X568" s="2">
        <f t="shared" ca="1" si="65"/>
        <v>0</v>
      </c>
      <c r="Y568">
        <f t="shared" ca="1" si="66"/>
        <v>0</v>
      </c>
      <c r="AA568" s="63" t="e">
        <f t="shared" ca="1" si="67"/>
        <v>#N/A</v>
      </c>
      <c r="AB568" s="63" t="e">
        <f t="shared" ca="1" si="68"/>
        <v>#N/A</v>
      </c>
      <c r="AC568" s="3" t="e">
        <f t="shared" ca="1" si="69"/>
        <v>#N/A</v>
      </c>
    </row>
    <row r="569" spans="8:29">
      <c r="H569" t="e">
        <f t="shared" ca="1" si="63"/>
        <v>#N/A</v>
      </c>
      <c r="I569" t="e">
        <f t="shared" ca="1" si="64"/>
        <v>#N/A</v>
      </c>
      <c r="J569" t="e">
        <f ca="1"/>
        <v>#N/A</v>
      </c>
      <c r="K569" t="e">
        <f ca="1"/>
        <v>#N/A</v>
      </c>
      <c r="L569" t="e">
        <f ca="1"/>
        <v>#N/A</v>
      </c>
      <c r="M569" t="e">
        <f ca="1"/>
        <v>#N/A</v>
      </c>
      <c r="N569" t="e">
        <f ca="1"/>
        <v>#N/A</v>
      </c>
      <c r="O569" t="e">
        <f ca="1"/>
        <v>#N/A</v>
      </c>
      <c r="P569" t="e">
        <f ca="1"/>
        <v>#N/A</v>
      </c>
      <c r="Q569" t="e">
        <f ca="1"/>
        <v>#N/A</v>
      </c>
      <c r="R569" t="e">
        <f ca="1"/>
        <v>#N/A</v>
      </c>
      <c r="S569" t="e">
        <f ca="1"/>
        <v>#N/A</v>
      </c>
      <c r="T569" t="e">
        <f ca="1"/>
        <v>#N/A</v>
      </c>
      <c r="U569" t="e">
        <f ca="1"/>
        <v>#N/A</v>
      </c>
      <c r="V569" t="e">
        <f ca="1"/>
        <v>#N/A</v>
      </c>
      <c r="X569" s="2">
        <f t="shared" ca="1" si="65"/>
        <v>0</v>
      </c>
      <c r="Y569">
        <f t="shared" ca="1" si="66"/>
        <v>0</v>
      </c>
      <c r="AA569" s="63" t="e">
        <f t="shared" ca="1" si="67"/>
        <v>#N/A</v>
      </c>
      <c r="AB569" s="63" t="e">
        <f t="shared" ca="1" si="68"/>
        <v>#N/A</v>
      </c>
      <c r="AC569" s="3" t="e">
        <f t="shared" ca="1" si="69"/>
        <v>#N/A</v>
      </c>
    </row>
    <row r="570" spans="8:29">
      <c r="H570" t="e">
        <f t="shared" ca="1" si="63"/>
        <v>#N/A</v>
      </c>
      <c r="I570" t="e">
        <f t="shared" ca="1" si="64"/>
        <v>#N/A</v>
      </c>
      <c r="J570" t="e">
        <f ca="1"/>
        <v>#N/A</v>
      </c>
      <c r="K570" t="e">
        <f ca="1"/>
        <v>#N/A</v>
      </c>
      <c r="L570" t="e">
        <f ca="1"/>
        <v>#N/A</v>
      </c>
      <c r="M570" t="e">
        <f ca="1"/>
        <v>#N/A</v>
      </c>
      <c r="N570" t="e">
        <f ca="1"/>
        <v>#N/A</v>
      </c>
      <c r="O570" t="e">
        <f ca="1"/>
        <v>#N/A</v>
      </c>
      <c r="P570" t="e">
        <f ca="1"/>
        <v>#N/A</v>
      </c>
      <c r="Q570" t="e">
        <f ca="1"/>
        <v>#N/A</v>
      </c>
      <c r="R570" t="e">
        <f ca="1"/>
        <v>#N/A</v>
      </c>
      <c r="S570" t="e">
        <f ca="1"/>
        <v>#N/A</v>
      </c>
      <c r="T570" t="e">
        <f ca="1"/>
        <v>#N/A</v>
      </c>
      <c r="U570" t="e">
        <f ca="1"/>
        <v>#N/A</v>
      </c>
      <c r="V570" t="e">
        <f ca="1"/>
        <v>#N/A</v>
      </c>
      <c r="X570" s="2">
        <f t="shared" ca="1" si="65"/>
        <v>0</v>
      </c>
      <c r="Y570">
        <f t="shared" ca="1" si="66"/>
        <v>0</v>
      </c>
      <c r="AA570" s="63" t="e">
        <f t="shared" ca="1" si="67"/>
        <v>#N/A</v>
      </c>
      <c r="AB570" s="63" t="e">
        <f t="shared" ca="1" si="68"/>
        <v>#N/A</v>
      </c>
      <c r="AC570" s="3" t="e">
        <f t="shared" ca="1" si="69"/>
        <v>#N/A</v>
      </c>
    </row>
    <row r="571" spans="8:29">
      <c r="H571" t="e">
        <f t="shared" ca="1" si="63"/>
        <v>#N/A</v>
      </c>
      <c r="I571" t="e">
        <f t="shared" ca="1" si="64"/>
        <v>#N/A</v>
      </c>
      <c r="J571" t="e">
        <f ca="1"/>
        <v>#N/A</v>
      </c>
      <c r="K571" t="e">
        <f ca="1"/>
        <v>#N/A</v>
      </c>
      <c r="L571" t="e">
        <f ca="1"/>
        <v>#N/A</v>
      </c>
      <c r="M571" t="e">
        <f ca="1"/>
        <v>#N/A</v>
      </c>
      <c r="N571" t="e">
        <f ca="1"/>
        <v>#N/A</v>
      </c>
      <c r="O571" t="e">
        <f ca="1"/>
        <v>#N/A</v>
      </c>
      <c r="P571" t="e">
        <f ca="1"/>
        <v>#N/A</v>
      </c>
      <c r="Q571" t="e">
        <f ca="1"/>
        <v>#N/A</v>
      </c>
      <c r="R571" t="e">
        <f ca="1"/>
        <v>#N/A</v>
      </c>
      <c r="S571" t="e">
        <f ca="1"/>
        <v>#N/A</v>
      </c>
      <c r="T571" t="e">
        <f ca="1"/>
        <v>#N/A</v>
      </c>
      <c r="U571" t="e">
        <f ca="1"/>
        <v>#N/A</v>
      </c>
      <c r="V571" t="e">
        <f ca="1"/>
        <v>#N/A</v>
      </c>
      <c r="X571" s="2">
        <f t="shared" ca="1" si="65"/>
        <v>0</v>
      </c>
      <c r="Y571">
        <f t="shared" ca="1" si="66"/>
        <v>0</v>
      </c>
      <c r="AA571" s="63" t="e">
        <f t="shared" ca="1" si="67"/>
        <v>#N/A</v>
      </c>
      <c r="AB571" s="63" t="e">
        <f t="shared" ca="1" si="68"/>
        <v>#N/A</v>
      </c>
      <c r="AC571" s="3" t="e">
        <f t="shared" ca="1" si="69"/>
        <v>#N/A</v>
      </c>
    </row>
    <row r="572" spans="8:29">
      <c r="H572" t="e">
        <f t="shared" ca="1" si="63"/>
        <v>#N/A</v>
      </c>
      <c r="I572" t="e">
        <f t="shared" ca="1" si="64"/>
        <v>#N/A</v>
      </c>
      <c r="J572" t="e">
        <f ca="1"/>
        <v>#N/A</v>
      </c>
      <c r="K572" t="e">
        <f ca="1"/>
        <v>#N/A</v>
      </c>
      <c r="L572" t="e">
        <f ca="1"/>
        <v>#N/A</v>
      </c>
      <c r="M572" t="e">
        <f ca="1"/>
        <v>#N/A</v>
      </c>
      <c r="N572" t="e">
        <f ca="1"/>
        <v>#N/A</v>
      </c>
      <c r="O572" t="e">
        <f ca="1"/>
        <v>#N/A</v>
      </c>
      <c r="P572" t="e">
        <f ca="1"/>
        <v>#N/A</v>
      </c>
      <c r="Q572" t="e">
        <f ca="1"/>
        <v>#N/A</v>
      </c>
      <c r="R572" t="e">
        <f ca="1"/>
        <v>#N/A</v>
      </c>
      <c r="S572" t="e">
        <f ca="1"/>
        <v>#N/A</v>
      </c>
      <c r="T572" t="e">
        <f ca="1"/>
        <v>#N/A</v>
      </c>
      <c r="U572" t="e">
        <f ca="1"/>
        <v>#N/A</v>
      </c>
      <c r="V572" t="e">
        <f ca="1"/>
        <v>#N/A</v>
      </c>
      <c r="X572" s="2">
        <f t="shared" ca="1" si="65"/>
        <v>0</v>
      </c>
      <c r="Y572">
        <f t="shared" ca="1" si="66"/>
        <v>0</v>
      </c>
      <c r="AA572" s="63" t="e">
        <f t="shared" ca="1" si="67"/>
        <v>#N/A</v>
      </c>
      <c r="AB572" s="63" t="e">
        <f t="shared" ca="1" si="68"/>
        <v>#N/A</v>
      </c>
      <c r="AC572" s="3" t="e">
        <f t="shared" ca="1" si="69"/>
        <v>#N/A</v>
      </c>
    </row>
    <row r="573" spans="8:29">
      <c r="H573" t="e">
        <f t="shared" ca="1" si="63"/>
        <v>#N/A</v>
      </c>
      <c r="I573" t="e">
        <f t="shared" ca="1" si="64"/>
        <v>#N/A</v>
      </c>
      <c r="J573" t="e">
        <f ca="1"/>
        <v>#N/A</v>
      </c>
      <c r="K573" t="e">
        <f ca="1"/>
        <v>#N/A</v>
      </c>
      <c r="L573" t="e">
        <f ca="1"/>
        <v>#N/A</v>
      </c>
      <c r="M573" t="e">
        <f ca="1"/>
        <v>#N/A</v>
      </c>
      <c r="N573" t="e">
        <f ca="1"/>
        <v>#N/A</v>
      </c>
      <c r="O573" t="e">
        <f ca="1"/>
        <v>#N/A</v>
      </c>
      <c r="P573" t="e">
        <f ca="1"/>
        <v>#N/A</v>
      </c>
      <c r="Q573" t="e">
        <f ca="1"/>
        <v>#N/A</v>
      </c>
      <c r="R573" t="e">
        <f ca="1"/>
        <v>#N/A</v>
      </c>
      <c r="S573" t="e">
        <f ca="1"/>
        <v>#N/A</v>
      </c>
      <c r="T573" t="e">
        <f ca="1"/>
        <v>#N/A</v>
      </c>
      <c r="U573" t="e">
        <f ca="1"/>
        <v>#N/A</v>
      </c>
      <c r="V573" t="e">
        <f ca="1"/>
        <v>#N/A</v>
      </c>
      <c r="X573" s="2">
        <f t="shared" ca="1" si="65"/>
        <v>0</v>
      </c>
      <c r="Y573">
        <f t="shared" ca="1" si="66"/>
        <v>0</v>
      </c>
      <c r="AA573" s="63" t="e">
        <f t="shared" ca="1" si="67"/>
        <v>#N/A</v>
      </c>
      <c r="AB573" s="63" t="e">
        <f t="shared" ca="1" si="68"/>
        <v>#N/A</v>
      </c>
      <c r="AC573" s="3" t="e">
        <f t="shared" ca="1" si="69"/>
        <v>#N/A</v>
      </c>
    </row>
    <row r="574" spans="8:29">
      <c r="H574" t="e">
        <f t="shared" ca="1" si="63"/>
        <v>#N/A</v>
      </c>
      <c r="I574" t="e">
        <f t="shared" ca="1" si="64"/>
        <v>#N/A</v>
      </c>
      <c r="J574" t="e">
        <f ca="1"/>
        <v>#N/A</v>
      </c>
      <c r="K574" t="e">
        <f ca="1"/>
        <v>#N/A</v>
      </c>
      <c r="L574" t="e">
        <f ca="1"/>
        <v>#N/A</v>
      </c>
      <c r="M574" t="e">
        <f ca="1"/>
        <v>#N/A</v>
      </c>
      <c r="N574" t="e">
        <f ca="1"/>
        <v>#N/A</v>
      </c>
      <c r="O574" t="e">
        <f ca="1"/>
        <v>#N/A</v>
      </c>
      <c r="P574" t="e">
        <f ca="1"/>
        <v>#N/A</v>
      </c>
      <c r="Q574" t="e">
        <f ca="1"/>
        <v>#N/A</v>
      </c>
      <c r="R574" t="e">
        <f ca="1"/>
        <v>#N/A</v>
      </c>
      <c r="S574" t="e">
        <f ca="1"/>
        <v>#N/A</v>
      </c>
      <c r="T574" t="e">
        <f ca="1"/>
        <v>#N/A</v>
      </c>
      <c r="U574" t="e">
        <f ca="1"/>
        <v>#N/A</v>
      </c>
      <c r="V574" t="e">
        <f ca="1"/>
        <v>#N/A</v>
      </c>
      <c r="X574" s="2">
        <f t="shared" ca="1" si="65"/>
        <v>0</v>
      </c>
      <c r="Y574">
        <f t="shared" ca="1" si="66"/>
        <v>0</v>
      </c>
      <c r="AA574" s="63" t="e">
        <f t="shared" ca="1" si="67"/>
        <v>#N/A</v>
      </c>
      <c r="AB574" s="63" t="e">
        <f t="shared" ca="1" si="68"/>
        <v>#N/A</v>
      </c>
      <c r="AC574" s="3" t="e">
        <f t="shared" ca="1" si="69"/>
        <v>#N/A</v>
      </c>
    </row>
    <row r="575" spans="8:29">
      <c r="H575" t="e">
        <f t="shared" ca="1" si="63"/>
        <v>#N/A</v>
      </c>
      <c r="I575" t="e">
        <f t="shared" ca="1" si="64"/>
        <v>#N/A</v>
      </c>
      <c r="J575" t="e">
        <f ca="1"/>
        <v>#N/A</v>
      </c>
      <c r="K575" t="e">
        <f ca="1"/>
        <v>#N/A</v>
      </c>
      <c r="L575" t="e">
        <f ca="1"/>
        <v>#N/A</v>
      </c>
      <c r="M575" t="e">
        <f ca="1"/>
        <v>#N/A</v>
      </c>
      <c r="N575" t="e">
        <f ca="1"/>
        <v>#N/A</v>
      </c>
      <c r="O575" t="e">
        <f ca="1"/>
        <v>#N/A</v>
      </c>
      <c r="P575" t="e">
        <f ca="1"/>
        <v>#N/A</v>
      </c>
      <c r="Q575" t="e">
        <f ca="1"/>
        <v>#N/A</v>
      </c>
      <c r="R575" t="e">
        <f ca="1"/>
        <v>#N/A</v>
      </c>
      <c r="S575" t="e">
        <f ca="1"/>
        <v>#N/A</v>
      </c>
      <c r="T575" t="e">
        <f ca="1"/>
        <v>#N/A</v>
      </c>
      <c r="U575" t="e">
        <f ca="1"/>
        <v>#N/A</v>
      </c>
      <c r="V575" t="e">
        <f ca="1"/>
        <v>#N/A</v>
      </c>
      <c r="X575" s="2">
        <f t="shared" ca="1" si="65"/>
        <v>0</v>
      </c>
      <c r="Y575">
        <f t="shared" ca="1" si="66"/>
        <v>0</v>
      </c>
      <c r="AA575" s="63" t="e">
        <f t="shared" ca="1" si="67"/>
        <v>#N/A</v>
      </c>
      <c r="AB575" s="63" t="e">
        <f t="shared" ca="1" si="68"/>
        <v>#N/A</v>
      </c>
      <c r="AC575" s="3" t="e">
        <f t="shared" ca="1" si="69"/>
        <v>#N/A</v>
      </c>
    </row>
    <row r="576" spans="8:29">
      <c r="H576" t="e">
        <f t="shared" ca="1" si="63"/>
        <v>#N/A</v>
      </c>
      <c r="I576" t="e">
        <f t="shared" ca="1" si="64"/>
        <v>#N/A</v>
      </c>
      <c r="J576" t="e">
        <f ca="1"/>
        <v>#N/A</v>
      </c>
      <c r="K576" t="e">
        <f ca="1"/>
        <v>#N/A</v>
      </c>
      <c r="L576" t="e">
        <f ca="1"/>
        <v>#N/A</v>
      </c>
      <c r="M576" t="e">
        <f ca="1"/>
        <v>#N/A</v>
      </c>
      <c r="N576" t="e">
        <f ca="1"/>
        <v>#N/A</v>
      </c>
      <c r="O576" t="e">
        <f ca="1"/>
        <v>#N/A</v>
      </c>
      <c r="P576" t="e">
        <f ca="1"/>
        <v>#N/A</v>
      </c>
      <c r="Q576" t="e">
        <f ca="1"/>
        <v>#N/A</v>
      </c>
      <c r="R576" t="e">
        <f ca="1"/>
        <v>#N/A</v>
      </c>
      <c r="S576" t="e">
        <f ca="1"/>
        <v>#N/A</v>
      </c>
      <c r="T576" t="e">
        <f ca="1"/>
        <v>#N/A</v>
      </c>
      <c r="U576" t="e">
        <f ca="1"/>
        <v>#N/A</v>
      </c>
      <c r="V576" t="e">
        <f ca="1"/>
        <v>#N/A</v>
      </c>
      <c r="X576" s="2">
        <f t="shared" ca="1" si="65"/>
        <v>0</v>
      </c>
      <c r="Y576">
        <f t="shared" ca="1" si="66"/>
        <v>0</v>
      </c>
      <c r="AA576" s="63" t="e">
        <f t="shared" ca="1" si="67"/>
        <v>#N/A</v>
      </c>
      <c r="AB576" s="63" t="e">
        <f t="shared" ca="1" si="68"/>
        <v>#N/A</v>
      </c>
      <c r="AC576" s="3" t="e">
        <f t="shared" ca="1" si="69"/>
        <v>#N/A</v>
      </c>
    </row>
    <row r="577" spans="8:29">
      <c r="H577" t="e">
        <f t="shared" ca="1" si="63"/>
        <v>#N/A</v>
      </c>
      <c r="I577" t="e">
        <f t="shared" ca="1" si="64"/>
        <v>#N/A</v>
      </c>
      <c r="J577" t="e">
        <f ca="1"/>
        <v>#N/A</v>
      </c>
      <c r="K577" t="e">
        <f ca="1"/>
        <v>#N/A</v>
      </c>
      <c r="L577" t="e">
        <f ca="1"/>
        <v>#N/A</v>
      </c>
      <c r="M577" t="e">
        <f ca="1"/>
        <v>#N/A</v>
      </c>
      <c r="N577" t="e">
        <f ca="1"/>
        <v>#N/A</v>
      </c>
      <c r="O577" t="e">
        <f ca="1"/>
        <v>#N/A</v>
      </c>
      <c r="P577" t="e">
        <f ca="1"/>
        <v>#N/A</v>
      </c>
      <c r="Q577" t="e">
        <f ca="1"/>
        <v>#N/A</v>
      </c>
      <c r="R577" t="e">
        <f ca="1"/>
        <v>#N/A</v>
      </c>
      <c r="S577" t="e">
        <f ca="1"/>
        <v>#N/A</v>
      </c>
      <c r="T577" t="e">
        <f ca="1"/>
        <v>#N/A</v>
      </c>
      <c r="U577" t="e">
        <f ca="1"/>
        <v>#N/A</v>
      </c>
      <c r="V577" t="e">
        <f ca="1"/>
        <v>#N/A</v>
      </c>
      <c r="X577" s="2">
        <f t="shared" ca="1" si="65"/>
        <v>0</v>
      </c>
      <c r="Y577">
        <f t="shared" ca="1" si="66"/>
        <v>0</v>
      </c>
      <c r="AA577" s="63" t="e">
        <f t="shared" ca="1" si="67"/>
        <v>#N/A</v>
      </c>
      <c r="AB577" s="63" t="e">
        <f t="shared" ca="1" si="68"/>
        <v>#N/A</v>
      </c>
      <c r="AC577" s="3" t="e">
        <f t="shared" ca="1" si="69"/>
        <v>#N/A</v>
      </c>
    </row>
    <row r="578" spans="8:29">
      <c r="H578" t="e">
        <f t="shared" ca="1" si="63"/>
        <v>#N/A</v>
      </c>
      <c r="I578" t="e">
        <f t="shared" ca="1" si="64"/>
        <v>#N/A</v>
      </c>
      <c r="J578" t="e">
        <f ca="1"/>
        <v>#N/A</v>
      </c>
      <c r="K578" t="e">
        <f ca="1"/>
        <v>#N/A</v>
      </c>
      <c r="L578" t="e">
        <f ca="1"/>
        <v>#N/A</v>
      </c>
      <c r="M578" t="e">
        <f ca="1"/>
        <v>#N/A</v>
      </c>
      <c r="N578" t="e">
        <f ca="1"/>
        <v>#N/A</v>
      </c>
      <c r="O578" t="e">
        <f ca="1"/>
        <v>#N/A</v>
      </c>
      <c r="P578" t="e">
        <f ca="1"/>
        <v>#N/A</v>
      </c>
      <c r="Q578" t="e">
        <f ca="1"/>
        <v>#N/A</v>
      </c>
      <c r="R578" t="e">
        <f ca="1"/>
        <v>#N/A</v>
      </c>
      <c r="S578" t="e">
        <f ca="1"/>
        <v>#N/A</v>
      </c>
      <c r="T578" t="e">
        <f ca="1"/>
        <v>#N/A</v>
      </c>
      <c r="U578" t="e">
        <f ca="1"/>
        <v>#N/A</v>
      </c>
      <c r="V578" t="e">
        <f ca="1"/>
        <v>#N/A</v>
      </c>
      <c r="X578" s="2">
        <f t="shared" ca="1" si="65"/>
        <v>0</v>
      </c>
      <c r="Y578">
        <f t="shared" ca="1" si="66"/>
        <v>0</v>
      </c>
      <c r="AA578" s="63" t="e">
        <f t="shared" ca="1" si="67"/>
        <v>#N/A</v>
      </c>
      <c r="AB578" s="63" t="e">
        <f t="shared" ca="1" si="68"/>
        <v>#N/A</v>
      </c>
      <c r="AC578" s="3" t="e">
        <f t="shared" ca="1" si="69"/>
        <v>#N/A</v>
      </c>
    </row>
    <row r="579" spans="8:29">
      <c r="H579" t="e">
        <f t="shared" ca="1" si="63"/>
        <v>#N/A</v>
      </c>
      <c r="I579" t="e">
        <f t="shared" ca="1" si="64"/>
        <v>#N/A</v>
      </c>
      <c r="J579" t="e">
        <f ca="1"/>
        <v>#N/A</v>
      </c>
      <c r="K579" t="e">
        <f ca="1"/>
        <v>#N/A</v>
      </c>
      <c r="L579" t="e">
        <f ca="1"/>
        <v>#N/A</v>
      </c>
      <c r="M579" t="e">
        <f ca="1"/>
        <v>#N/A</v>
      </c>
      <c r="N579" t="e">
        <f ca="1"/>
        <v>#N/A</v>
      </c>
      <c r="O579" t="e">
        <f ca="1"/>
        <v>#N/A</v>
      </c>
      <c r="P579" t="e">
        <f ca="1"/>
        <v>#N/A</v>
      </c>
      <c r="Q579" t="e">
        <f ca="1"/>
        <v>#N/A</v>
      </c>
      <c r="R579" t="e">
        <f ca="1"/>
        <v>#N/A</v>
      </c>
      <c r="S579" t="e">
        <f ca="1"/>
        <v>#N/A</v>
      </c>
      <c r="T579" t="e">
        <f ca="1"/>
        <v>#N/A</v>
      </c>
      <c r="U579" t="e">
        <f ca="1"/>
        <v>#N/A</v>
      </c>
      <c r="V579" t="e">
        <f ca="1"/>
        <v>#N/A</v>
      </c>
      <c r="X579" s="2">
        <f t="shared" ca="1" si="65"/>
        <v>0</v>
      </c>
      <c r="Y579">
        <f t="shared" ca="1" si="66"/>
        <v>0</v>
      </c>
      <c r="AA579" s="63" t="e">
        <f t="shared" ca="1" si="67"/>
        <v>#N/A</v>
      </c>
      <c r="AB579" s="63" t="e">
        <f t="shared" ca="1" si="68"/>
        <v>#N/A</v>
      </c>
      <c r="AC579" s="3" t="e">
        <f t="shared" ca="1" si="69"/>
        <v>#N/A</v>
      </c>
    </row>
    <row r="580" spans="8:29">
      <c r="H580" t="e">
        <f t="shared" ca="1" si="63"/>
        <v>#N/A</v>
      </c>
      <c r="I580" t="e">
        <f t="shared" ca="1" si="64"/>
        <v>#N/A</v>
      </c>
      <c r="J580" t="e">
        <f ca="1"/>
        <v>#N/A</v>
      </c>
      <c r="K580" t="e">
        <f ca="1"/>
        <v>#N/A</v>
      </c>
      <c r="L580" t="e">
        <f ca="1"/>
        <v>#N/A</v>
      </c>
      <c r="M580" t="e">
        <f ca="1"/>
        <v>#N/A</v>
      </c>
      <c r="N580" t="e">
        <f ca="1"/>
        <v>#N/A</v>
      </c>
      <c r="O580" t="e">
        <f ca="1"/>
        <v>#N/A</v>
      </c>
      <c r="P580" t="e">
        <f ca="1"/>
        <v>#N/A</v>
      </c>
      <c r="Q580" t="e">
        <f ca="1"/>
        <v>#N/A</v>
      </c>
      <c r="R580" t="e">
        <f ca="1"/>
        <v>#N/A</v>
      </c>
      <c r="S580" t="e">
        <f ca="1"/>
        <v>#N/A</v>
      </c>
      <c r="T580" t="e">
        <f ca="1"/>
        <v>#N/A</v>
      </c>
      <c r="U580" t="e">
        <f ca="1"/>
        <v>#N/A</v>
      </c>
      <c r="V580" t="e">
        <f ca="1"/>
        <v>#N/A</v>
      </c>
      <c r="X580" s="2">
        <f t="shared" ca="1" si="65"/>
        <v>0</v>
      </c>
      <c r="Y580">
        <f t="shared" ca="1" si="66"/>
        <v>0</v>
      </c>
      <c r="AA580" s="63" t="e">
        <f t="shared" ca="1" si="67"/>
        <v>#N/A</v>
      </c>
      <c r="AB580" s="63" t="e">
        <f t="shared" ca="1" si="68"/>
        <v>#N/A</v>
      </c>
      <c r="AC580" s="3" t="e">
        <f t="shared" ca="1" si="69"/>
        <v>#N/A</v>
      </c>
    </row>
    <row r="581" spans="8:29">
      <c r="H581" t="e">
        <f t="shared" ca="1" si="63"/>
        <v>#N/A</v>
      </c>
      <c r="I581" t="e">
        <f t="shared" ca="1" si="64"/>
        <v>#N/A</v>
      </c>
      <c r="J581" t="e">
        <f ca="1"/>
        <v>#N/A</v>
      </c>
      <c r="K581" t="e">
        <f ca="1"/>
        <v>#N/A</v>
      </c>
      <c r="L581" t="e">
        <f ca="1"/>
        <v>#N/A</v>
      </c>
      <c r="M581" t="e">
        <f ca="1"/>
        <v>#N/A</v>
      </c>
      <c r="N581" t="e">
        <f ca="1"/>
        <v>#N/A</v>
      </c>
      <c r="O581" t="e">
        <f ca="1"/>
        <v>#N/A</v>
      </c>
      <c r="P581" t="e">
        <f ca="1"/>
        <v>#N/A</v>
      </c>
      <c r="Q581" t="e">
        <f ca="1"/>
        <v>#N/A</v>
      </c>
      <c r="R581" t="e">
        <f ca="1"/>
        <v>#N/A</v>
      </c>
      <c r="S581" t="e">
        <f ca="1"/>
        <v>#N/A</v>
      </c>
      <c r="T581" t="e">
        <f ca="1"/>
        <v>#N/A</v>
      </c>
      <c r="U581" t="e">
        <f ca="1"/>
        <v>#N/A</v>
      </c>
      <c r="V581" t="e">
        <f ca="1"/>
        <v>#N/A</v>
      </c>
      <c r="X581" s="2">
        <f t="shared" ca="1" si="65"/>
        <v>0</v>
      </c>
      <c r="Y581">
        <f t="shared" ca="1" si="66"/>
        <v>0</v>
      </c>
      <c r="AA581" s="63" t="e">
        <f t="shared" ca="1" si="67"/>
        <v>#N/A</v>
      </c>
      <c r="AB581" s="63" t="e">
        <f t="shared" ca="1" si="68"/>
        <v>#N/A</v>
      </c>
      <c r="AC581" s="3" t="e">
        <f t="shared" ca="1" si="69"/>
        <v>#N/A</v>
      </c>
    </row>
    <row r="582" spans="8:29">
      <c r="H582" t="e">
        <f t="shared" ca="1" si="63"/>
        <v>#N/A</v>
      </c>
      <c r="I582" t="e">
        <f t="shared" ca="1" si="64"/>
        <v>#N/A</v>
      </c>
      <c r="J582" t="e">
        <f ca="1"/>
        <v>#N/A</v>
      </c>
      <c r="K582" t="e">
        <f ca="1"/>
        <v>#N/A</v>
      </c>
      <c r="L582" t="e">
        <f ca="1"/>
        <v>#N/A</v>
      </c>
      <c r="M582" t="e">
        <f ca="1"/>
        <v>#N/A</v>
      </c>
      <c r="N582" t="e">
        <f ca="1"/>
        <v>#N/A</v>
      </c>
      <c r="O582" t="e">
        <f ca="1"/>
        <v>#N/A</v>
      </c>
      <c r="P582" t="e">
        <f ca="1"/>
        <v>#N/A</v>
      </c>
      <c r="Q582" t="e">
        <f ca="1"/>
        <v>#N/A</v>
      </c>
      <c r="R582" t="e">
        <f ca="1"/>
        <v>#N/A</v>
      </c>
      <c r="S582" t="e">
        <f ca="1"/>
        <v>#N/A</v>
      </c>
      <c r="T582" t="e">
        <f ca="1"/>
        <v>#N/A</v>
      </c>
      <c r="U582" t="e">
        <f ca="1"/>
        <v>#N/A</v>
      </c>
      <c r="V582" t="e">
        <f ca="1"/>
        <v>#N/A</v>
      </c>
      <c r="X582" s="2">
        <f t="shared" ca="1" si="65"/>
        <v>0</v>
      </c>
      <c r="Y582">
        <f t="shared" ca="1" si="66"/>
        <v>0</v>
      </c>
      <c r="AA582" s="63" t="e">
        <f t="shared" ca="1" si="67"/>
        <v>#N/A</v>
      </c>
      <c r="AB582" s="63" t="e">
        <f t="shared" ca="1" si="68"/>
        <v>#N/A</v>
      </c>
      <c r="AC582" s="3" t="e">
        <f t="shared" ca="1" si="69"/>
        <v>#N/A</v>
      </c>
    </row>
    <row r="583" spans="8:29">
      <c r="H583" t="e">
        <f t="shared" ca="1" si="63"/>
        <v>#N/A</v>
      </c>
      <c r="I583" t="e">
        <f t="shared" ca="1" si="64"/>
        <v>#N/A</v>
      </c>
      <c r="J583" t="e">
        <f ca="1"/>
        <v>#N/A</v>
      </c>
      <c r="K583" t="e">
        <f ca="1"/>
        <v>#N/A</v>
      </c>
      <c r="L583" t="e">
        <f ca="1"/>
        <v>#N/A</v>
      </c>
      <c r="M583" t="e">
        <f ca="1"/>
        <v>#N/A</v>
      </c>
      <c r="N583" t="e">
        <f ca="1"/>
        <v>#N/A</v>
      </c>
      <c r="O583" t="e">
        <f ca="1"/>
        <v>#N/A</v>
      </c>
      <c r="P583" t="e">
        <f ca="1"/>
        <v>#N/A</v>
      </c>
      <c r="Q583" t="e">
        <f ca="1"/>
        <v>#N/A</v>
      </c>
      <c r="R583" t="e">
        <f ca="1"/>
        <v>#N/A</v>
      </c>
      <c r="S583" t="e">
        <f ca="1"/>
        <v>#N/A</v>
      </c>
      <c r="T583" t="e">
        <f ca="1"/>
        <v>#N/A</v>
      </c>
      <c r="U583" t="e">
        <f ca="1"/>
        <v>#N/A</v>
      </c>
      <c r="V583" t="e">
        <f ca="1"/>
        <v>#N/A</v>
      </c>
      <c r="X583" s="2">
        <f t="shared" ca="1" si="65"/>
        <v>0</v>
      </c>
      <c r="Y583">
        <f t="shared" ca="1" si="66"/>
        <v>0</v>
      </c>
      <c r="AA583" s="63" t="e">
        <f t="shared" ca="1" si="67"/>
        <v>#N/A</v>
      </c>
      <c r="AB583" s="63" t="e">
        <f t="shared" ca="1" si="68"/>
        <v>#N/A</v>
      </c>
      <c r="AC583" s="3" t="e">
        <f t="shared" ca="1" si="69"/>
        <v>#N/A</v>
      </c>
    </row>
    <row r="584" spans="8:29">
      <c r="H584" t="e">
        <f t="shared" ca="1" si="63"/>
        <v>#N/A</v>
      </c>
      <c r="I584" t="e">
        <f t="shared" ca="1" si="64"/>
        <v>#N/A</v>
      </c>
      <c r="J584" t="e">
        <f ca="1"/>
        <v>#N/A</v>
      </c>
      <c r="K584" t="e">
        <f ca="1"/>
        <v>#N/A</v>
      </c>
      <c r="L584" t="e">
        <f ca="1"/>
        <v>#N/A</v>
      </c>
      <c r="M584" t="e">
        <f ca="1"/>
        <v>#N/A</v>
      </c>
      <c r="N584" t="e">
        <f ca="1"/>
        <v>#N/A</v>
      </c>
      <c r="O584" t="e">
        <f ca="1"/>
        <v>#N/A</v>
      </c>
      <c r="P584" t="e">
        <f ca="1"/>
        <v>#N/A</v>
      </c>
      <c r="Q584" t="e">
        <f ca="1"/>
        <v>#N/A</v>
      </c>
      <c r="R584" t="e">
        <f ca="1"/>
        <v>#N/A</v>
      </c>
      <c r="S584" t="e">
        <f ca="1"/>
        <v>#N/A</v>
      </c>
      <c r="T584" t="e">
        <f ca="1"/>
        <v>#N/A</v>
      </c>
      <c r="U584" t="e">
        <f ca="1"/>
        <v>#N/A</v>
      </c>
      <c r="V584" t="e">
        <f ca="1"/>
        <v>#N/A</v>
      </c>
      <c r="X584" s="2">
        <f t="shared" ca="1" si="65"/>
        <v>0</v>
      </c>
      <c r="Y584">
        <f t="shared" ca="1" si="66"/>
        <v>0</v>
      </c>
      <c r="AA584" s="63" t="e">
        <f t="shared" ca="1" si="67"/>
        <v>#N/A</v>
      </c>
      <c r="AB584" s="63" t="e">
        <f t="shared" ca="1" si="68"/>
        <v>#N/A</v>
      </c>
      <c r="AC584" s="3" t="e">
        <f t="shared" ca="1" si="69"/>
        <v>#N/A</v>
      </c>
    </row>
    <row r="585" spans="8:29">
      <c r="H585" t="e">
        <f t="shared" ca="1" si="63"/>
        <v>#N/A</v>
      </c>
      <c r="I585" t="e">
        <f t="shared" ca="1" si="64"/>
        <v>#N/A</v>
      </c>
      <c r="J585" t="e">
        <f ca="1"/>
        <v>#N/A</v>
      </c>
      <c r="K585" t="e">
        <f ca="1"/>
        <v>#N/A</v>
      </c>
      <c r="L585" t="e">
        <f ca="1"/>
        <v>#N/A</v>
      </c>
      <c r="M585" t="e">
        <f ca="1"/>
        <v>#N/A</v>
      </c>
      <c r="N585" t="e">
        <f ca="1"/>
        <v>#N/A</v>
      </c>
      <c r="O585" t="e">
        <f ca="1"/>
        <v>#N/A</v>
      </c>
      <c r="P585" t="e">
        <f ca="1"/>
        <v>#N/A</v>
      </c>
      <c r="Q585" t="e">
        <f ca="1"/>
        <v>#N/A</v>
      </c>
      <c r="R585" t="e">
        <f ca="1"/>
        <v>#N/A</v>
      </c>
      <c r="S585" t="e">
        <f ca="1"/>
        <v>#N/A</v>
      </c>
      <c r="T585" t="e">
        <f ca="1"/>
        <v>#N/A</v>
      </c>
      <c r="U585" t="e">
        <f ca="1"/>
        <v>#N/A</v>
      </c>
      <c r="V585" t="e">
        <f ca="1"/>
        <v>#N/A</v>
      </c>
      <c r="X585" s="2">
        <f t="shared" ca="1" si="65"/>
        <v>0</v>
      </c>
      <c r="Y585">
        <f t="shared" ca="1" si="66"/>
        <v>0</v>
      </c>
      <c r="AA585" s="63" t="e">
        <f t="shared" ca="1" si="67"/>
        <v>#N/A</v>
      </c>
      <c r="AB585" s="63" t="e">
        <f t="shared" ca="1" si="68"/>
        <v>#N/A</v>
      </c>
      <c r="AC585" s="3" t="e">
        <f t="shared" ca="1" si="69"/>
        <v>#N/A</v>
      </c>
    </row>
    <row r="586" spans="8:29">
      <c r="H586" t="e">
        <f t="shared" ca="1" si="63"/>
        <v>#N/A</v>
      </c>
      <c r="I586" t="e">
        <f t="shared" ca="1" si="64"/>
        <v>#N/A</v>
      </c>
      <c r="J586" t="e">
        <f ca="1"/>
        <v>#N/A</v>
      </c>
      <c r="K586" t="e">
        <f ca="1"/>
        <v>#N/A</v>
      </c>
      <c r="L586" t="e">
        <f ca="1"/>
        <v>#N/A</v>
      </c>
      <c r="M586" t="e">
        <f ca="1"/>
        <v>#N/A</v>
      </c>
      <c r="N586" t="e">
        <f ca="1"/>
        <v>#N/A</v>
      </c>
      <c r="O586" t="e">
        <f ca="1"/>
        <v>#N/A</v>
      </c>
      <c r="P586" t="e">
        <f ca="1"/>
        <v>#N/A</v>
      </c>
      <c r="Q586" t="e">
        <f ca="1"/>
        <v>#N/A</v>
      </c>
      <c r="R586" t="e">
        <f ca="1"/>
        <v>#N/A</v>
      </c>
      <c r="S586" t="e">
        <f ca="1"/>
        <v>#N/A</v>
      </c>
      <c r="T586" t="e">
        <f ca="1"/>
        <v>#N/A</v>
      </c>
      <c r="U586" t="e">
        <f ca="1"/>
        <v>#N/A</v>
      </c>
      <c r="V586" t="e">
        <f ca="1"/>
        <v>#N/A</v>
      </c>
      <c r="X586" s="2">
        <f t="shared" ca="1" si="65"/>
        <v>0</v>
      </c>
      <c r="Y586">
        <f t="shared" ca="1" si="66"/>
        <v>0</v>
      </c>
      <c r="AA586" s="63" t="e">
        <f t="shared" ca="1" si="67"/>
        <v>#N/A</v>
      </c>
      <c r="AB586" s="63" t="e">
        <f t="shared" ca="1" si="68"/>
        <v>#N/A</v>
      </c>
      <c r="AC586" s="3" t="e">
        <f t="shared" ca="1" si="69"/>
        <v>#N/A</v>
      </c>
    </row>
    <row r="587" spans="8:29">
      <c r="H587" t="e">
        <f t="shared" ca="1" si="63"/>
        <v>#N/A</v>
      </c>
      <c r="I587" t="e">
        <f t="shared" ca="1" si="64"/>
        <v>#N/A</v>
      </c>
      <c r="J587" t="e">
        <f ca="1"/>
        <v>#N/A</v>
      </c>
      <c r="K587" t="e">
        <f ca="1"/>
        <v>#N/A</v>
      </c>
      <c r="L587" t="e">
        <f ca="1"/>
        <v>#N/A</v>
      </c>
      <c r="M587" t="e">
        <f ca="1"/>
        <v>#N/A</v>
      </c>
      <c r="N587" t="e">
        <f ca="1"/>
        <v>#N/A</v>
      </c>
      <c r="O587" t="e">
        <f ca="1"/>
        <v>#N/A</v>
      </c>
      <c r="P587" t="e">
        <f ca="1"/>
        <v>#N/A</v>
      </c>
      <c r="Q587" t="e">
        <f ca="1"/>
        <v>#N/A</v>
      </c>
      <c r="R587" t="e">
        <f ca="1"/>
        <v>#N/A</v>
      </c>
      <c r="S587" t="e">
        <f ca="1"/>
        <v>#N/A</v>
      </c>
      <c r="T587" t="e">
        <f ca="1"/>
        <v>#N/A</v>
      </c>
      <c r="U587" t="e">
        <f ca="1"/>
        <v>#N/A</v>
      </c>
      <c r="V587" t="e">
        <f ca="1"/>
        <v>#N/A</v>
      </c>
      <c r="X587" s="2">
        <f t="shared" ca="1" si="65"/>
        <v>0</v>
      </c>
      <c r="Y587">
        <f t="shared" ca="1" si="66"/>
        <v>0</v>
      </c>
      <c r="AA587" s="63" t="e">
        <f t="shared" ca="1" si="67"/>
        <v>#N/A</v>
      </c>
      <c r="AB587" s="63" t="e">
        <f t="shared" ca="1" si="68"/>
        <v>#N/A</v>
      </c>
      <c r="AC587" s="3" t="e">
        <f t="shared" ca="1" si="69"/>
        <v>#N/A</v>
      </c>
    </row>
    <row r="588" spans="8:29">
      <c r="H588" t="e">
        <f t="shared" ca="1" si="63"/>
        <v>#N/A</v>
      </c>
      <c r="I588" t="e">
        <f t="shared" ca="1" si="64"/>
        <v>#N/A</v>
      </c>
      <c r="J588" t="e">
        <f ca="1"/>
        <v>#N/A</v>
      </c>
      <c r="K588" t="e">
        <f ca="1"/>
        <v>#N/A</v>
      </c>
      <c r="L588" t="e">
        <f ca="1"/>
        <v>#N/A</v>
      </c>
      <c r="M588" t="e">
        <f ca="1"/>
        <v>#N/A</v>
      </c>
      <c r="N588" t="e">
        <f ca="1"/>
        <v>#N/A</v>
      </c>
      <c r="O588" t="e">
        <f ca="1"/>
        <v>#N/A</v>
      </c>
      <c r="P588" t="e">
        <f ca="1"/>
        <v>#N/A</v>
      </c>
      <c r="Q588" t="e">
        <f ca="1"/>
        <v>#N/A</v>
      </c>
      <c r="R588" t="e">
        <f ca="1"/>
        <v>#N/A</v>
      </c>
      <c r="S588" t="e">
        <f ca="1"/>
        <v>#N/A</v>
      </c>
      <c r="T588" t="e">
        <f ca="1"/>
        <v>#N/A</v>
      </c>
      <c r="U588" t="e">
        <f ca="1"/>
        <v>#N/A</v>
      </c>
      <c r="V588" t="e">
        <f ca="1"/>
        <v>#N/A</v>
      </c>
      <c r="X588" s="2">
        <f t="shared" ca="1" si="65"/>
        <v>0</v>
      </c>
      <c r="Y588">
        <f t="shared" ca="1" si="66"/>
        <v>0</v>
      </c>
      <c r="AA588" s="63" t="e">
        <f t="shared" ca="1" si="67"/>
        <v>#N/A</v>
      </c>
      <c r="AB588" s="63" t="e">
        <f t="shared" ca="1" si="68"/>
        <v>#N/A</v>
      </c>
      <c r="AC588" s="3" t="e">
        <f t="shared" ca="1" si="69"/>
        <v>#N/A</v>
      </c>
    </row>
    <row r="589" spans="8:29">
      <c r="H589" t="e">
        <f t="shared" ca="1" si="63"/>
        <v>#N/A</v>
      </c>
      <c r="I589" t="e">
        <f t="shared" ca="1" si="64"/>
        <v>#N/A</v>
      </c>
      <c r="J589" t="e">
        <f ca="1"/>
        <v>#N/A</v>
      </c>
      <c r="K589" t="e">
        <f ca="1"/>
        <v>#N/A</v>
      </c>
      <c r="L589" t="e">
        <f ca="1"/>
        <v>#N/A</v>
      </c>
      <c r="M589" t="e">
        <f ca="1"/>
        <v>#N/A</v>
      </c>
      <c r="N589" t="e">
        <f ca="1"/>
        <v>#N/A</v>
      </c>
      <c r="O589" t="e">
        <f ca="1"/>
        <v>#N/A</v>
      </c>
      <c r="P589" t="e">
        <f ca="1"/>
        <v>#N/A</v>
      </c>
      <c r="Q589" t="e">
        <f ca="1"/>
        <v>#N/A</v>
      </c>
      <c r="R589" t="e">
        <f ca="1"/>
        <v>#N/A</v>
      </c>
      <c r="S589" t="e">
        <f ca="1"/>
        <v>#N/A</v>
      </c>
      <c r="T589" t="e">
        <f ca="1"/>
        <v>#N/A</v>
      </c>
      <c r="U589" t="e">
        <f ca="1"/>
        <v>#N/A</v>
      </c>
      <c r="V589" t="e">
        <f ca="1"/>
        <v>#N/A</v>
      </c>
      <c r="X589" s="2">
        <f t="shared" ca="1" si="65"/>
        <v>0</v>
      </c>
      <c r="Y589">
        <f t="shared" ca="1" si="66"/>
        <v>0</v>
      </c>
      <c r="AA589" s="63" t="e">
        <f t="shared" ca="1" si="67"/>
        <v>#N/A</v>
      </c>
      <c r="AB589" s="63" t="e">
        <f t="shared" ca="1" si="68"/>
        <v>#N/A</v>
      </c>
      <c r="AC589" s="3" t="e">
        <f t="shared" ca="1" si="69"/>
        <v>#N/A</v>
      </c>
    </row>
    <row r="590" spans="8:29">
      <c r="H590" t="e">
        <f t="shared" ca="1" si="63"/>
        <v>#N/A</v>
      </c>
      <c r="I590" t="e">
        <f t="shared" ca="1" si="64"/>
        <v>#N/A</v>
      </c>
      <c r="J590" t="e">
        <f ca="1"/>
        <v>#N/A</v>
      </c>
      <c r="K590" t="e">
        <f ca="1"/>
        <v>#N/A</v>
      </c>
      <c r="L590" t="e">
        <f ca="1"/>
        <v>#N/A</v>
      </c>
      <c r="M590" t="e">
        <f ca="1"/>
        <v>#N/A</v>
      </c>
      <c r="N590" t="e">
        <f ca="1"/>
        <v>#N/A</v>
      </c>
      <c r="O590" t="e">
        <f ca="1"/>
        <v>#N/A</v>
      </c>
      <c r="P590" t="e">
        <f ca="1"/>
        <v>#N/A</v>
      </c>
      <c r="Q590" t="e">
        <f ca="1"/>
        <v>#N/A</v>
      </c>
      <c r="R590" t="e">
        <f ca="1"/>
        <v>#N/A</v>
      </c>
      <c r="S590" t="e">
        <f ca="1"/>
        <v>#N/A</v>
      </c>
      <c r="T590" t="e">
        <f ca="1"/>
        <v>#N/A</v>
      </c>
      <c r="U590" t="e">
        <f ca="1"/>
        <v>#N/A</v>
      </c>
      <c r="V590" t="e">
        <f ca="1"/>
        <v>#N/A</v>
      </c>
      <c r="X590" s="2">
        <f t="shared" ca="1" si="65"/>
        <v>0</v>
      </c>
      <c r="Y590">
        <f t="shared" ca="1" si="66"/>
        <v>0</v>
      </c>
      <c r="AA590" s="63" t="e">
        <f t="shared" ca="1" si="67"/>
        <v>#N/A</v>
      </c>
      <c r="AB590" s="63" t="e">
        <f t="shared" ca="1" si="68"/>
        <v>#N/A</v>
      </c>
      <c r="AC590" s="3" t="e">
        <f t="shared" ca="1" si="69"/>
        <v>#N/A</v>
      </c>
    </row>
    <row r="591" spans="8:29">
      <c r="H591" t="e">
        <f t="shared" ca="1" si="63"/>
        <v>#N/A</v>
      </c>
      <c r="I591" t="e">
        <f t="shared" ca="1" si="64"/>
        <v>#N/A</v>
      </c>
      <c r="J591" t="e">
        <f ca="1"/>
        <v>#N/A</v>
      </c>
      <c r="K591" t="e">
        <f ca="1"/>
        <v>#N/A</v>
      </c>
      <c r="L591" t="e">
        <f ca="1"/>
        <v>#N/A</v>
      </c>
      <c r="M591" t="e">
        <f ca="1"/>
        <v>#N/A</v>
      </c>
      <c r="N591" t="e">
        <f ca="1"/>
        <v>#N/A</v>
      </c>
      <c r="O591" t="e">
        <f ca="1"/>
        <v>#N/A</v>
      </c>
      <c r="P591" t="e">
        <f ca="1"/>
        <v>#N/A</v>
      </c>
      <c r="Q591" t="e">
        <f ca="1"/>
        <v>#N/A</v>
      </c>
      <c r="R591" t="e">
        <f ca="1"/>
        <v>#N/A</v>
      </c>
      <c r="S591" t="e">
        <f ca="1"/>
        <v>#N/A</v>
      </c>
      <c r="T591" t="e">
        <f ca="1"/>
        <v>#N/A</v>
      </c>
      <c r="U591" t="e">
        <f ca="1"/>
        <v>#N/A</v>
      </c>
      <c r="V591" t="e">
        <f ca="1"/>
        <v>#N/A</v>
      </c>
      <c r="X591" s="2">
        <f t="shared" ca="1" si="65"/>
        <v>0</v>
      </c>
      <c r="Y591">
        <f t="shared" ca="1" si="66"/>
        <v>0</v>
      </c>
      <c r="AA591" s="63" t="e">
        <f t="shared" ca="1" si="67"/>
        <v>#N/A</v>
      </c>
      <c r="AB591" s="63" t="e">
        <f t="shared" ca="1" si="68"/>
        <v>#N/A</v>
      </c>
      <c r="AC591" s="3" t="e">
        <f t="shared" ca="1" si="69"/>
        <v>#N/A</v>
      </c>
    </row>
    <row r="592" spans="8:29">
      <c r="H592" t="e">
        <f t="shared" ca="1" si="63"/>
        <v>#N/A</v>
      </c>
      <c r="I592" t="e">
        <f t="shared" ca="1" si="64"/>
        <v>#N/A</v>
      </c>
      <c r="J592" t="e">
        <f ca="1"/>
        <v>#N/A</v>
      </c>
      <c r="K592" t="e">
        <f ca="1"/>
        <v>#N/A</v>
      </c>
      <c r="L592" t="e">
        <f ca="1"/>
        <v>#N/A</v>
      </c>
      <c r="M592" t="e">
        <f ca="1"/>
        <v>#N/A</v>
      </c>
      <c r="N592" t="e">
        <f ca="1"/>
        <v>#N/A</v>
      </c>
      <c r="O592" t="e">
        <f ca="1"/>
        <v>#N/A</v>
      </c>
      <c r="P592" t="e">
        <f ca="1"/>
        <v>#N/A</v>
      </c>
      <c r="Q592" t="e">
        <f ca="1"/>
        <v>#N/A</v>
      </c>
      <c r="R592" t="e">
        <f ca="1"/>
        <v>#N/A</v>
      </c>
      <c r="S592" t="e">
        <f ca="1"/>
        <v>#N/A</v>
      </c>
      <c r="T592" t="e">
        <f ca="1"/>
        <v>#N/A</v>
      </c>
      <c r="U592" t="e">
        <f ca="1"/>
        <v>#N/A</v>
      </c>
      <c r="V592" t="e">
        <f ca="1"/>
        <v>#N/A</v>
      </c>
      <c r="X592" s="2">
        <f t="shared" ca="1" si="65"/>
        <v>0</v>
      </c>
      <c r="Y592">
        <f t="shared" ca="1" si="66"/>
        <v>0</v>
      </c>
      <c r="AA592" s="63" t="e">
        <f t="shared" ca="1" si="67"/>
        <v>#N/A</v>
      </c>
      <c r="AB592" s="63" t="e">
        <f t="shared" ca="1" si="68"/>
        <v>#N/A</v>
      </c>
      <c r="AC592" s="3" t="e">
        <f t="shared" ca="1" si="69"/>
        <v>#N/A</v>
      </c>
    </row>
    <row r="593" spans="8:29">
      <c r="H593" t="e">
        <f t="shared" ca="1" si="63"/>
        <v>#N/A</v>
      </c>
      <c r="I593" t="e">
        <f t="shared" ca="1" si="64"/>
        <v>#N/A</v>
      </c>
      <c r="J593" t="e">
        <f ca="1"/>
        <v>#N/A</v>
      </c>
      <c r="K593" t="e">
        <f ca="1"/>
        <v>#N/A</v>
      </c>
      <c r="L593" t="e">
        <f ca="1"/>
        <v>#N/A</v>
      </c>
      <c r="M593" t="e">
        <f ca="1"/>
        <v>#N/A</v>
      </c>
      <c r="N593" t="e">
        <f ca="1"/>
        <v>#N/A</v>
      </c>
      <c r="O593" t="e">
        <f ca="1"/>
        <v>#N/A</v>
      </c>
      <c r="P593" t="e">
        <f ca="1"/>
        <v>#N/A</v>
      </c>
      <c r="Q593" t="e">
        <f ca="1"/>
        <v>#N/A</v>
      </c>
      <c r="R593" t="e">
        <f ca="1"/>
        <v>#N/A</v>
      </c>
      <c r="S593" t="e">
        <f ca="1"/>
        <v>#N/A</v>
      </c>
      <c r="T593" t="e">
        <f ca="1"/>
        <v>#N/A</v>
      </c>
      <c r="U593" t="e">
        <f ca="1"/>
        <v>#N/A</v>
      </c>
      <c r="V593" t="e">
        <f ca="1"/>
        <v>#N/A</v>
      </c>
      <c r="X593" s="2">
        <f t="shared" ca="1" si="65"/>
        <v>0</v>
      </c>
      <c r="Y593">
        <f t="shared" ca="1" si="66"/>
        <v>0</v>
      </c>
      <c r="AA593" s="63" t="e">
        <f t="shared" ca="1" si="67"/>
        <v>#N/A</v>
      </c>
      <c r="AB593" s="63" t="e">
        <f t="shared" ca="1" si="68"/>
        <v>#N/A</v>
      </c>
      <c r="AC593" s="3" t="e">
        <f t="shared" ca="1" si="69"/>
        <v>#N/A</v>
      </c>
    </row>
    <row r="594" spans="8:29">
      <c r="H594" t="e">
        <f t="shared" ca="1" si="63"/>
        <v>#N/A</v>
      </c>
      <c r="I594" t="e">
        <f t="shared" ca="1" si="64"/>
        <v>#N/A</v>
      </c>
      <c r="J594" t="e">
        <f ca="1"/>
        <v>#N/A</v>
      </c>
      <c r="K594" t="e">
        <f ca="1"/>
        <v>#N/A</v>
      </c>
      <c r="L594" t="e">
        <f ca="1"/>
        <v>#N/A</v>
      </c>
      <c r="M594" t="e">
        <f ca="1"/>
        <v>#N/A</v>
      </c>
      <c r="N594" t="e">
        <f ca="1"/>
        <v>#N/A</v>
      </c>
      <c r="O594" t="e">
        <f ca="1"/>
        <v>#N/A</v>
      </c>
      <c r="P594" t="e">
        <f ca="1"/>
        <v>#N/A</v>
      </c>
      <c r="Q594" t="e">
        <f ca="1"/>
        <v>#N/A</v>
      </c>
      <c r="R594" t="e">
        <f ca="1"/>
        <v>#N/A</v>
      </c>
      <c r="S594" t="e">
        <f ca="1"/>
        <v>#N/A</v>
      </c>
      <c r="T594" t="e">
        <f ca="1"/>
        <v>#N/A</v>
      </c>
      <c r="U594" t="e">
        <f ca="1"/>
        <v>#N/A</v>
      </c>
      <c r="V594" t="e">
        <f ca="1"/>
        <v>#N/A</v>
      </c>
      <c r="X594" s="2">
        <f t="shared" ca="1" si="65"/>
        <v>0</v>
      </c>
      <c r="Y594">
        <f t="shared" ca="1" si="66"/>
        <v>0</v>
      </c>
      <c r="AA594" s="63" t="e">
        <f t="shared" ca="1" si="67"/>
        <v>#N/A</v>
      </c>
      <c r="AB594" s="63" t="e">
        <f t="shared" ca="1" si="68"/>
        <v>#N/A</v>
      </c>
      <c r="AC594" s="3" t="e">
        <f t="shared" ca="1" si="69"/>
        <v>#N/A</v>
      </c>
    </row>
    <row r="595" spans="8:29">
      <c r="H595" t="e">
        <f t="shared" ca="1" si="63"/>
        <v>#N/A</v>
      </c>
      <c r="I595" t="e">
        <f t="shared" ca="1" si="64"/>
        <v>#N/A</v>
      </c>
      <c r="J595" t="e">
        <f ca="1"/>
        <v>#N/A</v>
      </c>
      <c r="K595" t="e">
        <f ca="1"/>
        <v>#N/A</v>
      </c>
      <c r="L595" t="e">
        <f ca="1"/>
        <v>#N/A</v>
      </c>
      <c r="M595" t="e">
        <f ca="1"/>
        <v>#N/A</v>
      </c>
      <c r="N595" t="e">
        <f ca="1"/>
        <v>#N/A</v>
      </c>
      <c r="O595" t="e">
        <f ca="1"/>
        <v>#N/A</v>
      </c>
      <c r="P595" t="e">
        <f ca="1"/>
        <v>#N/A</v>
      </c>
      <c r="Q595" t="e">
        <f ca="1"/>
        <v>#N/A</v>
      </c>
      <c r="R595" t="e">
        <f ca="1"/>
        <v>#N/A</v>
      </c>
      <c r="S595" t="e">
        <f ca="1"/>
        <v>#N/A</v>
      </c>
      <c r="T595" t="e">
        <f ca="1"/>
        <v>#N/A</v>
      </c>
      <c r="U595" t="e">
        <f ca="1"/>
        <v>#N/A</v>
      </c>
      <c r="V595" t="e">
        <f ca="1"/>
        <v>#N/A</v>
      </c>
      <c r="X595" s="2">
        <f t="shared" ca="1" si="65"/>
        <v>0</v>
      </c>
      <c r="Y595">
        <f t="shared" ca="1" si="66"/>
        <v>0</v>
      </c>
      <c r="AA595" s="63" t="e">
        <f t="shared" ca="1" si="67"/>
        <v>#N/A</v>
      </c>
      <c r="AB595" s="63" t="e">
        <f t="shared" ca="1" si="68"/>
        <v>#N/A</v>
      </c>
      <c r="AC595" s="3" t="e">
        <f t="shared" ca="1" si="69"/>
        <v>#N/A</v>
      </c>
    </row>
    <row r="596" spans="8:29">
      <c r="H596" t="e">
        <f t="shared" ca="1" si="63"/>
        <v>#N/A</v>
      </c>
      <c r="I596" t="e">
        <f t="shared" ca="1" si="64"/>
        <v>#N/A</v>
      </c>
      <c r="J596" t="e">
        <f ca="1"/>
        <v>#N/A</v>
      </c>
      <c r="K596" t="e">
        <f ca="1"/>
        <v>#N/A</v>
      </c>
      <c r="L596" t="e">
        <f ca="1"/>
        <v>#N/A</v>
      </c>
      <c r="M596" t="e">
        <f ca="1"/>
        <v>#N/A</v>
      </c>
      <c r="N596" t="e">
        <f ca="1"/>
        <v>#N/A</v>
      </c>
      <c r="O596" t="e">
        <f ca="1"/>
        <v>#N/A</v>
      </c>
      <c r="P596" t="e">
        <f ca="1"/>
        <v>#N/A</v>
      </c>
      <c r="Q596" t="e">
        <f ca="1"/>
        <v>#N/A</v>
      </c>
      <c r="R596" t="e">
        <f ca="1"/>
        <v>#N/A</v>
      </c>
      <c r="S596" t="e">
        <f ca="1"/>
        <v>#N/A</v>
      </c>
      <c r="T596" t="e">
        <f ca="1"/>
        <v>#N/A</v>
      </c>
      <c r="U596" t="e">
        <f ca="1"/>
        <v>#N/A</v>
      </c>
      <c r="V596" t="e">
        <f ca="1"/>
        <v>#N/A</v>
      </c>
      <c r="X596" s="2">
        <f t="shared" ca="1" si="65"/>
        <v>0</v>
      </c>
      <c r="Y596">
        <f t="shared" ca="1" si="66"/>
        <v>0</v>
      </c>
      <c r="AA596" s="63" t="e">
        <f t="shared" ca="1" si="67"/>
        <v>#N/A</v>
      </c>
      <c r="AB596" s="63" t="e">
        <f t="shared" ca="1" si="68"/>
        <v>#N/A</v>
      </c>
      <c r="AC596" s="3" t="e">
        <f t="shared" ca="1" si="69"/>
        <v>#N/A</v>
      </c>
    </row>
    <row r="597" spans="8:29">
      <c r="H597" t="e">
        <f t="shared" ca="1" si="63"/>
        <v>#N/A</v>
      </c>
      <c r="I597" t="e">
        <f t="shared" ca="1" si="64"/>
        <v>#N/A</v>
      </c>
      <c r="J597" t="e">
        <f ca="1"/>
        <v>#N/A</v>
      </c>
      <c r="K597" t="e">
        <f ca="1"/>
        <v>#N/A</v>
      </c>
      <c r="L597" t="e">
        <f ca="1"/>
        <v>#N/A</v>
      </c>
      <c r="M597" t="e">
        <f ca="1"/>
        <v>#N/A</v>
      </c>
      <c r="N597" t="e">
        <f ca="1"/>
        <v>#N/A</v>
      </c>
      <c r="O597" t="e">
        <f ca="1"/>
        <v>#N/A</v>
      </c>
      <c r="P597" t="e">
        <f ca="1"/>
        <v>#N/A</v>
      </c>
      <c r="Q597" t="e">
        <f ca="1"/>
        <v>#N/A</v>
      </c>
      <c r="R597" t="e">
        <f ca="1"/>
        <v>#N/A</v>
      </c>
      <c r="S597" t="e">
        <f ca="1"/>
        <v>#N/A</v>
      </c>
      <c r="T597" t="e">
        <f ca="1"/>
        <v>#N/A</v>
      </c>
      <c r="U597" t="e">
        <f ca="1"/>
        <v>#N/A</v>
      </c>
      <c r="V597" t="e">
        <f ca="1"/>
        <v>#N/A</v>
      </c>
      <c r="X597" s="2">
        <f t="shared" ca="1" si="65"/>
        <v>0</v>
      </c>
      <c r="Y597">
        <f t="shared" ca="1" si="66"/>
        <v>0</v>
      </c>
      <c r="AA597" s="63" t="e">
        <f t="shared" ca="1" si="67"/>
        <v>#N/A</v>
      </c>
      <c r="AB597" s="63" t="e">
        <f t="shared" ca="1" si="68"/>
        <v>#N/A</v>
      </c>
      <c r="AC597" s="3" t="e">
        <f t="shared" ca="1" si="69"/>
        <v>#N/A</v>
      </c>
    </row>
    <row r="598" spans="8:29">
      <c r="H598" t="e">
        <f t="shared" ca="1" si="63"/>
        <v>#N/A</v>
      </c>
      <c r="I598" t="e">
        <f t="shared" ca="1" si="64"/>
        <v>#N/A</v>
      </c>
      <c r="J598" t="e">
        <f ca="1"/>
        <v>#N/A</v>
      </c>
      <c r="K598" t="e">
        <f ca="1"/>
        <v>#N/A</v>
      </c>
      <c r="L598" t="e">
        <f ca="1"/>
        <v>#N/A</v>
      </c>
      <c r="M598" t="e">
        <f ca="1"/>
        <v>#N/A</v>
      </c>
      <c r="N598" t="e">
        <f ca="1"/>
        <v>#N/A</v>
      </c>
      <c r="O598" t="e">
        <f ca="1"/>
        <v>#N/A</v>
      </c>
      <c r="P598" t="e">
        <f ca="1"/>
        <v>#N/A</v>
      </c>
      <c r="Q598" t="e">
        <f ca="1"/>
        <v>#N/A</v>
      </c>
      <c r="R598" t="e">
        <f ca="1"/>
        <v>#N/A</v>
      </c>
      <c r="S598" t="e">
        <f ca="1"/>
        <v>#N/A</v>
      </c>
      <c r="T598" t="e">
        <f ca="1"/>
        <v>#N/A</v>
      </c>
      <c r="U598" t="e">
        <f ca="1"/>
        <v>#N/A</v>
      </c>
      <c r="V598" t="e">
        <f ca="1"/>
        <v>#N/A</v>
      </c>
      <c r="X598" s="2">
        <f t="shared" ca="1" si="65"/>
        <v>0</v>
      </c>
      <c r="Y598">
        <f t="shared" ca="1" si="66"/>
        <v>0</v>
      </c>
      <c r="AA598" s="63" t="e">
        <f t="shared" ca="1" si="67"/>
        <v>#N/A</v>
      </c>
      <c r="AB598" s="63" t="e">
        <f t="shared" ca="1" si="68"/>
        <v>#N/A</v>
      </c>
      <c r="AC598" s="3" t="e">
        <f t="shared" ca="1" si="69"/>
        <v>#N/A</v>
      </c>
    </row>
    <row r="599" spans="8:29">
      <c r="H599" t="e">
        <f t="shared" ca="1" si="63"/>
        <v>#N/A</v>
      </c>
      <c r="I599" t="e">
        <f t="shared" ca="1" si="64"/>
        <v>#N/A</v>
      </c>
      <c r="J599" t="e">
        <f ca="1"/>
        <v>#N/A</v>
      </c>
      <c r="K599" t="e">
        <f ca="1"/>
        <v>#N/A</v>
      </c>
      <c r="L599" t="e">
        <f ca="1"/>
        <v>#N/A</v>
      </c>
      <c r="M599" t="e">
        <f ca="1"/>
        <v>#N/A</v>
      </c>
      <c r="N599" t="e">
        <f ca="1"/>
        <v>#N/A</v>
      </c>
      <c r="O599" t="e">
        <f ca="1"/>
        <v>#N/A</v>
      </c>
      <c r="P599" t="e">
        <f ca="1"/>
        <v>#N/A</v>
      </c>
      <c r="Q599" t="e">
        <f ca="1"/>
        <v>#N/A</v>
      </c>
      <c r="R599" t="e">
        <f ca="1"/>
        <v>#N/A</v>
      </c>
      <c r="S599" t="e">
        <f ca="1"/>
        <v>#N/A</v>
      </c>
      <c r="T599" t="e">
        <f ca="1"/>
        <v>#N/A</v>
      </c>
      <c r="U599" t="e">
        <f ca="1"/>
        <v>#N/A</v>
      </c>
      <c r="V599" t="e">
        <f ca="1"/>
        <v>#N/A</v>
      </c>
      <c r="X599" s="2">
        <f t="shared" ca="1" si="65"/>
        <v>0</v>
      </c>
      <c r="Y599">
        <f t="shared" ca="1" si="66"/>
        <v>0</v>
      </c>
      <c r="AA599" s="63" t="e">
        <f t="shared" ca="1" si="67"/>
        <v>#N/A</v>
      </c>
      <c r="AB599" s="63" t="e">
        <f t="shared" ca="1" si="68"/>
        <v>#N/A</v>
      </c>
      <c r="AC599" s="3" t="e">
        <f t="shared" ca="1" si="69"/>
        <v>#N/A</v>
      </c>
    </row>
    <row r="600" spans="8:29">
      <c r="H600" t="e">
        <f t="shared" ca="1" si="63"/>
        <v>#N/A</v>
      </c>
      <c r="I600" t="e">
        <f t="shared" ca="1" si="64"/>
        <v>#N/A</v>
      </c>
      <c r="J600" t="e">
        <f ca="1"/>
        <v>#N/A</v>
      </c>
      <c r="K600" t="e">
        <f ca="1"/>
        <v>#N/A</v>
      </c>
      <c r="L600" t="e">
        <f ca="1"/>
        <v>#N/A</v>
      </c>
      <c r="M600" t="e">
        <f ca="1"/>
        <v>#N/A</v>
      </c>
      <c r="N600" t="e">
        <f ca="1"/>
        <v>#N/A</v>
      </c>
      <c r="O600" t="e">
        <f ca="1"/>
        <v>#N/A</v>
      </c>
      <c r="P600" t="e">
        <f ca="1"/>
        <v>#N/A</v>
      </c>
      <c r="Q600" t="e">
        <f ca="1"/>
        <v>#N/A</v>
      </c>
      <c r="R600" t="e">
        <f ca="1"/>
        <v>#N/A</v>
      </c>
      <c r="S600" t="e">
        <f ca="1"/>
        <v>#N/A</v>
      </c>
      <c r="T600" t="e">
        <f ca="1"/>
        <v>#N/A</v>
      </c>
      <c r="U600" t="e">
        <f ca="1"/>
        <v>#N/A</v>
      </c>
      <c r="V600" t="e">
        <f ca="1"/>
        <v>#N/A</v>
      </c>
      <c r="X600" s="2">
        <f t="shared" ca="1" si="65"/>
        <v>0</v>
      </c>
      <c r="Y600">
        <f t="shared" ca="1" si="66"/>
        <v>0</v>
      </c>
      <c r="AA600" s="63" t="e">
        <f t="shared" ca="1" si="67"/>
        <v>#N/A</v>
      </c>
      <c r="AB600" s="63" t="e">
        <f t="shared" ca="1" si="68"/>
        <v>#N/A</v>
      </c>
      <c r="AC600" s="3" t="e">
        <f t="shared" ca="1" si="69"/>
        <v>#N/A</v>
      </c>
    </row>
    <row r="601" spans="8:29">
      <c r="H601" t="e">
        <f t="shared" ca="1" si="63"/>
        <v>#N/A</v>
      </c>
      <c r="I601" t="e">
        <f t="shared" ca="1" si="64"/>
        <v>#N/A</v>
      </c>
      <c r="J601" t="e">
        <f ca="1"/>
        <v>#N/A</v>
      </c>
      <c r="K601" t="e">
        <f ca="1"/>
        <v>#N/A</v>
      </c>
      <c r="L601" t="e">
        <f ca="1"/>
        <v>#N/A</v>
      </c>
      <c r="M601" t="e">
        <f ca="1"/>
        <v>#N/A</v>
      </c>
      <c r="N601" t="e">
        <f ca="1"/>
        <v>#N/A</v>
      </c>
      <c r="O601" t="e">
        <f ca="1"/>
        <v>#N/A</v>
      </c>
      <c r="P601" t="e">
        <f ca="1"/>
        <v>#N/A</v>
      </c>
      <c r="Q601" t="e">
        <f ca="1"/>
        <v>#N/A</v>
      </c>
      <c r="R601" t="e">
        <f ca="1"/>
        <v>#N/A</v>
      </c>
      <c r="S601" t="e">
        <f ca="1"/>
        <v>#N/A</v>
      </c>
      <c r="T601" t="e">
        <f ca="1"/>
        <v>#N/A</v>
      </c>
      <c r="U601" t="e">
        <f ca="1"/>
        <v>#N/A</v>
      </c>
      <c r="V601" t="e">
        <f ca="1"/>
        <v>#N/A</v>
      </c>
      <c r="X601" s="2">
        <f t="shared" ca="1" si="65"/>
        <v>0</v>
      </c>
      <c r="Y601">
        <f t="shared" ca="1" si="66"/>
        <v>0</v>
      </c>
      <c r="AA601" s="63" t="e">
        <f t="shared" ca="1" si="67"/>
        <v>#N/A</v>
      </c>
      <c r="AB601" s="63" t="e">
        <f t="shared" ca="1" si="68"/>
        <v>#N/A</v>
      </c>
      <c r="AC601" s="3" t="e">
        <f t="shared" ca="1" si="69"/>
        <v>#N/A</v>
      </c>
    </row>
    <row r="602" spans="8:29">
      <c r="H602" t="e">
        <f t="shared" ca="1" si="63"/>
        <v>#N/A</v>
      </c>
      <c r="I602" t="e">
        <f t="shared" ca="1" si="64"/>
        <v>#N/A</v>
      </c>
      <c r="J602" t="e">
        <f ca="1"/>
        <v>#N/A</v>
      </c>
      <c r="K602" t="e">
        <f ca="1"/>
        <v>#N/A</v>
      </c>
      <c r="L602" t="e">
        <f ca="1"/>
        <v>#N/A</v>
      </c>
      <c r="M602" t="e">
        <f ca="1"/>
        <v>#N/A</v>
      </c>
      <c r="N602" t="e">
        <f ca="1"/>
        <v>#N/A</v>
      </c>
      <c r="O602" t="e">
        <f ca="1"/>
        <v>#N/A</v>
      </c>
      <c r="P602" t="e">
        <f ca="1"/>
        <v>#N/A</v>
      </c>
      <c r="Q602" t="e">
        <f ca="1"/>
        <v>#N/A</v>
      </c>
      <c r="R602" t="e">
        <f ca="1"/>
        <v>#N/A</v>
      </c>
      <c r="S602" t="e">
        <f ca="1"/>
        <v>#N/A</v>
      </c>
      <c r="T602" t="e">
        <f ca="1"/>
        <v>#N/A</v>
      </c>
      <c r="U602" t="e">
        <f ca="1"/>
        <v>#N/A</v>
      </c>
      <c r="V602" t="e">
        <f ca="1"/>
        <v>#N/A</v>
      </c>
      <c r="X602" s="2">
        <f t="shared" ca="1" si="65"/>
        <v>0</v>
      </c>
      <c r="Y602">
        <f t="shared" ca="1" si="66"/>
        <v>0</v>
      </c>
      <c r="AA602" s="63" t="e">
        <f t="shared" ca="1" si="67"/>
        <v>#N/A</v>
      </c>
      <c r="AB602" s="63" t="e">
        <f t="shared" ca="1" si="68"/>
        <v>#N/A</v>
      </c>
      <c r="AC602" s="3" t="e">
        <f t="shared" ca="1" si="69"/>
        <v>#N/A</v>
      </c>
    </row>
    <row r="603" spans="8:29">
      <c r="H603" t="e">
        <f t="shared" ca="1" si="63"/>
        <v>#N/A</v>
      </c>
      <c r="I603" t="e">
        <f t="shared" ca="1" si="64"/>
        <v>#N/A</v>
      </c>
      <c r="J603" t="e">
        <f ca="1"/>
        <v>#N/A</v>
      </c>
      <c r="K603" t="e">
        <f ca="1"/>
        <v>#N/A</v>
      </c>
      <c r="L603" t="e">
        <f ca="1"/>
        <v>#N/A</v>
      </c>
      <c r="M603" t="e">
        <f ca="1"/>
        <v>#N/A</v>
      </c>
      <c r="N603" t="e">
        <f ca="1"/>
        <v>#N/A</v>
      </c>
      <c r="O603" t="e">
        <f ca="1"/>
        <v>#N/A</v>
      </c>
      <c r="P603" t="e">
        <f ca="1"/>
        <v>#N/A</v>
      </c>
      <c r="Q603" t="e">
        <f ca="1"/>
        <v>#N/A</v>
      </c>
      <c r="R603" t="e">
        <f ca="1"/>
        <v>#N/A</v>
      </c>
      <c r="S603" t="e">
        <f ca="1"/>
        <v>#N/A</v>
      </c>
      <c r="T603" t="e">
        <f ca="1"/>
        <v>#N/A</v>
      </c>
      <c r="U603" t="e">
        <f ca="1"/>
        <v>#N/A</v>
      </c>
      <c r="V603" t="e">
        <f ca="1"/>
        <v>#N/A</v>
      </c>
      <c r="X603" s="2">
        <f t="shared" ca="1" si="65"/>
        <v>0</v>
      </c>
      <c r="Y603">
        <f t="shared" ca="1" si="66"/>
        <v>0</v>
      </c>
      <c r="AA603" s="63" t="e">
        <f t="shared" ca="1" si="67"/>
        <v>#N/A</v>
      </c>
      <c r="AB603" s="63" t="e">
        <f t="shared" ca="1" si="68"/>
        <v>#N/A</v>
      </c>
      <c r="AC603" s="3" t="e">
        <f t="shared" ca="1" si="69"/>
        <v>#N/A</v>
      </c>
    </row>
    <row r="604" spans="8:29">
      <c r="H604" t="e">
        <f t="shared" ca="1" si="63"/>
        <v>#N/A</v>
      </c>
      <c r="I604" t="e">
        <f t="shared" ca="1" si="64"/>
        <v>#N/A</v>
      </c>
      <c r="J604" t="e">
        <f ca="1"/>
        <v>#N/A</v>
      </c>
      <c r="K604" t="e">
        <f ca="1"/>
        <v>#N/A</v>
      </c>
      <c r="L604" t="e">
        <f ca="1"/>
        <v>#N/A</v>
      </c>
      <c r="M604" t="e">
        <f ca="1"/>
        <v>#N/A</v>
      </c>
      <c r="N604" t="e">
        <f ca="1"/>
        <v>#N/A</v>
      </c>
      <c r="O604" t="e">
        <f ca="1"/>
        <v>#N/A</v>
      </c>
      <c r="P604" t="e">
        <f ca="1"/>
        <v>#N/A</v>
      </c>
      <c r="Q604" t="e">
        <f ca="1"/>
        <v>#N/A</v>
      </c>
      <c r="R604" t="e">
        <f ca="1"/>
        <v>#N/A</v>
      </c>
      <c r="S604" t="e">
        <f ca="1"/>
        <v>#N/A</v>
      </c>
      <c r="T604" t="e">
        <f ca="1"/>
        <v>#N/A</v>
      </c>
      <c r="U604" t="e">
        <f ca="1"/>
        <v>#N/A</v>
      </c>
      <c r="V604" t="e">
        <f ca="1"/>
        <v>#N/A</v>
      </c>
      <c r="X604" s="2">
        <f t="shared" ca="1" si="65"/>
        <v>0</v>
      </c>
      <c r="Y604">
        <f t="shared" ca="1" si="66"/>
        <v>0</v>
      </c>
      <c r="AA604" s="63" t="e">
        <f t="shared" ca="1" si="67"/>
        <v>#N/A</v>
      </c>
      <c r="AB604" s="63" t="e">
        <f t="shared" ca="1" si="68"/>
        <v>#N/A</v>
      </c>
      <c r="AC604" s="3" t="e">
        <f t="shared" ca="1" si="69"/>
        <v>#N/A</v>
      </c>
    </row>
    <row r="605" spans="8:29">
      <c r="H605" t="e">
        <f t="shared" ca="1" si="63"/>
        <v>#N/A</v>
      </c>
      <c r="I605" t="e">
        <f t="shared" ca="1" si="64"/>
        <v>#N/A</v>
      </c>
      <c r="J605" t="e">
        <f ca="1"/>
        <v>#N/A</v>
      </c>
      <c r="K605" t="e">
        <f ca="1"/>
        <v>#N/A</v>
      </c>
      <c r="L605" t="e">
        <f ca="1"/>
        <v>#N/A</v>
      </c>
      <c r="M605" t="e">
        <f ca="1"/>
        <v>#N/A</v>
      </c>
      <c r="N605" t="e">
        <f ca="1"/>
        <v>#N/A</v>
      </c>
      <c r="O605" t="e">
        <f ca="1"/>
        <v>#N/A</v>
      </c>
      <c r="P605" t="e">
        <f ca="1"/>
        <v>#N/A</v>
      </c>
      <c r="Q605" t="e">
        <f ca="1"/>
        <v>#N/A</v>
      </c>
      <c r="R605" t="e">
        <f ca="1"/>
        <v>#N/A</v>
      </c>
      <c r="S605" t="e">
        <f ca="1"/>
        <v>#N/A</v>
      </c>
      <c r="T605" t="e">
        <f ca="1"/>
        <v>#N/A</v>
      </c>
      <c r="U605" t="e">
        <f ca="1"/>
        <v>#N/A</v>
      </c>
      <c r="V605" t="e">
        <f ca="1"/>
        <v>#N/A</v>
      </c>
      <c r="X605" s="2">
        <f t="shared" ca="1" si="65"/>
        <v>0</v>
      </c>
      <c r="Y605">
        <f t="shared" ca="1" si="66"/>
        <v>0</v>
      </c>
      <c r="AA605" s="63" t="e">
        <f t="shared" ca="1" si="67"/>
        <v>#N/A</v>
      </c>
      <c r="AB605" s="63" t="e">
        <f t="shared" ca="1" si="68"/>
        <v>#N/A</v>
      </c>
      <c r="AC605" s="3" t="e">
        <f t="shared" ca="1" si="69"/>
        <v>#N/A</v>
      </c>
    </row>
    <row r="606" spans="8:29">
      <c r="H606" t="e">
        <f t="shared" ca="1" si="63"/>
        <v>#N/A</v>
      </c>
      <c r="I606" t="e">
        <f t="shared" ca="1" si="64"/>
        <v>#N/A</v>
      </c>
      <c r="J606" t="e">
        <f ca="1"/>
        <v>#N/A</v>
      </c>
      <c r="K606" t="e">
        <f ca="1"/>
        <v>#N/A</v>
      </c>
      <c r="L606" t="e">
        <f ca="1"/>
        <v>#N/A</v>
      </c>
      <c r="M606" t="e">
        <f ca="1"/>
        <v>#N/A</v>
      </c>
      <c r="N606" t="e">
        <f ca="1"/>
        <v>#N/A</v>
      </c>
      <c r="O606" t="e">
        <f ca="1"/>
        <v>#N/A</v>
      </c>
      <c r="P606" t="e">
        <f ca="1"/>
        <v>#N/A</v>
      </c>
      <c r="Q606" t="e">
        <f ca="1"/>
        <v>#N/A</v>
      </c>
      <c r="R606" t="e">
        <f ca="1"/>
        <v>#N/A</v>
      </c>
      <c r="S606" t="e">
        <f ca="1"/>
        <v>#N/A</v>
      </c>
      <c r="T606" t="e">
        <f ca="1"/>
        <v>#N/A</v>
      </c>
      <c r="U606" t="e">
        <f ca="1"/>
        <v>#N/A</v>
      </c>
      <c r="V606" t="e">
        <f ca="1"/>
        <v>#N/A</v>
      </c>
      <c r="X606" s="2">
        <f t="shared" ca="1" si="65"/>
        <v>0</v>
      </c>
      <c r="Y606">
        <f t="shared" ca="1" si="66"/>
        <v>0</v>
      </c>
      <c r="AA606" s="63" t="e">
        <f t="shared" ca="1" si="67"/>
        <v>#N/A</v>
      </c>
      <c r="AB606" s="63" t="e">
        <f t="shared" ca="1" si="68"/>
        <v>#N/A</v>
      </c>
      <c r="AC606" s="3" t="e">
        <f t="shared" ca="1" si="69"/>
        <v>#N/A</v>
      </c>
    </row>
    <row r="607" spans="8:29">
      <c r="H607" t="e">
        <f t="shared" ca="1" si="63"/>
        <v>#N/A</v>
      </c>
      <c r="I607" t="e">
        <f t="shared" ca="1" si="64"/>
        <v>#N/A</v>
      </c>
      <c r="J607" t="e">
        <f ca="1"/>
        <v>#N/A</v>
      </c>
      <c r="K607" t="e">
        <f ca="1"/>
        <v>#N/A</v>
      </c>
      <c r="L607" t="e">
        <f ca="1"/>
        <v>#N/A</v>
      </c>
      <c r="M607" t="e">
        <f ca="1"/>
        <v>#N/A</v>
      </c>
      <c r="N607" t="e">
        <f ca="1"/>
        <v>#N/A</v>
      </c>
      <c r="O607" t="e">
        <f ca="1"/>
        <v>#N/A</v>
      </c>
      <c r="P607" t="e">
        <f ca="1"/>
        <v>#N/A</v>
      </c>
      <c r="Q607" t="e">
        <f ca="1"/>
        <v>#N/A</v>
      </c>
      <c r="R607" t="e">
        <f ca="1"/>
        <v>#N/A</v>
      </c>
      <c r="S607" t="e">
        <f ca="1"/>
        <v>#N/A</v>
      </c>
      <c r="T607" t="e">
        <f ca="1"/>
        <v>#N/A</v>
      </c>
      <c r="U607" t="e">
        <f ca="1"/>
        <v>#N/A</v>
      </c>
      <c r="V607" t="e">
        <f ca="1"/>
        <v>#N/A</v>
      </c>
      <c r="X607" s="2">
        <f t="shared" ca="1" si="65"/>
        <v>0</v>
      </c>
      <c r="Y607">
        <f t="shared" ca="1" si="66"/>
        <v>0</v>
      </c>
      <c r="AA607" s="63" t="e">
        <f t="shared" ca="1" si="67"/>
        <v>#N/A</v>
      </c>
      <c r="AB607" s="63" t="e">
        <f t="shared" ca="1" si="68"/>
        <v>#N/A</v>
      </c>
      <c r="AC607" s="3" t="e">
        <f t="shared" ca="1" si="69"/>
        <v>#N/A</v>
      </c>
    </row>
    <row r="608" spans="8:29">
      <c r="H608" t="e">
        <f t="shared" ca="1" si="63"/>
        <v>#N/A</v>
      </c>
      <c r="I608" t="e">
        <f t="shared" ca="1" si="64"/>
        <v>#N/A</v>
      </c>
      <c r="J608" t="e">
        <f ca="1"/>
        <v>#N/A</v>
      </c>
      <c r="K608" t="e">
        <f ca="1"/>
        <v>#N/A</v>
      </c>
      <c r="L608" t="e">
        <f ca="1"/>
        <v>#N/A</v>
      </c>
      <c r="M608" t="e">
        <f ca="1"/>
        <v>#N/A</v>
      </c>
      <c r="N608" t="e">
        <f ca="1"/>
        <v>#N/A</v>
      </c>
      <c r="O608" t="e">
        <f ca="1"/>
        <v>#N/A</v>
      </c>
      <c r="P608" t="e">
        <f ca="1"/>
        <v>#N/A</v>
      </c>
      <c r="Q608" t="e">
        <f ca="1"/>
        <v>#N/A</v>
      </c>
      <c r="R608" t="e">
        <f ca="1"/>
        <v>#N/A</v>
      </c>
      <c r="S608" t="e">
        <f ca="1"/>
        <v>#N/A</v>
      </c>
      <c r="T608" t="e">
        <f ca="1"/>
        <v>#N/A</v>
      </c>
      <c r="U608" t="e">
        <f ca="1"/>
        <v>#N/A</v>
      </c>
      <c r="V608" t="e">
        <f ca="1"/>
        <v>#N/A</v>
      </c>
      <c r="X608" s="2">
        <f t="shared" ca="1" si="65"/>
        <v>0</v>
      </c>
      <c r="Y608">
        <f t="shared" ca="1" si="66"/>
        <v>0</v>
      </c>
      <c r="AA608" s="63" t="e">
        <f t="shared" ca="1" si="67"/>
        <v>#N/A</v>
      </c>
      <c r="AB608" s="63" t="e">
        <f t="shared" ca="1" si="68"/>
        <v>#N/A</v>
      </c>
      <c r="AC608" s="3" t="e">
        <f t="shared" ca="1" si="69"/>
        <v>#N/A</v>
      </c>
    </row>
    <row r="609" spans="8:29">
      <c r="H609" t="e">
        <f t="shared" ca="1" si="63"/>
        <v>#N/A</v>
      </c>
      <c r="I609" t="e">
        <f t="shared" ca="1" si="64"/>
        <v>#N/A</v>
      </c>
      <c r="J609" t="e">
        <f ca="1"/>
        <v>#N/A</v>
      </c>
      <c r="K609" t="e">
        <f ca="1"/>
        <v>#N/A</v>
      </c>
      <c r="L609" t="e">
        <f ca="1"/>
        <v>#N/A</v>
      </c>
      <c r="M609" t="e">
        <f ca="1"/>
        <v>#N/A</v>
      </c>
      <c r="N609" t="e">
        <f ca="1"/>
        <v>#N/A</v>
      </c>
      <c r="O609" t="e">
        <f ca="1"/>
        <v>#N/A</v>
      </c>
      <c r="P609" t="e">
        <f ca="1"/>
        <v>#N/A</v>
      </c>
      <c r="Q609" t="e">
        <f ca="1"/>
        <v>#N/A</v>
      </c>
      <c r="R609" t="e">
        <f ca="1"/>
        <v>#N/A</v>
      </c>
      <c r="S609" t="e">
        <f ca="1"/>
        <v>#N/A</v>
      </c>
      <c r="T609" t="e">
        <f ca="1"/>
        <v>#N/A</v>
      </c>
      <c r="U609" t="e">
        <f ca="1"/>
        <v>#N/A</v>
      </c>
      <c r="V609" t="e">
        <f ca="1"/>
        <v>#N/A</v>
      </c>
      <c r="X609" s="2">
        <f t="shared" ca="1" si="65"/>
        <v>0</v>
      </c>
      <c r="Y609">
        <f t="shared" ca="1" si="66"/>
        <v>0</v>
      </c>
      <c r="AA609" s="63" t="e">
        <f t="shared" ca="1" si="67"/>
        <v>#N/A</v>
      </c>
      <c r="AB609" s="63" t="e">
        <f t="shared" ca="1" si="68"/>
        <v>#N/A</v>
      </c>
      <c r="AC609" s="3" t="e">
        <f t="shared" ca="1" si="69"/>
        <v>#N/A</v>
      </c>
    </row>
    <row r="610" spans="8:29">
      <c r="H610" t="e">
        <f t="shared" ca="1" si="63"/>
        <v>#N/A</v>
      </c>
      <c r="I610" t="e">
        <f t="shared" ca="1" si="64"/>
        <v>#N/A</v>
      </c>
      <c r="J610" t="e">
        <f ca="1"/>
        <v>#N/A</v>
      </c>
      <c r="K610" t="e">
        <f ca="1"/>
        <v>#N/A</v>
      </c>
      <c r="L610" t="e">
        <f ca="1"/>
        <v>#N/A</v>
      </c>
      <c r="M610" t="e">
        <f ca="1"/>
        <v>#N/A</v>
      </c>
      <c r="N610" t="e">
        <f ca="1"/>
        <v>#N/A</v>
      </c>
      <c r="O610" t="e">
        <f ca="1"/>
        <v>#N/A</v>
      </c>
      <c r="P610" t="e">
        <f ca="1"/>
        <v>#N/A</v>
      </c>
      <c r="Q610" t="e">
        <f ca="1"/>
        <v>#N/A</v>
      </c>
      <c r="R610" t="e">
        <f ca="1"/>
        <v>#N/A</v>
      </c>
      <c r="S610" t="e">
        <f ca="1"/>
        <v>#N/A</v>
      </c>
      <c r="T610" t="e">
        <f ca="1"/>
        <v>#N/A</v>
      </c>
      <c r="U610" t="e">
        <f ca="1"/>
        <v>#N/A</v>
      </c>
      <c r="V610" t="e">
        <f ca="1"/>
        <v>#N/A</v>
      </c>
      <c r="X610" s="2">
        <f t="shared" ca="1" si="65"/>
        <v>0</v>
      </c>
      <c r="Y610">
        <f t="shared" ca="1" si="66"/>
        <v>0</v>
      </c>
      <c r="AA610" s="63" t="e">
        <f t="shared" ca="1" si="67"/>
        <v>#N/A</v>
      </c>
      <c r="AB610" s="63" t="e">
        <f t="shared" ca="1" si="68"/>
        <v>#N/A</v>
      </c>
      <c r="AC610" s="3" t="e">
        <f t="shared" ca="1" si="69"/>
        <v>#N/A</v>
      </c>
    </row>
    <row r="611" spans="8:29">
      <c r="H611" t="e">
        <f t="shared" ca="1" si="63"/>
        <v>#N/A</v>
      </c>
      <c r="I611" t="e">
        <f t="shared" ca="1" si="64"/>
        <v>#N/A</v>
      </c>
      <c r="J611" t="e">
        <f ca="1"/>
        <v>#N/A</v>
      </c>
      <c r="K611" t="e">
        <f ca="1"/>
        <v>#N/A</v>
      </c>
      <c r="L611" t="e">
        <f ca="1"/>
        <v>#N/A</v>
      </c>
      <c r="M611" t="e">
        <f ca="1"/>
        <v>#N/A</v>
      </c>
      <c r="N611" t="e">
        <f ca="1"/>
        <v>#N/A</v>
      </c>
      <c r="O611" t="e">
        <f ca="1"/>
        <v>#N/A</v>
      </c>
      <c r="P611" t="e">
        <f ca="1"/>
        <v>#N/A</v>
      </c>
      <c r="Q611" t="e">
        <f ca="1"/>
        <v>#N/A</v>
      </c>
      <c r="R611" t="e">
        <f ca="1"/>
        <v>#N/A</v>
      </c>
      <c r="S611" t="e">
        <f ca="1"/>
        <v>#N/A</v>
      </c>
      <c r="T611" t="e">
        <f ca="1"/>
        <v>#N/A</v>
      </c>
      <c r="U611" t="e">
        <f ca="1"/>
        <v>#N/A</v>
      </c>
      <c r="V611" t="e">
        <f ca="1"/>
        <v>#N/A</v>
      </c>
      <c r="X611" s="2">
        <f t="shared" ca="1" si="65"/>
        <v>0</v>
      </c>
      <c r="Y611">
        <f t="shared" ca="1" si="66"/>
        <v>0</v>
      </c>
      <c r="AA611" s="63" t="e">
        <f t="shared" ca="1" si="67"/>
        <v>#N/A</v>
      </c>
      <c r="AB611" s="63" t="e">
        <f t="shared" ca="1" si="68"/>
        <v>#N/A</v>
      </c>
      <c r="AC611" s="3" t="e">
        <f t="shared" ca="1" si="69"/>
        <v>#N/A</v>
      </c>
    </row>
    <row r="612" spans="8:29">
      <c r="H612" t="e">
        <f t="shared" ca="1" si="63"/>
        <v>#N/A</v>
      </c>
      <c r="I612" t="e">
        <f t="shared" ca="1" si="64"/>
        <v>#N/A</v>
      </c>
      <c r="J612" t="e">
        <f ca="1"/>
        <v>#N/A</v>
      </c>
      <c r="K612" t="e">
        <f ca="1"/>
        <v>#N/A</v>
      </c>
      <c r="L612" t="e">
        <f ca="1"/>
        <v>#N/A</v>
      </c>
      <c r="M612" t="e">
        <f ca="1"/>
        <v>#N/A</v>
      </c>
      <c r="N612" t="e">
        <f ca="1"/>
        <v>#N/A</v>
      </c>
      <c r="O612" t="e">
        <f ca="1"/>
        <v>#N/A</v>
      </c>
      <c r="P612" t="e">
        <f ca="1"/>
        <v>#N/A</v>
      </c>
      <c r="Q612" t="e">
        <f ca="1"/>
        <v>#N/A</v>
      </c>
      <c r="R612" t="e">
        <f ca="1"/>
        <v>#N/A</v>
      </c>
      <c r="S612" t="e">
        <f ca="1"/>
        <v>#N/A</v>
      </c>
      <c r="T612" t="e">
        <f ca="1"/>
        <v>#N/A</v>
      </c>
      <c r="U612" t="e">
        <f ca="1"/>
        <v>#N/A</v>
      </c>
      <c r="V612" t="e">
        <f ca="1"/>
        <v>#N/A</v>
      </c>
      <c r="X612" s="2">
        <f t="shared" ca="1" si="65"/>
        <v>0</v>
      </c>
      <c r="Y612">
        <f t="shared" ca="1" si="66"/>
        <v>0</v>
      </c>
      <c r="AA612" s="63" t="e">
        <f t="shared" ca="1" si="67"/>
        <v>#N/A</v>
      </c>
      <c r="AB612" s="63" t="e">
        <f t="shared" ca="1" si="68"/>
        <v>#N/A</v>
      </c>
      <c r="AC612" s="3" t="e">
        <f t="shared" ca="1" si="69"/>
        <v>#N/A</v>
      </c>
    </row>
    <row r="613" spans="8:29">
      <c r="H613" t="e">
        <f t="shared" ca="1" si="63"/>
        <v>#N/A</v>
      </c>
      <c r="I613" t="e">
        <f t="shared" ca="1" si="64"/>
        <v>#N/A</v>
      </c>
      <c r="J613" t="e">
        <f ca="1"/>
        <v>#N/A</v>
      </c>
      <c r="K613" t="e">
        <f ca="1"/>
        <v>#N/A</v>
      </c>
      <c r="L613" t="e">
        <f ca="1"/>
        <v>#N/A</v>
      </c>
      <c r="M613" t="e">
        <f ca="1"/>
        <v>#N/A</v>
      </c>
      <c r="N613" t="e">
        <f ca="1"/>
        <v>#N/A</v>
      </c>
      <c r="O613" t="e">
        <f ca="1"/>
        <v>#N/A</v>
      </c>
      <c r="P613" t="e">
        <f ca="1"/>
        <v>#N/A</v>
      </c>
      <c r="Q613" t="e">
        <f ca="1"/>
        <v>#N/A</v>
      </c>
      <c r="R613" t="e">
        <f ca="1"/>
        <v>#N/A</v>
      </c>
      <c r="S613" t="e">
        <f ca="1"/>
        <v>#N/A</v>
      </c>
      <c r="T613" t="e">
        <f ca="1"/>
        <v>#N/A</v>
      </c>
      <c r="U613" t="e">
        <f ca="1"/>
        <v>#N/A</v>
      </c>
      <c r="V613" t="e">
        <f ca="1"/>
        <v>#N/A</v>
      </c>
      <c r="X613" s="2">
        <f t="shared" ca="1" si="65"/>
        <v>0</v>
      </c>
      <c r="Y613">
        <f t="shared" ca="1" si="66"/>
        <v>0</v>
      </c>
      <c r="AA613" s="63" t="e">
        <f t="shared" ca="1" si="67"/>
        <v>#N/A</v>
      </c>
      <c r="AB613" s="63" t="e">
        <f t="shared" ca="1" si="68"/>
        <v>#N/A</v>
      </c>
      <c r="AC613" s="3" t="e">
        <f t="shared" ca="1" si="69"/>
        <v>#N/A</v>
      </c>
    </row>
    <row r="614" spans="8:29">
      <c r="H614" t="e">
        <f t="shared" ca="1" si="63"/>
        <v>#N/A</v>
      </c>
      <c r="I614" t="e">
        <f t="shared" ca="1" si="64"/>
        <v>#N/A</v>
      </c>
      <c r="J614" t="e">
        <f ca="1"/>
        <v>#N/A</v>
      </c>
      <c r="K614" t="e">
        <f ca="1"/>
        <v>#N/A</v>
      </c>
      <c r="L614" t="e">
        <f ca="1"/>
        <v>#N/A</v>
      </c>
      <c r="M614" t="e">
        <f ca="1"/>
        <v>#N/A</v>
      </c>
      <c r="N614" t="e">
        <f ca="1"/>
        <v>#N/A</v>
      </c>
      <c r="O614" t="e">
        <f ca="1"/>
        <v>#N/A</v>
      </c>
      <c r="P614" t="e">
        <f ca="1"/>
        <v>#N/A</v>
      </c>
      <c r="Q614" t="e">
        <f ca="1"/>
        <v>#N/A</v>
      </c>
      <c r="R614" t="e">
        <f ca="1"/>
        <v>#N/A</v>
      </c>
      <c r="S614" t="e">
        <f ca="1"/>
        <v>#N/A</v>
      </c>
      <c r="T614" t="e">
        <f ca="1"/>
        <v>#N/A</v>
      </c>
      <c r="U614" t="e">
        <f ca="1"/>
        <v>#N/A</v>
      </c>
      <c r="V614" t="e">
        <f ca="1"/>
        <v>#N/A</v>
      </c>
      <c r="X614" s="2">
        <f t="shared" ca="1" si="65"/>
        <v>0</v>
      </c>
      <c r="Y614">
        <f t="shared" ca="1" si="66"/>
        <v>0</v>
      </c>
      <c r="AA614" s="63" t="e">
        <f t="shared" ca="1" si="67"/>
        <v>#N/A</v>
      </c>
      <c r="AB614" s="63" t="e">
        <f t="shared" ca="1" si="68"/>
        <v>#N/A</v>
      </c>
      <c r="AC614" s="3" t="e">
        <f t="shared" ca="1" si="69"/>
        <v>#N/A</v>
      </c>
    </row>
    <row r="615" spans="8:29">
      <c r="H615" t="e">
        <f t="shared" ca="1" si="63"/>
        <v>#N/A</v>
      </c>
      <c r="I615" t="e">
        <f t="shared" ca="1" si="64"/>
        <v>#N/A</v>
      </c>
      <c r="J615" t="e">
        <f ca="1"/>
        <v>#N/A</v>
      </c>
      <c r="K615" t="e">
        <f ca="1"/>
        <v>#N/A</v>
      </c>
      <c r="L615" t="e">
        <f ca="1"/>
        <v>#N/A</v>
      </c>
      <c r="M615" t="e">
        <f ca="1"/>
        <v>#N/A</v>
      </c>
      <c r="N615" t="e">
        <f ca="1"/>
        <v>#N/A</v>
      </c>
      <c r="O615" t="e">
        <f ca="1"/>
        <v>#N/A</v>
      </c>
      <c r="P615" t="e">
        <f ca="1"/>
        <v>#N/A</v>
      </c>
      <c r="Q615" t="e">
        <f ca="1"/>
        <v>#N/A</v>
      </c>
      <c r="R615" t="e">
        <f ca="1"/>
        <v>#N/A</v>
      </c>
      <c r="S615" t="e">
        <f ca="1"/>
        <v>#N/A</v>
      </c>
      <c r="T615" t="e">
        <f ca="1"/>
        <v>#N/A</v>
      </c>
      <c r="U615" t="e">
        <f ca="1"/>
        <v>#N/A</v>
      </c>
      <c r="V615" t="e">
        <f ca="1"/>
        <v>#N/A</v>
      </c>
      <c r="X615" s="2">
        <f t="shared" ca="1" si="65"/>
        <v>0</v>
      </c>
      <c r="Y615">
        <f t="shared" ca="1" si="66"/>
        <v>0</v>
      </c>
      <c r="AA615" s="63" t="e">
        <f t="shared" ca="1" si="67"/>
        <v>#N/A</v>
      </c>
      <c r="AB615" s="63" t="e">
        <f t="shared" ca="1" si="68"/>
        <v>#N/A</v>
      </c>
      <c r="AC615" s="3" t="e">
        <f t="shared" ca="1" si="69"/>
        <v>#N/A</v>
      </c>
    </row>
    <row r="616" spans="8:29">
      <c r="H616" t="e">
        <f t="shared" ca="1" si="63"/>
        <v>#N/A</v>
      </c>
      <c r="I616" t="e">
        <f t="shared" ca="1" si="64"/>
        <v>#N/A</v>
      </c>
      <c r="J616" t="e">
        <f ca="1"/>
        <v>#N/A</v>
      </c>
      <c r="K616" t="e">
        <f ca="1"/>
        <v>#N/A</v>
      </c>
      <c r="L616" t="e">
        <f ca="1"/>
        <v>#N/A</v>
      </c>
      <c r="M616" t="e">
        <f ca="1"/>
        <v>#N/A</v>
      </c>
      <c r="N616" t="e">
        <f ca="1"/>
        <v>#N/A</v>
      </c>
      <c r="O616" t="e">
        <f ca="1"/>
        <v>#N/A</v>
      </c>
      <c r="P616" t="e">
        <f ca="1"/>
        <v>#N/A</v>
      </c>
      <c r="Q616" t="e">
        <f ca="1"/>
        <v>#N/A</v>
      </c>
      <c r="R616" t="e">
        <f ca="1"/>
        <v>#N/A</v>
      </c>
      <c r="S616" t="e">
        <f ca="1"/>
        <v>#N/A</v>
      </c>
      <c r="T616" t="e">
        <f ca="1"/>
        <v>#N/A</v>
      </c>
      <c r="U616" t="e">
        <f ca="1"/>
        <v>#N/A</v>
      </c>
      <c r="V616" t="e">
        <f ca="1"/>
        <v>#N/A</v>
      </c>
      <c r="X616" s="2">
        <f t="shared" ca="1" si="65"/>
        <v>0</v>
      </c>
      <c r="Y616">
        <f t="shared" ca="1" si="66"/>
        <v>0</v>
      </c>
      <c r="AA616" s="63" t="e">
        <f t="shared" ca="1" si="67"/>
        <v>#N/A</v>
      </c>
      <c r="AB616" s="63" t="e">
        <f t="shared" ca="1" si="68"/>
        <v>#N/A</v>
      </c>
      <c r="AC616" s="3" t="e">
        <f t="shared" ca="1" si="69"/>
        <v>#N/A</v>
      </c>
    </row>
    <row r="617" spans="8:29">
      <c r="H617" t="e">
        <f t="shared" ca="1" si="63"/>
        <v>#N/A</v>
      </c>
      <c r="I617" t="e">
        <f t="shared" ca="1" si="64"/>
        <v>#N/A</v>
      </c>
      <c r="J617" t="e">
        <f ca="1"/>
        <v>#N/A</v>
      </c>
      <c r="K617" t="e">
        <f ca="1"/>
        <v>#N/A</v>
      </c>
      <c r="L617" t="e">
        <f ca="1"/>
        <v>#N/A</v>
      </c>
      <c r="M617" t="e">
        <f ca="1"/>
        <v>#N/A</v>
      </c>
      <c r="N617" t="e">
        <f ca="1"/>
        <v>#N/A</v>
      </c>
      <c r="O617" t="e">
        <f ca="1"/>
        <v>#N/A</v>
      </c>
      <c r="P617" t="e">
        <f ca="1"/>
        <v>#N/A</v>
      </c>
      <c r="Q617" t="e">
        <f ca="1"/>
        <v>#N/A</v>
      </c>
      <c r="R617" t="e">
        <f ca="1"/>
        <v>#N/A</v>
      </c>
      <c r="S617" t="e">
        <f ca="1"/>
        <v>#N/A</v>
      </c>
      <c r="T617" t="e">
        <f ca="1"/>
        <v>#N/A</v>
      </c>
      <c r="U617" t="e">
        <f ca="1"/>
        <v>#N/A</v>
      </c>
      <c r="V617" t="e">
        <f ca="1"/>
        <v>#N/A</v>
      </c>
      <c r="X617" s="2">
        <f t="shared" ca="1" si="65"/>
        <v>0</v>
      </c>
      <c r="Y617">
        <f t="shared" ca="1" si="66"/>
        <v>0</v>
      </c>
      <c r="AA617" s="63" t="e">
        <f t="shared" ca="1" si="67"/>
        <v>#N/A</v>
      </c>
      <c r="AB617" s="63" t="e">
        <f t="shared" ca="1" si="68"/>
        <v>#N/A</v>
      </c>
      <c r="AC617" s="3" t="e">
        <f t="shared" ca="1" si="69"/>
        <v>#N/A</v>
      </c>
    </row>
    <row r="618" spans="8:29">
      <c r="H618" t="e">
        <f t="shared" ca="1" si="63"/>
        <v>#N/A</v>
      </c>
      <c r="I618" t="e">
        <f t="shared" ca="1" si="64"/>
        <v>#N/A</v>
      </c>
      <c r="J618" t="e">
        <f ca="1"/>
        <v>#N/A</v>
      </c>
      <c r="K618" t="e">
        <f ca="1"/>
        <v>#N/A</v>
      </c>
      <c r="L618" t="e">
        <f ca="1"/>
        <v>#N/A</v>
      </c>
      <c r="M618" t="e">
        <f ca="1"/>
        <v>#N/A</v>
      </c>
      <c r="N618" t="e">
        <f ca="1"/>
        <v>#N/A</v>
      </c>
      <c r="O618" t="e">
        <f ca="1"/>
        <v>#N/A</v>
      </c>
      <c r="P618" t="e">
        <f ca="1"/>
        <v>#N/A</v>
      </c>
      <c r="Q618" t="e">
        <f ca="1"/>
        <v>#N/A</v>
      </c>
      <c r="R618" t="e">
        <f ca="1"/>
        <v>#N/A</v>
      </c>
      <c r="S618" t="e">
        <f ca="1"/>
        <v>#N/A</v>
      </c>
      <c r="T618" t="e">
        <f ca="1"/>
        <v>#N/A</v>
      </c>
      <c r="U618" t="e">
        <f ca="1"/>
        <v>#N/A</v>
      </c>
      <c r="V618" t="e">
        <f ca="1"/>
        <v>#N/A</v>
      </c>
      <c r="X618" s="2">
        <f t="shared" ca="1" si="65"/>
        <v>0</v>
      </c>
      <c r="Y618">
        <f t="shared" ca="1" si="66"/>
        <v>0</v>
      </c>
      <c r="AA618" s="63" t="e">
        <f t="shared" ca="1" si="67"/>
        <v>#N/A</v>
      </c>
      <c r="AB618" s="63" t="e">
        <f t="shared" ca="1" si="68"/>
        <v>#N/A</v>
      </c>
      <c r="AC618" s="3" t="e">
        <f t="shared" ca="1" si="69"/>
        <v>#N/A</v>
      </c>
    </row>
    <row r="619" spans="8:29">
      <c r="H619" t="e">
        <f t="shared" ca="1" si="63"/>
        <v>#N/A</v>
      </c>
      <c r="I619" t="e">
        <f t="shared" ca="1" si="64"/>
        <v>#N/A</v>
      </c>
      <c r="J619" t="e">
        <f ca="1"/>
        <v>#N/A</v>
      </c>
      <c r="K619" t="e">
        <f ca="1"/>
        <v>#N/A</v>
      </c>
      <c r="L619" t="e">
        <f ca="1"/>
        <v>#N/A</v>
      </c>
      <c r="M619" t="e">
        <f ca="1"/>
        <v>#N/A</v>
      </c>
      <c r="N619" t="e">
        <f ca="1"/>
        <v>#N/A</v>
      </c>
      <c r="O619" t="e">
        <f ca="1"/>
        <v>#N/A</v>
      </c>
      <c r="P619" t="e">
        <f ca="1"/>
        <v>#N/A</v>
      </c>
      <c r="Q619" t="e">
        <f ca="1"/>
        <v>#N/A</v>
      </c>
      <c r="R619" t="e">
        <f ca="1"/>
        <v>#N/A</v>
      </c>
      <c r="S619" t="e">
        <f ca="1"/>
        <v>#N/A</v>
      </c>
      <c r="T619" t="e">
        <f ca="1"/>
        <v>#N/A</v>
      </c>
      <c r="U619" t="e">
        <f ca="1"/>
        <v>#N/A</v>
      </c>
      <c r="V619" t="e">
        <f ca="1"/>
        <v>#N/A</v>
      </c>
      <c r="X619" s="2">
        <f t="shared" ca="1" si="65"/>
        <v>0</v>
      </c>
      <c r="Y619">
        <f t="shared" ca="1" si="66"/>
        <v>0</v>
      </c>
      <c r="AA619" s="63" t="e">
        <f t="shared" ca="1" si="67"/>
        <v>#N/A</v>
      </c>
      <c r="AB619" s="63" t="e">
        <f t="shared" ca="1" si="68"/>
        <v>#N/A</v>
      </c>
      <c r="AC619" s="3" t="e">
        <f t="shared" ca="1" si="69"/>
        <v>#N/A</v>
      </c>
    </row>
    <row r="620" spans="8:29">
      <c r="H620" t="e">
        <f t="shared" ca="1" si="63"/>
        <v>#N/A</v>
      </c>
      <c r="I620" t="e">
        <f t="shared" ca="1" si="64"/>
        <v>#N/A</v>
      </c>
      <c r="J620" t="e">
        <f ca="1"/>
        <v>#N/A</v>
      </c>
      <c r="K620" t="e">
        <f ca="1"/>
        <v>#N/A</v>
      </c>
      <c r="L620" t="e">
        <f ca="1"/>
        <v>#N/A</v>
      </c>
      <c r="M620" t="e">
        <f ca="1"/>
        <v>#N/A</v>
      </c>
      <c r="N620" t="e">
        <f ca="1"/>
        <v>#N/A</v>
      </c>
      <c r="O620" t="e">
        <f ca="1"/>
        <v>#N/A</v>
      </c>
      <c r="P620" t="e">
        <f ca="1"/>
        <v>#N/A</v>
      </c>
      <c r="Q620" t="e">
        <f ca="1"/>
        <v>#N/A</v>
      </c>
      <c r="R620" t="e">
        <f ca="1"/>
        <v>#N/A</v>
      </c>
      <c r="S620" t="e">
        <f ca="1"/>
        <v>#N/A</v>
      </c>
      <c r="T620" t="e">
        <f ca="1"/>
        <v>#N/A</v>
      </c>
      <c r="U620" t="e">
        <f ca="1"/>
        <v>#N/A</v>
      </c>
      <c r="V620" t="e">
        <f ca="1"/>
        <v>#N/A</v>
      </c>
      <c r="X620" s="2">
        <f t="shared" ca="1" si="65"/>
        <v>0</v>
      </c>
      <c r="Y620">
        <f t="shared" ca="1" si="66"/>
        <v>0</v>
      </c>
      <c r="AA620" s="63" t="e">
        <f t="shared" ca="1" si="67"/>
        <v>#N/A</v>
      </c>
      <c r="AB620" s="63" t="e">
        <f t="shared" ca="1" si="68"/>
        <v>#N/A</v>
      </c>
      <c r="AC620" s="3" t="e">
        <f t="shared" ca="1" si="69"/>
        <v>#N/A</v>
      </c>
    </row>
    <row r="621" spans="8:29">
      <c r="H621" t="e">
        <f t="shared" ca="1" si="63"/>
        <v>#N/A</v>
      </c>
      <c r="I621" t="e">
        <f t="shared" ca="1" si="64"/>
        <v>#N/A</v>
      </c>
      <c r="J621" t="e">
        <f ca="1"/>
        <v>#N/A</v>
      </c>
      <c r="K621" t="e">
        <f ca="1"/>
        <v>#N/A</v>
      </c>
      <c r="L621" t="e">
        <f ca="1"/>
        <v>#N/A</v>
      </c>
      <c r="M621" t="e">
        <f ca="1"/>
        <v>#N/A</v>
      </c>
      <c r="N621" t="e">
        <f ca="1"/>
        <v>#N/A</v>
      </c>
      <c r="O621" t="e">
        <f ca="1"/>
        <v>#N/A</v>
      </c>
      <c r="P621" t="e">
        <f ca="1"/>
        <v>#N/A</v>
      </c>
      <c r="Q621" t="e">
        <f ca="1"/>
        <v>#N/A</v>
      </c>
      <c r="R621" t="e">
        <f ca="1"/>
        <v>#N/A</v>
      </c>
      <c r="S621" t="e">
        <f ca="1"/>
        <v>#N/A</v>
      </c>
      <c r="T621" t="e">
        <f ca="1"/>
        <v>#N/A</v>
      </c>
      <c r="U621" t="e">
        <f ca="1"/>
        <v>#N/A</v>
      </c>
      <c r="V621" t="e">
        <f ca="1"/>
        <v>#N/A</v>
      </c>
      <c r="X621" s="2">
        <f t="shared" ca="1" si="65"/>
        <v>0</v>
      </c>
      <c r="Y621">
        <f t="shared" ca="1" si="66"/>
        <v>0</v>
      </c>
      <c r="AA621" s="63" t="e">
        <f t="shared" ca="1" si="67"/>
        <v>#N/A</v>
      </c>
      <c r="AB621" s="63" t="e">
        <f t="shared" ca="1" si="68"/>
        <v>#N/A</v>
      </c>
      <c r="AC621" s="3" t="e">
        <f t="shared" ca="1" si="69"/>
        <v>#N/A</v>
      </c>
    </row>
    <row r="622" spans="8:29">
      <c r="H622" t="e">
        <f t="shared" ca="1" si="63"/>
        <v>#N/A</v>
      </c>
      <c r="I622" t="e">
        <f t="shared" ca="1" si="64"/>
        <v>#N/A</v>
      </c>
      <c r="J622" t="e">
        <f ca="1"/>
        <v>#N/A</v>
      </c>
      <c r="K622" t="e">
        <f ca="1"/>
        <v>#N/A</v>
      </c>
      <c r="L622" t="e">
        <f ca="1"/>
        <v>#N/A</v>
      </c>
      <c r="M622" t="e">
        <f ca="1"/>
        <v>#N/A</v>
      </c>
      <c r="N622" t="e">
        <f ca="1"/>
        <v>#N/A</v>
      </c>
      <c r="O622" t="e">
        <f ca="1"/>
        <v>#N/A</v>
      </c>
      <c r="P622" t="e">
        <f ca="1"/>
        <v>#N/A</v>
      </c>
      <c r="Q622" t="e">
        <f ca="1"/>
        <v>#N/A</v>
      </c>
      <c r="R622" t="e">
        <f ca="1"/>
        <v>#N/A</v>
      </c>
      <c r="S622" t="e">
        <f ca="1"/>
        <v>#N/A</v>
      </c>
      <c r="T622" t="e">
        <f ca="1"/>
        <v>#N/A</v>
      </c>
      <c r="U622" t="e">
        <f ca="1"/>
        <v>#N/A</v>
      </c>
      <c r="V622" t="e">
        <f ca="1"/>
        <v>#N/A</v>
      </c>
      <c r="X622" s="2">
        <f t="shared" ca="1" si="65"/>
        <v>0</v>
      </c>
      <c r="Y622">
        <f t="shared" ca="1" si="66"/>
        <v>0</v>
      </c>
      <c r="AA622" s="63" t="e">
        <f t="shared" ca="1" si="67"/>
        <v>#N/A</v>
      </c>
      <c r="AB622" s="63" t="e">
        <f t="shared" ca="1" si="68"/>
        <v>#N/A</v>
      </c>
      <c r="AC622" s="3" t="e">
        <f t="shared" ca="1" si="69"/>
        <v>#N/A</v>
      </c>
    </row>
    <row r="623" spans="8:29">
      <c r="H623" t="e">
        <f t="shared" ca="1" si="63"/>
        <v>#N/A</v>
      </c>
      <c r="I623" t="e">
        <f t="shared" ca="1" si="64"/>
        <v>#N/A</v>
      </c>
      <c r="J623" t="e">
        <f ca="1"/>
        <v>#N/A</v>
      </c>
      <c r="K623" t="e">
        <f ca="1"/>
        <v>#N/A</v>
      </c>
      <c r="L623" t="e">
        <f ca="1"/>
        <v>#N/A</v>
      </c>
      <c r="M623" t="e">
        <f ca="1"/>
        <v>#N/A</v>
      </c>
      <c r="N623" t="e">
        <f ca="1"/>
        <v>#N/A</v>
      </c>
      <c r="O623" t="e">
        <f ca="1"/>
        <v>#N/A</v>
      </c>
      <c r="P623" t="e">
        <f ca="1"/>
        <v>#N/A</v>
      </c>
      <c r="Q623" t="e">
        <f ca="1"/>
        <v>#N/A</v>
      </c>
      <c r="R623" t="e">
        <f ca="1"/>
        <v>#N/A</v>
      </c>
      <c r="S623" t="e">
        <f ca="1"/>
        <v>#N/A</v>
      </c>
      <c r="T623" t="e">
        <f ca="1"/>
        <v>#N/A</v>
      </c>
      <c r="U623" t="e">
        <f ca="1"/>
        <v>#N/A</v>
      </c>
      <c r="V623" t="e">
        <f ca="1"/>
        <v>#N/A</v>
      </c>
      <c r="X623" s="2">
        <f t="shared" ca="1" si="65"/>
        <v>0</v>
      </c>
      <c r="Y623">
        <f t="shared" ca="1" si="66"/>
        <v>0</v>
      </c>
      <c r="AA623" s="63" t="e">
        <f t="shared" ca="1" si="67"/>
        <v>#N/A</v>
      </c>
      <c r="AB623" s="63" t="e">
        <f t="shared" ca="1" si="68"/>
        <v>#N/A</v>
      </c>
      <c r="AC623" s="3" t="e">
        <f t="shared" ca="1" si="69"/>
        <v>#N/A</v>
      </c>
    </row>
    <row r="624" spans="8:29">
      <c r="H624" t="e">
        <f t="shared" ca="1" si="63"/>
        <v>#N/A</v>
      </c>
      <c r="I624" t="e">
        <f t="shared" ca="1" si="64"/>
        <v>#N/A</v>
      </c>
      <c r="J624" t="e">
        <f ca="1"/>
        <v>#N/A</v>
      </c>
      <c r="K624" t="e">
        <f ca="1"/>
        <v>#N/A</v>
      </c>
      <c r="L624" t="e">
        <f ca="1"/>
        <v>#N/A</v>
      </c>
      <c r="M624" t="e">
        <f ca="1"/>
        <v>#N/A</v>
      </c>
      <c r="N624" t="e">
        <f ca="1"/>
        <v>#N/A</v>
      </c>
      <c r="O624" t="e">
        <f ca="1"/>
        <v>#N/A</v>
      </c>
      <c r="P624" t="e">
        <f ca="1"/>
        <v>#N/A</v>
      </c>
      <c r="Q624" t="e">
        <f ca="1"/>
        <v>#N/A</v>
      </c>
      <c r="R624" t="e">
        <f ca="1"/>
        <v>#N/A</v>
      </c>
      <c r="S624" t="e">
        <f ca="1"/>
        <v>#N/A</v>
      </c>
      <c r="T624" t="e">
        <f ca="1"/>
        <v>#N/A</v>
      </c>
      <c r="U624" t="e">
        <f ca="1"/>
        <v>#N/A</v>
      </c>
      <c r="V624" t="e">
        <f ca="1"/>
        <v>#N/A</v>
      </c>
      <c r="X624" s="2">
        <f t="shared" ca="1" si="65"/>
        <v>0</v>
      </c>
      <c r="Y624">
        <f t="shared" ca="1" si="66"/>
        <v>0</v>
      </c>
      <c r="AA624" s="63" t="e">
        <f t="shared" ca="1" si="67"/>
        <v>#N/A</v>
      </c>
      <c r="AB624" s="63" t="e">
        <f t="shared" ca="1" si="68"/>
        <v>#N/A</v>
      </c>
      <c r="AC624" s="3" t="e">
        <f t="shared" ca="1" si="69"/>
        <v>#N/A</v>
      </c>
    </row>
    <row r="625" spans="8:29">
      <c r="H625" t="e">
        <f t="shared" ref="H625:H688" ca="1" si="70">IF(J625&lt;$J$4,TRUE,FALSE)</f>
        <v>#N/A</v>
      </c>
      <c r="I625" t="e">
        <f t="shared" ref="I625:I688" ca="1" si="71">AND(IF(J625&gt;($J$3-1),TRUE,FALSE),IF(J625&lt;($J$4+1),TRUE,FALSE))</f>
        <v>#N/A</v>
      </c>
      <c r="J625" t="e">
        <f ca="1"/>
        <v>#N/A</v>
      </c>
      <c r="K625" t="e">
        <f ca="1"/>
        <v>#N/A</v>
      </c>
      <c r="L625" t="e">
        <f ca="1"/>
        <v>#N/A</v>
      </c>
      <c r="M625" t="e">
        <f ca="1"/>
        <v>#N/A</v>
      </c>
      <c r="N625" t="e">
        <f ca="1"/>
        <v>#N/A</v>
      </c>
      <c r="O625" t="e">
        <f ca="1"/>
        <v>#N/A</v>
      </c>
      <c r="P625" t="e">
        <f ca="1"/>
        <v>#N/A</v>
      </c>
      <c r="Q625" t="e">
        <f ca="1"/>
        <v>#N/A</v>
      </c>
      <c r="R625" t="e">
        <f ca="1"/>
        <v>#N/A</v>
      </c>
      <c r="S625" t="e">
        <f ca="1"/>
        <v>#N/A</v>
      </c>
      <c r="T625" t="e">
        <f ca="1"/>
        <v>#N/A</v>
      </c>
      <c r="U625" t="e">
        <f ca="1"/>
        <v>#N/A</v>
      </c>
      <c r="V625" t="e">
        <f ca="1"/>
        <v>#N/A</v>
      </c>
      <c r="X625" s="2">
        <f t="shared" ref="X625:X688" ca="1" si="72">IFERROR(J625,$X$5)</f>
        <v>0</v>
      </c>
      <c r="Y625">
        <f t="shared" ref="Y625:Y688" ca="1" si="73">IFERROR(O625,0)</f>
        <v>0</v>
      </c>
      <c r="AA625" s="63" t="e">
        <f t="shared" ref="AA625:AA688" ca="1" si="74">K624+M625+N625+O625</f>
        <v>#N/A</v>
      </c>
      <c r="AB625" s="63" t="e">
        <f t="shared" ref="AB625:AB688" ca="1" si="75">K625+L625+R625</f>
        <v>#N/A</v>
      </c>
      <c r="AC625" s="3" t="e">
        <f t="shared" ref="AC625:AC688" ca="1" si="76">AB625-AA625</f>
        <v>#N/A</v>
      </c>
    </row>
    <row r="626" spans="8:29">
      <c r="H626" t="e">
        <f t="shared" ca="1" si="70"/>
        <v>#N/A</v>
      </c>
      <c r="I626" t="e">
        <f t="shared" ca="1" si="71"/>
        <v>#N/A</v>
      </c>
      <c r="J626" t="e">
        <f ca="1"/>
        <v>#N/A</v>
      </c>
      <c r="K626" t="e">
        <f ca="1"/>
        <v>#N/A</v>
      </c>
      <c r="L626" t="e">
        <f ca="1"/>
        <v>#N/A</v>
      </c>
      <c r="M626" t="e">
        <f ca="1"/>
        <v>#N/A</v>
      </c>
      <c r="N626" t="e">
        <f ca="1"/>
        <v>#N/A</v>
      </c>
      <c r="O626" t="e">
        <f ca="1"/>
        <v>#N/A</v>
      </c>
      <c r="P626" t="e">
        <f ca="1"/>
        <v>#N/A</v>
      </c>
      <c r="Q626" t="e">
        <f ca="1"/>
        <v>#N/A</v>
      </c>
      <c r="R626" t="e">
        <f ca="1"/>
        <v>#N/A</v>
      </c>
      <c r="S626" t="e">
        <f ca="1"/>
        <v>#N/A</v>
      </c>
      <c r="T626" t="e">
        <f ca="1"/>
        <v>#N/A</v>
      </c>
      <c r="U626" t="e">
        <f ca="1"/>
        <v>#N/A</v>
      </c>
      <c r="V626" t="e">
        <f ca="1"/>
        <v>#N/A</v>
      </c>
      <c r="X626" s="2">
        <f t="shared" ca="1" si="72"/>
        <v>0</v>
      </c>
      <c r="Y626">
        <f t="shared" ca="1" si="73"/>
        <v>0</v>
      </c>
      <c r="AA626" s="63" t="e">
        <f t="shared" ca="1" si="74"/>
        <v>#N/A</v>
      </c>
      <c r="AB626" s="63" t="e">
        <f t="shared" ca="1" si="75"/>
        <v>#N/A</v>
      </c>
      <c r="AC626" s="3" t="e">
        <f t="shared" ca="1" si="76"/>
        <v>#N/A</v>
      </c>
    </row>
    <row r="627" spans="8:29">
      <c r="H627" t="e">
        <f t="shared" ca="1" si="70"/>
        <v>#N/A</v>
      </c>
      <c r="I627" t="e">
        <f t="shared" ca="1" si="71"/>
        <v>#N/A</v>
      </c>
      <c r="J627" t="e">
        <f ca="1"/>
        <v>#N/A</v>
      </c>
      <c r="K627" t="e">
        <f ca="1"/>
        <v>#N/A</v>
      </c>
      <c r="L627" t="e">
        <f ca="1"/>
        <v>#N/A</v>
      </c>
      <c r="M627" t="e">
        <f ca="1"/>
        <v>#N/A</v>
      </c>
      <c r="N627" t="e">
        <f ca="1"/>
        <v>#N/A</v>
      </c>
      <c r="O627" t="e">
        <f ca="1"/>
        <v>#N/A</v>
      </c>
      <c r="P627" t="e">
        <f ca="1"/>
        <v>#N/A</v>
      </c>
      <c r="Q627" t="e">
        <f ca="1"/>
        <v>#N/A</v>
      </c>
      <c r="R627" t="e">
        <f ca="1"/>
        <v>#N/A</v>
      </c>
      <c r="S627" t="e">
        <f ca="1"/>
        <v>#N/A</v>
      </c>
      <c r="T627" t="e">
        <f ca="1"/>
        <v>#N/A</v>
      </c>
      <c r="U627" t="e">
        <f ca="1"/>
        <v>#N/A</v>
      </c>
      <c r="V627" t="e">
        <f ca="1"/>
        <v>#N/A</v>
      </c>
      <c r="X627" s="2">
        <f t="shared" ca="1" si="72"/>
        <v>0</v>
      </c>
      <c r="Y627">
        <f t="shared" ca="1" si="73"/>
        <v>0</v>
      </c>
      <c r="AA627" s="63" t="e">
        <f t="shared" ca="1" si="74"/>
        <v>#N/A</v>
      </c>
      <c r="AB627" s="63" t="e">
        <f t="shared" ca="1" si="75"/>
        <v>#N/A</v>
      </c>
      <c r="AC627" s="3" t="e">
        <f t="shared" ca="1" si="76"/>
        <v>#N/A</v>
      </c>
    </row>
    <row r="628" spans="8:29">
      <c r="H628" t="e">
        <f t="shared" ca="1" si="70"/>
        <v>#N/A</v>
      </c>
      <c r="I628" t="e">
        <f t="shared" ca="1" si="71"/>
        <v>#N/A</v>
      </c>
      <c r="J628" t="e">
        <f ca="1"/>
        <v>#N/A</v>
      </c>
      <c r="K628" t="e">
        <f ca="1"/>
        <v>#N/A</v>
      </c>
      <c r="L628" t="e">
        <f ca="1"/>
        <v>#N/A</v>
      </c>
      <c r="M628" t="e">
        <f ca="1"/>
        <v>#N/A</v>
      </c>
      <c r="N628" t="e">
        <f ca="1"/>
        <v>#N/A</v>
      </c>
      <c r="O628" t="e">
        <f ca="1"/>
        <v>#N/A</v>
      </c>
      <c r="P628" t="e">
        <f ca="1"/>
        <v>#N/A</v>
      </c>
      <c r="Q628" t="e">
        <f ca="1"/>
        <v>#N/A</v>
      </c>
      <c r="R628" t="e">
        <f ca="1"/>
        <v>#N/A</v>
      </c>
      <c r="S628" t="e">
        <f ca="1"/>
        <v>#N/A</v>
      </c>
      <c r="T628" t="e">
        <f ca="1"/>
        <v>#N/A</v>
      </c>
      <c r="U628" t="e">
        <f ca="1"/>
        <v>#N/A</v>
      </c>
      <c r="V628" t="e">
        <f ca="1"/>
        <v>#N/A</v>
      </c>
      <c r="X628" s="2">
        <f t="shared" ca="1" si="72"/>
        <v>0</v>
      </c>
      <c r="Y628">
        <f t="shared" ca="1" si="73"/>
        <v>0</v>
      </c>
      <c r="AA628" s="63" t="e">
        <f t="shared" ca="1" si="74"/>
        <v>#N/A</v>
      </c>
      <c r="AB628" s="63" t="e">
        <f t="shared" ca="1" si="75"/>
        <v>#N/A</v>
      </c>
      <c r="AC628" s="3" t="e">
        <f t="shared" ca="1" si="76"/>
        <v>#N/A</v>
      </c>
    </row>
    <row r="629" spans="8:29">
      <c r="H629" t="e">
        <f t="shared" ca="1" si="70"/>
        <v>#N/A</v>
      </c>
      <c r="I629" t="e">
        <f t="shared" ca="1" si="71"/>
        <v>#N/A</v>
      </c>
      <c r="J629" t="e">
        <f ca="1"/>
        <v>#N/A</v>
      </c>
      <c r="K629" t="e">
        <f ca="1"/>
        <v>#N/A</v>
      </c>
      <c r="L629" t="e">
        <f ca="1"/>
        <v>#N/A</v>
      </c>
      <c r="M629" t="e">
        <f ca="1"/>
        <v>#N/A</v>
      </c>
      <c r="N629" t="e">
        <f ca="1"/>
        <v>#N/A</v>
      </c>
      <c r="O629" t="e">
        <f ca="1"/>
        <v>#N/A</v>
      </c>
      <c r="P629" t="e">
        <f ca="1"/>
        <v>#N/A</v>
      </c>
      <c r="Q629" t="e">
        <f ca="1"/>
        <v>#N/A</v>
      </c>
      <c r="R629" t="e">
        <f ca="1"/>
        <v>#N/A</v>
      </c>
      <c r="S629" t="e">
        <f ca="1"/>
        <v>#N/A</v>
      </c>
      <c r="T629" t="e">
        <f ca="1"/>
        <v>#N/A</v>
      </c>
      <c r="U629" t="e">
        <f ca="1"/>
        <v>#N/A</v>
      </c>
      <c r="V629" t="e">
        <f ca="1"/>
        <v>#N/A</v>
      </c>
      <c r="X629" s="2">
        <f t="shared" ca="1" si="72"/>
        <v>0</v>
      </c>
      <c r="Y629">
        <f t="shared" ca="1" si="73"/>
        <v>0</v>
      </c>
      <c r="AA629" s="63" t="e">
        <f t="shared" ca="1" si="74"/>
        <v>#N/A</v>
      </c>
      <c r="AB629" s="63" t="e">
        <f t="shared" ca="1" si="75"/>
        <v>#N/A</v>
      </c>
      <c r="AC629" s="3" t="e">
        <f t="shared" ca="1" si="76"/>
        <v>#N/A</v>
      </c>
    </row>
    <row r="630" spans="8:29">
      <c r="H630" t="e">
        <f t="shared" ca="1" si="70"/>
        <v>#N/A</v>
      </c>
      <c r="I630" t="e">
        <f t="shared" ca="1" si="71"/>
        <v>#N/A</v>
      </c>
      <c r="J630" t="e">
        <f ca="1"/>
        <v>#N/A</v>
      </c>
      <c r="K630" t="e">
        <f ca="1"/>
        <v>#N/A</v>
      </c>
      <c r="L630" t="e">
        <f ca="1"/>
        <v>#N/A</v>
      </c>
      <c r="M630" t="e">
        <f ca="1"/>
        <v>#N/A</v>
      </c>
      <c r="N630" t="e">
        <f ca="1"/>
        <v>#N/A</v>
      </c>
      <c r="O630" t="e">
        <f ca="1"/>
        <v>#N/A</v>
      </c>
      <c r="P630" t="e">
        <f ca="1"/>
        <v>#N/A</v>
      </c>
      <c r="Q630" t="e">
        <f ca="1"/>
        <v>#N/A</v>
      </c>
      <c r="R630" t="e">
        <f ca="1"/>
        <v>#N/A</v>
      </c>
      <c r="S630" t="e">
        <f ca="1"/>
        <v>#N/A</v>
      </c>
      <c r="T630" t="e">
        <f ca="1"/>
        <v>#N/A</v>
      </c>
      <c r="U630" t="e">
        <f ca="1"/>
        <v>#N/A</v>
      </c>
      <c r="V630" t="e">
        <f ca="1"/>
        <v>#N/A</v>
      </c>
      <c r="X630" s="2">
        <f t="shared" ca="1" si="72"/>
        <v>0</v>
      </c>
      <c r="Y630">
        <f t="shared" ca="1" si="73"/>
        <v>0</v>
      </c>
      <c r="AA630" s="63" t="e">
        <f t="shared" ca="1" si="74"/>
        <v>#N/A</v>
      </c>
      <c r="AB630" s="63" t="e">
        <f t="shared" ca="1" si="75"/>
        <v>#N/A</v>
      </c>
      <c r="AC630" s="3" t="e">
        <f t="shared" ca="1" si="76"/>
        <v>#N/A</v>
      </c>
    </row>
    <row r="631" spans="8:29">
      <c r="H631" t="e">
        <f t="shared" ca="1" si="70"/>
        <v>#N/A</v>
      </c>
      <c r="I631" t="e">
        <f t="shared" ca="1" si="71"/>
        <v>#N/A</v>
      </c>
      <c r="J631" t="e">
        <f ca="1"/>
        <v>#N/A</v>
      </c>
      <c r="K631" t="e">
        <f ca="1"/>
        <v>#N/A</v>
      </c>
      <c r="L631" t="e">
        <f ca="1"/>
        <v>#N/A</v>
      </c>
      <c r="M631" t="e">
        <f ca="1"/>
        <v>#N/A</v>
      </c>
      <c r="N631" t="e">
        <f ca="1"/>
        <v>#N/A</v>
      </c>
      <c r="O631" t="e">
        <f ca="1"/>
        <v>#N/A</v>
      </c>
      <c r="P631" t="e">
        <f ca="1"/>
        <v>#N/A</v>
      </c>
      <c r="Q631" t="e">
        <f ca="1"/>
        <v>#N/A</v>
      </c>
      <c r="R631" t="e">
        <f ca="1"/>
        <v>#N/A</v>
      </c>
      <c r="S631" t="e">
        <f ca="1"/>
        <v>#N/A</v>
      </c>
      <c r="T631" t="e">
        <f ca="1"/>
        <v>#N/A</v>
      </c>
      <c r="U631" t="e">
        <f ca="1"/>
        <v>#N/A</v>
      </c>
      <c r="V631" t="e">
        <f ca="1"/>
        <v>#N/A</v>
      </c>
      <c r="X631" s="2">
        <f t="shared" ca="1" si="72"/>
        <v>0</v>
      </c>
      <c r="Y631">
        <f t="shared" ca="1" si="73"/>
        <v>0</v>
      </c>
      <c r="AA631" s="63" t="e">
        <f t="shared" ca="1" si="74"/>
        <v>#N/A</v>
      </c>
      <c r="AB631" s="63" t="e">
        <f t="shared" ca="1" si="75"/>
        <v>#N/A</v>
      </c>
      <c r="AC631" s="3" t="e">
        <f t="shared" ca="1" si="76"/>
        <v>#N/A</v>
      </c>
    </row>
    <row r="632" spans="8:29">
      <c r="H632" t="e">
        <f t="shared" ca="1" si="70"/>
        <v>#N/A</v>
      </c>
      <c r="I632" t="e">
        <f t="shared" ca="1" si="71"/>
        <v>#N/A</v>
      </c>
      <c r="J632" t="e">
        <f ca="1"/>
        <v>#N/A</v>
      </c>
      <c r="K632" t="e">
        <f ca="1"/>
        <v>#N/A</v>
      </c>
      <c r="L632" t="e">
        <f ca="1"/>
        <v>#N/A</v>
      </c>
      <c r="M632" t="e">
        <f ca="1"/>
        <v>#N/A</v>
      </c>
      <c r="N632" t="e">
        <f ca="1"/>
        <v>#N/A</v>
      </c>
      <c r="O632" t="e">
        <f ca="1"/>
        <v>#N/A</v>
      </c>
      <c r="P632" t="e">
        <f ca="1"/>
        <v>#N/A</v>
      </c>
      <c r="Q632" t="e">
        <f ca="1"/>
        <v>#N/A</v>
      </c>
      <c r="R632" t="e">
        <f ca="1"/>
        <v>#N/A</v>
      </c>
      <c r="S632" t="e">
        <f ca="1"/>
        <v>#N/A</v>
      </c>
      <c r="T632" t="e">
        <f ca="1"/>
        <v>#N/A</v>
      </c>
      <c r="U632" t="e">
        <f ca="1"/>
        <v>#N/A</v>
      </c>
      <c r="V632" t="e">
        <f ca="1"/>
        <v>#N/A</v>
      </c>
      <c r="X632" s="2">
        <f t="shared" ca="1" si="72"/>
        <v>0</v>
      </c>
      <c r="Y632">
        <f t="shared" ca="1" si="73"/>
        <v>0</v>
      </c>
      <c r="AA632" s="63" t="e">
        <f t="shared" ca="1" si="74"/>
        <v>#N/A</v>
      </c>
      <c r="AB632" s="63" t="e">
        <f t="shared" ca="1" si="75"/>
        <v>#N/A</v>
      </c>
      <c r="AC632" s="3" t="e">
        <f t="shared" ca="1" si="76"/>
        <v>#N/A</v>
      </c>
    </row>
    <row r="633" spans="8:29">
      <c r="H633" t="e">
        <f t="shared" ca="1" si="70"/>
        <v>#N/A</v>
      </c>
      <c r="I633" t="e">
        <f t="shared" ca="1" si="71"/>
        <v>#N/A</v>
      </c>
      <c r="J633" t="e">
        <f ca="1"/>
        <v>#N/A</v>
      </c>
      <c r="K633" t="e">
        <f ca="1"/>
        <v>#N/A</v>
      </c>
      <c r="L633" t="e">
        <f ca="1"/>
        <v>#N/A</v>
      </c>
      <c r="M633" t="e">
        <f ca="1"/>
        <v>#N/A</v>
      </c>
      <c r="N633" t="e">
        <f ca="1"/>
        <v>#N/A</v>
      </c>
      <c r="O633" t="e">
        <f ca="1"/>
        <v>#N/A</v>
      </c>
      <c r="P633" t="e">
        <f ca="1"/>
        <v>#N/A</v>
      </c>
      <c r="Q633" t="e">
        <f ca="1"/>
        <v>#N/A</v>
      </c>
      <c r="R633" t="e">
        <f ca="1"/>
        <v>#N/A</v>
      </c>
      <c r="S633" t="e">
        <f ca="1"/>
        <v>#N/A</v>
      </c>
      <c r="T633" t="e">
        <f ca="1"/>
        <v>#N/A</v>
      </c>
      <c r="U633" t="e">
        <f ca="1"/>
        <v>#N/A</v>
      </c>
      <c r="V633" t="e">
        <f ca="1"/>
        <v>#N/A</v>
      </c>
      <c r="X633" s="2">
        <f t="shared" ca="1" si="72"/>
        <v>0</v>
      </c>
      <c r="Y633">
        <f t="shared" ca="1" si="73"/>
        <v>0</v>
      </c>
      <c r="AA633" s="63" t="e">
        <f t="shared" ca="1" si="74"/>
        <v>#N/A</v>
      </c>
      <c r="AB633" s="63" t="e">
        <f t="shared" ca="1" si="75"/>
        <v>#N/A</v>
      </c>
      <c r="AC633" s="3" t="e">
        <f t="shared" ca="1" si="76"/>
        <v>#N/A</v>
      </c>
    </row>
    <row r="634" spans="8:29">
      <c r="H634" t="e">
        <f t="shared" ca="1" si="70"/>
        <v>#N/A</v>
      </c>
      <c r="I634" t="e">
        <f t="shared" ca="1" si="71"/>
        <v>#N/A</v>
      </c>
      <c r="J634" t="e">
        <f ca="1"/>
        <v>#N/A</v>
      </c>
      <c r="K634" t="e">
        <f ca="1"/>
        <v>#N/A</v>
      </c>
      <c r="L634" t="e">
        <f ca="1"/>
        <v>#N/A</v>
      </c>
      <c r="M634" t="e">
        <f ca="1"/>
        <v>#N/A</v>
      </c>
      <c r="N634" t="e">
        <f ca="1"/>
        <v>#N/A</v>
      </c>
      <c r="O634" t="e">
        <f ca="1"/>
        <v>#N/A</v>
      </c>
      <c r="P634" t="e">
        <f ca="1"/>
        <v>#N/A</v>
      </c>
      <c r="Q634" t="e">
        <f ca="1"/>
        <v>#N/A</v>
      </c>
      <c r="R634" t="e">
        <f ca="1"/>
        <v>#N/A</v>
      </c>
      <c r="S634" t="e">
        <f ca="1"/>
        <v>#N/A</v>
      </c>
      <c r="T634" t="e">
        <f ca="1"/>
        <v>#N/A</v>
      </c>
      <c r="U634" t="e">
        <f ca="1"/>
        <v>#N/A</v>
      </c>
      <c r="V634" t="e">
        <f ca="1"/>
        <v>#N/A</v>
      </c>
      <c r="X634" s="2">
        <f t="shared" ca="1" si="72"/>
        <v>0</v>
      </c>
      <c r="Y634">
        <f t="shared" ca="1" si="73"/>
        <v>0</v>
      </c>
      <c r="AA634" s="63" t="e">
        <f t="shared" ca="1" si="74"/>
        <v>#N/A</v>
      </c>
      <c r="AB634" s="63" t="e">
        <f t="shared" ca="1" si="75"/>
        <v>#N/A</v>
      </c>
      <c r="AC634" s="3" t="e">
        <f t="shared" ca="1" si="76"/>
        <v>#N/A</v>
      </c>
    </row>
    <row r="635" spans="8:29">
      <c r="H635" t="e">
        <f t="shared" ca="1" si="70"/>
        <v>#N/A</v>
      </c>
      <c r="I635" t="e">
        <f t="shared" ca="1" si="71"/>
        <v>#N/A</v>
      </c>
      <c r="J635" t="e">
        <f ca="1"/>
        <v>#N/A</v>
      </c>
      <c r="K635" t="e">
        <f ca="1"/>
        <v>#N/A</v>
      </c>
      <c r="L635" t="e">
        <f ca="1"/>
        <v>#N/A</v>
      </c>
      <c r="M635" t="e">
        <f ca="1"/>
        <v>#N/A</v>
      </c>
      <c r="N635" t="e">
        <f ca="1"/>
        <v>#N/A</v>
      </c>
      <c r="O635" t="e">
        <f ca="1"/>
        <v>#N/A</v>
      </c>
      <c r="P635" t="e">
        <f ca="1"/>
        <v>#N/A</v>
      </c>
      <c r="Q635" t="e">
        <f ca="1"/>
        <v>#N/A</v>
      </c>
      <c r="R635" t="e">
        <f ca="1"/>
        <v>#N/A</v>
      </c>
      <c r="S635" t="e">
        <f ca="1"/>
        <v>#N/A</v>
      </c>
      <c r="T635" t="e">
        <f ca="1"/>
        <v>#N/A</v>
      </c>
      <c r="U635" t="e">
        <f ca="1"/>
        <v>#N/A</v>
      </c>
      <c r="V635" t="e">
        <f ca="1"/>
        <v>#N/A</v>
      </c>
      <c r="X635" s="2">
        <f t="shared" ca="1" si="72"/>
        <v>0</v>
      </c>
      <c r="Y635">
        <f t="shared" ca="1" si="73"/>
        <v>0</v>
      </c>
      <c r="AA635" s="63" t="e">
        <f t="shared" ca="1" si="74"/>
        <v>#N/A</v>
      </c>
      <c r="AB635" s="63" t="e">
        <f t="shared" ca="1" si="75"/>
        <v>#N/A</v>
      </c>
      <c r="AC635" s="3" t="e">
        <f t="shared" ca="1" si="76"/>
        <v>#N/A</v>
      </c>
    </row>
    <row r="636" spans="8:29">
      <c r="H636" t="e">
        <f t="shared" ca="1" si="70"/>
        <v>#N/A</v>
      </c>
      <c r="I636" t="e">
        <f t="shared" ca="1" si="71"/>
        <v>#N/A</v>
      </c>
      <c r="J636" t="e">
        <f ca="1"/>
        <v>#N/A</v>
      </c>
      <c r="K636" t="e">
        <f ca="1"/>
        <v>#N/A</v>
      </c>
      <c r="L636" t="e">
        <f ca="1"/>
        <v>#N/A</v>
      </c>
      <c r="M636" t="e">
        <f ca="1"/>
        <v>#N/A</v>
      </c>
      <c r="N636" t="e">
        <f ca="1"/>
        <v>#N/A</v>
      </c>
      <c r="O636" t="e">
        <f ca="1"/>
        <v>#N/A</v>
      </c>
      <c r="P636" t="e">
        <f ca="1"/>
        <v>#N/A</v>
      </c>
      <c r="Q636" t="e">
        <f ca="1"/>
        <v>#N/A</v>
      </c>
      <c r="R636" t="e">
        <f ca="1"/>
        <v>#N/A</v>
      </c>
      <c r="S636" t="e">
        <f ca="1"/>
        <v>#N/A</v>
      </c>
      <c r="T636" t="e">
        <f ca="1"/>
        <v>#N/A</v>
      </c>
      <c r="U636" t="e">
        <f ca="1"/>
        <v>#N/A</v>
      </c>
      <c r="V636" t="e">
        <f ca="1"/>
        <v>#N/A</v>
      </c>
      <c r="X636" s="2">
        <f t="shared" ca="1" si="72"/>
        <v>0</v>
      </c>
      <c r="Y636">
        <f t="shared" ca="1" si="73"/>
        <v>0</v>
      </c>
      <c r="AA636" s="63" t="e">
        <f t="shared" ca="1" si="74"/>
        <v>#N/A</v>
      </c>
      <c r="AB636" s="63" t="e">
        <f t="shared" ca="1" si="75"/>
        <v>#N/A</v>
      </c>
      <c r="AC636" s="3" t="e">
        <f t="shared" ca="1" si="76"/>
        <v>#N/A</v>
      </c>
    </row>
    <row r="637" spans="8:29">
      <c r="H637" t="e">
        <f t="shared" ca="1" si="70"/>
        <v>#N/A</v>
      </c>
      <c r="I637" t="e">
        <f t="shared" ca="1" si="71"/>
        <v>#N/A</v>
      </c>
      <c r="J637" t="e">
        <f ca="1"/>
        <v>#N/A</v>
      </c>
      <c r="K637" t="e">
        <f ca="1"/>
        <v>#N/A</v>
      </c>
      <c r="L637" t="e">
        <f ca="1"/>
        <v>#N/A</v>
      </c>
      <c r="M637" t="e">
        <f ca="1"/>
        <v>#N/A</v>
      </c>
      <c r="N637" t="e">
        <f ca="1"/>
        <v>#N/A</v>
      </c>
      <c r="O637" t="e">
        <f ca="1"/>
        <v>#N/A</v>
      </c>
      <c r="P637" t="e">
        <f ca="1"/>
        <v>#N/A</v>
      </c>
      <c r="Q637" t="e">
        <f ca="1"/>
        <v>#N/A</v>
      </c>
      <c r="R637" t="e">
        <f ca="1"/>
        <v>#N/A</v>
      </c>
      <c r="S637" t="e">
        <f ca="1"/>
        <v>#N/A</v>
      </c>
      <c r="T637" t="e">
        <f ca="1"/>
        <v>#N/A</v>
      </c>
      <c r="U637" t="e">
        <f ca="1"/>
        <v>#N/A</v>
      </c>
      <c r="V637" t="e">
        <f ca="1"/>
        <v>#N/A</v>
      </c>
      <c r="X637" s="2">
        <f t="shared" ca="1" si="72"/>
        <v>0</v>
      </c>
      <c r="Y637">
        <f t="shared" ca="1" si="73"/>
        <v>0</v>
      </c>
      <c r="AA637" s="63" t="e">
        <f t="shared" ca="1" si="74"/>
        <v>#N/A</v>
      </c>
      <c r="AB637" s="63" t="e">
        <f t="shared" ca="1" si="75"/>
        <v>#N/A</v>
      </c>
      <c r="AC637" s="3" t="e">
        <f t="shared" ca="1" si="76"/>
        <v>#N/A</v>
      </c>
    </row>
    <row r="638" spans="8:29">
      <c r="H638" t="e">
        <f t="shared" ca="1" si="70"/>
        <v>#N/A</v>
      </c>
      <c r="I638" t="e">
        <f t="shared" ca="1" si="71"/>
        <v>#N/A</v>
      </c>
      <c r="J638" t="e">
        <f ca="1"/>
        <v>#N/A</v>
      </c>
      <c r="K638" t="e">
        <f ca="1"/>
        <v>#N/A</v>
      </c>
      <c r="L638" t="e">
        <f ca="1"/>
        <v>#N/A</v>
      </c>
      <c r="M638" t="e">
        <f ca="1"/>
        <v>#N/A</v>
      </c>
      <c r="N638" t="e">
        <f ca="1"/>
        <v>#N/A</v>
      </c>
      <c r="O638" t="e">
        <f ca="1"/>
        <v>#N/A</v>
      </c>
      <c r="P638" t="e">
        <f ca="1"/>
        <v>#N/A</v>
      </c>
      <c r="Q638" t="e">
        <f ca="1"/>
        <v>#N/A</v>
      </c>
      <c r="R638" t="e">
        <f ca="1"/>
        <v>#N/A</v>
      </c>
      <c r="S638" t="e">
        <f ca="1"/>
        <v>#N/A</v>
      </c>
      <c r="T638" t="e">
        <f ca="1"/>
        <v>#N/A</v>
      </c>
      <c r="U638" t="e">
        <f ca="1"/>
        <v>#N/A</v>
      </c>
      <c r="V638" t="e">
        <f ca="1"/>
        <v>#N/A</v>
      </c>
      <c r="X638" s="2">
        <f t="shared" ca="1" si="72"/>
        <v>0</v>
      </c>
      <c r="Y638">
        <f t="shared" ca="1" si="73"/>
        <v>0</v>
      </c>
      <c r="AA638" s="63" t="e">
        <f t="shared" ca="1" si="74"/>
        <v>#N/A</v>
      </c>
      <c r="AB638" s="63" t="e">
        <f t="shared" ca="1" si="75"/>
        <v>#N/A</v>
      </c>
      <c r="AC638" s="3" t="e">
        <f t="shared" ca="1" si="76"/>
        <v>#N/A</v>
      </c>
    </row>
    <row r="639" spans="8:29">
      <c r="H639" t="e">
        <f t="shared" ca="1" si="70"/>
        <v>#N/A</v>
      </c>
      <c r="I639" t="e">
        <f t="shared" ca="1" si="71"/>
        <v>#N/A</v>
      </c>
      <c r="J639" t="e">
        <f ca="1"/>
        <v>#N/A</v>
      </c>
      <c r="K639" t="e">
        <f ca="1"/>
        <v>#N/A</v>
      </c>
      <c r="L639" t="e">
        <f ca="1"/>
        <v>#N/A</v>
      </c>
      <c r="M639" t="e">
        <f ca="1"/>
        <v>#N/A</v>
      </c>
      <c r="N639" t="e">
        <f ca="1"/>
        <v>#N/A</v>
      </c>
      <c r="O639" t="e">
        <f ca="1"/>
        <v>#N/A</v>
      </c>
      <c r="P639" t="e">
        <f ca="1"/>
        <v>#N/A</v>
      </c>
      <c r="Q639" t="e">
        <f ca="1"/>
        <v>#N/A</v>
      </c>
      <c r="R639" t="e">
        <f ca="1"/>
        <v>#N/A</v>
      </c>
      <c r="S639" t="e">
        <f ca="1"/>
        <v>#N/A</v>
      </c>
      <c r="T639" t="e">
        <f ca="1"/>
        <v>#N/A</v>
      </c>
      <c r="U639" t="e">
        <f ca="1"/>
        <v>#N/A</v>
      </c>
      <c r="V639" t="e">
        <f ca="1"/>
        <v>#N/A</v>
      </c>
      <c r="X639" s="2">
        <f t="shared" ca="1" si="72"/>
        <v>0</v>
      </c>
      <c r="Y639">
        <f t="shared" ca="1" si="73"/>
        <v>0</v>
      </c>
      <c r="AA639" s="63" t="e">
        <f t="shared" ca="1" si="74"/>
        <v>#N/A</v>
      </c>
      <c r="AB639" s="63" t="e">
        <f t="shared" ca="1" si="75"/>
        <v>#N/A</v>
      </c>
      <c r="AC639" s="3" t="e">
        <f t="shared" ca="1" si="76"/>
        <v>#N/A</v>
      </c>
    </row>
    <row r="640" spans="8:29">
      <c r="H640" t="e">
        <f t="shared" ca="1" si="70"/>
        <v>#N/A</v>
      </c>
      <c r="I640" t="e">
        <f t="shared" ca="1" si="71"/>
        <v>#N/A</v>
      </c>
      <c r="J640" t="e">
        <f ca="1"/>
        <v>#N/A</v>
      </c>
      <c r="K640" t="e">
        <f ca="1"/>
        <v>#N/A</v>
      </c>
      <c r="L640" t="e">
        <f ca="1"/>
        <v>#N/A</v>
      </c>
      <c r="M640" t="e">
        <f ca="1"/>
        <v>#N/A</v>
      </c>
      <c r="N640" t="e">
        <f ca="1"/>
        <v>#N/A</v>
      </c>
      <c r="O640" t="e">
        <f ca="1"/>
        <v>#N/A</v>
      </c>
      <c r="P640" t="e">
        <f ca="1"/>
        <v>#N/A</v>
      </c>
      <c r="Q640" t="e">
        <f ca="1"/>
        <v>#N/A</v>
      </c>
      <c r="R640" t="e">
        <f ca="1"/>
        <v>#N/A</v>
      </c>
      <c r="S640" t="e">
        <f ca="1"/>
        <v>#N/A</v>
      </c>
      <c r="T640" t="e">
        <f ca="1"/>
        <v>#N/A</v>
      </c>
      <c r="U640" t="e">
        <f ca="1"/>
        <v>#N/A</v>
      </c>
      <c r="V640" t="e">
        <f ca="1"/>
        <v>#N/A</v>
      </c>
      <c r="X640" s="2">
        <f t="shared" ca="1" si="72"/>
        <v>0</v>
      </c>
      <c r="Y640">
        <f t="shared" ca="1" si="73"/>
        <v>0</v>
      </c>
      <c r="AA640" s="63" t="e">
        <f t="shared" ca="1" si="74"/>
        <v>#N/A</v>
      </c>
      <c r="AB640" s="63" t="e">
        <f t="shared" ca="1" si="75"/>
        <v>#N/A</v>
      </c>
      <c r="AC640" s="3" t="e">
        <f t="shared" ca="1" si="76"/>
        <v>#N/A</v>
      </c>
    </row>
    <row r="641" spans="8:29">
      <c r="H641" t="e">
        <f t="shared" ca="1" si="70"/>
        <v>#N/A</v>
      </c>
      <c r="I641" t="e">
        <f t="shared" ca="1" si="71"/>
        <v>#N/A</v>
      </c>
      <c r="J641" t="e">
        <f ca="1"/>
        <v>#N/A</v>
      </c>
      <c r="K641" t="e">
        <f ca="1"/>
        <v>#N/A</v>
      </c>
      <c r="L641" t="e">
        <f ca="1"/>
        <v>#N/A</v>
      </c>
      <c r="M641" t="e">
        <f ca="1"/>
        <v>#N/A</v>
      </c>
      <c r="N641" t="e">
        <f ca="1"/>
        <v>#N/A</v>
      </c>
      <c r="O641" t="e">
        <f ca="1"/>
        <v>#N/A</v>
      </c>
      <c r="P641" t="e">
        <f ca="1"/>
        <v>#N/A</v>
      </c>
      <c r="Q641" t="e">
        <f ca="1"/>
        <v>#N/A</v>
      </c>
      <c r="R641" t="e">
        <f ca="1"/>
        <v>#N/A</v>
      </c>
      <c r="S641" t="e">
        <f ca="1"/>
        <v>#N/A</v>
      </c>
      <c r="T641" t="e">
        <f ca="1"/>
        <v>#N/A</v>
      </c>
      <c r="U641" t="e">
        <f ca="1"/>
        <v>#N/A</v>
      </c>
      <c r="V641" t="e">
        <f ca="1"/>
        <v>#N/A</v>
      </c>
      <c r="X641" s="2">
        <f t="shared" ca="1" si="72"/>
        <v>0</v>
      </c>
      <c r="Y641">
        <f t="shared" ca="1" si="73"/>
        <v>0</v>
      </c>
      <c r="AA641" s="63" t="e">
        <f t="shared" ca="1" si="74"/>
        <v>#N/A</v>
      </c>
      <c r="AB641" s="63" t="e">
        <f t="shared" ca="1" si="75"/>
        <v>#N/A</v>
      </c>
      <c r="AC641" s="3" t="e">
        <f t="shared" ca="1" si="76"/>
        <v>#N/A</v>
      </c>
    </row>
    <row r="642" spans="8:29">
      <c r="H642" t="e">
        <f t="shared" ca="1" si="70"/>
        <v>#N/A</v>
      </c>
      <c r="I642" t="e">
        <f t="shared" ca="1" si="71"/>
        <v>#N/A</v>
      </c>
      <c r="J642" t="e">
        <f ca="1"/>
        <v>#N/A</v>
      </c>
      <c r="K642" t="e">
        <f ca="1"/>
        <v>#N/A</v>
      </c>
      <c r="L642" t="e">
        <f ca="1"/>
        <v>#N/A</v>
      </c>
      <c r="M642" t="e">
        <f ca="1"/>
        <v>#N/A</v>
      </c>
      <c r="N642" t="e">
        <f ca="1"/>
        <v>#N/A</v>
      </c>
      <c r="O642" t="e">
        <f ca="1"/>
        <v>#N/A</v>
      </c>
      <c r="P642" t="e">
        <f ca="1"/>
        <v>#N/A</v>
      </c>
      <c r="Q642" t="e">
        <f ca="1"/>
        <v>#N/A</v>
      </c>
      <c r="R642" t="e">
        <f ca="1"/>
        <v>#N/A</v>
      </c>
      <c r="S642" t="e">
        <f ca="1"/>
        <v>#N/A</v>
      </c>
      <c r="T642" t="e">
        <f ca="1"/>
        <v>#N/A</v>
      </c>
      <c r="U642" t="e">
        <f ca="1"/>
        <v>#N/A</v>
      </c>
      <c r="V642" t="e">
        <f ca="1"/>
        <v>#N/A</v>
      </c>
      <c r="X642" s="2">
        <f t="shared" ca="1" si="72"/>
        <v>0</v>
      </c>
      <c r="Y642">
        <f t="shared" ca="1" si="73"/>
        <v>0</v>
      </c>
      <c r="AA642" s="63" t="e">
        <f t="shared" ca="1" si="74"/>
        <v>#N/A</v>
      </c>
      <c r="AB642" s="63" t="e">
        <f t="shared" ca="1" si="75"/>
        <v>#N/A</v>
      </c>
      <c r="AC642" s="3" t="e">
        <f t="shared" ca="1" si="76"/>
        <v>#N/A</v>
      </c>
    </row>
    <row r="643" spans="8:29">
      <c r="H643" t="e">
        <f t="shared" ca="1" si="70"/>
        <v>#N/A</v>
      </c>
      <c r="I643" t="e">
        <f t="shared" ca="1" si="71"/>
        <v>#N/A</v>
      </c>
      <c r="J643" t="e">
        <f ca="1"/>
        <v>#N/A</v>
      </c>
      <c r="K643" t="e">
        <f ca="1"/>
        <v>#N/A</v>
      </c>
      <c r="L643" t="e">
        <f ca="1"/>
        <v>#N/A</v>
      </c>
      <c r="M643" t="e">
        <f ca="1"/>
        <v>#N/A</v>
      </c>
      <c r="N643" t="e">
        <f ca="1"/>
        <v>#N/A</v>
      </c>
      <c r="O643" t="e">
        <f ca="1"/>
        <v>#N/A</v>
      </c>
      <c r="P643" t="e">
        <f ca="1"/>
        <v>#N/A</v>
      </c>
      <c r="Q643" t="e">
        <f ca="1"/>
        <v>#N/A</v>
      </c>
      <c r="R643" t="e">
        <f ca="1"/>
        <v>#N/A</v>
      </c>
      <c r="S643" t="e">
        <f ca="1"/>
        <v>#N/A</v>
      </c>
      <c r="T643" t="e">
        <f ca="1"/>
        <v>#N/A</v>
      </c>
      <c r="U643" t="e">
        <f ca="1"/>
        <v>#N/A</v>
      </c>
      <c r="V643" t="e">
        <f ca="1"/>
        <v>#N/A</v>
      </c>
      <c r="X643" s="2">
        <f t="shared" ca="1" si="72"/>
        <v>0</v>
      </c>
      <c r="Y643">
        <f t="shared" ca="1" si="73"/>
        <v>0</v>
      </c>
      <c r="AA643" s="63" t="e">
        <f t="shared" ca="1" si="74"/>
        <v>#N/A</v>
      </c>
      <c r="AB643" s="63" t="e">
        <f t="shared" ca="1" si="75"/>
        <v>#N/A</v>
      </c>
      <c r="AC643" s="3" t="e">
        <f t="shared" ca="1" si="76"/>
        <v>#N/A</v>
      </c>
    </row>
    <row r="644" spans="8:29">
      <c r="H644" t="e">
        <f t="shared" ca="1" si="70"/>
        <v>#N/A</v>
      </c>
      <c r="I644" t="e">
        <f t="shared" ca="1" si="71"/>
        <v>#N/A</v>
      </c>
      <c r="J644" t="e">
        <f ca="1"/>
        <v>#N/A</v>
      </c>
      <c r="K644" t="e">
        <f ca="1"/>
        <v>#N/A</v>
      </c>
      <c r="L644" t="e">
        <f ca="1"/>
        <v>#N/A</v>
      </c>
      <c r="M644" t="e">
        <f ca="1"/>
        <v>#N/A</v>
      </c>
      <c r="N644" t="e">
        <f ca="1"/>
        <v>#N/A</v>
      </c>
      <c r="O644" t="e">
        <f ca="1"/>
        <v>#N/A</v>
      </c>
      <c r="P644" t="e">
        <f ca="1"/>
        <v>#N/A</v>
      </c>
      <c r="Q644" t="e">
        <f ca="1"/>
        <v>#N/A</v>
      </c>
      <c r="R644" t="e">
        <f ca="1"/>
        <v>#N/A</v>
      </c>
      <c r="S644" t="e">
        <f ca="1"/>
        <v>#N/A</v>
      </c>
      <c r="T644" t="e">
        <f ca="1"/>
        <v>#N/A</v>
      </c>
      <c r="U644" t="e">
        <f ca="1"/>
        <v>#N/A</v>
      </c>
      <c r="V644" t="e">
        <f ca="1"/>
        <v>#N/A</v>
      </c>
      <c r="X644" s="2">
        <f t="shared" ca="1" si="72"/>
        <v>0</v>
      </c>
      <c r="Y644">
        <f t="shared" ca="1" si="73"/>
        <v>0</v>
      </c>
      <c r="AA644" s="63" t="e">
        <f t="shared" ca="1" si="74"/>
        <v>#N/A</v>
      </c>
      <c r="AB644" s="63" t="e">
        <f t="shared" ca="1" si="75"/>
        <v>#N/A</v>
      </c>
      <c r="AC644" s="3" t="e">
        <f t="shared" ca="1" si="76"/>
        <v>#N/A</v>
      </c>
    </row>
    <row r="645" spans="8:29">
      <c r="H645" t="e">
        <f t="shared" ca="1" si="70"/>
        <v>#N/A</v>
      </c>
      <c r="I645" t="e">
        <f t="shared" ca="1" si="71"/>
        <v>#N/A</v>
      </c>
      <c r="J645" t="e">
        <f ca="1"/>
        <v>#N/A</v>
      </c>
      <c r="K645" t="e">
        <f ca="1"/>
        <v>#N/A</v>
      </c>
      <c r="L645" t="e">
        <f ca="1"/>
        <v>#N/A</v>
      </c>
      <c r="M645" t="e">
        <f ca="1"/>
        <v>#N/A</v>
      </c>
      <c r="N645" t="e">
        <f ca="1"/>
        <v>#N/A</v>
      </c>
      <c r="O645" t="e">
        <f ca="1"/>
        <v>#N/A</v>
      </c>
      <c r="P645" t="e">
        <f ca="1"/>
        <v>#N/A</v>
      </c>
      <c r="Q645" t="e">
        <f ca="1"/>
        <v>#N/A</v>
      </c>
      <c r="R645" t="e">
        <f ca="1"/>
        <v>#N/A</v>
      </c>
      <c r="S645" t="e">
        <f ca="1"/>
        <v>#N/A</v>
      </c>
      <c r="T645" t="e">
        <f ca="1"/>
        <v>#N/A</v>
      </c>
      <c r="U645" t="e">
        <f ca="1"/>
        <v>#N/A</v>
      </c>
      <c r="V645" t="e">
        <f ca="1"/>
        <v>#N/A</v>
      </c>
      <c r="X645" s="2">
        <f t="shared" ca="1" si="72"/>
        <v>0</v>
      </c>
      <c r="Y645">
        <f t="shared" ca="1" si="73"/>
        <v>0</v>
      </c>
      <c r="AA645" s="63" t="e">
        <f t="shared" ca="1" si="74"/>
        <v>#N/A</v>
      </c>
      <c r="AB645" s="63" t="e">
        <f t="shared" ca="1" si="75"/>
        <v>#N/A</v>
      </c>
      <c r="AC645" s="3" t="e">
        <f t="shared" ca="1" si="76"/>
        <v>#N/A</v>
      </c>
    </row>
    <row r="646" spans="8:29">
      <c r="H646" t="e">
        <f t="shared" ca="1" si="70"/>
        <v>#N/A</v>
      </c>
      <c r="I646" t="e">
        <f t="shared" ca="1" si="71"/>
        <v>#N/A</v>
      </c>
      <c r="J646" t="e">
        <f ca="1"/>
        <v>#N/A</v>
      </c>
      <c r="K646" t="e">
        <f ca="1"/>
        <v>#N/A</v>
      </c>
      <c r="L646" t="e">
        <f ca="1"/>
        <v>#N/A</v>
      </c>
      <c r="M646" t="e">
        <f ca="1"/>
        <v>#N/A</v>
      </c>
      <c r="N646" t="e">
        <f ca="1"/>
        <v>#N/A</v>
      </c>
      <c r="O646" t="e">
        <f ca="1"/>
        <v>#N/A</v>
      </c>
      <c r="P646" t="e">
        <f ca="1"/>
        <v>#N/A</v>
      </c>
      <c r="Q646" t="e">
        <f ca="1"/>
        <v>#N/A</v>
      </c>
      <c r="R646" t="e">
        <f ca="1"/>
        <v>#N/A</v>
      </c>
      <c r="S646" t="e">
        <f ca="1"/>
        <v>#N/A</v>
      </c>
      <c r="T646" t="e">
        <f ca="1"/>
        <v>#N/A</v>
      </c>
      <c r="U646" t="e">
        <f ca="1"/>
        <v>#N/A</v>
      </c>
      <c r="V646" t="e">
        <f ca="1"/>
        <v>#N/A</v>
      </c>
      <c r="X646" s="2">
        <f t="shared" ca="1" si="72"/>
        <v>0</v>
      </c>
      <c r="Y646">
        <f t="shared" ca="1" si="73"/>
        <v>0</v>
      </c>
      <c r="AA646" s="63" t="e">
        <f t="shared" ca="1" si="74"/>
        <v>#N/A</v>
      </c>
      <c r="AB646" s="63" t="e">
        <f t="shared" ca="1" si="75"/>
        <v>#N/A</v>
      </c>
      <c r="AC646" s="3" t="e">
        <f t="shared" ca="1" si="76"/>
        <v>#N/A</v>
      </c>
    </row>
    <row r="647" spans="8:29">
      <c r="H647" t="e">
        <f t="shared" ca="1" si="70"/>
        <v>#N/A</v>
      </c>
      <c r="I647" t="e">
        <f t="shared" ca="1" si="71"/>
        <v>#N/A</v>
      </c>
      <c r="J647" t="e">
        <f ca="1"/>
        <v>#N/A</v>
      </c>
      <c r="K647" t="e">
        <f ca="1"/>
        <v>#N/A</v>
      </c>
      <c r="L647" t="e">
        <f ca="1"/>
        <v>#N/A</v>
      </c>
      <c r="M647" t="e">
        <f ca="1"/>
        <v>#N/A</v>
      </c>
      <c r="N647" t="e">
        <f ca="1"/>
        <v>#N/A</v>
      </c>
      <c r="O647" t="e">
        <f ca="1"/>
        <v>#N/A</v>
      </c>
      <c r="P647" t="e">
        <f ca="1"/>
        <v>#N/A</v>
      </c>
      <c r="Q647" t="e">
        <f ca="1"/>
        <v>#N/A</v>
      </c>
      <c r="R647" t="e">
        <f ca="1"/>
        <v>#N/A</v>
      </c>
      <c r="S647" t="e">
        <f ca="1"/>
        <v>#N/A</v>
      </c>
      <c r="T647" t="e">
        <f ca="1"/>
        <v>#N/A</v>
      </c>
      <c r="U647" t="e">
        <f ca="1"/>
        <v>#N/A</v>
      </c>
      <c r="V647" t="e">
        <f ca="1"/>
        <v>#N/A</v>
      </c>
      <c r="X647" s="2">
        <f t="shared" ca="1" si="72"/>
        <v>0</v>
      </c>
      <c r="Y647">
        <f t="shared" ca="1" si="73"/>
        <v>0</v>
      </c>
      <c r="AA647" s="63" t="e">
        <f t="shared" ca="1" si="74"/>
        <v>#N/A</v>
      </c>
      <c r="AB647" s="63" t="e">
        <f t="shared" ca="1" si="75"/>
        <v>#N/A</v>
      </c>
      <c r="AC647" s="3" t="e">
        <f t="shared" ca="1" si="76"/>
        <v>#N/A</v>
      </c>
    </row>
    <row r="648" spans="8:29">
      <c r="H648" t="e">
        <f t="shared" ca="1" si="70"/>
        <v>#N/A</v>
      </c>
      <c r="I648" t="e">
        <f t="shared" ca="1" si="71"/>
        <v>#N/A</v>
      </c>
      <c r="J648" t="e">
        <f ca="1"/>
        <v>#N/A</v>
      </c>
      <c r="K648" t="e">
        <f ca="1"/>
        <v>#N/A</v>
      </c>
      <c r="L648" t="e">
        <f ca="1"/>
        <v>#N/A</v>
      </c>
      <c r="M648" t="e">
        <f ca="1"/>
        <v>#N/A</v>
      </c>
      <c r="N648" t="e">
        <f ca="1"/>
        <v>#N/A</v>
      </c>
      <c r="O648" t="e">
        <f ca="1"/>
        <v>#N/A</v>
      </c>
      <c r="P648" t="e">
        <f ca="1"/>
        <v>#N/A</v>
      </c>
      <c r="Q648" t="e">
        <f ca="1"/>
        <v>#N/A</v>
      </c>
      <c r="R648" t="e">
        <f ca="1"/>
        <v>#N/A</v>
      </c>
      <c r="S648" t="e">
        <f ca="1"/>
        <v>#N/A</v>
      </c>
      <c r="T648" t="e">
        <f ca="1"/>
        <v>#N/A</v>
      </c>
      <c r="U648" t="e">
        <f ca="1"/>
        <v>#N/A</v>
      </c>
      <c r="V648" t="e">
        <f ca="1"/>
        <v>#N/A</v>
      </c>
      <c r="X648" s="2">
        <f t="shared" ca="1" si="72"/>
        <v>0</v>
      </c>
      <c r="Y648">
        <f t="shared" ca="1" si="73"/>
        <v>0</v>
      </c>
      <c r="AA648" s="63" t="e">
        <f t="shared" ca="1" si="74"/>
        <v>#N/A</v>
      </c>
      <c r="AB648" s="63" t="e">
        <f t="shared" ca="1" si="75"/>
        <v>#N/A</v>
      </c>
      <c r="AC648" s="3" t="e">
        <f t="shared" ca="1" si="76"/>
        <v>#N/A</v>
      </c>
    </row>
    <row r="649" spans="8:29">
      <c r="H649" t="e">
        <f t="shared" ca="1" si="70"/>
        <v>#N/A</v>
      </c>
      <c r="I649" t="e">
        <f t="shared" ca="1" si="71"/>
        <v>#N/A</v>
      </c>
      <c r="J649" t="e">
        <f ca="1"/>
        <v>#N/A</v>
      </c>
      <c r="K649" t="e">
        <f ca="1"/>
        <v>#N/A</v>
      </c>
      <c r="L649" t="e">
        <f ca="1"/>
        <v>#N/A</v>
      </c>
      <c r="M649" t="e">
        <f ca="1"/>
        <v>#N/A</v>
      </c>
      <c r="N649" t="e">
        <f ca="1"/>
        <v>#N/A</v>
      </c>
      <c r="O649" t="e">
        <f ca="1"/>
        <v>#N/A</v>
      </c>
      <c r="P649" t="e">
        <f ca="1"/>
        <v>#N/A</v>
      </c>
      <c r="Q649" t="e">
        <f ca="1"/>
        <v>#N/A</v>
      </c>
      <c r="R649" t="e">
        <f ca="1"/>
        <v>#N/A</v>
      </c>
      <c r="S649" t="e">
        <f ca="1"/>
        <v>#N/A</v>
      </c>
      <c r="T649" t="e">
        <f ca="1"/>
        <v>#N/A</v>
      </c>
      <c r="U649" t="e">
        <f ca="1"/>
        <v>#N/A</v>
      </c>
      <c r="V649" t="e">
        <f ca="1"/>
        <v>#N/A</v>
      </c>
      <c r="X649" s="2">
        <f t="shared" ca="1" si="72"/>
        <v>0</v>
      </c>
      <c r="Y649">
        <f t="shared" ca="1" si="73"/>
        <v>0</v>
      </c>
      <c r="AA649" s="63" t="e">
        <f t="shared" ca="1" si="74"/>
        <v>#N/A</v>
      </c>
      <c r="AB649" s="63" t="e">
        <f t="shared" ca="1" si="75"/>
        <v>#N/A</v>
      </c>
      <c r="AC649" s="3" t="e">
        <f t="shared" ca="1" si="76"/>
        <v>#N/A</v>
      </c>
    </row>
    <row r="650" spans="8:29">
      <c r="H650" t="e">
        <f t="shared" ca="1" si="70"/>
        <v>#N/A</v>
      </c>
      <c r="I650" t="e">
        <f t="shared" ca="1" si="71"/>
        <v>#N/A</v>
      </c>
      <c r="J650" t="e">
        <f ca="1"/>
        <v>#N/A</v>
      </c>
      <c r="K650" t="e">
        <f ca="1"/>
        <v>#N/A</v>
      </c>
      <c r="L650" t="e">
        <f ca="1"/>
        <v>#N/A</v>
      </c>
      <c r="M650" t="e">
        <f ca="1"/>
        <v>#N/A</v>
      </c>
      <c r="N650" t="e">
        <f ca="1"/>
        <v>#N/A</v>
      </c>
      <c r="O650" t="e">
        <f ca="1"/>
        <v>#N/A</v>
      </c>
      <c r="P650" t="e">
        <f ca="1"/>
        <v>#N/A</v>
      </c>
      <c r="Q650" t="e">
        <f ca="1"/>
        <v>#N/A</v>
      </c>
      <c r="R650" t="e">
        <f ca="1"/>
        <v>#N/A</v>
      </c>
      <c r="S650" t="e">
        <f ca="1"/>
        <v>#N/A</v>
      </c>
      <c r="T650" t="e">
        <f ca="1"/>
        <v>#N/A</v>
      </c>
      <c r="U650" t="e">
        <f ca="1"/>
        <v>#N/A</v>
      </c>
      <c r="V650" t="e">
        <f ca="1"/>
        <v>#N/A</v>
      </c>
      <c r="X650" s="2">
        <f t="shared" ca="1" si="72"/>
        <v>0</v>
      </c>
      <c r="Y650">
        <f t="shared" ca="1" si="73"/>
        <v>0</v>
      </c>
      <c r="AA650" s="63" t="e">
        <f t="shared" ca="1" si="74"/>
        <v>#N/A</v>
      </c>
      <c r="AB650" s="63" t="e">
        <f t="shared" ca="1" si="75"/>
        <v>#N/A</v>
      </c>
      <c r="AC650" s="3" t="e">
        <f t="shared" ca="1" si="76"/>
        <v>#N/A</v>
      </c>
    </row>
    <row r="651" spans="8:29">
      <c r="H651" t="e">
        <f t="shared" ca="1" si="70"/>
        <v>#N/A</v>
      </c>
      <c r="I651" t="e">
        <f t="shared" ca="1" si="71"/>
        <v>#N/A</v>
      </c>
      <c r="J651" t="e">
        <f ca="1"/>
        <v>#N/A</v>
      </c>
      <c r="K651" t="e">
        <f ca="1"/>
        <v>#N/A</v>
      </c>
      <c r="L651" t="e">
        <f ca="1"/>
        <v>#N/A</v>
      </c>
      <c r="M651" t="e">
        <f ca="1"/>
        <v>#N/A</v>
      </c>
      <c r="N651" t="e">
        <f ca="1"/>
        <v>#N/A</v>
      </c>
      <c r="O651" t="e">
        <f ca="1"/>
        <v>#N/A</v>
      </c>
      <c r="P651" t="e">
        <f ca="1"/>
        <v>#N/A</v>
      </c>
      <c r="Q651" t="e">
        <f ca="1"/>
        <v>#N/A</v>
      </c>
      <c r="R651" t="e">
        <f ca="1"/>
        <v>#N/A</v>
      </c>
      <c r="S651" t="e">
        <f ca="1"/>
        <v>#N/A</v>
      </c>
      <c r="T651" t="e">
        <f ca="1"/>
        <v>#N/A</v>
      </c>
      <c r="U651" t="e">
        <f ca="1"/>
        <v>#N/A</v>
      </c>
      <c r="V651" t="e">
        <f ca="1"/>
        <v>#N/A</v>
      </c>
      <c r="X651" s="2">
        <f t="shared" ca="1" si="72"/>
        <v>0</v>
      </c>
      <c r="Y651">
        <f t="shared" ca="1" si="73"/>
        <v>0</v>
      </c>
      <c r="AA651" s="63" t="e">
        <f t="shared" ca="1" si="74"/>
        <v>#N/A</v>
      </c>
      <c r="AB651" s="63" t="e">
        <f t="shared" ca="1" si="75"/>
        <v>#N/A</v>
      </c>
      <c r="AC651" s="3" t="e">
        <f t="shared" ca="1" si="76"/>
        <v>#N/A</v>
      </c>
    </row>
    <row r="652" spans="8:29">
      <c r="H652" t="e">
        <f t="shared" ca="1" si="70"/>
        <v>#N/A</v>
      </c>
      <c r="I652" t="e">
        <f t="shared" ca="1" si="71"/>
        <v>#N/A</v>
      </c>
      <c r="J652" t="e">
        <f ca="1"/>
        <v>#N/A</v>
      </c>
      <c r="K652" t="e">
        <f ca="1"/>
        <v>#N/A</v>
      </c>
      <c r="L652" t="e">
        <f ca="1"/>
        <v>#N/A</v>
      </c>
      <c r="M652" t="e">
        <f ca="1"/>
        <v>#N/A</v>
      </c>
      <c r="N652" t="e">
        <f ca="1"/>
        <v>#N/A</v>
      </c>
      <c r="O652" t="e">
        <f ca="1"/>
        <v>#N/A</v>
      </c>
      <c r="P652" t="e">
        <f ca="1"/>
        <v>#N/A</v>
      </c>
      <c r="Q652" t="e">
        <f ca="1"/>
        <v>#N/A</v>
      </c>
      <c r="R652" t="e">
        <f ca="1"/>
        <v>#N/A</v>
      </c>
      <c r="S652" t="e">
        <f ca="1"/>
        <v>#N/A</v>
      </c>
      <c r="T652" t="e">
        <f ca="1"/>
        <v>#N/A</v>
      </c>
      <c r="U652" t="e">
        <f ca="1"/>
        <v>#N/A</v>
      </c>
      <c r="V652" t="e">
        <f ca="1"/>
        <v>#N/A</v>
      </c>
      <c r="X652" s="2">
        <f t="shared" ca="1" si="72"/>
        <v>0</v>
      </c>
      <c r="Y652">
        <f t="shared" ca="1" si="73"/>
        <v>0</v>
      </c>
      <c r="AA652" s="63" t="e">
        <f t="shared" ca="1" si="74"/>
        <v>#N/A</v>
      </c>
      <c r="AB652" s="63" t="e">
        <f t="shared" ca="1" si="75"/>
        <v>#N/A</v>
      </c>
      <c r="AC652" s="3" t="e">
        <f t="shared" ca="1" si="76"/>
        <v>#N/A</v>
      </c>
    </row>
    <row r="653" spans="8:29">
      <c r="H653" t="e">
        <f t="shared" ca="1" si="70"/>
        <v>#N/A</v>
      </c>
      <c r="I653" t="e">
        <f t="shared" ca="1" si="71"/>
        <v>#N/A</v>
      </c>
      <c r="J653" t="e">
        <f ca="1"/>
        <v>#N/A</v>
      </c>
      <c r="K653" t="e">
        <f ca="1"/>
        <v>#N/A</v>
      </c>
      <c r="L653" t="e">
        <f ca="1"/>
        <v>#N/A</v>
      </c>
      <c r="M653" t="e">
        <f ca="1"/>
        <v>#N/A</v>
      </c>
      <c r="N653" t="e">
        <f ca="1"/>
        <v>#N/A</v>
      </c>
      <c r="O653" t="e">
        <f ca="1"/>
        <v>#N/A</v>
      </c>
      <c r="P653" t="e">
        <f ca="1"/>
        <v>#N/A</v>
      </c>
      <c r="Q653" t="e">
        <f ca="1"/>
        <v>#N/A</v>
      </c>
      <c r="R653" t="e">
        <f ca="1"/>
        <v>#N/A</v>
      </c>
      <c r="S653" t="e">
        <f ca="1"/>
        <v>#N/A</v>
      </c>
      <c r="T653" t="e">
        <f ca="1"/>
        <v>#N/A</v>
      </c>
      <c r="U653" t="e">
        <f ca="1"/>
        <v>#N/A</v>
      </c>
      <c r="V653" t="e">
        <f ca="1"/>
        <v>#N/A</v>
      </c>
      <c r="X653" s="2">
        <f t="shared" ca="1" si="72"/>
        <v>0</v>
      </c>
      <c r="Y653">
        <f t="shared" ca="1" si="73"/>
        <v>0</v>
      </c>
      <c r="AA653" s="63" t="e">
        <f t="shared" ca="1" si="74"/>
        <v>#N/A</v>
      </c>
      <c r="AB653" s="63" t="e">
        <f t="shared" ca="1" si="75"/>
        <v>#N/A</v>
      </c>
      <c r="AC653" s="3" t="e">
        <f t="shared" ca="1" si="76"/>
        <v>#N/A</v>
      </c>
    </row>
    <row r="654" spans="8:29">
      <c r="H654" t="e">
        <f t="shared" ca="1" si="70"/>
        <v>#N/A</v>
      </c>
      <c r="I654" t="e">
        <f t="shared" ca="1" si="71"/>
        <v>#N/A</v>
      </c>
      <c r="J654" t="e">
        <f ca="1"/>
        <v>#N/A</v>
      </c>
      <c r="K654" t="e">
        <f ca="1"/>
        <v>#N/A</v>
      </c>
      <c r="L654" t="e">
        <f ca="1"/>
        <v>#N/A</v>
      </c>
      <c r="M654" t="e">
        <f ca="1"/>
        <v>#N/A</v>
      </c>
      <c r="N654" t="e">
        <f ca="1"/>
        <v>#N/A</v>
      </c>
      <c r="O654" t="e">
        <f ca="1"/>
        <v>#N/A</v>
      </c>
      <c r="P654" t="e">
        <f ca="1"/>
        <v>#N/A</v>
      </c>
      <c r="Q654" t="e">
        <f ca="1"/>
        <v>#N/A</v>
      </c>
      <c r="R654" t="e">
        <f ca="1"/>
        <v>#N/A</v>
      </c>
      <c r="S654" t="e">
        <f ca="1"/>
        <v>#N/A</v>
      </c>
      <c r="T654" t="e">
        <f ca="1"/>
        <v>#N/A</v>
      </c>
      <c r="U654" t="e">
        <f ca="1"/>
        <v>#N/A</v>
      </c>
      <c r="V654" t="e">
        <f ca="1"/>
        <v>#N/A</v>
      </c>
      <c r="X654" s="2">
        <f t="shared" ca="1" si="72"/>
        <v>0</v>
      </c>
      <c r="Y654">
        <f t="shared" ca="1" si="73"/>
        <v>0</v>
      </c>
      <c r="AA654" s="63" t="e">
        <f t="shared" ca="1" si="74"/>
        <v>#N/A</v>
      </c>
      <c r="AB654" s="63" t="e">
        <f t="shared" ca="1" si="75"/>
        <v>#N/A</v>
      </c>
      <c r="AC654" s="3" t="e">
        <f t="shared" ca="1" si="76"/>
        <v>#N/A</v>
      </c>
    </row>
    <row r="655" spans="8:29">
      <c r="H655" t="e">
        <f t="shared" ca="1" si="70"/>
        <v>#N/A</v>
      </c>
      <c r="I655" t="e">
        <f t="shared" ca="1" si="71"/>
        <v>#N/A</v>
      </c>
      <c r="J655" t="e">
        <f ca="1"/>
        <v>#N/A</v>
      </c>
      <c r="K655" t="e">
        <f ca="1"/>
        <v>#N/A</v>
      </c>
      <c r="L655" t="e">
        <f ca="1"/>
        <v>#N/A</v>
      </c>
      <c r="M655" t="e">
        <f ca="1"/>
        <v>#N/A</v>
      </c>
      <c r="N655" t="e">
        <f ca="1"/>
        <v>#N/A</v>
      </c>
      <c r="O655" t="e">
        <f ca="1"/>
        <v>#N/A</v>
      </c>
      <c r="P655" t="e">
        <f ca="1"/>
        <v>#N/A</v>
      </c>
      <c r="Q655" t="e">
        <f ca="1"/>
        <v>#N/A</v>
      </c>
      <c r="R655" t="e">
        <f ca="1"/>
        <v>#N/A</v>
      </c>
      <c r="S655" t="e">
        <f ca="1"/>
        <v>#N/A</v>
      </c>
      <c r="T655" t="e">
        <f ca="1"/>
        <v>#N/A</v>
      </c>
      <c r="U655" t="e">
        <f ca="1"/>
        <v>#N/A</v>
      </c>
      <c r="V655" t="e">
        <f ca="1"/>
        <v>#N/A</v>
      </c>
      <c r="X655" s="2">
        <f t="shared" ca="1" si="72"/>
        <v>0</v>
      </c>
      <c r="Y655">
        <f t="shared" ca="1" si="73"/>
        <v>0</v>
      </c>
      <c r="AA655" s="63" t="e">
        <f t="shared" ca="1" si="74"/>
        <v>#N/A</v>
      </c>
      <c r="AB655" s="63" t="e">
        <f t="shared" ca="1" si="75"/>
        <v>#N/A</v>
      </c>
      <c r="AC655" s="3" t="e">
        <f t="shared" ca="1" si="76"/>
        <v>#N/A</v>
      </c>
    </row>
    <row r="656" spans="8:29">
      <c r="H656" t="e">
        <f t="shared" ca="1" si="70"/>
        <v>#N/A</v>
      </c>
      <c r="I656" t="e">
        <f t="shared" ca="1" si="71"/>
        <v>#N/A</v>
      </c>
      <c r="J656" t="e">
        <f ca="1"/>
        <v>#N/A</v>
      </c>
      <c r="K656" t="e">
        <f ca="1"/>
        <v>#N/A</v>
      </c>
      <c r="L656" t="e">
        <f ca="1"/>
        <v>#N/A</v>
      </c>
      <c r="M656" t="e">
        <f ca="1"/>
        <v>#N/A</v>
      </c>
      <c r="N656" t="e">
        <f ca="1"/>
        <v>#N/A</v>
      </c>
      <c r="O656" t="e">
        <f ca="1"/>
        <v>#N/A</v>
      </c>
      <c r="P656" t="e">
        <f ca="1"/>
        <v>#N/A</v>
      </c>
      <c r="Q656" t="e">
        <f ca="1"/>
        <v>#N/A</v>
      </c>
      <c r="R656" t="e">
        <f ca="1"/>
        <v>#N/A</v>
      </c>
      <c r="S656" t="e">
        <f ca="1"/>
        <v>#N/A</v>
      </c>
      <c r="T656" t="e">
        <f ca="1"/>
        <v>#N/A</v>
      </c>
      <c r="U656" t="e">
        <f ca="1"/>
        <v>#N/A</v>
      </c>
      <c r="V656" t="e">
        <f ca="1"/>
        <v>#N/A</v>
      </c>
      <c r="X656" s="2">
        <f t="shared" ca="1" si="72"/>
        <v>0</v>
      </c>
      <c r="Y656">
        <f t="shared" ca="1" si="73"/>
        <v>0</v>
      </c>
      <c r="AA656" s="63" t="e">
        <f t="shared" ca="1" si="74"/>
        <v>#N/A</v>
      </c>
      <c r="AB656" s="63" t="e">
        <f t="shared" ca="1" si="75"/>
        <v>#N/A</v>
      </c>
      <c r="AC656" s="3" t="e">
        <f t="shared" ca="1" si="76"/>
        <v>#N/A</v>
      </c>
    </row>
    <row r="657" spans="8:29">
      <c r="H657" t="e">
        <f t="shared" ca="1" si="70"/>
        <v>#N/A</v>
      </c>
      <c r="I657" t="e">
        <f t="shared" ca="1" si="71"/>
        <v>#N/A</v>
      </c>
      <c r="J657" t="e">
        <f ca="1"/>
        <v>#N/A</v>
      </c>
      <c r="K657" t="e">
        <f ca="1"/>
        <v>#N/A</v>
      </c>
      <c r="L657" t="e">
        <f ca="1"/>
        <v>#N/A</v>
      </c>
      <c r="M657" t="e">
        <f ca="1"/>
        <v>#N/A</v>
      </c>
      <c r="N657" t="e">
        <f ca="1"/>
        <v>#N/A</v>
      </c>
      <c r="O657" t="e">
        <f ca="1"/>
        <v>#N/A</v>
      </c>
      <c r="P657" t="e">
        <f ca="1"/>
        <v>#N/A</v>
      </c>
      <c r="Q657" t="e">
        <f ca="1"/>
        <v>#N/A</v>
      </c>
      <c r="R657" t="e">
        <f ca="1"/>
        <v>#N/A</v>
      </c>
      <c r="S657" t="e">
        <f ca="1"/>
        <v>#N/A</v>
      </c>
      <c r="T657" t="e">
        <f ca="1"/>
        <v>#N/A</v>
      </c>
      <c r="U657" t="e">
        <f ca="1"/>
        <v>#N/A</v>
      </c>
      <c r="V657" t="e">
        <f ca="1"/>
        <v>#N/A</v>
      </c>
      <c r="X657" s="2">
        <f t="shared" ca="1" si="72"/>
        <v>0</v>
      </c>
      <c r="Y657">
        <f t="shared" ca="1" si="73"/>
        <v>0</v>
      </c>
      <c r="AA657" s="63" t="e">
        <f t="shared" ca="1" si="74"/>
        <v>#N/A</v>
      </c>
      <c r="AB657" s="63" t="e">
        <f t="shared" ca="1" si="75"/>
        <v>#N/A</v>
      </c>
      <c r="AC657" s="3" t="e">
        <f t="shared" ca="1" si="76"/>
        <v>#N/A</v>
      </c>
    </row>
    <row r="658" spans="8:29">
      <c r="H658" t="e">
        <f t="shared" ca="1" si="70"/>
        <v>#N/A</v>
      </c>
      <c r="I658" t="e">
        <f t="shared" ca="1" si="71"/>
        <v>#N/A</v>
      </c>
      <c r="J658" t="e">
        <f ca="1"/>
        <v>#N/A</v>
      </c>
      <c r="K658" t="e">
        <f ca="1"/>
        <v>#N/A</v>
      </c>
      <c r="L658" t="e">
        <f ca="1"/>
        <v>#N/A</v>
      </c>
      <c r="M658" t="e">
        <f ca="1"/>
        <v>#N/A</v>
      </c>
      <c r="N658" t="e">
        <f ca="1"/>
        <v>#N/A</v>
      </c>
      <c r="O658" t="e">
        <f ca="1"/>
        <v>#N/A</v>
      </c>
      <c r="P658" t="e">
        <f ca="1"/>
        <v>#N/A</v>
      </c>
      <c r="Q658" t="e">
        <f ca="1"/>
        <v>#N/A</v>
      </c>
      <c r="R658" t="e">
        <f ca="1"/>
        <v>#N/A</v>
      </c>
      <c r="S658" t="e">
        <f ca="1"/>
        <v>#N/A</v>
      </c>
      <c r="T658" t="e">
        <f ca="1"/>
        <v>#N/A</v>
      </c>
      <c r="U658" t="e">
        <f ca="1"/>
        <v>#N/A</v>
      </c>
      <c r="V658" t="e">
        <f ca="1"/>
        <v>#N/A</v>
      </c>
      <c r="X658" s="2">
        <f t="shared" ca="1" si="72"/>
        <v>0</v>
      </c>
      <c r="Y658">
        <f t="shared" ca="1" si="73"/>
        <v>0</v>
      </c>
      <c r="AA658" s="63" t="e">
        <f t="shared" ca="1" si="74"/>
        <v>#N/A</v>
      </c>
      <c r="AB658" s="63" t="e">
        <f t="shared" ca="1" si="75"/>
        <v>#N/A</v>
      </c>
      <c r="AC658" s="3" t="e">
        <f t="shared" ca="1" si="76"/>
        <v>#N/A</v>
      </c>
    </row>
    <row r="659" spans="8:29">
      <c r="H659" t="e">
        <f t="shared" ca="1" si="70"/>
        <v>#N/A</v>
      </c>
      <c r="I659" t="e">
        <f t="shared" ca="1" si="71"/>
        <v>#N/A</v>
      </c>
      <c r="J659" t="e">
        <f ca="1"/>
        <v>#N/A</v>
      </c>
      <c r="K659" t="e">
        <f ca="1"/>
        <v>#N/A</v>
      </c>
      <c r="L659" t="e">
        <f ca="1"/>
        <v>#N/A</v>
      </c>
      <c r="M659" t="e">
        <f ca="1"/>
        <v>#N/A</v>
      </c>
      <c r="N659" t="e">
        <f ca="1"/>
        <v>#N/A</v>
      </c>
      <c r="O659" t="e">
        <f ca="1"/>
        <v>#N/A</v>
      </c>
      <c r="P659" t="e">
        <f ca="1"/>
        <v>#N/A</v>
      </c>
      <c r="Q659" t="e">
        <f ca="1"/>
        <v>#N/A</v>
      </c>
      <c r="R659" t="e">
        <f ca="1"/>
        <v>#N/A</v>
      </c>
      <c r="S659" t="e">
        <f ca="1"/>
        <v>#N/A</v>
      </c>
      <c r="T659" t="e">
        <f ca="1"/>
        <v>#N/A</v>
      </c>
      <c r="U659" t="e">
        <f ca="1"/>
        <v>#N/A</v>
      </c>
      <c r="V659" t="e">
        <f ca="1"/>
        <v>#N/A</v>
      </c>
      <c r="X659" s="2">
        <f t="shared" ca="1" si="72"/>
        <v>0</v>
      </c>
      <c r="Y659">
        <f t="shared" ca="1" si="73"/>
        <v>0</v>
      </c>
      <c r="AA659" s="63" t="e">
        <f t="shared" ca="1" si="74"/>
        <v>#N/A</v>
      </c>
      <c r="AB659" s="63" t="e">
        <f t="shared" ca="1" si="75"/>
        <v>#N/A</v>
      </c>
      <c r="AC659" s="3" t="e">
        <f t="shared" ca="1" si="76"/>
        <v>#N/A</v>
      </c>
    </row>
    <row r="660" spans="8:29">
      <c r="H660" t="e">
        <f t="shared" ca="1" si="70"/>
        <v>#N/A</v>
      </c>
      <c r="I660" t="e">
        <f t="shared" ca="1" si="71"/>
        <v>#N/A</v>
      </c>
      <c r="J660" t="e">
        <f ca="1"/>
        <v>#N/A</v>
      </c>
      <c r="K660" t="e">
        <f ca="1"/>
        <v>#N/A</v>
      </c>
      <c r="L660" t="e">
        <f ca="1"/>
        <v>#N/A</v>
      </c>
      <c r="M660" t="e">
        <f ca="1"/>
        <v>#N/A</v>
      </c>
      <c r="N660" t="e">
        <f ca="1"/>
        <v>#N/A</v>
      </c>
      <c r="O660" t="e">
        <f ca="1"/>
        <v>#N/A</v>
      </c>
      <c r="P660" t="e">
        <f ca="1"/>
        <v>#N/A</v>
      </c>
      <c r="Q660" t="e">
        <f ca="1"/>
        <v>#N/A</v>
      </c>
      <c r="R660" t="e">
        <f ca="1"/>
        <v>#N/A</v>
      </c>
      <c r="S660" t="e">
        <f ca="1"/>
        <v>#N/A</v>
      </c>
      <c r="T660" t="e">
        <f ca="1"/>
        <v>#N/A</v>
      </c>
      <c r="U660" t="e">
        <f ca="1"/>
        <v>#N/A</v>
      </c>
      <c r="V660" t="e">
        <f ca="1"/>
        <v>#N/A</v>
      </c>
      <c r="X660" s="2">
        <f t="shared" ca="1" si="72"/>
        <v>0</v>
      </c>
      <c r="Y660">
        <f t="shared" ca="1" si="73"/>
        <v>0</v>
      </c>
      <c r="AA660" s="63" t="e">
        <f t="shared" ca="1" si="74"/>
        <v>#N/A</v>
      </c>
      <c r="AB660" s="63" t="e">
        <f t="shared" ca="1" si="75"/>
        <v>#N/A</v>
      </c>
      <c r="AC660" s="3" t="e">
        <f t="shared" ca="1" si="76"/>
        <v>#N/A</v>
      </c>
    </row>
    <row r="661" spans="8:29">
      <c r="H661" t="e">
        <f t="shared" ca="1" si="70"/>
        <v>#N/A</v>
      </c>
      <c r="I661" t="e">
        <f t="shared" ca="1" si="71"/>
        <v>#N/A</v>
      </c>
      <c r="J661" t="e">
        <f ca="1"/>
        <v>#N/A</v>
      </c>
      <c r="K661" t="e">
        <f ca="1"/>
        <v>#N/A</v>
      </c>
      <c r="L661" t="e">
        <f ca="1"/>
        <v>#N/A</v>
      </c>
      <c r="M661" t="e">
        <f ca="1"/>
        <v>#N/A</v>
      </c>
      <c r="N661" t="e">
        <f ca="1"/>
        <v>#N/A</v>
      </c>
      <c r="O661" t="e">
        <f ca="1"/>
        <v>#N/A</v>
      </c>
      <c r="P661" t="e">
        <f ca="1"/>
        <v>#N/A</v>
      </c>
      <c r="Q661" t="e">
        <f ca="1"/>
        <v>#N/A</v>
      </c>
      <c r="R661" t="e">
        <f ca="1"/>
        <v>#N/A</v>
      </c>
      <c r="S661" t="e">
        <f ca="1"/>
        <v>#N/A</v>
      </c>
      <c r="T661" t="e">
        <f ca="1"/>
        <v>#N/A</v>
      </c>
      <c r="U661" t="e">
        <f ca="1"/>
        <v>#N/A</v>
      </c>
      <c r="V661" t="e">
        <f ca="1"/>
        <v>#N/A</v>
      </c>
      <c r="X661" s="2">
        <f t="shared" ca="1" si="72"/>
        <v>0</v>
      </c>
      <c r="Y661">
        <f t="shared" ca="1" si="73"/>
        <v>0</v>
      </c>
      <c r="AA661" s="63" t="e">
        <f t="shared" ca="1" si="74"/>
        <v>#N/A</v>
      </c>
      <c r="AB661" s="63" t="e">
        <f t="shared" ca="1" si="75"/>
        <v>#N/A</v>
      </c>
      <c r="AC661" s="3" t="e">
        <f t="shared" ca="1" si="76"/>
        <v>#N/A</v>
      </c>
    </row>
    <row r="662" spans="8:29">
      <c r="H662" t="e">
        <f t="shared" ca="1" si="70"/>
        <v>#N/A</v>
      </c>
      <c r="I662" t="e">
        <f t="shared" ca="1" si="71"/>
        <v>#N/A</v>
      </c>
      <c r="J662" t="e">
        <f ca="1"/>
        <v>#N/A</v>
      </c>
      <c r="K662" t="e">
        <f ca="1"/>
        <v>#N/A</v>
      </c>
      <c r="L662" t="e">
        <f ca="1"/>
        <v>#N/A</v>
      </c>
      <c r="M662" t="e">
        <f ca="1"/>
        <v>#N/A</v>
      </c>
      <c r="N662" t="e">
        <f ca="1"/>
        <v>#N/A</v>
      </c>
      <c r="O662" t="e">
        <f ca="1"/>
        <v>#N/A</v>
      </c>
      <c r="P662" t="e">
        <f ca="1"/>
        <v>#N/A</v>
      </c>
      <c r="Q662" t="e">
        <f ca="1"/>
        <v>#N/A</v>
      </c>
      <c r="R662" t="e">
        <f ca="1"/>
        <v>#N/A</v>
      </c>
      <c r="S662" t="e">
        <f ca="1"/>
        <v>#N/A</v>
      </c>
      <c r="T662" t="e">
        <f ca="1"/>
        <v>#N/A</v>
      </c>
      <c r="U662" t="e">
        <f ca="1"/>
        <v>#N/A</v>
      </c>
      <c r="V662" t="e">
        <f ca="1"/>
        <v>#N/A</v>
      </c>
      <c r="X662" s="2">
        <f t="shared" ca="1" si="72"/>
        <v>0</v>
      </c>
      <c r="Y662">
        <f t="shared" ca="1" si="73"/>
        <v>0</v>
      </c>
      <c r="AA662" s="63" t="e">
        <f t="shared" ca="1" si="74"/>
        <v>#N/A</v>
      </c>
      <c r="AB662" s="63" t="e">
        <f t="shared" ca="1" si="75"/>
        <v>#N/A</v>
      </c>
      <c r="AC662" s="3" t="e">
        <f t="shared" ca="1" si="76"/>
        <v>#N/A</v>
      </c>
    </row>
    <row r="663" spans="8:29">
      <c r="H663" t="e">
        <f t="shared" ca="1" si="70"/>
        <v>#N/A</v>
      </c>
      <c r="I663" t="e">
        <f t="shared" ca="1" si="71"/>
        <v>#N/A</v>
      </c>
      <c r="J663" t="e">
        <f ca="1"/>
        <v>#N/A</v>
      </c>
      <c r="K663" t="e">
        <f ca="1"/>
        <v>#N/A</v>
      </c>
      <c r="L663" t="e">
        <f ca="1"/>
        <v>#N/A</v>
      </c>
      <c r="M663" t="e">
        <f ca="1"/>
        <v>#N/A</v>
      </c>
      <c r="N663" t="e">
        <f ca="1"/>
        <v>#N/A</v>
      </c>
      <c r="O663" t="e">
        <f ca="1"/>
        <v>#N/A</v>
      </c>
      <c r="P663" t="e">
        <f ca="1"/>
        <v>#N/A</v>
      </c>
      <c r="Q663" t="e">
        <f ca="1"/>
        <v>#N/A</v>
      </c>
      <c r="R663" t="e">
        <f ca="1"/>
        <v>#N/A</v>
      </c>
      <c r="S663" t="e">
        <f ca="1"/>
        <v>#N/A</v>
      </c>
      <c r="T663" t="e">
        <f ca="1"/>
        <v>#N/A</v>
      </c>
      <c r="U663" t="e">
        <f ca="1"/>
        <v>#N/A</v>
      </c>
      <c r="V663" t="e">
        <f ca="1"/>
        <v>#N/A</v>
      </c>
      <c r="X663" s="2">
        <f t="shared" ca="1" si="72"/>
        <v>0</v>
      </c>
      <c r="Y663">
        <f t="shared" ca="1" si="73"/>
        <v>0</v>
      </c>
      <c r="AA663" s="63" t="e">
        <f t="shared" ca="1" si="74"/>
        <v>#N/A</v>
      </c>
      <c r="AB663" s="63" t="e">
        <f t="shared" ca="1" si="75"/>
        <v>#N/A</v>
      </c>
      <c r="AC663" s="3" t="e">
        <f t="shared" ca="1" si="76"/>
        <v>#N/A</v>
      </c>
    </row>
    <row r="664" spans="8:29">
      <c r="H664" t="e">
        <f t="shared" ca="1" si="70"/>
        <v>#N/A</v>
      </c>
      <c r="I664" t="e">
        <f t="shared" ca="1" si="71"/>
        <v>#N/A</v>
      </c>
      <c r="J664" t="e">
        <f ca="1"/>
        <v>#N/A</v>
      </c>
      <c r="K664" t="e">
        <f ca="1"/>
        <v>#N/A</v>
      </c>
      <c r="L664" t="e">
        <f ca="1"/>
        <v>#N/A</v>
      </c>
      <c r="M664" t="e">
        <f ca="1"/>
        <v>#N/A</v>
      </c>
      <c r="N664" t="e">
        <f ca="1"/>
        <v>#N/A</v>
      </c>
      <c r="O664" t="e">
        <f ca="1"/>
        <v>#N/A</v>
      </c>
      <c r="P664" t="e">
        <f ca="1"/>
        <v>#N/A</v>
      </c>
      <c r="Q664" t="e">
        <f ca="1"/>
        <v>#N/A</v>
      </c>
      <c r="R664" t="e">
        <f ca="1"/>
        <v>#N/A</v>
      </c>
      <c r="S664" t="e">
        <f ca="1"/>
        <v>#N/A</v>
      </c>
      <c r="T664" t="e">
        <f ca="1"/>
        <v>#N/A</v>
      </c>
      <c r="U664" t="e">
        <f ca="1"/>
        <v>#N/A</v>
      </c>
      <c r="V664" t="e">
        <f ca="1"/>
        <v>#N/A</v>
      </c>
      <c r="X664" s="2">
        <f t="shared" ca="1" si="72"/>
        <v>0</v>
      </c>
      <c r="Y664">
        <f t="shared" ca="1" si="73"/>
        <v>0</v>
      </c>
      <c r="AA664" s="63" t="e">
        <f t="shared" ca="1" si="74"/>
        <v>#N/A</v>
      </c>
      <c r="AB664" s="63" t="e">
        <f t="shared" ca="1" si="75"/>
        <v>#N/A</v>
      </c>
      <c r="AC664" s="3" t="e">
        <f t="shared" ca="1" si="76"/>
        <v>#N/A</v>
      </c>
    </row>
    <row r="665" spans="8:29">
      <c r="H665" t="e">
        <f t="shared" ca="1" si="70"/>
        <v>#N/A</v>
      </c>
      <c r="I665" t="e">
        <f t="shared" ca="1" si="71"/>
        <v>#N/A</v>
      </c>
      <c r="J665" t="e">
        <f ca="1"/>
        <v>#N/A</v>
      </c>
      <c r="K665" t="e">
        <f ca="1"/>
        <v>#N/A</v>
      </c>
      <c r="L665" t="e">
        <f ca="1"/>
        <v>#N/A</v>
      </c>
      <c r="M665" t="e">
        <f ca="1"/>
        <v>#N/A</v>
      </c>
      <c r="N665" t="e">
        <f ca="1"/>
        <v>#N/A</v>
      </c>
      <c r="O665" t="e">
        <f ca="1"/>
        <v>#N/A</v>
      </c>
      <c r="P665" t="e">
        <f ca="1"/>
        <v>#N/A</v>
      </c>
      <c r="Q665" t="e">
        <f ca="1"/>
        <v>#N/A</v>
      </c>
      <c r="R665" t="e">
        <f ca="1"/>
        <v>#N/A</v>
      </c>
      <c r="S665" t="e">
        <f ca="1"/>
        <v>#N/A</v>
      </c>
      <c r="T665" t="e">
        <f ca="1"/>
        <v>#N/A</v>
      </c>
      <c r="U665" t="e">
        <f ca="1"/>
        <v>#N/A</v>
      </c>
      <c r="V665" t="e">
        <f ca="1"/>
        <v>#N/A</v>
      </c>
      <c r="X665" s="2">
        <f t="shared" ca="1" si="72"/>
        <v>0</v>
      </c>
      <c r="Y665">
        <f t="shared" ca="1" si="73"/>
        <v>0</v>
      </c>
      <c r="AA665" s="63" t="e">
        <f t="shared" ca="1" si="74"/>
        <v>#N/A</v>
      </c>
      <c r="AB665" s="63" t="e">
        <f t="shared" ca="1" si="75"/>
        <v>#N/A</v>
      </c>
      <c r="AC665" s="3" t="e">
        <f t="shared" ca="1" si="76"/>
        <v>#N/A</v>
      </c>
    </row>
    <row r="666" spans="8:29">
      <c r="H666" t="e">
        <f t="shared" ca="1" si="70"/>
        <v>#N/A</v>
      </c>
      <c r="I666" t="e">
        <f t="shared" ca="1" si="71"/>
        <v>#N/A</v>
      </c>
      <c r="J666" t="e">
        <f ca="1"/>
        <v>#N/A</v>
      </c>
      <c r="K666" t="e">
        <f ca="1"/>
        <v>#N/A</v>
      </c>
      <c r="L666" t="e">
        <f ca="1"/>
        <v>#N/A</v>
      </c>
      <c r="M666" t="e">
        <f ca="1"/>
        <v>#N/A</v>
      </c>
      <c r="N666" t="e">
        <f ca="1"/>
        <v>#N/A</v>
      </c>
      <c r="O666" t="e">
        <f ca="1"/>
        <v>#N/A</v>
      </c>
      <c r="P666" t="e">
        <f ca="1"/>
        <v>#N/A</v>
      </c>
      <c r="Q666" t="e">
        <f ca="1"/>
        <v>#N/A</v>
      </c>
      <c r="R666" t="e">
        <f ca="1"/>
        <v>#N/A</v>
      </c>
      <c r="S666" t="e">
        <f ca="1"/>
        <v>#N/A</v>
      </c>
      <c r="T666" t="e">
        <f ca="1"/>
        <v>#N/A</v>
      </c>
      <c r="U666" t="e">
        <f ca="1"/>
        <v>#N/A</v>
      </c>
      <c r="V666" t="e">
        <f ca="1"/>
        <v>#N/A</v>
      </c>
      <c r="X666" s="2">
        <f t="shared" ca="1" si="72"/>
        <v>0</v>
      </c>
      <c r="Y666">
        <f t="shared" ca="1" si="73"/>
        <v>0</v>
      </c>
      <c r="AA666" s="63" t="e">
        <f t="shared" ca="1" si="74"/>
        <v>#N/A</v>
      </c>
      <c r="AB666" s="63" t="e">
        <f t="shared" ca="1" si="75"/>
        <v>#N/A</v>
      </c>
      <c r="AC666" s="3" t="e">
        <f t="shared" ca="1" si="76"/>
        <v>#N/A</v>
      </c>
    </row>
    <row r="667" spans="8:29">
      <c r="H667" t="e">
        <f t="shared" ca="1" si="70"/>
        <v>#N/A</v>
      </c>
      <c r="I667" t="e">
        <f t="shared" ca="1" si="71"/>
        <v>#N/A</v>
      </c>
      <c r="J667" t="e">
        <f ca="1"/>
        <v>#N/A</v>
      </c>
      <c r="K667" t="e">
        <f ca="1"/>
        <v>#N/A</v>
      </c>
      <c r="L667" t="e">
        <f ca="1"/>
        <v>#N/A</v>
      </c>
      <c r="M667" t="e">
        <f ca="1"/>
        <v>#N/A</v>
      </c>
      <c r="N667" t="e">
        <f ca="1"/>
        <v>#N/A</v>
      </c>
      <c r="O667" t="e">
        <f ca="1"/>
        <v>#N/A</v>
      </c>
      <c r="P667" t="e">
        <f ca="1"/>
        <v>#N/A</v>
      </c>
      <c r="Q667" t="e">
        <f ca="1"/>
        <v>#N/A</v>
      </c>
      <c r="R667" t="e">
        <f ca="1"/>
        <v>#N/A</v>
      </c>
      <c r="S667" t="e">
        <f ca="1"/>
        <v>#N/A</v>
      </c>
      <c r="T667" t="e">
        <f ca="1"/>
        <v>#N/A</v>
      </c>
      <c r="U667" t="e">
        <f ca="1"/>
        <v>#N/A</v>
      </c>
      <c r="V667" t="e">
        <f ca="1"/>
        <v>#N/A</v>
      </c>
      <c r="X667" s="2">
        <f t="shared" ca="1" si="72"/>
        <v>0</v>
      </c>
      <c r="Y667">
        <f t="shared" ca="1" si="73"/>
        <v>0</v>
      </c>
      <c r="AA667" s="63" t="e">
        <f t="shared" ca="1" si="74"/>
        <v>#N/A</v>
      </c>
      <c r="AB667" s="63" t="e">
        <f t="shared" ca="1" si="75"/>
        <v>#N/A</v>
      </c>
      <c r="AC667" s="3" t="e">
        <f t="shared" ca="1" si="76"/>
        <v>#N/A</v>
      </c>
    </row>
    <row r="668" spans="8:29">
      <c r="H668" t="e">
        <f t="shared" ca="1" si="70"/>
        <v>#N/A</v>
      </c>
      <c r="I668" t="e">
        <f t="shared" ca="1" si="71"/>
        <v>#N/A</v>
      </c>
      <c r="J668" t="e">
        <f ca="1"/>
        <v>#N/A</v>
      </c>
      <c r="K668" t="e">
        <f ca="1"/>
        <v>#N/A</v>
      </c>
      <c r="L668" t="e">
        <f ca="1"/>
        <v>#N/A</v>
      </c>
      <c r="M668" t="e">
        <f ca="1"/>
        <v>#N/A</v>
      </c>
      <c r="N668" t="e">
        <f ca="1"/>
        <v>#N/A</v>
      </c>
      <c r="O668" t="e">
        <f ca="1"/>
        <v>#N/A</v>
      </c>
      <c r="P668" t="e">
        <f ca="1"/>
        <v>#N/A</v>
      </c>
      <c r="Q668" t="e">
        <f ca="1"/>
        <v>#N/A</v>
      </c>
      <c r="R668" t="e">
        <f ca="1"/>
        <v>#N/A</v>
      </c>
      <c r="S668" t="e">
        <f ca="1"/>
        <v>#N/A</v>
      </c>
      <c r="T668" t="e">
        <f ca="1"/>
        <v>#N/A</v>
      </c>
      <c r="U668" t="e">
        <f ca="1"/>
        <v>#N/A</v>
      </c>
      <c r="V668" t="e">
        <f ca="1"/>
        <v>#N/A</v>
      </c>
      <c r="X668" s="2">
        <f t="shared" ca="1" si="72"/>
        <v>0</v>
      </c>
      <c r="Y668">
        <f t="shared" ca="1" si="73"/>
        <v>0</v>
      </c>
      <c r="AA668" s="63" t="e">
        <f t="shared" ca="1" si="74"/>
        <v>#N/A</v>
      </c>
      <c r="AB668" s="63" t="e">
        <f t="shared" ca="1" si="75"/>
        <v>#N/A</v>
      </c>
      <c r="AC668" s="3" t="e">
        <f t="shared" ca="1" si="76"/>
        <v>#N/A</v>
      </c>
    </row>
    <row r="669" spans="8:29">
      <c r="H669" t="e">
        <f t="shared" ca="1" si="70"/>
        <v>#N/A</v>
      </c>
      <c r="I669" t="e">
        <f t="shared" ca="1" si="71"/>
        <v>#N/A</v>
      </c>
      <c r="J669" t="e">
        <f ca="1"/>
        <v>#N/A</v>
      </c>
      <c r="K669" t="e">
        <f ca="1"/>
        <v>#N/A</v>
      </c>
      <c r="L669" t="e">
        <f ca="1"/>
        <v>#N/A</v>
      </c>
      <c r="M669" t="e">
        <f ca="1"/>
        <v>#N/A</v>
      </c>
      <c r="N669" t="e">
        <f ca="1"/>
        <v>#N/A</v>
      </c>
      <c r="O669" t="e">
        <f ca="1"/>
        <v>#N/A</v>
      </c>
      <c r="P669" t="e">
        <f ca="1"/>
        <v>#N/A</v>
      </c>
      <c r="Q669" t="e">
        <f ca="1"/>
        <v>#N/A</v>
      </c>
      <c r="R669" t="e">
        <f ca="1"/>
        <v>#N/A</v>
      </c>
      <c r="S669" t="e">
        <f ca="1"/>
        <v>#N/A</v>
      </c>
      <c r="T669" t="e">
        <f ca="1"/>
        <v>#N/A</v>
      </c>
      <c r="U669" t="e">
        <f ca="1"/>
        <v>#N/A</v>
      </c>
      <c r="V669" t="e">
        <f ca="1"/>
        <v>#N/A</v>
      </c>
      <c r="X669" s="2">
        <f t="shared" ca="1" si="72"/>
        <v>0</v>
      </c>
      <c r="Y669">
        <f t="shared" ca="1" si="73"/>
        <v>0</v>
      </c>
      <c r="AA669" s="63" t="e">
        <f t="shared" ca="1" si="74"/>
        <v>#N/A</v>
      </c>
      <c r="AB669" s="63" t="e">
        <f t="shared" ca="1" si="75"/>
        <v>#N/A</v>
      </c>
      <c r="AC669" s="3" t="e">
        <f t="shared" ca="1" si="76"/>
        <v>#N/A</v>
      </c>
    </row>
    <row r="670" spans="8:29">
      <c r="H670" t="e">
        <f t="shared" ca="1" si="70"/>
        <v>#N/A</v>
      </c>
      <c r="I670" t="e">
        <f t="shared" ca="1" si="71"/>
        <v>#N/A</v>
      </c>
      <c r="J670" t="e">
        <f ca="1"/>
        <v>#N/A</v>
      </c>
      <c r="K670" t="e">
        <f ca="1"/>
        <v>#N/A</v>
      </c>
      <c r="L670" t="e">
        <f ca="1"/>
        <v>#N/A</v>
      </c>
      <c r="M670" t="e">
        <f ca="1"/>
        <v>#N/A</v>
      </c>
      <c r="N670" t="e">
        <f ca="1"/>
        <v>#N/A</v>
      </c>
      <c r="O670" t="e">
        <f ca="1"/>
        <v>#N/A</v>
      </c>
      <c r="P670" t="e">
        <f ca="1"/>
        <v>#N/A</v>
      </c>
      <c r="Q670" t="e">
        <f ca="1"/>
        <v>#N/A</v>
      </c>
      <c r="R670" t="e">
        <f ca="1"/>
        <v>#N/A</v>
      </c>
      <c r="S670" t="e">
        <f ca="1"/>
        <v>#N/A</v>
      </c>
      <c r="T670" t="e">
        <f ca="1"/>
        <v>#N/A</v>
      </c>
      <c r="U670" t="e">
        <f ca="1"/>
        <v>#N/A</v>
      </c>
      <c r="V670" t="e">
        <f ca="1"/>
        <v>#N/A</v>
      </c>
      <c r="X670" s="2">
        <f t="shared" ca="1" si="72"/>
        <v>0</v>
      </c>
      <c r="Y670">
        <f t="shared" ca="1" si="73"/>
        <v>0</v>
      </c>
      <c r="AA670" s="63" t="e">
        <f t="shared" ca="1" si="74"/>
        <v>#N/A</v>
      </c>
      <c r="AB670" s="63" t="e">
        <f t="shared" ca="1" si="75"/>
        <v>#N/A</v>
      </c>
      <c r="AC670" s="3" t="e">
        <f t="shared" ca="1" si="76"/>
        <v>#N/A</v>
      </c>
    </row>
    <row r="671" spans="8:29">
      <c r="H671" t="e">
        <f t="shared" ca="1" si="70"/>
        <v>#N/A</v>
      </c>
      <c r="I671" t="e">
        <f t="shared" ca="1" si="71"/>
        <v>#N/A</v>
      </c>
      <c r="J671" t="e">
        <f ca="1"/>
        <v>#N/A</v>
      </c>
      <c r="K671" t="e">
        <f ca="1"/>
        <v>#N/A</v>
      </c>
      <c r="L671" t="e">
        <f ca="1"/>
        <v>#N/A</v>
      </c>
      <c r="M671" t="e">
        <f ca="1"/>
        <v>#N/A</v>
      </c>
      <c r="N671" t="e">
        <f ca="1"/>
        <v>#N/A</v>
      </c>
      <c r="O671" t="e">
        <f ca="1"/>
        <v>#N/A</v>
      </c>
      <c r="P671" t="e">
        <f ca="1"/>
        <v>#N/A</v>
      </c>
      <c r="Q671" t="e">
        <f ca="1"/>
        <v>#N/A</v>
      </c>
      <c r="R671" t="e">
        <f ca="1"/>
        <v>#N/A</v>
      </c>
      <c r="S671" t="e">
        <f ca="1"/>
        <v>#N/A</v>
      </c>
      <c r="T671" t="e">
        <f ca="1"/>
        <v>#N/A</v>
      </c>
      <c r="U671" t="e">
        <f ca="1"/>
        <v>#N/A</v>
      </c>
      <c r="V671" t="e">
        <f ca="1"/>
        <v>#N/A</v>
      </c>
      <c r="X671" s="2">
        <f t="shared" ca="1" si="72"/>
        <v>0</v>
      </c>
      <c r="Y671">
        <f t="shared" ca="1" si="73"/>
        <v>0</v>
      </c>
      <c r="AA671" s="63" t="e">
        <f t="shared" ca="1" si="74"/>
        <v>#N/A</v>
      </c>
      <c r="AB671" s="63" t="e">
        <f t="shared" ca="1" si="75"/>
        <v>#N/A</v>
      </c>
      <c r="AC671" s="3" t="e">
        <f t="shared" ca="1" si="76"/>
        <v>#N/A</v>
      </c>
    </row>
    <row r="672" spans="8:29">
      <c r="H672" t="e">
        <f t="shared" ca="1" si="70"/>
        <v>#N/A</v>
      </c>
      <c r="I672" t="e">
        <f t="shared" ca="1" si="71"/>
        <v>#N/A</v>
      </c>
      <c r="J672" t="e">
        <f ca="1"/>
        <v>#N/A</v>
      </c>
      <c r="K672" t="e">
        <f ca="1"/>
        <v>#N/A</v>
      </c>
      <c r="L672" t="e">
        <f ca="1"/>
        <v>#N/A</v>
      </c>
      <c r="M672" t="e">
        <f ca="1"/>
        <v>#N/A</v>
      </c>
      <c r="N672" t="e">
        <f ca="1"/>
        <v>#N/A</v>
      </c>
      <c r="O672" t="e">
        <f ca="1"/>
        <v>#N/A</v>
      </c>
      <c r="P672" t="e">
        <f ca="1"/>
        <v>#N/A</v>
      </c>
      <c r="Q672" t="e">
        <f ca="1"/>
        <v>#N/A</v>
      </c>
      <c r="R672" t="e">
        <f ca="1"/>
        <v>#N/A</v>
      </c>
      <c r="S672" t="e">
        <f ca="1"/>
        <v>#N/A</v>
      </c>
      <c r="T672" t="e">
        <f ca="1"/>
        <v>#N/A</v>
      </c>
      <c r="U672" t="e">
        <f ca="1"/>
        <v>#N/A</v>
      </c>
      <c r="V672" t="e">
        <f ca="1"/>
        <v>#N/A</v>
      </c>
      <c r="X672" s="2">
        <f t="shared" ca="1" si="72"/>
        <v>0</v>
      </c>
      <c r="Y672">
        <f t="shared" ca="1" si="73"/>
        <v>0</v>
      </c>
      <c r="AA672" s="63" t="e">
        <f t="shared" ca="1" si="74"/>
        <v>#N/A</v>
      </c>
      <c r="AB672" s="63" t="e">
        <f t="shared" ca="1" si="75"/>
        <v>#N/A</v>
      </c>
      <c r="AC672" s="3" t="e">
        <f t="shared" ca="1" si="76"/>
        <v>#N/A</v>
      </c>
    </row>
    <row r="673" spans="8:29">
      <c r="H673" t="e">
        <f t="shared" ca="1" si="70"/>
        <v>#N/A</v>
      </c>
      <c r="I673" t="e">
        <f t="shared" ca="1" si="71"/>
        <v>#N/A</v>
      </c>
      <c r="J673" t="e">
        <f ca="1"/>
        <v>#N/A</v>
      </c>
      <c r="K673" t="e">
        <f ca="1"/>
        <v>#N/A</v>
      </c>
      <c r="L673" t="e">
        <f ca="1"/>
        <v>#N/A</v>
      </c>
      <c r="M673" t="e">
        <f ca="1"/>
        <v>#N/A</v>
      </c>
      <c r="N673" t="e">
        <f ca="1"/>
        <v>#N/A</v>
      </c>
      <c r="O673" t="e">
        <f ca="1"/>
        <v>#N/A</v>
      </c>
      <c r="P673" t="e">
        <f ca="1"/>
        <v>#N/A</v>
      </c>
      <c r="Q673" t="e">
        <f ca="1"/>
        <v>#N/A</v>
      </c>
      <c r="R673" t="e">
        <f ca="1"/>
        <v>#N/A</v>
      </c>
      <c r="S673" t="e">
        <f ca="1"/>
        <v>#N/A</v>
      </c>
      <c r="T673" t="e">
        <f ca="1"/>
        <v>#N/A</v>
      </c>
      <c r="U673" t="e">
        <f ca="1"/>
        <v>#N/A</v>
      </c>
      <c r="V673" t="e">
        <f ca="1"/>
        <v>#N/A</v>
      </c>
      <c r="X673" s="2">
        <f t="shared" ca="1" si="72"/>
        <v>0</v>
      </c>
      <c r="Y673">
        <f t="shared" ca="1" si="73"/>
        <v>0</v>
      </c>
      <c r="AA673" s="63" t="e">
        <f t="shared" ca="1" si="74"/>
        <v>#N/A</v>
      </c>
      <c r="AB673" s="63" t="e">
        <f t="shared" ca="1" si="75"/>
        <v>#N/A</v>
      </c>
      <c r="AC673" s="3" t="e">
        <f t="shared" ca="1" si="76"/>
        <v>#N/A</v>
      </c>
    </row>
    <row r="674" spans="8:29">
      <c r="H674" t="e">
        <f t="shared" ca="1" si="70"/>
        <v>#N/A</v>
      </c>
      <c r="I674" t="e">
        <f t="shared" ca="1" si="71"/>
        <v>#N/A</v>
      </c>
      <c r="J674" t="e">
        <f ca="1"/>
        <v>#N/A</v>
      </c>
      <c r="K674" t="e">
        <f ca="1"/>
        <v>#N/A</v>
      </c>
      <c r="L674" t="e">
        <f ca="1"/>
        <v>#N/A</v>
      </c>
      <c r="M674" t="e">
        <f ca="1"/>
        <v>#N/A</v>
      </c>
      <c r="N674" t="e">
        <f ca="1"/>
        <v>#N/A</v>
      </c>
      <c r="O674" t="e">
        <f ca="1"/>
        <v>#N/A</v>
      </c>
      <c r="P674" t="e">
        <f ca="1"/>
        <v>#N/A</v>
      </c>
      <c r="Q674" t="e">
        <f ca="1"/>
        <v>#N/A</v>
      </c>
      <c r="R674" t="e">
        <f ca="1"/>
        <v>#N/A</v>
      </c>
      <c r="S674" t="e">
        <f ca="1"/>
        <v>#N/A</v>
      </c>
      <c r="T674" t="e">
        <f ca="1"/>
        <v>#N/A</v>
      </c>
      <c r="U674" t="e">
        <f ca="1"/>
        <v>#N/A</v>
      </c>
      <c r="V674" t="e">
        <f ca="1"/>
        <v>#N/A</v>
      </c>
      <c r="X674" s="2">
        <f t="shared" ca="1" si="72"/>
        <v>0</v>
      </c>
      <c r="Y674">
        <f t="shared" ca="1" si="73"/>
        <v>0</v>
      </c>
      <c r="AA674" s="63" t="e">
        <f t="shared" ca="1" si="74"/>
        <v>#N/A</v>
      </c>
      <c r="AB674" s="63" t="e">
        <f t="shared" ca="1" si="75"/>
        <v>#N/A</v>
      </c>
      <c r="AC674" s="3" t="e">
        <f t="shared" ca="1" si="76"/>
        <v>#N/A</v>
      </c>
    </row>
    <row r="675" spans="8:29">
      <c r="H675" t="e">
        <f t="shared" ca="1" si="70"/>
        <v>#N/A</v>
      </c>
      <c r="I675" t="e">
        <f t="shared" ca="1" si="71"/>
        <v>#N/A</v>
      </c>
      <c r="J675" t="e">
        <f ca="1"/>
        <v>#N/A</v>
      </c>
      <c r="K675" t="e">
        <f ca="1"/>
        <v>#N/A</v>
      </c>
      <c r="L675" t="e">
        <f ca="1"/>
        <v>#N/A</v>
      </c>
      <c r="M675" t="e">
        <f ca="1"/>
        <v>#N/A</v>
      </c>
      <c r="N675" t="e">
        <f ca="1"/>
        <v>#N/A</v>
      </c>
      <c r="O675" t="e">
        <f ca="1"/>
        <v>#N/A</v>
      </c>
      <c r="P675" t="e">
        <f ca="1"/>
        <v>#N/A</v>
      </c>
      <c r="Q675" t="e">
        <f ca="1"/>
        <v>#N/A</v>
      </c>
      <c r="R675" t="e">
        <f ca="1"/>
        <v>#N/A</v>
      </c>
      <c r="S675" t="e">
        <f ca="1"/>
        <v>#N/A</v>
      </c>
      <c r="T675" t="e">
        <f ca="1"/>
        <v>#N/A</v>
      </c>
      <c r="U675" t="e">
        <f ca="1"/>
        <v>#N/A</v>
      </c>
      <c r="V675" t="e">
        <f ca="1"/>
        <v>#N/A</v>
      </c>
      <c r="X675" s="2">
        <f t="shared" ca="1" si="72"/>
        <v>0</v>
      </c>
      <c r="Y675">
        <f t="shared" ca="1" si="73"/>
        <v>0</v>
      </c>
      <c r="AA675" s="63" t="e">
        <f t="shared" ca="1" si="74"/>
        <v>#N/A</v>
      </c>
      <c r="AB675" s="63" t="e">
        <f t="shared" ca="1" si="75"/>
        <v>#N/A</v>
      </c>
      <c r="AC675" s="3" t="e">
        <f t="shared" ca="1" si="76"/>
        <v>#N/A</v>
      </c>
    </row>
    <row r="676" spans="8:29">
      <c r="H676" t="e">
        <f t="shared" ca="1" si="70"/>
        <v>#N/A</v>
      </c>
      <c r="I676" t="e">
        <f t="shared" ca="1" si="71"/>
        <v>#N/A</v>
      </c>
      <c r="J676" t="e">
        <f ca="1"/>
        <v>#N/A</v>
      </c>
      <c r="K676" t="e">
        <f ca="1"/>
        <v>#N/A</v>
      </c>
      <c r="L676" t="e">
        <f ca="1"/>
        <v>#N/A</v>
      </c>
      <c r="M676" t="e">
        <f ca="1"/>
        <v>#N/A</v>
      </c>
      <c r="N676" t="e">
        <f ca="1"/>
        <v>#N/A</v>
      </c>
      <c r="O676" t="e">
        <f ca="1"/>
        <v>#N/A</v>
      </c>
      <c r="P676" t="e">
        <f ca="1"/>
        <v>#N/A</v>
      </c>
      <c r="Q676" t="e">
        <f ca="1"/>
        <v>#N/A</v>
      </c>
      <c r="R676" t="e">
        <f ca="1"/>
        <v>#N/A</v>
      </c>
      <c r="S676" t="e">
        <f ca="1"/>
        <v>#N/A</v>
      </c>
      <c r="T676" t="e">
        <f ca="1"/>
        <v>#N/A</v>
      </c>
      <c r="U676" t="e">
        <f ca="1"/>
        <v>#N/A</v>
      </c>
      <c r="V676" t="e">
        <f ca="1"/>
        <v>#N/A</v>
      </c>
      <c r="X676" s="2">
        <f t="shared" ca="1" si="72"/>
        <v>0</v>
      </c>
      <c r="Y676">
        <f t="shared" ca="1" si="73"/>
        <v>0</v>
      </c>
      <c r="AA676" s="63" t="e">
        <f t="shared" ca="1" si="74"/>
        <v>#N/A</v>
      </c>
      <c r="AB676" s="63" t="e">
        <f t="shared" ca="1" si="75"/>
        <v>#N/A</v>
      </c>
      <c r="AC676" s="3" t="e">
        <f t="shared" ca="1" si="76"/>
        <v>#N/A</v>
      </c>
    </row>
    <row r="677" spans="8:29">
      <c r="H677" t="e">
        <f t="shared" ca="1" si="70"/>
        <v>#N/A</v>
      </c>
      <c r="I677" t="e">
        <f t="shared" ca="1" si="71"/>
        <v>#N/A</v>
      </c>
      <c r="J677" t="e">
        <f ca="1"/>
        <v>#N/A</v>
      </c>
      <c r="K677" t="e">
        <f ca="1"/>
        <v>#N/A</v>
      </c>
      <c r="L677" t="e">
        <f ca="1"/>
        <v>#N/A</v>
      </c>
      <c r="M677" t="e">
        <f ca="1"/>
        <v>#N/A</v>
      </c>
      <c r="N677" t="e">
        <f ca="1"/>
        <v>#N/A</v>
      </c>
      <c r="O677" t="e">
        <f ca="1"/>
        <v>#N/A</v>
      </c>
      <c r="P677" t="e">
        <f ca="1"/>
        <v>#N/A</v>
      </c>
      <c r="Q677" t="e">
        <f ca="1"/>
        <v>#N/A</v>
      </c>
      <c r="R677" t="e">
        <f ca="1"/>
        <v>#N/A</v>
      </c>
      <c r="S677" t="e">
        <f ca="1"/>
        <v>#N/A</v>
      </c>
      <c r="T677" t="e">
        <f ca="1"/>
        <v>#N/A</v>
      </c>
      <c r="U677" t="e">
        <f ca="1"/>
        <v>#N/A</v>
      </c>
      <c r="V677" t="e">
        <f ca="1"/>
        <v>#N/A</v>
      </c>
      <c r="X677" s="2">
        <f t="shared" ca="1" si="72"/>
        <v>0</v>
      </c>
      <c r="Y677">
        <f t="shared" ca="1" si="73"/>
        <v>0</v>
      </c>
      <c r="AA677" s="63" t="e">
        <f t="shared" ca="1" si="74"/>
        <v>#N/A</v>
      </c>
      <c r="AB677" s="63" t="e">
        <f t="shared" ca="1" si="75"/>
        <v>#N/A</v>
      </c>
      <c r="AC677" s="3" t="e">
        <f t="shared" ca="1" si="76"/>
        <v>#N/A</v>
      </c>
    </row>
    <row r="678" spans="8:29">
      <c r="H678" t="e">
        <f t="shared" ca="1" si="70"/>
        <v>#N/A</v>
      </c>
      <c r="I678" t="e">
        <f t="shared" ca="1" si="71"/>
        <v>#N/A</v>
      </c>
      <c r="J678" t="e">
        <f ca="1"/>
        <v>#N/A</v>
      </c>
      <c r="K678" t="e">
        <f ca="1"/>
        <v>#N/A</v>
      </c>
      <c r="L678" t="e">
        <f ca="1"/>
        <v>#N/A</v>
      </c>
      <c r="M678" t="e">
        <f ca="1"/>
        <v>#N/A</v>
      </c>
      <c r="N678" t="e">
        <f ca="1"/>
        <v>#N/A</v>
      </c>
      <c r="O678" t="e">
        <f ca="1"/>
        <v>#N/A</v>
      </c>
      <c r="P678" t="e">
        <f ca="1"/>
        <v>#N/A</v>
      </c>
      <c r="Q678" t="e">
        <f ca="1"/>
        <v>#N/A</v>
      </c>
      <c r="R678" t="e">
        <f ca="1"/>
        <v>#N/A</v>
      </c>
      <c r="S678" t="e">
        <f ca="1"/>
        <v>#N/A</v>
      </c>
      <c r="T678" t="e">
        <f ca="1"/>
        <v>#N/A</v>
      </c>
      <c r="U678" t="e">
        <f ca="1"/>
        <v>#N/A</v>
      </c>
      <c r="V678" t="e">
        <f ca="1"/>
        <v>#N/A</v>
      </c>
      <c r="X678" s="2">
        <f t="shared" ca="1" si="72"/>
        <v>0</v>
      </c>
      <c r="Y678">
        <f t="shared" ca="1" si="73"/>
        <v>0</v>
      </c>
      <c r="AA678" s="63" t="e">
        <f t="shared" ca="1" si="74"/>
        <v>#N/A</v>
      </c>
      <c r="AB678" s="63" t="e">
        <f t="shared" ca="1" si="75"/>
        <v>#N/A</v>
      </c>
      <c r="AC678" s="3" t="e">
        <f t="shared" ca="1" si="76"/>
        <v>#N/A</v>
      </c>
    </row>
    <row r="679" spans="8:29">
      <c r="H679" t="e">
        <f t="shared" ca="1" si="70"/>
        <v>#N/A</v>
      </c>
      <c r="I679" t="e">
        <f t="shared" ca="1" si="71"/>
        <v>#N/A</v>
      </c>
      <c r="J679" t="e">
        <f ca="1"/>
        <v>#N/A</v>
      </c>
      <c r="K679" t="e">
        <f ca="1"/>
        <v>#N/A</v>
      </c>
      <c r="L679" t="e">
        <f ca="1"/>
        <v>#N/A</v>
      </c>
      <c r="M679" t="e">
        <f ca="1"/>
        <v>#N/A</v>
      </c>
      <c r="N679" t="e">
        <f ca="1"/>
        <v>#N/A</v>
      </c>
      <c r="O679" t="e">
        <f ca="1"/>
        <v>#N/A</v>
      </c>
      <c r="P679" t="e">
        <f ca="1"/>
        <v>#N/A</v>
      </c>
      <c r="Q679" t="e">
        <f ca="1"/>
        <v>#N/A</v>
      </c>
      <c r="R679" t="e">
        <f ca="1"/>
        <v>#N/A</v>
      </c>
      <c r="S679" t="e">
        <f ca="1"/>
        <v>#N/A</v>
      </c>
      <c r="T679" t="e">
        <f ca="1"/>
        <v>#N/A</v>
      </c>
      <c r="U679" t="e">
        <f ca="1"/>
        <v>#N/A</v>
      </c>
      <c r="V679" t="e">
        <f ca="1"/>
        <v>#N/A</v>
      </c>
      <c r="X679" s="2">
        <f t="shared" ca="1" si="72"/>
        <v>0</v>
      </c>
      <c r="Y679">
        <f t="shared" ca="1" si="73"/>
        <v>0</v>
      </c>
      <c r="AA679" s="63" t="e">
        <f t="shared" ca="1" si="74"/>
        <v>#N/A</v>
      </c>
      <c r="AB679" s="63" t="e">
        <f t="shared" ca="1" si="75"/>
        <v>#N/A</v>
      </c>
      <c r="AC679" s="3" t="e">
        <f t="shared" ca="1" si="76"/>
        <v>#N/A</v>
      </c>
    </row>
    <row r="680" spans="8:29">
      <c r="H680" t="e">
        <f t="shared" ca="1" si="70"/>
        <v>#N/A</v>
      </c>
      <c r="I680" t="e">
        <f t="shared" ca="1" si="71"/>
        <v>#N/A</v>
      </c>
      <c r="J680" t="e">
        <f ca="1"/>
        <v>#N/A</v>
      </c>
      <c r="K680" t="e">
        <f ca="1"/>
        <v>#N/A</v>
      </c>
      <c r="L680" t="e">
        <f ca="1"/>
        <v>#N/A</v>
      </c>
      <c r="M680" t="e">
        <f ca="1"/>
        <v>#N/A</v>
      </c>
      <c r="N680" t="e">
        <f ca="1"/>
        <v>#N/A</v>
      </c>
      <c r="O680" t="e">
        <f ca="1"/>
        <v>#N/A</v>
      </c>
      <c r="P680" t="e">
        <f ca="1"/>
        <v>#N/A</v>
      </c>
      <c r="Q680" t="e">
        <f ca="1"/>
        <v>#N/A</v>
      </c>
      <c r="R680" t="e">
        <f ca="1"/>
        <v>#N/A</v>
      </c>
      <c r="S680" t="e">
        <f ca="1"/>
        <v>#N/A</v>
      </c>
      <c r="T680" t="e">
        <f ca="1"/>
        <v>#N/A</v>
      </c>
      <c r="U680" t="e">
        <f ca="1"/>
        <v>#N/A</v>
      </c>
      <c r="V680" t="e">
        <f ca="1"/>
        <v>#N/A</v>
      </c>
      <c r="X680" s="2">
        <f t="shared" ca="1" si="72"/>
        <v>0</v>
      </c>
      <c r="Y680">
        <f t="shared" ca="1" si="73"/>
        <v>0</v>
      </c>
      <c r="AA680" s="63" t="e">
        <f t="shared" ca="1" si="74"/>
        <v>#N/A</v>
      </c>
      <c r="AB680" s="63" t="e">
        <f t="shared" ca="1" si="75"/>
        <v>#N/A</v>
      </c>
      <c r="AC680" s="3" t="e">
        <f t="shared" ca="1" si="76"/>
        <v>#N/A</v>
      </c>
    </row>
    <row r="681" spans="8:29">
      <c r="H681" t="e">
        <f t="shared" ca="1" si="70"/>
        <v>#N/A</v>
      </c>
      <c r="I681" t="e">
        <f t="shared" ca="1" si="71"/>
        <v>#N/A</v>
      </c>
      <c r="J681" t="e">
        <f ca="1"/>
        <v>#N/A</v>
      </c>
      <c r="K681" t="e">
        <f ca="1"/>
        <v>#N/A</v>
      </c>
      <c r="L681" t="e">
        <f ca="1"/>
        <v>#N/A</v>
      </c>
      <c r="M681" t="e">
        <f ca="1"/>
        <v>#N/A</v>
      </c>
      <c r="N681" t="e">
        <f ca="1"/>
        <v>#N/A</v>
      </c>
      <c r="O681" t="e">
        <f ca="1"/>
        <v>#N/A</v>
      </c>
      <c r="P681" t="e">
        <f ca="1"/>
        <v>#N/A</v>
      </c>
      <c r="Q681" t="e">
        <f ca="1"/>
        <v>#N/A</v>
      </c>
      <c r="R681" t="e">
        <f ca="1"/>
        <v>#N/A</v>
      </c>
      <c r="S681" t="e">
        <f ca="1"/>
        <v>#N/A</v>
      </c>
      <c r="T681" t="e">
        <f ca="1"/>
        <v>#N/A</v>
      </c>
      <c r="U681" t="e">
        <f ca="1"/>
        <v>#N/A</v>
      </c>
      <c r="V681" t="e">
        <f ca="1"/>
        <v>#N/A</v>
      </c>
      <c r="X681" s="2">
        <f t="shared" ca="1" si="72"/>
        <v>0</v>
      </c>
      <c r="Y681">
        <f t="shared" ca="1" si="73"/>
        <v>0</v>
      </c>
      <c r="AA681" s="63" t="e">
        <f t="shared" ca="1" si="74"/>
        <v>#N/A</v>
      </c>
      <c r="AB681" s="63" t="e">
        <f t="shared" ca="1" si="75"/>
        <v>#N/A</v>
      </c>
      <c r="AC681" s="3" t="e">
        <f t="shared" ca="1" si="76"/>
        <v>#N/A</v>
      </c>
    </row>
    <row r="682" spans="8:29">
      <c r="H682" t="e">
        <f t="shared" ca="1" si="70"/>
        <v>#N/A</v>
      </c>
      <c r="I682" t="e">
        <f t="shared" ca="1" si="71"/>
        <v>#N/A</v>
      </c>
      <c r="J682" t="e">
        <f ca="1"/>
        <v>#N/A</v>
      </c>
      <c r="K682" t="e">
        <f ca="1"/>
        <v>#N/A</v>
      </c>
      <c r="L682" t="e">
        <f ca="1"/>
        <v>#N/A</v>
      </c>
      <c r="M682" t="e">
        <f ca="1"/>
        <v>#N/A</v>
      </c>
      <c r="N682" t="e">
        <f ca="1"/>
        <v>#N/A</v>
      </c>
      <c r="O682" t="e">
        <f ca="1"/>
        <v>#N/A</v>
      </c>
      <c r="P682" t="e">
        <f ca="1"/>
        <v>#N/A</v>
      </c>
      <c r="Q682" t="e">
        <f ca="1"/>
        <v>#N/A</v>
      </c>
      <c r="R682" t="e">
        <f ca="1"/>
        <v>#N/A</v>
      </c>
      <c r="S682" t="e">
        <f ca="1"/>
        <v>#N/A</v>
      </c>
      <c r="T682" t="e">
        <f ca="1"/>
        <v>#N/A</v>
      </c>
      <c r="U682" t="e">
        <f ca="1"/>
        <v>#N/A</v>
      </c>
      <c r="V682" t="e">
        <f ca="1"/>
        <v>#N/A</v>
      </c>
      <c r="X682" s="2">
        <f t="shared" ca="1" si="72"/>
        <v>0</v>
      </c>
      <c r="Y682">
        <f t="shared" ca="1" si="73"/>
        <v>0</v>
      </c>
      <c r="AA682" s="63" t="e">
        <f t="shared" ca="1" si="74"/>
        <v>#N/A</v>
      </c>
      <c r="AB682" s="63" t="e">
        <f t="shared" ca="1" si="75"/>
        <v>#N/A</v>
      </c>
      <c r="AC682" s="3" t="e">
        <f t="shared" ca="1" si="76"/>
        <v>#N/A</v>
      </c>
    </row>
    <row r="683" spans="8:29">
      <c r="H683" t="e">
        <f t="shared" ca="1" si="70"/>
        <v>#N/A</v>
      </c>
      <c r="I683" t="e">
        <f t="shared" ca="1" si="71"/>
        <v>#N/A</v>
      </c>
      <c r="J683" t="e">
        <f ca="1"/>
        <v>#N/A</v>
      </c>
      <c r="K683" t="e">
        <f ca="1"/>
        <v>#N/A</v>
      </c>
      <c r="L683" t="e">
        <f ca="1"/>
        <v>#N/A</v>
      </c>
      <c r="M683" t="e">
        <f ca="1"/>
        <v>#N/A</v>
      </c>
      <c r="N683" t="e">
        <f ca="1"/>
        <v>#N/A</v>
      </c>
      <c r="O683" t="e">
        <f ca="1"/>
        <v>#N/A</v>
      </c>
      <c r="P683" t="e">
        <f ca="1"/>
        <v>#N/A</v>
      </c>
      <c r="Q683" t="e">
        <f ca="1"/>
        <v>#N/A</v>
      </c>
      <c r="R683" t="e">
        <f ca="1"/>
        <v>#N/A</v>
      </c>
      <c r="S683" t="e">
        <f ca="1"/>
        <v>#N/A</v>
      </c>
      <c r="T683" t="e">
        <f ca="1"/>
        <v>#N/A</v>
      </c>
      <c r="U683" t="e">
        <f ca="1"/>
        <v>#N/A</v>
      </c>
      <c r="V683" t="e">
        <f ca="1"/>
        <v>#N/A</v>
      </c>
      <c r="X683" s="2">
        <f t="shared" ca="1" si="72"/>
        <v>0</v>
      </c>
      <c r="Y683">
        <f t="shared" ca="1" si="73"/>
        <v>0</v>
      </c>
      <c r="AA683" s="63" t="e">
        <f t="shared" ca="1" si="74"/>
        <v>#N/A</v>
      </c>
      <c r="AB683" s="63" t="e">
        <f t="shared" ca="1" si="75"/>
        <v>#N/A</v>
      </c>
      <c r="AC683" s="3" t="e">
        <f t="shared" ca="1" si="76"/>
        <v>#N/A</v>
      </c>
    </row>
    <row r="684" spans="8:29">
      <c r="H684" t="e">
        <f t="shared" ca="1" si="70"/>
        <v>#N/A</v>
      </c>
      <c r="I684" t="e">
        <f t="shared" ca="1" si="71"/>
        <v>#N/A</v>
      </c>
      <c r="J684" t="e">
        <f ca="1"/>
        <v>#N/A</v>
      </c>
      <c r="K684" t="e">
        <f ca="1"/>
        <v>#N/A</v>
      </c>
      <c r="L684" t="e">
        <f ca="1"/>
        <v>#N/A</v>
      </c>
      <c r="M684" t="e">
        <f ca="1"/>
        <v>#N/A</v>
      </c>
      <c r="N684" t="e">
        <f ca="1"/>
        <v>#N/A</v>
      </c>
      <c r="O684" t="e">
        <f ca="1"/>
        <v>#N/A</v>
      </c>
      <c r="P684" t="e">
        <f ca="1"/>
        <v>#N/A</v>
      </c>
      <c r="Q684" t="e">
        <f ca="1"/>
        <v>#N/A</v>
      </c>
      <c r="R684" t="e">
        <f ca="1"/>
        <v>#N/A</v>
      </c>
      <c r="S684" t="e">
        <f ca="1"/>
        <v>#N/A</v>
      </c>
      <c r="T684" t="e">
        <f ca="1"/>
        <v>#N/A</v>
      </c>
      <c r="U684" t="e">
        <f ca="1"/>
        <v>#N/A</v>
      </c>
      <c r="V684" t="e">
        <f ca="1"/>
        <v>#N/A</v>
      </c>
      <c r="X684" s="2">
        <f t="shared" ca="1" si="72"/>
        <v>0</v>
      </c>
      <c r="Y684">
        <f t="shared" ca="1" si="73"/>
        <v>0</v>
      </c>
      <c r="AA684" s="63" t="e">
        <f t="shared" ca="1" si="74"/>
        <v>#N/A</v>
      </c>
      <c r="AB684" s="63" t="e">
        <f t="shared" ca="1" si="75"/>
        <v>#N/A</v>
      </c>
      <c r="AC684" s="3" t="e">
        <f t="shared" ca="1" si="76"/>
        <v>#N/A</v>
      </c>
    </row>
    <row r="685" spans="8:29">
      <c r="H685" t="e">
        <f t="shared" ca="1" si="70"/>
        <v>#N/A</v>
      </c>
      <c r="I685" t="e">
        <f t="shared" ca="1" si="71"/>
        <v>#N/A</v>
      </c>
      <c r="J685" t="e">
        <f ca="1"/>
        <v>#N/A</v>
      </c>
      <c r="K685" t="e">
        <f ca="1"/>
        <v>#N/A</v>
      </c>
      <c r="L685" t="e">
        <f ca="1"/>
        <v>#N/A</v>
      </c>
      <c r="M685" t="e">
        <f ca="1"/>
        <v>#N/A</v>
      </c>
      <c r="N685" t="e">
        <f ca="1"/>
        <v>#N/A</v>
      </c>
      <c r="O685" t="e">
        <f ca="1"/>
        <v>#N/A</v>
      </c>
      <c r="P685" t="e">
        <f ca="1"/>
        <v>#N/A</v>
      </c>
      <c r="Q685" t="e">
        <f ca="1"/>
        <v>#N/A</v>
      </c>
      <c r="R685" t="e">
        <f ca="1"/>
        <v>#N/A</v>
      </c>
      <c r="S685" t="e">
        <f ca="1"/>
        <v>#N/A</v>
      </c>
      <c r="T685" t="e">
        <f ca="1"/>
        <v>#N/A</v>
      </c>
      <c r="U685" t="e">
        <f ca="1"/>
        <v>#N/A</v>
      </c>
      <c r="V685" t="e">
        <f ca="1"/>
        <v>#N/A</v>
      </c>
      <c r="X685" s="2">
        <f t="shared" ca="1" si="72"/>
        <v>0</v>
      </c>
      <c r="Y685">
        <f t="shared" ca="1" si="73"/>
        <v>0</v>
      </c>
      <c r="AA685" s="63" t="e">
        <f t="shared" ca="1" si="74"/>
        <v>#N/A</v>
      </c>
      <c r="AB685" s="63" t="e">
        <f t="shared" ca="1" si="75"/>
        <v>#N/A</v>
      </c>
      <c r="AC685" s="3" t="e">
        <f t="shared" ca="1" si="76"/>
        <v>#N/A</v>
      </c>
    </row>
    <row r="686" spans="8:29">
      <c r="H686" t="e">
        <f t="shared" ca="1" si="70"/>
        <v>#N/A</v>
      </c>
      <c r="I686" t="e">
        <f t="shared" ca="1" si="71"/>
        <v>#N/A</v>
      </c>
      <c r="J686" t="e">
        <f ca="1"/>
        <v>#N/A</v>
      </c>
      <c r="K686" t="e">
        <f ca="1"/>
        <v>#N/A</v>
      </c>
      <c r="L686" t="e">
        <f ca="1"/>
        <v>#N/A</v>
      </c>
      <c r="M686" t="e">
        <f ca="1"/>
        <v>#N/A</v>
      </c>
      <c r="N686" t="e">
        <f ca="1"/>
        <v>#N/A</v>
      </c>
      <c r="O686" t="e">
        <f ca="1"/>
        <v>#N/A</v>
      </c>
      <c r="P686" t="e">
        <f ca="1"/>
        <v>#N/A</v>
      </c>
      <c r="Q686" t="e">
        <f ca="1"/>
        <v>#N/A</v>
      </c>
      <c r="R686" t="e">
        <f ca="1"/>
        <v>#N/A</v>
      </c>
      <c r="S686" t="e">
        <f ca="1"/>
        <v>#N/A</v>
      </c>
      <c r="T686" t="e">
        <f ca="1"/>
        <v>#N/A</v>
      </c>
      <c r="U686" t="e">
        <f ca="1"/>
        <v>#N/A</v>
      </c>
      <c r="V686" t="e">
        <f ca="1"/>
        <v>#N/A</v>
      </c>
      <c r="X686" s="2">
        <f t="shared" ca="1" si="72"/>
        <v>0</v>
      </c>
      <c r="Y686">
        <f t="shared" ca="1" si="73"/>
        <v>0</v>
      </c>
      <c r="AA686" s="63" t="e">
        <f t="shared" ca="1" si="74"/>
        <v>#N/A</v>
      </c>
      <c r="AB686" s="63" t="e">
        <f t="shared" ca="1" si="75"/>
        <v>#N/A</v>
      </c>
      <c r="AC686" s="3" t="e">
        <f t="shared" ca="1" si="76"/>
        <v>#N/A</v>
      </c>
    </row>
    <row r="687" spans="8:29">
      <c r="H687" t="e">
        <f t="shared" ca="1" si="70"/>
        <v>#N/A</v>
      </c>
      <c r="I687" t="e">
        <f t="shared" ca="1" si="71"/>
        <v>#N/A</v>
      </c>
      <c r="J687" t="e">
        <f ca="1"/>
        <v>#N/A</v>
      </c>
      <c r="K687" t="e">
        <f ca="1"/>
        <v>#N/A</v>
      </c>
      <c r="L687" t="e">
        <f ca="1"/>
        <v>#N/A</v>
      </c>
      <c r="M687" t="e">
        <f ca="1"/>
        <v>#N/A</v>
      </c>
      <c r="N687" t="e">
        <f ca="1"/>
        <v>#N/A</v>
      </c>
      <c r="O687" t="e">
        <f ca="1"/>
        <v>#N/A</v>
      </c>
      <c r="P687" t="e">
        <f ca="1"/>
        <v>#N/A</v>
      </c>
      <c r="Q687" t="e">
        <f ca="1"/>
        <v>#N/A</v>
      </c>
      <c r="R687" t="e">
        <f ca="1"/>
        <v>#N/A</v>
      </c>
      <c r="S687" t="e">
        <f ca="1"/>
        <v>#N/A</v>
      </c>
      <c r="T687" t="e">
        <f ca="1"/>
        <v>#N/A</v>
      </c>
      <c r="U687" t="e">
        <f ca="1"/>
        <v>#N/A</v>
      </c>
      <c r="V687" t="e">
        <f ca="1"/>
        <v>#N/A</v>
      </c>
      <c r="X687" s="2">
        <f t="shared" ca="1" si="72"/>
        <v>0</v>
      </c>
      <c r="Y687">
        <f t="shared" ca="1" si="73"/>
        <v>0</v>
      </c>
      <c r="AA687" s="63" t="e">
        <f t="shared" ca="1" si="74"/>
        <v>#N/A</v>
      </c>
      <c r="AB687" s="63" t="e">
        <f t="shared" ca="1" si="75"/>
        <v>#N/A</v>
      </c>
      <c r="AC687" s="3" t="e">
        <f t="shared" ca="1" si="76"/>
        <v>#N/A</v>
      </c>
    </row>
    <row r="688" spans="8:29">
      <c r="H688" t="e">
        <f t="shared" ca="1" si="70"/>
        <v>#N/A</v>
      </c>
      <c r="I688" t="e">
        <f t="shared" ca="1" si="71"/>
        <v>#N/A</v>
      </c>
      <c r="J688" t="e">
        <f ca="1"/>
        <v>#N/A</v>
      </c>
      <c r="K688" t="e">
        <f ca="1"/>
        <v>#N/A</v>
      </c>
      <c r="L688" t="e">
        <f ca="1"/>
        <v>#N/A</v>
      </c>
      <c r="M688" t="e">
        <f ca="1"/>
        <v>#N/A</v>
      </c>
      <c r="N688" t="e">
        <f ca="1"/>
        <v>#N/A</v>
      </c>
      <c r="O688" t="e">
        <f ca="1"/>
        <v>#N/A</v>
      </c>
      <c r="P688" t="e">
        <f ca="1"/>
        <v>#N/A</v>
      </c>
      <c r="Q688" t="e">
        <f ca="1"/>
        <v>#N/A</v>
      </c>
      <c r="R688" t="e">
        <f ca="1"/>
        <v>#N/A</v>
      </c>
      <c r="S688" t="e">
        <f ca="1"/>
        <v>#N/A</v>
      </c>
      <c r="T688" t="e">
        <f ca="1"/>
        <v>#N/A</v>
      </c>
      <c r="U688" t="e">
        <f ca="1"/>
        <v>#N/A</v>
      </c>
      <c r="V688" t="e">
        <f ca="1"/>
        <v>#N/A</v>
      </c>
      <c r="X688" s="2">
        <f t="shared" ca="1" si="72"/>
        <v>0</v>
      </c>
      <c r="Y688">
        <f t="shared" ca="1" si="73"/>
        <v>0</v>
      </c>
      <c r="AA688" s="63" t="e">
        <f t="shared" ca="1" si="74"/>
        <v>#N/A</v>
      </c>
      <c r="AB688" s="63" t="e">
        <f t="shared" ca="1" si="75"/>
        <v>#N/A</v>
      </c>
      <c r="AC688" s="3" t="e">
        <f t="shared" ca="1" si="76"/>
        <v>#N/A</v>
      </c>
    </row>
    <row r="689" spans="8:29">
      <c r="H689" t="e">
        <f t="shared" ref="H689:H752" ca="1" si="77">IF(J689&lt;$J$4,TRUE,FALSE)</f>
        <v>#N/A</v>
      </c>
      <c r="I689" t="e">
        <f t="shared" ref="I689:I752" ca="1" si="78">AND(IF(J689&gt;($J$3-1),TRUE,FALSE),IF(J689&lt;($J$4+1),TRUE,FALSE))</f>
        <v>#N/A</v>
      </c>
      <c r="J689" t="e">
        <f ca="1"/>
        <v>#N/A</v>
      </c>
      <c r="K689" t="e">
        <f ca="1"/>
        <v>#N/A</v>
      </c>
      <c r="L689" t="e">
        <f ca="1"/>
        <v>#N/A</v>
      </c>
      <c r="M689" t="e">
        <f ca="1"/>
        <v>#N/A</v>
      </c>
      <c r="N689" t="e">
        <f ca="1"/>
        <v>#N/A</v>
      </c>
      <c r="O689" t="e">
        <f ca="1"/>
        <v>#N/A</v>
      </c>
      <c r="P689" t="e">
        <f ca="1"/>
        <v>#N/A</v>
      </c>
      <c r="Q689" t="e">
        <f ca="1"/>
        <v>#N/A</v>
      </c>
      <c r="R689" t="e">
        <f ca="1"/>
        <v>#N/A</v>
      </c>
      <c r="S689" t="e">
        <f ca="1"/>
        <v>#N/A</v>
      </c>
      <c r="T689" t="e">
        <f ca="1"/>
        <v>#N/A</v>
      </c>
      <c r="U689" t="e">
        <f ca="1"/>
        <v>#N/A</v>
      </c>
      <c r="V689" t="e">
        <f ca="1"/>
        <v>#N/A</v>
      </c>
      <c r="X689" s="2">
        <f t="shared" ref="X689:X752" ca="1" si="79">IFERROR(J689,$X$5)</f>
        <v>0</v>
      </c>
      <c r="Y689">
        <f t="shared" ref="Y689:Y752" ca="1" si="80">IFERROR(O689,0)</f>
        <v>0</v>
      </c>
      <c r="AA689" s="63" t="e">
        <f t="shared" ref="AA689:AA752" ca="1" si="81">K688+M689+N689+O689</f>
        <v>#N/A</v>
      </c>
      <c r="AB689" s="63" t="e">
        <f t="shared" ref="AB689:AB752" ca="1" si="82">K689+L689+R689</f>
        <v>#N/A</v>
      </c>
      <c r="AC689" s="3" t="e">
        <f t="shared" ref="AC689:AC752" ca="1" si="83">AB689-AA689</f>
        <v>#N/A</v>
      </c>
    </row>
    <row r="690" spans="8:29">
      <c r="H690" t="e">
        <f t="shared" ca="1" si="77"/>
        <v>#N/A</v>
      </c>
      <c r="I690" t="e">
        <f t="shared" ca="1" si="78"/>
        <v>#N/A</v>
      </c>
      <c r="J690" t="e">
        <f ca="1"/>
        <v>#N/A</v>
      </c>
      <c r="K690" t="e">
        <f ca="1"/>
        <v>#N/A</v>
      </c>
      <c r="L690" t="e">
        <f ca="1"/>
        <v>#N/A</v>
      </c>
      <c r="M690" t="e">
        <f ca="1"/>
        <v>#N/A</v>
      </c>
      <c r="N690" t="e">
        <f ca="1"/>
        <v>#N/A</v>
      </c>
      <c r="O690" t="e">
        <f ca="1"/>
        <v>#N/A</v>
      </c>
      <c r="P690" t="e">
        <f ca="1"/>
        <v>#N/A</v>
      </c>
      <c r="Q690" t="e">
        <f ca="1"/>
        <v>#N/A</v>
      </c>
      <c r="R690" t="e">
        <f ca="1"/>
        <v>#N/A</v>
      </c>
      <c r="S690" t="e">
        <f ca="1"/>
        <v>#N/A</v>
      </c>
      <c r="T690" t="e">
        <f ca="1"/>
        <v>#N/A</v>
      </c>
      <c r="U690" t="e">
        <f ca="1"/>
        <v>#N/A</v>
      </c>
      <c r="V690" t="e">
        <f ca="1"/>
        <v>#N/A</v>
      </c>
      <c r="X690" s="2">
        <f t="shared" ca="1" si="79"/>
        <v>0</v>
      </c>
      <c r="Y690">
        <f t="shared" ca="1" si="80"/>
        <v>0</v>
      </c>
      <c r="AA690" s="63" t="e">
        <f t="shared" ca="1" si="81"/>
        <v>#N/A</v>
      </c>
      <c r="AB690" s="63" t="e">
        <f t="shared" ca="1" si="82"/>
        <v>#N/A</v>
      </c>
      <c r="AC690" s="3" t="e">
        <f t="shared" ca="1" si="83"/>
        <v>#N/A</v>
      </c>
    </row>
    <row r="691" spans="8:29">
      <c r="H691" t="e">
        <f t="shared" ca="1" si="77"/>
        <v>#N/A</v>
      </c>
      <c r="I691" t="e">
        <f t="shared" ca="1" si="78"/>
        <v>#N/A</v>
      </c>
      <c r="J691" t="e">
        <f ca="1"/>
        <v>#N/A</v>
      </c>
      <c r="K691" t="e">
        <f ca="1"/>
        <v>#N/A</v>
      </c>
      <c r="L691" t="e">
        <f ca="1"/>
        <v>#N/A</v>
      </c>
      <c r="M691" t="e">
        <f ca="1"/>
        <v>#N/A</v>
      </c>
      <c r="N691" t="e">
        <f ca="1"/>
        <v>#N/A</v>
      </c>
      <c r="O691" t="e">
        <f ca="1"/>
        <v>#N/A</v>
      </c>
      <c r="P691" t="e">
        <f ca="1"/>
        <v>#N/A</v>
      </c>
      <c r="Q691" t="e">
        <f ca="1"/>
        <v>#N/A</v>
      </c>
      <c r="R691" t="e">
        <f ca="1"/>
        <v>#N/A</v>
      </c>
      <c r="S691" t="e">
        <f ca="1"/>
        <v>#N/A</v>
      </c>
      <c r="T691" t="e">
        <f ca="1"/>
        <v>#N/A</v>
      </c>
      <c r="U691" t="e">
        <f ca="1"/>
        <v>#N/A</v>
      </c>
      <c r="V691" t="e">
        <f ca="1"/>
        <v>#N/A</v>
      </c>
      <c r="X691" s="2">
        <f t="shared" ca="1" si="79"/>
        <v>0</v>
      </c>
      <c r="Y691">
        <f t="shared" ca="1" si="80"/>
        <v>0</v>
      </c>
      <c r="AA691" s="63" t="e">
        <f t="shared" ca="1" si="81"/>
        <v>#N/A</v>
      </c>
      <c r="AB691" s="63" t="e">
        <f t="shared" ca="1" si="82"/>
        <v>#N/A</v>
      </c>
      <c r="AC691" s="3" t="e">
        <f t="shared" ca="1" si="83"/>
        <v>#N/A</v>
      </c>
    </row>
    <row r="692" spans="8:29">
      <c r="H692" t="e">
        <f t="shared" ca="1" si="77"/>
        <v>#N/A</v>
      </c>
      <c r="I692" t="e">
        <f t="shared" ca="1" si="78"/>
        <v>#N/A</v>
      </c>
      <c r="J692" t="e">
        <f ca="1"/>
        <v>#N/A</v>
      </c>
      <c r="K692" t="e">
        <f ca="1"/>
        <v>#N/A</v>
      </c>
      <c r="L692" t="e">
        <f ca="1"/>
        <v>#N/A</v>
      </c>
      <c r="M692" t="e">
        <f ca="1"/>
        <v>#N/A</v>
      </c>
      <c r="N692" t="e">
        <f ca="1"/>
        <v>#N/A</v>
      </c>
      <c r="O692" t="e">
        <f ca="1"/>
        <v>#N/A</v>
      </c>
      <c r="P692" t="e">
        <f ca="1"/>
        <v>#N/A</v>
      </c>
      <c r="Q692" t="e">
        <f ca="1"/>
        <v>#N/A</v>
      </c>
      <c r="R692" t="e">
        <f ca="1"/>
        <v>#N/A</v>
      </c>
      <c r="S692" t="e">
        <f ca="1"/>
        <v>#N/A</v>
      </c>
      <c r="T692" t="e">
        <f ca="1"/>
        <v>#N/A</v>
      </c>
      <c r="U692" t="e">
        <f ca="1"/>
        <v>#N/A</v>
      </c>
      <c r="V692" t="e">
        <f ca="1"/>
        <v>#N/A</v>
      </c>
      <c r="X692" s="2">
        <f t="shared" ca="1" si="79"/>
        <v>0</v>
      </c>
      <c r="Y692">
        <f t="shared" ca="1" si="80"/>
        <v>0</v>
      </c>
      <c r="AA692" s="63" t="e">
        <f t="shared" ca="1" si="81"/>
        <v>#N/A</v>
      </c>
      <c r="AB692" s="63" t="e">
        <f t="shared" ca="1" si="82"/>
        <v>#N/A</v>
      </c>
      <c r="AC692" s="3" t="e">
        <f t="shared" ca="1" si="83"/>
        <v>#N/A</v>
      </c>
    </row>
    <row r="693" spans="8:29">
      <c r="H693" t="e">
        <f t="shared" ca="1" si="77"/>
        <v>#N/A</v>
      </c>
      <c r="I693" t="e">
        <f t="shared" ca="1" si="78"/>
        <v>#N/A</v>
      </c>
      <c r="J693" t="e">
        <f ca="1"/>
        <v>#N/A</v>
      </c>
      <c r="K693" t="e">
        <f ca="1"/>
        <v>#N/A</v>
      </c>
      <c r="L693" t="e">
        <f ca="1"/>
        <v>#N/A</v>
      </c>
      <c r="M693" t="e">
        <f ca="1"/>
        <v>#N/A</v>
      </c>
      <c r="N693" t="e">
        <f ca="1"/>
        <v>#N/A</v>
      </c>
      <c r="O693" t="e">
        <f ca="1"/>
        <v>#N/A</v>
      </c>
      <c r="P693" t="e">
        <f ca="1"/>
        <v>#N/A</v>
      </c>
      <c r="Q693" t="e">
        <f ca="1"/>
        <v>#N/A</v>
      </c>
      <c r="R693" t="e">
        <f ca="1"/>
        <v>#N/A</v>
      </c>
      <c r="S693" t="e">
        <f ca="1"/>
        <v>#N/A</v>
      </c>
      <c r="T693" t="e">
        <f ca="1"/>
        <v>#N/A</v>
      </c>
      <c r="U693" t="e">
        <f ca="1"/>
        <v>#N/A</v>
      </c>
      <c r="V693" t="e">
        <f ca="1"/>
        <v>#N/A</v>
      </c>
      <c r="X693" s="2">
        <f t="shared" ca="1" si="79"/>
        <v>0</v>
      </c>
      <c r="Y693">
        <f t="shared" ca="1" si="80"/>
        <v>0</v>
      </c>
      <c r="AA693" s="63" t="e">
        <f t="shared" ca="1" si="81"/>
        <v>#N/A</v>
      </c>
      <c r="AB693" s="63" t="e">
        <f t="shared" ca="1" si="82"/>
        <v>#N/A</v>
      </c>
      <c r="AC693" s="3" t="e">
        <f t="shared" ca="1" si="83"/>
        <v>#N/A</v>
      </c>
    </row>
    <row r="694" spans="8:29">
      <c r="H694" t="e">
        <f t="shared" ca="1" si="77"/>
        <v>#N/A</v>
      </c>
      <c r="I694" t="e">
        <f t="shared" ca="1" si="78"/>
        <v>#N/A</v>
      </c>
      <c r="J694" t="e">
        <f ca="1"/>
        <v>#N/A</v>
      </c>
      <c r="K694" t="e">
        <f ca="1"/>
        <v>#N/A</v>
      </c>
      <c r="L694" t="e">
        <f ca="1"/>
        <v>#N/A</v>
      </c>
      <c r="M694" t="e">
        <f ca="1"/>
        <v>#N/A</v>
      </c>
      <c r="N694" t="e">
        <f ca="1"/>
        <v>#N/A</v>
      </c>
      <c r="O694" t="e">
        <f ca="1"/>
        <v>#N/A</v>
      </c>
      <c r="P694" t="e">
        <f ca="1"/>
        <v>#N/A</v>
      </c>
      <c r="Q694" t="e">
        <f ca="1"/>
        <v>#N/A</v>
      </c>
      <c r="R694" t="e">
        <f ca="1"/>
        <v>#N/A</v>
      </c>
      <c r="S694" t="e">
        <f ca="1"/>
        <v>#N/A</v>
      </c>
      <c r="T694" t="e">
        <f ca="1"/>
        <v>#N/A</v>
      </c>
      <c r="U694" t="e">
        <f ca="1"/>
        <v>#N/A</v>
      </c>
      <c r="V694" t="e">
        <f ca="1"/>
        <v>#N/A</v>
      </c>
      <c r="X694" s="2">
        <f t="shared" ca="1" si="79"/>
        <v>0</v>
      </c>
      <c r="Y694">
        <f t="shared" ca="1" si="80"/>
        <v>0</v>
      </c>
      <c r="AA694" s="63" t="e">
        <f t="shared" ca="1" si="81"/>
        <v>#N/A</v>
      </c>
      <c r="AB694" s="63" t="e">
        <f t="shared" ca="1" si="82"/>
        <v>#N/A</v>
      </c>
      <c r="AC694" s="3" t="e">
        <f t="shared" ca="1" si="83"/>
        <v>#N/A</v>
      </c>
    </row>
    <row r="695" spans="8:29">
      <c r="H695" t="e">
        <f t="shared" ca="1" si="77"/>
        <v>#N/A</v>
      </c>
      <c r="I695" t="e">
        <f t="shared" ca="1" si="78"/>
        <v>#N/A</v>
      </c>
      <c r="J695" t="e">
        <f ca="1"/>
        <v>#N/A</v>
      </c>
      <c r="K695" t="e">
        <f ca="1"/>
        <v>#N/A</v>
      </c>
      <c r="L695" t="e">
        <f ca="1"/>
        <v>#N/A</v>
      </c>
      <c r="M695" t="e">
        <f ca="1"/>
        <v>#N/A</v>
      </c>
      <c r="N695" t="e">
        <f ca="1"/>
        <v>#N/A</v>
      </c>
      <c r="O695" t="e">
        <f ca="1"/>
        <v>#N/A</v>
      </c>
      <c r="P695" t="e">
        <f ca="1"/>
        <v>#N/A</v>
      </c>
      <c r="Q695" t="e">
        <f ca="1"/>
        <v>#N/A</v>
      </c>
      <c r="R695" t="e">
        <f ca="1"/>
        <v>#N/A</v>
      </c>
      <c r="S695" t="e">
        <f ca="1"/>
        <v>#N/A</v>
      </c>
      <c r="T695" t="e">
        <f ca="1"/>
        <v>#N/A</v>
      </c>
      <c r="U695" t="e">
        <f ca="1"/>
        <v>#N/A</v>
      </c>
      <c r="V695" t="e">
        <f ca="1"/>
        <v>#N/A</v>
      </c>
      <c r="X695" s="2">
        <f t="shared" ca="1" si="79"/>
        <v>0</v>
      </c>
      <c r="Y695">
        <f t="shared" ca="1" si="80"/>
        <v>0</v>
      </c>
      <c r="AA695" s="63" t="e">
        <f t="shared" ca="1" si="81"/>
        <v>#N/A</v>
      </c>
      <c r="AB695" s="63" t="e">
        <f t="shared" ca="1" si="82"/>
        <v>#N/A</v>
      </c>
      <c r="AC695" s="3" t="e">
        <f t="shared" ca="1" si="83"/>
        <v>#N/A</v>
      </c>
    </row>
    <row r="696" spans="8:29">
      <c r="H696" t="e">
        <f t="shared" ca="1" si="77"/>
        <v>#N/A</v>
      </c>
      <c r="I696" t="e">
        <f t="shared" ca="1" si="78"/>
        <v>#N/A</v>
      </c>
      <c r="J696" t="e">
        <f ca="1"/>
        <v>#N/A</v>
      </c>
      <c r="K696" t="e">
        <f ca="1"/>
        <v>#N/A</v>
      </c>
      <c r="L696" t="e">
        <f ca="1"/>
        <v>#N/A</v>
      </c>
      <c r="M696" t="e">
        <f ca="1"/>
        <v>#N/A</v>
      </c>
      <c r="N696" t="e">
        <f ca="1"/>
        <v>#N/A</v>
      </c>
      <c r="O696" t="e">
        <f ca="1"/>
        <v>#N/A</v>
      </c>
      <c r="P696" t="e">
        <f ca="1"/>
        <v>#N/A</v>
      </c>
      <c r="Q696" t="e">
        <f ca="1"/>
        <v>#N/A</v>
      </c>
      <c r="R696" t="e">
        <f ca="1"/>
        <v>#N/A</v>
      </c>
      <c r="S696" t="e">
        <f ca="1"/>
        <v>#N/A</v>
      </c>
      <c r="T696" t="e">
        <f ca="1"/>
        <v>#N/A</v>
      </c>
      <c r="U696" t="e">
        <f ca="1"/>
        <v>#N/A</v>
      </c>
      <c r="V696" t="e">
        <f ca="1"/>
        <v>#N/A</v>
      </c>
      <c r="X696" s="2">
        <f t="shared" ca="1" si="79"/>
        <v>0</v>
      </c>
      <c r="Y696">
        <f t="shared" ca="1" si="80"/>
        <v>0</v>
      </c>
      <c r="AA696" s="63" t="e">
        <f t="shared" ca="1" si="81"/>
        <v>#N/A</v>
      </c>
      <c r="AB696" s="63" t="e">
        <f t="shared" ca="1" si="82"/>
        <v>#N/A</v>
      </c>
      <c r="AC696" s="3" t="e">
        <f t="shared" ca="1" si="83"/>
        <v>#N/A</v>
      </c>
    </row>
    <row r="697" spans="8:29">
      <c r="H697" t="e">
        <f t="shared" ca="1" si="77"/>
        <v>#N/A</v>
      </c>
      <c r="I697" t="e">
        <f t="shared" ca="1" si="78"/>
        <v>#N/A</v>
      </c>
      <c r="J697" t="e">
        <f ca="1"/>
        <v>#N/A</v>
      </c>
      <c r="K697" t="e">
        <f ca="1"/>
        <v>#N/A</v>
      </c>
      <c r="L697" t="e">
        <f ca="1"/>
        <v>#N/A</v>
      </c>
      <c r="M697" t="e">
        <f ca="1"/>
        <v>#N/A</v>
      </c>
      <c r="N697" t="e">
        <f ca="1"/>
        <v>#N/A</v>
      </c>
      <c r="O697" t="e">
        <f ca="1"/>
        <v>#N/A</v>
      </c>
      <c r="P697" t="e">
        <f ca="1"/>
        <v>#N/A</v>
      </c>
      <c r="Q697" t="e">
        <f ca="1"/>
        <v>#N/A</v>
      </c>
      <c r="R697" t="e">
        <f ca="1"/>
        <v>#N/A</v>
      </c>
      <c r="S697" t="e">
        <f ca="1"/>
        <v>#N/A</v>
      </c>
      <c r="T697" t="e">
        <f ca="1"/>
        <v>#N/A</v>
      </c>
      <c r="U697" t="e">
        <f ca="1"/>
        <v>#N/A</v>
      </c>
      <c r="V697" t="e">
        <f ca="1"/>
        <v>#N/A</v>
      </c>
      <c r="X697" s="2">
        <f t="shared" ca="1" si="79"/>
        <v>0</v>
      </c>
      <c r="Y697">
        <f t="shared" ca="1" si="80"/>
        <v>0</v>
      </c>
      <c r="AA697" s="63" t="e">
        <f t="shared" ca="1" si="81"/>
        <v>#N/A</v>
      </c>
      <c r="AB697" s="63" t="e">
        <f t="shared" ca="1" si="82"/>
        <v>#N/A</v>
      </c>
      <c r="AC697" s="3" t="e">
        <f t="shared" ca="1" si="83"/>
        <v>#N/A</v>
      </c>
    </row>
    <row r="698" spans="8:29">
      <c r="H698" t="e">
        <f t="shared" ca="1" si="77"/>
        <v>#N/A</v>
      </c>
      <c r="I698" t="e">
        <f t="shared" ca="1" si="78"/>
        <v>#N/A</v>
      </c>
      <c r="J698" t="e">
        <f ca="1"/>
        <v>#N/A</v>
      </c>
      <c r="K698" t="e">
        <f ca="1"/>
        <v>#N/A</v>
      </c>
      <c r="L698" t="e">
        <f ca="1"/>
        <v>#N/A</v>
      </c>
      <c r="M698" t="e">
        <f ca="1"/>
        <v>#N/A</v>
      </c>
      <c r="N698" t="e">
        <f ca="1"/>
        <v>#N/A</v>
      </c>
      <c r="O698" t="e">
        <f ca="1"/>
        <v>#N/A</v>
      </c>
      <c r="P698" t="e">
        <f ca="1"/>
        <v>#N/A</v>
      </c>
      <c r="Q698" t="e">
        <f ca="1"/>
        <v>#N/A</v>
      </c>
      <c r="R698" t="e">
        <f ca="1"/>
        <v>#N/A</v>
      </c>
      <c r="S698" t="e">
        <f ca="1"/>
        <v>#N/A</v>
      </c>
      <c r="T698" t="e">
        <f ca="1"/>
        <v>#N/A</v>
      </c>
      <c r="U698" t="e">
        <f ca="1"/>
        <v>#N/A</v>
      </c>
      <c r="V698" t="e">
        <f ca="1"/>
        <v>#N/A</v>
      </c>
      <c r="X698" s="2">
        <f t="shared" ca="1" si="79"/>
        <v>0</v>
      </c>
      <c r="Y698">
        <f t="shared" ca="1" si="80"/>
        <v>0</v>
      </c>
      <c r="AA698" s="63" t="e">
        <f t="shared" ca="1" si="81"/>
        <v>#N/A</v>
      </c>
      <c r="AB698" s="63" t="e">
        <f t="shared" ca="1" si="82"/>
        <v>#N/A</v>
      </c>
      <c r="AC698" s="3" t="e">
        <f t="shared" ca="1" si="83"/>
        <v>#N/A</v>
      </c>
    </row>
    <row r="699" spans="8:29">
      <c r="H699" t="e">
        <f t="shared" ca="1" si="77"/>
        <v>#N/A</v>
      </c>
      <c r="I699" t="e">
        <f t="shared" ca="1" si="78"/>
        <v>#N/A</v>
      </c>
      <c r="J699" t="e">
        <f ca="1"/>
        <v>#N/A</v>
      </c>
      <c r="K699" t="e">
        <f ca="1"/>
        <v>#N/A</v>
      </c>
      <c r="L699" t="e">
        <f ca="1"/>
        <v>#N/A</v>
      </c>
      <c r="M699" t="e">
        <f ca="1"/>
        <v>#N/A</v>
      </c>
      <c r="N699" t="e">
        <f ca="1"/>
        <v>#N/A</v>
      </c>
      <c r="O699" t="e">
        <f ca="1"/>
        <v>#N/A</v>
      </c>
      <c r="P699" t="e">
        <f ca="1"/>
        <v>#N/A</v>
      </c>
      <c r="Q699" t="e">
        <f ca="1"/>
        <v>#N/A</v>
      </c>
      <c r="R699" t="e">
        <f ca="1"/>
        <v>#N/A</v>
      </c>
      <c r="S699" t="e">
        <f ca="1"/>
        <v>#N/A</v>
      </c>
      <c r="T699" t="e">
        <f ca="1"/>
        <v>#N/A</v>
      </c>
      <c r="U699" t="e">
        <f ca="1"/>
        <v>#N/A</v>
      </c>
      <c r="V699" t="e">
        <f ca="1"/>
        <v>#N/A</v>
      </c>
      <c r="X699" s="2">
        <f t="shared" ca="1" si="79"/>
        <v>0</v>
      </c>
      <c r="Y699">
        <f t="shared" ca="1" si="80"/>
        <v>0</v>
      </c>
      <c r="AA699" s="63" t="e">
        <f t="shared" ca="1" si="81"/>
        <v>#N/A</v>
      </c>
      <c r="AB699" s="63" t="e">
        <f t="shared" ca="1" si="82"/>
        <v>#N/A</v>
      </c>
      <c r="AC699" s="3" t="e">
        <f t="shared" ca="1" si="83"/>
        <v>#N/A</v>
      </c>
    </row>
    <row r="700" spans="8:29">
      <c r="H700" t="e">
        <f t="shared" ca="1" si="77"/>
        <v>#N/A</v>
      </c>
      <c r="I700" t="e">
        <f t="shared" ca="1" si="78"/>
        <v>#N/A</v>
      </c>
      <c r="J700" t="e">
        <f ca="1"/>
        <v>#N/A</v>
      </c>
      <c r="K700" t="e">
        <f ca="1"/>
        <v>#N/A</v>
      </c>
      <c r="L700" t="e">
        <f ca="1"/>
        <v>#N/A</v>
      </c>
      <c r="M700" t="e">
        <f ca="1"/>
        <v>#N/A</v>
      </c>
      <c r="N700" t="e">
        <f ca="1"/>
        <v>#N/A</v>
      </c>
      <c r="O700" t="e">
        <f ca="1"/>
        <v>#N/A</v>
      </c>
      <c r="P700" t="e">
        <f ca="1"/>
        <v>#N/A</v>
      </c>
      <c r="Q700" t="e">
        <f ca="1"/>
        <v>#N/A</v>
      </c>
      <c r="R700" t="e">
        <f ca="1"/>
        <v>#N/A</v>
      </c>
      <c r="S700" t="e">
        <f ca="1"/>
        <v>#N/A</v>
      </c>
      <c r="T700" t="e">
        <f ca="1"/>
        <v>#N/A</v>
      </c>
      <c r="U700" t="e">
        <f ca="1"/>
        <v>#N/A</v>
      </c>
      <c r="V700" t="e">
        <f ca="1"/>
        <v>#N/A</v>
      </c>
      <c r="X700" s="2">
        <f t="shared" ca="1" si="79"/>
        <v>0</v>
      </c>
      <c r="Y700">
        <f t="shared" ca="1" si="80"/>
        <v>0</v>
      </c>
      <c r="AA700" s="63" t="e">
        <f t="shared" ca="1" si="81"/>
        <v>#N/A</v>
      </c>
      <c r="AB700" s="63" t="e">
        <f t="shared" ca="1" si="82"/>
        <v>#N/A</v>
      </c>
      <c r="AC700" s="3" t="e">
        <f t="shared" ca="1" si="83"/>
        <v>#N/A</v>
      </c>
    </row>
    <row r="701" spans="8:29">
      <c r="H701" t="e">
        <f t="shared" ca="1" si="77"/>
        <v>#N/A</v>
      </c>
      <c r="I701" t="e">
        <f t="shared" ca="1" si="78"/>
        <v>#N/A</v>
      </c>
      <c r="J701" t="e">
        <f ca="1"/>
        <v>#N/A</v>
      </c>
      <c r="K701" t="e">
        <f ca="1"/>
        <v>#N/A</v>
      </c>
      <c r="L701" t="e">
        <f ca="1"/>
        <v>#N/A</v>
      </c>
      <c r="M701" t="e">
        <f ca="1"/>
        <v>#N/A</v>
      </c>
      <c r="N701" t="e">
        <f ca="1"/>
        <v>#N/A</v>
      </c>
      <c r="O701" t="e">
        <f ca="1"/>
        <v>#N/A</v>
      </c>
      <c r="P701" t="e">
        <f ca="1"/>
        <v>#N/A</v>
      </c>
      <c r="Q701" t="e">
        <f ca="1"/>
        <v>#N/A</v>
      </c>
      <c r="R701" t="e">
        <f ca="1"/>
        <v>#N/A</v>
      </c>
      <c r="S701" t="e">
        <f ca="1"/>
        <v>#N/A</v>
      </c>
      <c r="T701" t="e">
        <f ca="1"/>
        <v>#N/A</v>
      </c>
      <c r="U701" t="e">
        <f ca="1"/>
        <v>#N/A</v>
      </c>
      <c r="V701" t="e">
        <f ca="1"/>
        <v>#N/A</v>
      </c>
      <c r="X701" s="2">
        <f t="shared" ca="1" si="79"/>
        <v>0</v>
      </c>
      <c r="Y701">
        <f t="shared" ca="1" si="80"/>
        <v>0</v>
      </c>
      <c r="AA701" s="63" t="e">
        <f t="shared" ca="1" si="81"/>
        <v>#N/A</v>
      </c>
      <c r="AB701" s="63" t="e">
        <f t="shared" ca="1" si="82"/>
        <v>#N/A</v>
      </c>
      <c r="AC701" s="3" t="e">
        <f t="shared" ca="1" si="83"/>
        <v>#N/A</v>
      </c>
    </row>
    <row r="702" spans="8:29">
      <c r="H702" t="e">
        <f t="shared" ca="1" si="77"/>
        <v>#N/A</v>
      </c>
      <c r="I702" t="e">
        <f t="shared" ca="1" si="78"/>
        <v>#N/A</v>
      </c>
      <c r="J702" t="e">
        <f ca="1"/>
        <v>#N/A</v>
      </c>
      <c r="K702" t="e">
        <f ca="1"/>
        <v>#N/A</v>
      </c>
      <c r="L702" t="e">
        <f ca="1"/>
        <v>#N/A</v>
      </c>
      <c r="M702" t="e">
        <f ca="1"/>
        <v>#N/A</v>
      </c>
      <c r="N702" t="e">
        <f ca="1"/>
        <v>#N/A</v>
      </c>
      <c r="O702" t="e">
        <f ca="1"/>
        <v>#N/A</v>
      </c>
      <c r="P702" t="e">
        <f ca="1"/>
        <v>#N/A</v>
      </c>
      <c r="Q702" t="e">
        <f ca="1"/>
        <v>#N/A</v>
      </c>
      <c r="R702" t="e">
        <f ca="1"/>
        <v>#N/A</v>
      </c>
      <c r="S702" t="e">
        <f ca="1"/>
        <v>#N/A</v>
      </c>
      <c r="T702" t="e">
        <f ca="1"/>
        <v>#N/A</v>
      </c>
      <c r="U702" t="e">
        <f ca="1"/>
        <v>#N/A</v>
      </c>
      <c r="V702" t="e">
        <f ca="1"/>
        <v>#N/A</v>
      </c>
      <c r="X702" s="2">
        <f t="shared" ca="1" si="79"/>
        <v>0</v>
      </c>
      <c r="Y702">
        <f t="shared" ca="1" si="80"/>
        <v>0</v>
      </c>
      <c r="AA702" s="63" t="e">
        <f t="shared" ca="1" si="81"/>
        <v>#N/A</v>
      </c>
      <c r="AB702" s="63" t="e">
        <f t="shared" ca="1" si="82"/>
        <v>#N/A</v>
      </c>
      <c r="AC702" s="3" t="e">
        <f t="shared" ca="1" si="83"/>
        <v>#N/A</v>
      </c>
    </row>
    <row r="703" spans="8:29">
      <c r="H703" t="e">
        <f t="shared" ca="1" si="77"/>
        <v>#N/A</v>
      </c>
      <c r="I703" t="e">
        <f t="shared" ca="1" si="78"/>
        <v>#N/A</v>
      </c>
      <c r="J703" t="e">
        <f ca="1"/>
        <v>#N/A</v>
      </c>
      <c r="K703" t="e">
        <f ca="1"/>
        <v>#N/A</v>
      </c>
      <c r="L703" t="e">
        <f ca="1"/>
        <v>#N/A</v>
      </c>
      <c r="M703" t="e">
        <f ca="1"/>
        <v>#N/A</v>
      </c>
      <c r="N703" t="e">
        <f ca="1"/>
        <v>#N/A</v>
      </c>
      <c r="O703" t="e">
        <f ca="1"/>
        <v>#N/A</v>
      </c>
      <c r="P703" t="e">
        <f ca="1"/>
        <v>#N/A</v>
      </c>
      <c r="Q703" t="e">
        <f ca="1"/>
        <v>#N/A</v>
      </c>
      <c r="R703" t="e">
        <f ca="1"/>
        <v>#N/A</v>
      </c>
      <c r="S703" t="e">
        <f ca="1"/>
        <v>#N/A</v>
      </c>
      <c r="T703" t="e">
        <f ca="1"/>
        <v>#N/A</v>
      </c>
      <c r="U703" t="e">
        <f ca="1"/>
        <v>#N/A</v>
      </c>
      <c r="V703" t="e">
        <f ca="1"/>
        <v>#N/A</v>
      </c>
      <c r="X703" s="2">
        <f t="shared" ca="1" si="79"/>
        <v>0</v>
      </c>
      <c r="Y703">
        <f t="shared" ca="1" si="80"/>
        <v>0</v>
      </c>
      <c r="AA703" s="63" t="e">
        <f t="shared" ca="1" si="81"/>
        <v>#N/A</v>
      </c>
      <c r="AB703" s="63" t="e">
        <f t="shared" ca="1" si="82"/>
        <v>#N/A</v>
      </c>
      <c r="AC703" s="3" t="e">
        <f t="shared" ca="1" si="83"/>
        <v>#N/A</v>
      </c>
    </row>
    <row r="704" spans="8:29">
      <c r="H704" t="e">
        <f t="shared" ca="1" si="77"/>
        <v>#N/A</v>
      </c>
      <c r="I704" t="e">
        <f t="shared" ca="1" si="78"/>
        <v>#N/A</v>
      </c>
      <c r="J704" t="e">
        <f ca="1"/>
        <v>#N/A</v>
      </c>
      <c r="K704" t="e">
        <f ca="1"/>
        <v>#N/A</v>
      </c>
      <c r="L704" t="e">
        <f ca="1"/>
        <v>#N/A</v>
      </c>
      <c r="M704" t="e">
        <f ca="1"/>
        <v>#N/A</v>
      </c>
      <c r="N704" t="e">
        <f ca="1"/>
        <v>#N/A</v>
      </c>
      <c r="O704" t="e">
        <f ca="1"/>
        <v>#N/A</v>
      </c>
      <c r="P704" t="e">
        <f ca="1"/>
        <v>#N/A</v>
      </c>
      <c r="Q704" t="e">
        <f ca="1"/>
        <v>#N/A</v>
      </c>
      <c r="R704" t="e">
        <f ca="1"/>
        <v>#N/A</v>
      </c>
      <c r="S704" t="e">
        <f ca="1"/>
        <v>#N/A</v>
      </c>
      <c r="T704" t="e">
        <f ca="1"/>
        <v>#N/A</v>
      </c>
      <c r="U704" t="e">
        <f ca="1"/>
        <v>#N/A</v>
      </c>
      <c r="V704" t="e">
        <f ca="1"/>
        <v>#N/A</v>
      </c>
      <c r="X704" s="2">
        <f t="shared" ca="1" si="79"/>
        <v>0</v>
      </c>
      <c r="Y704">
        <f t="shared" ca="1" si="80"/>
        <v>0</v>
      </c>
      <c r="AA704" s="63" t="e">
        <f t="shared" ca="1" si="81"/>
        <v>#N/A</v>
      </c>
      <c r="AB704" s="63" t="e">
        <f t="shared" ca="1" si="82"/>
        <v>#N/A</v>
      </c>
      <c r="AC704" s="3" t="e">
        <f t="shared" ca="1" si="83"/>
        <v>#N/A</v>
      </c>
    </row>
    <row r="705" spans="8:29">
      <c r="H705" t="e">
        <f t="shared" ca="1" si="77"/>
        <v>#N/A</v>
      </c>
      <c r="I705" t="e">
        <f t="shared" ca="1" si="78"/>
        <v>#N/A</v>
      </c>
      <c r="J705" t="e">
        <f ca="1"/>
        <v>#N/A</v>
      </c>
      <c r="K705" t="e">
        <f ca="1"/>
        <v>#N/A</v>
      </c>
      <c r="L705" t="e">
        <f ca="1"/>
        <v>#N/A</v>
      </c>
      <c r="M705" t="e">
        <f ca="1"/>
        <v>#N/A</v>
      </c>
      <c r="N705" t="e">
        <f ca="1"/>
        <v>#N/A</v>
      </c>
      <c r="O705" t="e">
        <f ca="1"/>
        <v>#N/A</v>
      </c>
      <c r="P705" t="e">
        <f ca="1"/>
        <v>#N/A</v>
      </c>
      <c r="Q705" t="e">
        <f ca="1"/>
        <v>#N/A</v>
      </c>
      <c r="R705" t="e">
        <f ca="1"/>
        <v>#N/A</v>
      </c>
      <c r="S705" t="e">
        <f ca="1"/>
        <v>#N/A</v>
      </c>
      <c r="T705" t="e">
        <f ca="1"/>
        <v>#N/A</v>
      </c>
      <c r="U705" t="e">
        <f ca="1"/>
        <v>#N/A</v>
      </c>
      <c r="V705" t="e">
        <f ca="1"/>
        <v>#N/A</v>
      </c>
      <c r="X705" s="2">
        <f t="shared" ca="1" si="79"/>
        <v>0</v>
      </c>
      <c r="Y705">
        <f t="shared" ca="1" si="80"/>
        <v>0</v>
      </c>
      <c r="AA705" s="63" t="e">
        <f t="shared" ca="1" si="81"/>
        <v>#N/A</v>
      </c>
      <c r="AB705" s="63" t="e">
        <f t="shared" ca="1" si="82"/>
        <v>#N/A</v>
      </c>
      <c r="AC705" s="3" t="e">
        <f t="shared" ca="1" si="83"/>
        <v>#N/A</v>
      </c>
    </row>
    <row r="706" spans="8:29">
      <c r="H706" t="e">
        <f t="shared" ca="1" si="77"/>
        <v>#N/A</v>
      </c>
      <c r="I706" t="e">
        <f t="shared" ca="1" si="78"/>
        <v>#N/A</v>
      </c>
      <c r="J706" t="e">
        <f ca="1"/>
        <v>#N/A</v>
      </c>
      <c r="K706" t="e">
        <f ca="1"/>
        <v>#N/A</v>
      </c>
      <c r="L706" t="e">
        <f ca="1"/>
        <v>#N/A</v>
      </c>
      <c r="M706" t="e">
        <f ca="1"/>
        <v>#N/A</v>
      </c>
      <c r="N706" t="e">
        <f ca="1"/>
        <v>#N/A</v>
      </c>
      <c r="O706" t="e">
        <f ca="1"/>
        <v>#N/A</v>
      </c>
      <c r="P706" t="e">
        <f ca="1"/>
        <v>#N/A</v>
      </c>
      <c r="Q706" t="e">
        <f ca="1"/>
        <v>#N/A</v>
      </c>
      <c r="R706" t="e">
        <f ca="1"/>
        <v>#N/A</v>
      </c>
      <c r="S706" t="e">
        <f ca="1"/>
        <v>#N/A</v>
      </c>
      <c r="T706" t="e">
        <f ca="1"/>
        <v>#N/A</v>
      </c>
      <c r="U706" t="e">
        <f ca="1"/>
        <v>#N/A</v>
      </c>
      <c r="V706" t="e">
        <f ca="1"/>
        <v>#N/A</v>
      </c>
      <c r="X706" s="2">
        <f t="shared" ca="1" si="79"/>
        <v>0</v>
      </c>
      <c r="Y706">
        <f t="shared" ca="1" si="80"/>
        <v>0</v>
      </c>
      <c r="AA706" s="63" t="e">
        <f t="shared" ca="1" si="81"/>
        <v>#N/A</v>
      </c>
      <c r="AB706" s="63" t="e">
        <f t="shared" ca="1" si="82"/>
        <v>#N/A</v>
      </c>
      <c r="AC706" s="3" t="e">
        <f t="shared" ca="1" si="83"/>
        <v>#N/A</v>
      </c>
    </row>
    <row r="707" spans="8:29">
      <c r="H707" t="e">
        <f t="shared" ca="1" si="77"/>
        <v>#N/A</v>
      </c>
      <c r="I707" t="e">
        <f t="shared" ca="1" si="78"/>
        <v>#N/A</v>
      </c>
      <c r="J707" t="e">
        <f ca="1"/>
        <v>#N/A</v>
      </c>
      <c r="K707" t="e">
        <f ca="1"/>
        <v>#N/A</v>
      </c>
      <c r="L707" t="e">
        <f ca="1"/>
        <v>#N/A</v>
      </c>
      <c r="M707" t="e">
        <f ca="1"/>
        <v>#N/A</v>
      </c>
      <c r="N707" t="e">
        <f ca="1"/>
        <v>#N/A</v>
      </c>
      <c r="O707" t="e">
        <f ca="1"/>
        <v>#N/A</v>
      </c>
      <c r="P707" t="e">
        <f ca="1"/>
        <v>#N/A</v>
      </c>
      <c r="Q707" t="e">
        <f ca="1"/>
        <v>#N/A</v>
      </c>
      <c r="R707" t="e">
        <f ca="1"/>
        <v>#N/A</v>
      </c>
      <c r="S707" t="e">
        <f ca="1"/>
        <v>#N/A</v>
      </c>
      <c r="T707" t="e">
        <f ca="1"/>
        <v>#N/A</v>
      </c>
      <c r="U707" t="e">
        <f ca="1"/>
        <v>#N/A</v>
      </c>
      <c r="V707" t="e">
        <f ca="1"/>
        <v>#N/A</v>
      </c>
      <c r="X707" s="2">
        <f t="shared" ca="1" si="79"/>
        <v>0</v>
      </c>
      <c r="Y707">
        <f t="shared" ca="1" si="80"/>
        <v>0</v>
      </c>
      <c r="AA707" s="63" t="e">
        <f t="shared" ca="1" si="81"/>
        <v>#N/A</v>
      </c>
      <c r="AB707" s="63" t="e">
        <f t="shared" ca="1" si="82"/>
        <v>#N/A</v>
      </c>
      <c r="AC707" s="3" t="e">
        <f t="shared" ca="1" si="83"/>
        <v>#N/A</v>
      </c>
    </row>
    <row r="708" spans="8:29">
      <c r="H708" t="e">
        <f t="shared" ca="1" si="77"/>
        <v>#N/A</v>
      </c>
      <c r="I708" t="e">
        <f t="shared" ca="1" si="78"/>
        <v>#N/A</v>
      </c>
      <c r="J708" t="e">
        <f ca="1"/>
        <v>#N/A</v>
      </c>
      <c r="K708" t="e">
        <f ca="1"/>
        <v>#N/A</v>
      </c>
      <c r="L708" t="e">
        <f ca="1"/>
        <v>#N/A</v>
      </c>
      <c r="M708" t="e">
        <f ca="1"/>
        <v>#N/A</v>
      </c>
      <c r="N708" t="e">
        <f ca="1"/>
        <v>#N/A</v>
      </c>
      <c r="O708" t="e">
        <f ca="1"/>
        <v>#N/A</v>
      </c>
      <c r="P708" t="e">
        <f ca="1"/>
        <v>#N/A</v>
      </c>
      <c r="Q708" t="e">
        <f ca="1"/>
        <v>#N/A</v>
      </c>
      <c r="R708" t="e">
        <f ca="1"/>
        <v>#N/A</v>
      </c>
      <c r="S708" t="e">
        <f ca="1"/>
        <v>#N/A</v>
      </c>
      <c r="T708" t="e">
        <f ca="1"/>
        <v>#N/A</v>
      </c>
      <c r="U708" t="e">
        <f ca="1"/>
        <v>#N/A</v>
      </c>
      <c r="V708" t="e">
        <f ca="1"/>
        <v>#N/A</v>
      </c>
      <c r="X708" s="2">
        <f t="shared" ca="1" si="79"/>
        <v>0</v>
      </c>
      <c r="Y708">
        <f t="shared" ca="1" si="80"/>
        <v>0</v>
      </c>
      <c r="AA708" s="63" t="e">
        <f t="shared" ca="1" si="81"/>
        <v>#N/A</v>
      </c>
      <c r="AB708" s="63" t="e">
        <f t="shared" ca="1" si="82"/>
        <v>#N/A</v>
      </c>
      <c r="AC708" s="3" t="e">
        <f t="shared" ca="1" si="83"/>
        <v>#N/A</v>
      </c>
    </row>
    <row r="709" spans="8:29">
      <c r="H709" t="e">
        <f t="shared" ca="1" si="77"/>
        <v>#N/A</v>
      </c>
      <c r="I709" t="e">
        <f t="shared" ca="1" si="78"/>
        <v>#N/A</v>
      </c>
      <c r="J709" t="e">
        <f ca="1"/>
        <v>#N/A</v>
      </c>
      <c r="K709" t="e">
        <f ca="1"/>
        <v>#N/A</v>
      </c>
      <c r="L709" t="e">
        <f ca="1"/>
        <v>#N/A</v>
      </c>
      <c r="M709" t="e">
        <f ca="1"/>
        <v>#N/A</v>
      </c>
      <c r="N709" t="e">
        <f ca="1"/>
        <v>#N/A</v>
      </c>
      <c r="O709" t="e">
        <f ca="1"/>
        <v>#N/A</v>
      </c>
      <c r="P709" t="e">
        <f ca="1"/>
        <v>#N/A</v>
      </c>
      <c r="Q709" t="e">
        <f ca="1"/>
        <v>#N/A</v>
      </c>
      <c r="R709" t="e">
        <f ca="1"/>
        <v>#N/A</v>
      </c>
      <c r="S709" t="e">
        <f ca="1"/>
        <v>#N/A</v>
      </c>
      <c r="T709" t="e">
        <f ca="1"/>
        <v>#N/A</v>
      </c>
      <c r="U709" t="e">
        <f ca="1"/>
        <v>#N/A</v>
      </c>
      <c r="V709" t="e">
        <f ca="1"/>
        <v>#N/A</v>
      </c>
      <c r="X709" s="2">
        <f t="shared" ca="1" si="79"/>
        <v>0</v>
      </c>
      <c r="Y709">
        <f t="shared" ca="1" si="80"/>
        <v>0</v>
      </c>
      <c r="AA709" s="63" t="e">
        <f t="shared" ca="1" si="81"/>
        <v>#N/A</v>
      </c>
      <c r="AB709" s="63" t="e">
        <f t="shared" ca="1" si="82"/>
        <v>#N/A</v>
      </c>
      <c r="AC709" s="3" t="e">
        <f t="shared" ca="1" si="83"/>
        <v>#N/A</v>
      </c>
    </row>
    <row r="710" spans="8:29">
      <c r="H710" t="e">
        <f t="shared" ca="1" si="77"/>
        <v>#N/A</v>
      </c>
      <c r="I710" t="e">
        <f t="shared" ca="1" si="78"/>
        <v>#N/A</v>
      </c>
      <c r="J710" t="e">
        <f ca="1"/>
        <v>#N/A</v>
      </c>
      <c r="K710" t="e">
        <f ca="1"/>
        <v>#N/A</v>
      </c>
      <c r="L710" t="e">
        <f ca="1"/>
        <v>#N/A</v>
      </c>
      <c r="M710" t="e">
        <f ca="1"/>
        <v>#N/A</v>
      </c>
      <c r="N710" t="e">
        <f ca="1"/>
        <v>#N/A</v>
      </c>
      <c r="O710" t="e">
        <f ca="1"/>
        <v>#N/A</v>
      </c>
      <c r="P710" t="e">
        <f ca="1"/>
        <v>#N/A</v>
      </c>
      <c r="Q710" t="e">
        <f ca="1"/>
        <v>#N/A</v>
      </c>
      <c r="R710" t="e">
        <f ca="1"/>
        <v>#N/A</v>
      </c>
      <c r="S710" t="e">
        <f ca="1"/>
        <v>#N/A</v>
      </c>
      <c r="T710" t="e">
        <f ca="1"/>
        <v>#N/A</v>
      </c>
      <c r="U710" t="e">
        <f ca="1"/>
        <v>#N/A</v>
      </c>
      <c r="V710" t="e">
        <f ca="1"/>
        <v>#N/A</v>
      </c>
      <c r="X710" s="2">
        <f t="shared" ca="1" si="79"/>
        <v>0</v>
      </c>
      <c r="Y710">
        <f t="shared" ca="1" si="80"/>
        <v>0</v>
      </c>
      <c r="AA710" s="63" t="e">
        <f t="shared" ca="1" si="81"/>
        <v>#N/A</v>
      </c>
      <c r="AB710" s="63" t="e">
        <f t="shared" ca="1" si="82"/>
        <v>#N/A</v>
      </c>
      <c r="AC710" s="3" t="e">
        <f t="shared" ca="1" si="83"/>
        <v>#N/A</v>
      </c>
    </row>
    <row r="711" spans="8:29">
      <c r="H711" t="e">
        <f t="shared" ca="1" si="77"/>
        <v>#N/A</v>
      </c>
      <c r="I711" t="e">
        <f t="shared" ca="1" si="78"/>
        <v>#N/A</v>
      </c>
      <c r="J711" t="e">
        <f ca="1"/>
        <v>#N/A</v>
      </c>
      <c r="K711" t="e">
        <f ca="1"/>
        <v>#N/A</v>
      </c>
      <c r="L711" t="e">
        <f ca="1"/>
        <v>#N/A</v>
      </c>
      <c r="M711" t="e">
        <f ca="1"/>
        <v>#N/A</v>
      </c>
      <c r="N711" t="e">
        <f ca="1"/>
        <v>#N/A</v>
      </c>
      <c r="O711" t="e">
        <f ca="1"/>
        <v>#N/A</v>
      </c>
      <c r="P711" t="e">
        <f ca="1"/>
        <v>#N/A</v>
      </c>
      <c r="Q711" t="e">
        <f ca="1"/>
        <v>#N/A</v>
      </c>
      <c r="R711" t="e">
        <f ca="1"/>
        <v>#N/A</v>
      </c>
      <c r="S711" t="e">
        <f ca="1"/>
        <v>#N/A</v>
      </c>
      <c r="T711" t="e">
        <f ca="1"/>
        <v>#N/A</v>
      </c>
      <c r="U711" t="e">
        <f ca="1"/>
        <v>#N/A</v>
      </c>
      <c r="V711" t="e">
        <f ca="1"/>
        <v>#N/A</v>
      </c>
      <c r="X711" s="2">
        <f t="shared" ca="1" si="79"/>
        <v>0</v>
      </c>
      <c r="Y711">
        <f t="shared" ca="1" si="80"/>
        <v>0</v>
      </c>
      <c r="AA711" s="63" t="e">
        <f t="shared" ca="1" si="81"/>
        <v>#N/A</v>
      </c>
      <c r="AB711" s="63" t="e">
        <f t="shared" ca="1" si="82"/>
        <v>#N/A</v>
      </c>
      <c r="AC711" s="3" t="e">
        <f t="shared" ca="1" si="83"/>
        <v>#N/A</v>
      </c>
    </row>
    <row r="712" spans="8:29">
      <c r="H712" t="e">
        <f t="shared" ca="1" si="77"/>
        <v>#N/A</v>
      </c>
      <c r="I712" t="e">
        <f t="shared" ca="1" si="78"/>
        <v>#N/A</v>
      </c>
      <c r="J712" t="e">
        <f ca="1"/>
        <v>#N/A</v>
      </c>
      <c r="K712" t="e">
        <f ca="1"/>
        <v>#N/A</v>
      </c>
      <c r="L712" t="e">
        <f ca="1"/>
        <v>#N/A</v>
      </c>
      <c r="M712" t="e">
        <f ca="1"/>
        <v>#N/A</v>
      </c>
      <c r="N712" t="e">
        <f ca="1"/>
        <v>#N/A</v>
      </c>
      <c r="O712" t="e">
        <f ca="1"/>
        <v>#N/A</v>
      </c>
      <c r="P712" t="e">
        <f ca="1"/>
        <v>#N/A</v>
      </c>
      <c r="Q712" t="e">
        <f ca="1"/>
        <v>#N/A</v>
      </c>
      <c r="R712" t="e">
        <f ca="1"/>
        <v>#N/A</v>
      </c>
      <c r="S712" t="e">
        <f ca="1"/>
        <v>#N/A</v>
      </c>
      <c r="T712" t="e">
        <f ca="1"/>
        <v>#N/A</v>
      </c>
      <c r="U712" t="e">
        <f ca="1"/>
        <v>#N/A</v>
      </c>
      <c r="V712" t="e">
        <f ca="1"/>
        <v>#N/A</v>
      </c>
      <c r="X712" s="2">
        <f t="shared" ca="1" si="79"/>
        <v>0</v>
      </c>
      <c r="Y712">
        <f t="shared" ca="1" si="80"/>
        <v>0</v>
      </c>
      <c r="AA712" s="63" t="e">
        <f t="shared" ca="1" si="81"/>
        <v>#N/A</v>
      </c>
      <c r="AB712" s="63" t="e">
        <f t="shared" ca="1" si="82"/>
        <v>#N/A</v>
      </c>
      <c r="AC712" s="3" t="e">
        <f t="shared" ca="1" si="83"/>
        <v>#N/A</v>
      </c>
    </row>
    <row r="713" spans="8:29">
      <c r="H713" t="e">
        <f t="shared" ca="1" si="77"/>
        <v>#N/A</v>
      </c>
      <c r="I713" t="e">
        <f t="shared" ca="1" si="78"/>
        <v>#N/A</v>
      </c>
      <c r="J713" t="e">
        <f ca="1"/>
        <v>#N/A</v>
      </c>
      <c r="K713" t="e">
        <f ca="1"/>
        <v>#N/A</v>
      </c>
      <c r="L713" t="e">
        <f ca="1"/>
        <v>#N/A</v>
      </c>
      <c r="M713" t="e">
        <f ca="1"/>
        <v>#N/A</v>
      </c>
      <c r="N713" t="e">
        <f ca="1"/>
        <v>#N/A</v>
      </c>
      <c r="O713" t="e">
        <f ca="1"/>
        <v>#N/A</v>
      </c>
      <c r="P713" t="e">
        <f ca="1"/>
        <v>#N/A</v>
      </c>
      <c r="Q713" t="e">
        <f ca="1"/>
        <v>#N/A</v>
      </c>
      <c r="R713" t="e">
        <f ca="1"/>
        <v>#N/A</v>
      </c>
      <c r="S713" t="e">
        <f ca="1"/>
        <v>#N/A</v>
      </c>
      <c r="T713" t="e">
        <f ca="1"/>
        <v>#N/A</v>
      </c>
      <c r="U713" t="e">
        <f ca="1"/>
        <v>#N/A</v>
      </c>
      <c r="V713" t="e">
        <f ca="1"/>
        <v>#N/A</v>
      </c>
      <c r="X713" s="2">
        <f t="shared" ca="1" si="79"/>
        <v>0</v>
      </c>
      <c r="Y713">
        <f t="shared" ca="1" si="80"/>
        <v>0</v>
      </c>
      <c r="AA713" s="63" t="e">
        <f t="shared" ca="1" si="81"/>
        <v>#N/A</v>
      </c>
      <c r="AB713" s="63" t="e">
        <f t="shared" ca="1" si="82"/>
        <v>#N/A</v>
      </c>
      <c r="AC713" s="3" t="e">
        <f t="shared" ca="1" si="83"/>
        <v>#N/A</v>
      </c>
    </row>
    <row r="714" spans="8:29">
      <c r="H714" t="e">
        <f t="shared" ca="1" si="77"/>
        <v>#N/A</v>
      </c>
      <c r="I714" t="e">
        <f t="shared" ca="1" si="78"/>
        <v>#N/A</v>
      </c>
      <c r="J714" t="e">
        <f ca="1"/>
        <v>#N/A</v>
      </c>
      <c r="K714" t="e">
        <f ca="1"/>
        <v>#N/A</v>
      </c>
      <c r="L714" t="e">
        <f ca="1"/>
        <v>#N/A</v>
      </c>
      <c r="M714" t="e">
        <f ca="1"/>
        <v>#N/A</v>
      </c>
      <c r="N714" t="e">
        <f ca="1"/>
        <v>#N/A</v>
      </c>
      <c r="O714" t="e">
        <f ca="1"/>
        <v>#N/A</v>
      </c>
      <c r="P714" t="e">
        <f ca="1"/>
        <v>#N/A</v>
      </c>
      <c r="Q714" t="e">
        <f ca="1"/>
        <v>#N/A</v>
      </c>
      <c r="R714" t="e">
        <f ca="1"/>
        <v>#N/A</v>
      </c>
      <c r="S714" t="e">
        <f ca="1"/>
        <v>#N/A</v>
      </c>
      <c r="T714" t="e">
        <f ca="1"/>
        <v>#N/A</v>
      </c>
      <c r="U714" t="e">
        <f ca="1"/>
        <v>#N/A</v>
      </c>
      <c r="V714" t="e">
        <f ca="1"/>
        <v>#N/A</v>
      </c>
      <c r="X714" s="2">
        <f t="shared" ca="1" si="79"/>
        <v>0</v>
      </c>
      <c r="Y714">
        <f t="shared" ca="1" si="80"/>
        <v>0</v>
      </c>
      <c r="AA714" s="63" t="e">
        <f t="shared" ca="1" si="81"/>
        <v>#N/A</v>
      </c>
      <c r="AB714" s="63" t="e">
        <f t="shared" ca="1" si="82"/>
        <v>#N/A</v>
      </c>
      <c r="AC714" s="3" t="e">
        <f t="shared" ca="1" si="83"/>
        <v>#N/A</v>
      </c>
    </row>
    <row r="715" spans="8:29">
      <c r="H715" t="e">
        <f t="shared" ca="1" si="77"/>
        <v>#N/A</v>
      </c>
      <c r="I715" t="e">
        <f t="shared" ca="1" si="78"/>
        <v>#N/A</v>
      </c>
      <c r="J715" t="e">
        <f ca="1"/>
        <v>#N/A</v>
      </c>
      <c r="K715" t="e">
        <f ca="1"/>
        <v>#N/A</v>
      </c>
      <c r="L715" t="e">
        <f ca="1"/>
        <v>#N/A</v>
      </c>
      <c r="M715" t="e">
        <f ca="1"/>
        <v>#N/A</v>
      </c>
      <c r="N715" t="e">
        <f ca="1"/>
        <v>#N/A</v>
      </c>
      <c r="O715" t="e">
        <f ca="1"/>
        <v>#N/A</v>
      </c>
      <c r="P715" t="e">
        <f ca="1"/>
        <v>#N/A</v>
      </c>
      <c r="Q715" t="e">
        <f ca="1"/>
        <v>#N/A</v>
      </c>
      <c r="R715" t="e">
        <f ca="1"/>
        <v>#N/A</v>
      </c>
      <c r="S715" t="e">
        <f ca="1"/>
        <v>#N/A</v>
      </c>
      <c r="T715" t="e">
        <f ca="1"/>
        <v>#N/A</v>
      </c>
      <c r="U715" t="e">
        <f ca="1"/>
        <v>#N/A</v>
      </c>
      <c r="V715" t="e">
        <f ca="1"/>
        <v>#N/A</v>
      </c>
      <c r="X715" s="2">
        <f t="shared" ca="1" si="79"/>
        <v>0</v>
      </c>
      <c r="Y715">
        <f t="shared" ca="1" si="80"/>
        <v>0</v>
      </c>
      <c r="AA715" s="63" t="e">
        <f t="shared" ca="1" si="81"/>
        <v>#N/A</v>
      </c>
      <c r="AB715" s="63" t="e">
        <f t="shared" ca="1" si="82"/>
        <v>#N/A</v>
      </c>
      <c r="AC715" s="3" t="e">
        <f t="shared" ca="1" si="83"/>
        <v>#N/A</v>
      </c>
    </row>
    <row r="716" spans="8:29">
      <c r="H716" t="e">
        <f t="shared" ca="1" si="77"/>
        <v>#N/A</v>
      </c>
      <c r="I716" t="e">
        <f t="shared" ca="1" si="78"/>
        <v>#N/A</v>
      </c>
      <c r="J716" t="e">
        <f ca="1"/>
        <v>#N/A</v>
      </c>
      <c r="K716" t="e">
        <f ca="1"/>
        <v>#N/A</v>
      </c>
      <c r="L716" t="e">
        <f ca="1"/>
        <v>#N/A</v>
      </c>
      <c r="M716" t="e">
        <f ca="1"/>
        <v>#N/A</v>
      </c>
      <c r="N716" t="e">
        <f ca="1"/>
        <v>#N/A</v>
      </c>
      <c r="O716" t="e">
        <f ca="1"/>
        <v>#N/A</v>
      </c>
      <c r="P716" t="e">
        <f ca="1"/>
        <v>#N/A</v>
      </c>
      <c r="Q716" t="e">
        <f ca="1"/>
        <v>#N/A</v>
      </c>
      <c r="R716" t="e">
        <f ca="1"/>
        <v>#N/A</v>
      </c>
      <c r="S716" t="e">
        <f ca="1"/>
        <v>#N/A</v>
      </c>
      <c r="T716" t="e">
        <f ca="1"/>
        <v>#N/A</v>
      </c>
      <c r="U716" t="e">
        <f ca="1"/>
        <v>#N/A</v>
      </c>
      <c r="V716" t="e">
        <f ca="1"/>
        <v>#N/A</v>
      </c>
      <c r="X716" s="2">
        <f t="shared" ca="1" si="79"/>
        <v>0</v>
      </c>
      <c r="Y716">
        <f t="shared" ca="1" si="80"/>
        <v>0</v>
      </c>
      <c r="AA716" s="63" t="e">
        <f t="shared" ca="1" si="81"/>
        <v>#N/A</v>
      </c>
      <c r="AB716" s="63" t="e">
        <f t="shared" ca="1" si="82"/>
        <v>#N/A</v>
      </c>
      <c r="AC716" s="3" t="e">
        <f t="shared" ca="1" si="83"/>
        <v>#N/A</v>
      </c>
    </row>
    <row r="717" spans="8:29">
      <c r="H717" t="e">
        <f t="shared" ca="1" si="77"/>
        <v>#N/A</v>
      </c>
      <c r="I717" t="e">
        <f t="shared" ca="1" si="78"/>
        <v>#N/A</v>
      </c>
      <c r="J717" t="e">
        <f ca="1"/>
        <v>#N/A</v>
      </c>
      <c r="K717" t="e">
        <f ca="1"/>
        <v>#N/A</v>
      </c>
      <c r="L717" t="e">
        <f ca="1"/>
        <v>#N/A</v>
      </c>
      <c r="M717" t="e">
        <f ca="1"/>
        <v>#N/A</v>
      </c>
      <c r="N717" t="e">
        <f ca="1"/>
        <v>#N/A</v>
      </c>
      <c r="O717" t="e">
        <f ca="1"/>
        <v>#N/A</v>
      </c>
      <c r="P717" t="e">
        <f ca="1"/>
        <v>#N/A</v>
      </c>
      <c r="Q717" t="e">
        <f ca="1"/>
        <v>#N/A</v>
      </c>
      <c r="R717" t="e">
        <f ca="1"/>
        <v>#N/A</v>
      </c>
      <c r="S717" t="e">
        <f ca="1"/>
        <v>#N/A</v>
      </c>
      <c r="T717" t="e">
        <f ca="1"/>
        <v>#N/A</v>
      </c>
      <c r="U717" t="e">
        <f ca="1"/>
        <v>#N/A</v>
      </c>
      <c r="V717" t="e">
        <f ca="1"/>
        <v>#N/A</v>
      </c>
      <c r="X717" s="2">
        <f t="shared" ca="1" si="79"/>
        <v>0</v>
      </c>
      <c r="Y717">
        <f t="shared" ca="1" si="80"/>
        <v>0</v>
      </c>
      <c r="AA717" s="63" t="e">
        <f t="shared" ca="1" si="81"/>
        <v>#N/A</v>
      </c>
      <c r="AB717" s="63" t="e">
        <f t="shared" ca="1" si="82"/>
        <v>#N/A</v>
      </c>
      <c r="AC717" s="3" t="e">
        <f t="shared" ca="1" si="83"/>
        <v>#N/A</v>
      </c>
    </row>
    <row r="718" spans="8:29">
      <c r="H718" t="e">
        <f t="shared" ca="1" si="77"/>
        <v>#N/A</v>
      </c>
      <c r="I718" t="e">
        <f t="shared" ca="1" si="78"/>
        <v>#N/A</v>
      </c>
      <c r="J718" t="e">
        <f ca="1"/>
        <v>#N/A</v>
      </c>
      <c r="K718" t="e">
        <f ca="1"/>
        <v>#N/A</v>
      </c>
      <c r="L718" t="e">
        <f ca="1"/>
        <v>#N/A</v>
      </c>
      <c r="M718" t="e">
        <f ca="1"/>
        <v>#N/A</v>
      </c>
      <c r="N718" t="e">
        <f ca="1"/>
        <v>#N/A</v>
      </c>
      <c r="O718" t="e">
        <f ca="1"/>
        <v>#N/A</v>
      </c>
      <c r="P718" t="e">
        <f ca="1"/>
        <v>#N/A</v>
      </c>
      <c r="Q718" t="e">
        <f ca="1"/>
        <v>#N/A</v>
      </c>
      <c r="R718" t="e">
        <f ca="1"/>
        <v>#N/A</v>
      </c>
      <c r="S718" t="e">
        <f ca="1"/>
        <v>#N/A</v>
      </c>
      <c r="T718" t="e">
        <f ca="1"/>
        <v>#N/A</v>
      </c>
      <c r="U718" t="e">
        <f ca="1"/>
        <v>#N/A</v>
      </c>
      <c r="V718" t="e">
        <f ca="1"/>
        <v>#N/A</v>
      </c>
      <c r="X718" s="2">
        <f t="shared" ca="1" si="79"/>
        <v>0</v>
      </c>
      <c r="Y718">
        <f t="shared" ca="1" si="80"/>
        <v>0</v>
      </c>
      <c r="AA718" s="63" t="e">
        <f t="shared" ca="1" si="81"/>
        <v>#N/A</v>
      </c>
      <c r="AB718" s="63" t="e">
        <f t="shared" ca="1" si="82"/>
        <v>#N/A</v>
      </c>
      <c r="AC718" s="3" t="e">
        <f t="shared" ca="1" si="83"/>
        <v>#N/A</v>
      </c>
    </row>
    <row r="719" spans="8:29">
      <c r="H719" t="e">
        <f t="shared" ca="1" si="77"/>
        <v>#N/A</v>
      </c>
      <c r="I719" t="e">
        <f t="shared" ca="1" si="78"/>
        <v>#N/A</v>
      </c>
      <c r="J719" t="e">
        <f ca="1"/>
        <v>#N/A</v>
      </c>
      <c r="K719" t="e">
        <f ca="1"/>
        <v>#N/A</v>
      </c>
      <c r="L719" t="e">
        <f ca="1"/>
        <v>#N/A</v>
      </c>
      <c r="M719" t="e">
        <f ca="1"/>
        <v>#N/A</v>
      </c>
      <c r="N719" t="e">
        <f ca="1"/>
        <v>#N/A</v>
      </c>
      <c r="O719" t="e">
        <f ca="1"/>
        <v>#N/A</v>
      </c>
      <c r="P719" t="e">
        <f ca="1"/>
        <v>#N/A</v>
      </c>
      <c r="Q719" t="e">
        <f ca="1"/>
        <v>#N/A</v>
      </c>
      <c r="R719" t="e">
        <f ca="1"/>
        <v>#N/A</v>
      </c>
      <c r="S719" t="e">
        <f ca="1"/>
        <v>#N/A</v>
      </c>
      <c r="T719" t="e">
        <f ca="1"/>
        <v>#N/A</v>
      </c>
      <c r="U719" t="e">
        <f ca="1"/>
        <v>#N/A</v>
      </c>
      <c r="V719" t="e">
        <f ca="1"/>
        <v>#N/A</v>
      </c>
      <c r="X719" s="2">
        <f t="shared" ca="1" si="79"/>
        <v>0</v>
      </c>
      <c r="Y719">
        <f t="shared" ca="1" si="80"/>
        <v>0</v>
      </c>
      <c r="AA719" s="63" t="e">
        <f t="shared" ca="1" si="81"/>
        <v>#N/A</v>
      </c>
      <c r="AB719" s="63" t="e">
        <f t="shared" ca="1" si="82"/>
        <v>#N/A</v>
      </c>
      <c r="AC719" s="3" t="e">
        <f t="shared" ca="1" si="83"/>
        <v>#N/A</v>
      </c>
    </row>
    <row r="720" spans="8:29">
      <c r="H720" t="e">
        <f t="shared" ca="1" si="77"/>
        <v>#N/A</v>
      </c>
      <c r="I720" t="e">
        <f t="shared" ca="1" si="78"/>
        <v>#N/A</v>
      </c>
      <c r="J720" t="e">
        <f ca="1"/>
        <v>#N/A</v>
      </c>
      <c r="K720" t="e">
        <f ca="1"/>
        <v>#N/A</v>
      </c>
      <c r="L720" t="e">
        <f ca="1"/>
        <v>#N/A</v>
      </c>
      <c r="M720" t="e">
        <f ca="1"/>
        <v>#N/A</v>
      </c>
      <c r="N720" t="e">
        <f ca="1"/>
        <v>#N/A</v>
      </c>
      <c r="O720" t="e">
        <f ca="1"/>
        <v>#N/A</v>
      </c>
      <c r="P720" t="e">
        <f ca="1"/>
        <v>#N/A</v>
      </c>
      <c r="Q720" t="e">
        <f ca="1"/>
        <v>#N/A</v>
      </c>
      <c r="R720" t="e">
        <f ca="1"/>
        <v>#N/A</v>
      </c>
      <c r="S720" t="e">
        <f ca="1"/>
        <v>#N/A</v>
      </c>
      <c r="T720" t="e">
        <f ca="1"/>
        <v>#N/A</v>
      </c>
      <c r="U720" t="e">
        <f ca="1"/>
        <v>#N/A</v>
      </c>
      <c r="V720" t="e">
        <f ca="1"/>
        <v>#N/A</v>
      </c>
      <c r="X720" s="2">
        <f t="shared" ca="1" si="79"/>
        <v>0</v>
      </c>
      <c r="Y720">
        <f t="shared" ca="1" si="80"/>
        <v>0</v>
      </c>
      <c r="AA720" s="63" t="e">
        <f t="shared" ca="1" si="81"/>
        <v>#N/A</v>
      </c>
      <c r="AB720" s="63" t="e">
        <f t="shared" ca="1" si="82"/>
        <v>#N/A</v>
      </c>
      <c r="AC720" s="3" t="e">
        <f t="shared" ca="1" si="83"/>
        <v>#N/A</v>
      </c>
    </row>
    <row r="721" spans="8:29">
      <c r="H721" t="e">
        <f t="shared" ca="1" si="77"/>
        <v>#N/A</v>
      </c>
      <c r="I721" t="e">
        <f t="shared" ca="1" si="78"/>
        <v>#N/A</v>
      </c>
      <c r="J721" t="e">
        <f ca="1"/>
        <v>#N/A</v>
      </c>
      <c r="K721" t="e">
        <f ca="1"/>
        <v>#N/A</v>
      </c>
      <c r="L721" t="e">
        <f ca="1"/>
        <v>#N/A</v>
      </c>
      <c r="M721" t="e">
        <f ca="1"/>
        <v>#N/A</v>
      </c>
      <c r="N721" t="e">
        <f ca="1"/>
        <v>#N/A</v>
      </c>
      <c r="O721" t="e">
        <f ca="1"/>
        <v>#N/A</v>
      </c>
      <c r="P721" t="e">
        <f ca="1"/>
        <v>#N/A</v>
      </c>
      <c r="Q721" t="e">
        <f ca="1"/>
        <v>#N/A</v>
      </c>
      <c r="R721" t="e">
        <f ca="1"/>
        <v>#N/A</v>
      </c>
      <c r="S721" t="e">
        <f ca="1"/>
        <v>#N/A</v>
      </c>
      <c r="T721" t="e">
        <f ca="1"/>
        <v>#N/A</v>
      </c>
      <c r="U721" t="e">
        <f ca="1"/>
        <v>#N/A</v>
      </c>
      <c r="V721" t="e">
        <f ca="1"/>
        <v>#N/A</v>
      </c>
      <c r="X721" s="2">
        <f t="shared" ca="1" si="79"/>
        <v>0</v>
      </c>
      <c r="Y721">
        <f t="shared" ca="1" si="80"/>
        <v>0</v>
      </c>
      <c r="AA721" s="63" t="e">
        <f t="shared" ca="1" si="81"/>
        <v>#N/A</v>
      </c>
      <c r="AB721" s="63" t="e">
        <f t="shared" ca="1" si="82"/>
        <v>#N/A</v>
      </c>
      <c r="AC721" s="3" t="e">
        <f t="shared" ca="1" si="83"/>
        <v>#N/A</v>
      </c>
    </row>
    <row r="722" spans="8:29">
      <c r="H722" t="e">
        <f t="shared" ca="1" si="77"/>
        <v>#N/A</v>
      </c>
      <c r="I722" t="e">
        <f t="shared" ca="1" si="78"/>
        <v>#N/A</v>
      </c>
      <c r="J722" t="e">
        <f ca="1"/>
        <v>#N/A</v>
      </c>
      <c r="K722" t="e">
        <f ca="1"/>
        <v>#N/A</v>
      </c>
      <c r="L722" t="e">
        <f ca="1"/>
        <v>#N/A</v>
      </c>
      <c r="M722" t="e">
        <f ca="1"/>
        <v>#N/A</v>
      </c>
      <c r="N722" t="e">
        <f ca="1"/>
        <v>#N/A</v>
      </c>
      <c r="O722" t="e">
        <f ca="1"/>
        <v>#N/A</v>
      </c>
      <c r="P722" t="e">
        <f ca="1"/>
        <v>#N/A</v>
      </c>
      <c r="Q722" t="e">
        <f ca="1"/>
        <v>#N/A</v>
      </c>
      <c r="R722" t="e">
        <f ca="1"/>
        <v>#N/A</v>
      </c>
      <c r="S722" t="e">
        <f ca="1"/>
        <v>#N/A</v>
      </c>
      <c r="T722" t="e">
        <f ca="1"/>
        <v>#N/A</v>
      </c>
      <c r="U722" t="e">
        <f ca="1"/>
        <v>#N/A</v>
      </c>
      <c r="V722" t="e">
        <f ca="1"/>
        <v>#N/A</v>
      </c>
      <c r="X722" s="2">
        <f t="shared" ca="1" si="79"/>
        <v>0</v>
      </c>
      <c r="Y722">
        <f t="shared" ca="1" si="80"/>
        <v>0</v>
      </c>
      <c r="AA722" s="63" t="e">
        <f t="shared" ca="1" si="81"/>
        <v>#N/A</v>
      </c>
      <c r="AB722" s="63" t="e">
        <f t="shared" ca="1" si="82"/>
        <v>#N/A</v>
      </c>
      <c r="AC722" s="3" t="e">
        <f t="shared" ca="1" si="83"/>
        <v>#N/A</v>
      </c>
    </row>
    <row r="723" spans="8:29">
      <c r="H723" t="e">
        <f t="shared" ca="1" si="77"/>
        <v>#N/A</v>
      </c>
      <c r="I723" t="e">
        <f t="shared" ca="1" si="78"/>
        <v>#N/A</v>
      </c>
      <c r="J723" t="e">
        <f ca="1"/>
        <v>#N/A</v>
      </c>
      <c r="K723" t="e">
        <f ca="1"/>
        <v>#N/A</v>
      </c>
      <c r="L723" t="e">
        <f ca="1"/>
        <v>#N/A</v>
      </c>
      <c r="M723" t="e">
        <f ca="1"/>
        <v>#N/A</v>
      </c>
      <c r="N723" t="e">
        <f ca="1"/>
        <v>#N/A</v>
      </c>
      <c r="O723" t="e">
        <f ca="1"/>
        <v>#N/A</v>
      </c>
      <c r="P723" t="e">
        <f ca="1"/>
        <v>#N/A</v>
      </c>
      <c r="Q723" t="e">
        <f ca="1"/>
        <v>#N/A</v>
      </c>
      <c r="R723" t="e">
        <f ca="1"/>
        <v>#N/A</v>
      </c>
      <c r="S723" t="e">
        <f ca="1"/>
        <v>#N/A</v>
      </c>
      <c r="T723" t="e">
        <f ca="1"/>
        <v>#N/A</v>
      </c>
      <c r="U723" t="e">
        <f ca="1"/>
        <v>#N/A</v>
      </c>
      <c r="V723" t="e">
        <f ca="1"/>
        <v>#N/A</v>
      </c>
      <c r="X723" s="2">
        <f t="shared" ca="1" si="79"/>
        <v>0</v>
      </c>
      <c r="Y723">
        <f t="shared" ca="1" si="80"/>
        <v>0</v>
      </c>
      <c r="AA723" s="63" t="e">
        <f t="shared" ca="1" si="81"/>
        <v>#N/A</v>
      </c>
      <c r="AB723" s="63" t="e">
        <f t="shared" ca="1" si="82"/>
        <v>#N/A</v>
      </c>
      <c r="AC723" s="3" t="e">
        <f t="shared" ca="1" si="83"/>
        <v>#N/A</v>
      </c>
    </row>
    <row r="724" spans="8:29">
      <c r="H724" t="e">
        <f t="shared" ca="1" si="77"/>
        <v>#N/A</v>
      </c>
      <c r="I724" t="e">
        <f t="shared" ca="1" si="78"/>
        <v>#N/A</v>
      </c>
      <c r="J724" t="e">
        <f ca="1"/>
        <v>#N/A</v>
      </c>
      <c r="K724" t="e">
        <f ca="1"/>
        <v>#N/A</v>
      </c>
      <c r="L724" t="e">
        <f ca="1"/>
        <v>#N/A</v>
      </c>
      <c r="M724" t="e">
        <f ca="1"/>
        <v>#N/A</v>
      </c>
      <c r="N724" t="e">
        <f ca="1"/>
        <v>#N/A</v>
      </c>
      <c r="O724" t="e">
        <f ca="1"/>
        <v>#N/A</v>
      </c>
      <c r="P724" t="e">
        <f ca="1"/>
        <v>#N/A</v>
      </c>
      <c r="Q724" t="e">
        <f ca="1"/>
        <v>#N/A</v>
      </c>
      <c r="R724" t="e">
        <f ca="1"/>
        <v>#N/A</v>
      </c>
      <c r="S724" t="e">
        <f ca="1"/>
        <v>#N/A</v>
      </c>
      <c r="T724" t="e">
        <f ca="1"/>
        <v>#N/A</v>
      </c>
      <c r="U724" t="e">
        <f ca="1"/>
        <v>#N/A</v>
      </c>
      <c r="V724" t="e">
        <f ca="1"/>
        <v>#N/A</v>
      </c>
      <c r="X724" s="2">
        <f t="shared" ca="1" si="79"/>
        <v>0</v>
      </c>
      <c r="Y724">
        <f t="shared" ca="1" si="80"/>
        <v>0</v>
      </c>
      <c r="AA724" s="63" t="e">
        <f t="shared" ca="1" si="81"/>
        <v>#N/A</v>
      </c>
      <c r="AB724" s="63" t="e">
        <f t="shared" ca="1" si="82"/>
        <v>#N/A</v>
      </c>
      <c r="AC724" s="3" t="e">
        <f t="shared" ca="1" si="83"/>
        <v>#N/A</v>
      </c>
    </row>
    <row r="725" spans="8:29">
      <c r="H725" t="e">
        <f t="shared" ca="1" si="77"/>
        <v>#N/A</v>
      </c>
      <c r="I725" t="e">
        <f t="shared" ca="1" si="78"/>
        <v>#N/A</v>
      </c>
      <c r="J725" t="e">
        <f ca="1"/>
        <v>#N/A</v>
      </c>
      <c r="K725" t="e">
        <f ca="1"/>
        <v>#N/A</v>
      </c>
      <c r="L725" t="e">
        <f ca="1"/>
        <v>#N/A</v>
      </c>
      <c r="M725" t="e">
        <f ca="1"/>
        <v>#N/A</v>
      </c>
      <c r="N725" t="e">
        <f ca="1"/>
        <v>#N/A</v>
      </c>
      <c r="O725" t="e">
        <f ca="1"/>
        <v>#N/A</v>
      </c>
      <c r="P725" t="e">
        <f ca="1"/>
        <v>#N/A</v>
      </c>
      <c r="Q725" t="e">
        <f ca="1"/>
        <v>#N/A</v>
      </c>
      <c r="R725" t="e">
        <f ca="1"/>
        <v>#N/A</v>
      </c>
      <c r="S725" t="e">
        <f ca="1"/>
        <v>#N/A</v>
      </c>
      <c r="T725" t="e">
        <f ca="1"/>
        <v>#N/A</v>
      </c>
      <c r="U725" t="e">
        <f ca="1"/>
        <v>#N/A</v>
      </c>
      <c r="V725" t="e">
        <f ca="1"/>
        <v>#N/A</v>
      </c>
      <c r="X725" s="2">
        <f t="shared" ca="1" si="79"/>
        <v>0</v>
      </c>
      <c r="Y725">
        <f t="shared" ca="1" si="80"/>
        <v>0</v>
      </c>
      <c r="AA725" s="63" t="e">
        <f t="shared" ca="1" si="81"/>
        <v>#N/A</v>
      </c>
      <c r="AB725" s="63" t="e">
        <f t="shared" ca="1" si="82"/>
        <v>#N/A</v>
      </c>
      <c r="AC725" s="3" t="e">
        <f t="shared" ca="1" si="83"/>
        <v>#N/A</v>
      </c>
    </row>
    <row r="726" spans="8:29">
      <c r="H726" t="e">
        <f t="shared" ca="1" si="77"/>
        <v>#N/A</v>
      </c>
      <c r="I726" t="e">
        <f t="shared" ca="1" si="78"/>
        <v>#N/A</v>
      </c>
      <c r="J726" t="e">
        <f ca="1"/>
        <v>#N/A</v>
      </c>
      <c r="K726" t="e">
        <f ca="1"/>
        <v>#N/A</v>
      </c>
      <c r="L726" t="e">
        <f ca="1"/>
        <v>#N/A</v>
      </c>
      <c r="M726" t="e">
        <f ca="1"/>
        <v>#N/A</v>
      </c>
      <c r="N726" t="e">
        <f ca="1"/>
        <v>#N/A</v>
      </c>
      <c r="O726" t="e">
        <f ca="1"/>
        <v>#N/A</v>
      </c>
      <c r="P726" t="e">
        <f ca="1"/>
        <v>#N/A</v>
      </c>
      <c r="Q726" t="e">
        <f ca="1"/>
        <v>#N/A</v>
      </c>
      <c r="R726" t="e">
        <f ca="1"/>
        <v>#N/A</v>
      </c>
      <c r="S726" t="e">
        <f ca="1"/>
        <v>#N/A</v>
      </c>
      <c r="T726" t="e">
        <f ca="1"/>
        <v>#N/A</v>
      </c>
      <c r="U726" t="e">
        <f ca="1"/>
        <v>#N/A</v>
      </c>
      <c r="V726" t="e">
        <f ca="1"/>
        <v>#N/A</v>
      </c>
      <c r="X726" s="2">
        <f t="shared" ca="1" si="79"/>
        <v>0</v>
      </c>
      <c r="Y726">
        <f t="shared" ca="1" si="80"/>
        <v>0</v>
      </c>
      <c r="AA726" s="63" t="e">
        <f t="shared" ca="1" si="81"/>
        <v>#N/A</v>
      </c>
      <c r="AB726" s="63" t="e">
        <f t="shared" ca="1" si="82"/>
        <v>#N/A</v>
      </c>
      <c r="AC726" s="3" t="e">
        <f t="shared" ca="1" si="83"/>
        <v>#N/A</v>
      </c>
    </row>
    <row r="727" spans="8:29">
      <c r="H727" t="e">
        <f t="shared" ca="1" si="77"/>
        <v>#N/A</v>
      </c>
      <c r="I727" t="e">
        <f t="shared" ca="1" si="78"/>
        <v>#N/A</v>
      </c>
      <c r="J727" t="e">
        <f ca="1"/>
        <v>#N/A</v>
      </c>
      <c r="K727" t="e">
        <f ca="1"/>
        <v>#N/A</v>
      </c>
      <c r="L727" t="e">
        <f ca="1"/>
        <v>#N/A</v>
      </c>
      <c r="M727" t="e">
        <f ca="1"/>
        <v>#N/A</v>
      </c>
      <c r="N727" t="e">
        <f ca="1"/>
        <v>#N/A</v>
      </c>
      <c r="O727" t="e">
        <f ca="1"/>
        <v>#N/A</v>
      </c>
      <c r="P727" t="e">
        <f ca="1"/>
        <v>#N/A</v>
      </c>
      <c r="Q727" t="e">
        <f ca="1"/>
        <v>#N/A</v>
      </c>
      <c r="R727" t="e">
        <f ca="1"/>
        <v>#N/A</v>
      </c>
      <c r="S727" t="e">
        <f ca="1"/>
        <v>#N/A</v>
      </c>
      <c r="T727" t="e">
        <f ca="1"/>
        <v>#N/A</v>
      </c>
      <c r="U727" t="e">
        <f ca="1"/>
        <v>#N/A</v>
      </c>
      <c r="V727" t="e">
        <f ca="1"/>
        <v>#N/A</v>
      </c>
      <c r="X727" s="2">
        <f t="shared" ca="1" si="79"/>
        <v>0</v>
      </c>
      <c r="Y727">
        <f t="shared" ca="1" si="80"/>
        <v>0</v>
      </c>
      <c r="AA727" s="63" t="e">
        <f t="shared" ca="1" si="81"/>
        <v>#N/A</v>
      </c>
      <c r="AB727" s="63" t="e">
        <f t="shared" ca="1" si="82"/>
        <v>#N/A</v>
      </c>
      <c r="AC727" s="3" t="e">
        <f t="shared" ca="1" si="83"/>
        <v>#N/A</v>
      </c>
    </row>
    <row r="728" spans="8:29">
      <c r="H728" t="e">
        <f t="shared" ca="1" si="77"/>
        <v>#N/A</v>
      </c>
      <c r="I728" t="e">
        <f t="shared" ca="1" si="78"/>
        <v>#N/A</v>
      </c>
      <c r="J728" t="e">
        <f ca="1"/>
        <v>#N/A</v>
      </c>
      <c r="K728" t="e">
        <f ca="1"/>
        <v>#N/A</v>
      </c>
      <c r="L728" t="e">
        <f ca="1"/>
        <v>#N/A</v>
      </c>
      <c r="M728" t="e">
        <f ca="1"/>
        <v>#N/A</v>
      </c>
      <c r="N728" t="e">
        <f ca="1"/>
        <v>#N/A</v>
      </c>
      <c r="O728" t="e">
        <f ca="1"/>
        <v>#N/A</v>
      </c>
      <c r="P728" t="e">
        <f ca="1"/>
        <v>#N/A</v>
      </c>
      <c r="Q728" t="e">
        <f ca="1"/>
        <v>#N/A</v>
      </c>
      <c r="R728" t="e">
        <f ca="1"/>
        <v>#N/A</v>
      </c>
      <c r="S728" t="e">
        <f ca="1"/>
        <v>#N/A</v>
      </c>
      <c r="T728" t="e">
        <f ca="1"/>
        <v>#N/A</v>
      </c>
      <c r="U728" t="e">
        <f ca="1"/>
        <v>#N/A</v>
      </c>
      <c r="V728" t="e">
        <f ca="1"/>
        <v>#N/A</v>
      </c>
      <c r="X728" s="2">
        <f t="shared" ca="1" si="79"/>
        <v>0</v>
      </c>
      <c r="Y728">
        <f t="shared" ca="1" si="80"/>
        <v>0</v>
      </c>
      <c r="AA728" s="63" t="e">
        <f t="shared" ca="1" si="81"/>
        <v>#N/A</v>
      </c>
      <c r="AB728" s="63" t="e">
        <f t="shared" ca="1" si="82"/>
        <v>#N/A</v>
      </c>
      <c r="AC728" s="3" t="e">
        <f t="shared" ca="1" si="83"/>
        <v>#N/A</v>
      </c>
    </row>
    <row r="729" spans="8:29">
      <c r="H729" t="e">
        <f t="shared" ca="1" si="77"/>
        <v>#N/A</v>
      </c>
      <c r="I729" t="e">
        <f t="shared" ca="1" si="78"/>
        <v>#N/A</v>
      </c>
      <c r="J729" t="e">
        <f ca="1"/>
        <v>#N/A</v>
      </c>
      <c r="K729" t="e">
        <f ca="1"/>
        <v>#N/A</v>
      </c>
      <c r="L729" t="e">
        <f ca="1"/>
        <v>#N/A</v>
      </c>
      <c r="M729" t="e">
        <f ca="1"/>
        <v>#N/A</v>
      </c>
      <c r="N729" t="e">
        <f ca="1"/>
        <v>#N/A</v>
      </c>
      <c r="O729" t="e">
        <f ca="1"/>
        <v>#N/A</v>
      </c>
      <c r="P729" t="e">
        <f ca="1"/>
        <v>#N/A</v>
      </c>
      <c r="Q729" t="e">
        <f ca="1"/>
        <v>#N/A</v>
      </c>
      <c r="R729" t="e">
        <f ca="1"/>
        <v>#N/A</v>
      </c>
      <c r="S729" t="e">
        <f ca="1"/>
        <v>#N/A</v>
      </c>
      <c r="T729" t="e">
        <f ca="1"/>
        <v>#N/A</v>
      </c>
      <c r="U729" t="e">
        <f ca="1"/>
        <v>#N/A</v>
      </c>
      <c r="V729" t="e">
        <f ca="1"/>
        <v>#N/A</v>
      </c>
      <c r="X729" s="2">
        <f t="shared" ca="1" si="79"/>
        <v>0</v>
      </c>
      <c r="Y729">
        <f t="shared" ca="1" si="80"/>
        <v>0</v>
      </c>
      <c r="AA729" s="63" t="e">
        <f t="shared" ca="1" si="81"/>
        <v>#N/A</v>
      </c>
      <c r="AB729" s="63" t="e">
        <f t="shared" ca="1" si="82"/>
        <v>#N/A</v>
      </c>
      <c r="AC729" s="3" t="e">
        <f t="shared" ca="1" si="83"/>
        <v>#N/A</v>
      </c>
    </row>
    <row r="730" spans="8:29">
      <c r="H730" t="e">
        <f t="shared" ca="1" si="77"/>
        <v>#N/A</v>
      </c>
      <c r="I730" t="e">
        <f t="shared" ca="1" si="78"/>
        <v>#N/A</v>
      </c>
      <c r="J730" t="e">
        <f ca="1"/>
        <v>#N/A</v>
      </c>
      <c r="K730" t="e">
        <f ca="1"/>
        <v>#N/A</v>
      </c>
      <c r="L730" t="e">
        <f ca="1"/>
        <v>#N/A</v>
      </c>
      <c r="M730" t="e">
        <f ca="1"/>
        <v>#N/A</v>
      </c>
      <c r="N730" t="e">
        <f ca="1"/>
        <v>#N/A</v>
      </c>
      <c r="O730" t="e">
        <f ca="1"/>
        <v>#N/A</v>
      </c>
      <c r="P730" t="e">
        <f ca="1"/>
        <v>#N/A</v>
      </c>
      <c r="Q730" t="e">
        <f ca="1"/>
        <v>#N/A</v>
      </c>
      <c r="R730" t="e">
        <f ca="1"/>
        <v>#N/A</v>
      </c>
      <c r="S730" t="e">
        <f ca="1"/>
        <v>#N/A</v>
      </c>
      <c r="T730" t="e">
        <f ca="1"/>
        <v>#N/A</v>
      </c>
      <c r="U730" t="e">
        <f ca="1"/>
        <v>#N/A</v>
      </c>
      <c r="V730" t="e">
        <f ca="1"/>
        <v>#N/A</v>
      </c>
      <c r="X730" s="2">
        <f t="shared" ca="1" si="79"/>
        <v>0</v>
      </c>
      <c r="Y730">
        <f t="shared" ca="1" si="80"/>
        <v>0</v>
      </c>
      <c r="AA730" s="63" t="e">
        <f t="shared" ca="1" si="81"/>
        <v>#N/A</v>
      </c>
      <c r="AB730" s="63" t="e">
        <f t="shared" ca="1" si="82"/>
        <v>#N/A</v>
      </c>
      <c r="AC730" s="3" t="e">
        <f t="shared" ca="1" si="83"/>
        <v>#N/A</v>
      </c>
    </row>
    <row r="731" spans="8:29">
      <c r="H731" t="e">
        <f t="shared" ca="1" si="77"/>
        <v>#N/A</v>
      </c>
      <c r="I731" t="e">
        <f t="shared" ca="1" si="78"/>
        <v>#N/A</v>
      </c>
      <c r="J731" t="e">
        <f ca="1"/>
        <v>#N/A</v>
      </c>
      <c r="K731" t="e">
        <f ca="1"/>
        <v>#N/A</v>
      </c>
      <c r="L731" t="e">
        <f ca="1"/>
        <v>#N/A</v>
      </c>
      <c r="M731" t="e">
        <f ca="1"/>
        <v>#N/A</v>
      </c>
      <c r="N731" t="e">
        <f ca="1"/>
        <v>#N/A</v>
      </c>
      <c r="O731" t="e">
        <f ca="1"/>
        <v>#N/A</v>
      </c>
      <c r="P731" t="e">
        <f ca="1"/>
        <v>#N/A</v>
      </c>
      <c r="Q731" t="e">
        <f ca="1"/>
        <v>#N/A</v>
      </c>
      <c r="R731" t="e">
        <f ca="1"/>
        <v>#N/A</v>
      </c>
      <c r="S731" t="e">
        <f ca="1"/>
        <v>#N/A</v>
      </c>
      <c r="T731" t="e">
        <f ca="1"/>
        <v>#N/A</v>
      </c>
      <c r="U731" t="e">
        <f ca="1"/>
        <v>#N/A</v>
      </c>
      <c r="V731" t="e">
        <f ca="1"/>
        <v>#N/A</v>
      </c>
      <c r="X731" s="2">
        <f t="shared" ca="1" si="79"/>
        <v>0</v>
      </c>
      <c r="Y731">
        <f t="shared" ca="1" si="80"/>
        <v>0</v>
      </c>
      <c r="AA731" s="63" t="e">
        <f t="shared" ca="1" si="81"/>
        <v>#N/A</v>
      </c>
      <c r="AB731" s="63" t="e">
        <f t="shared" ca="1" si="82"/>
        <v>#N/A</v>
      </c>
      <c r="AC731" s="3" t="e">
        <f t="shared" ca="1" si="83"/>
        <v>#N/A</v>
      </c>
    </row>
    <row r="732" spans="8:29">
      <c r="H732" t="e">
        <f t="shared" ca="1" si="77"/>
        <v>#N/A</v>
      </c>
      <c r="I732" t="e">
        <f t="shared" ca="1" si="78"/>
        <v>#N/A</v>
      </c>
      <c r="J732" t="e">
        <f ca="1"/>
        <v>#N/A</v>
      </c>
      <c r="K732" t="e">
        <f ca="1"/>
        <v>#N/A</v>
      </c>
      <c r="L732" t="e">
        <f ca="1"/>
        <v>#N/A</v>
      </c>
      <c r="M732" t="e">
        <f ca="1"/>
        <v>#N/A</v>
      </c>
      <c r="N732" t="e">
        <f ca="1"/>
        <v>#N/A</v>
      </c>
      <c r="O732" t="e">
        <f ca="1"/>
        <v>#N/A</v>
      </c>
      <c r="P732" t="e">
        <f ca="1"/>
        <v>#N/A</v>
      </c>
      <c r="Q732" t="e">
        <f ca="1"/>
        <v>#N/A</v>
      </c>
      <c r="R732" t="e">
        <f ca="1"/>
        <v>#N/A</v>
      </c>
      <c r="S732" t="e">
        <f ca="1"/>
        <v>#N/A</v>
      </c>
      <c r="T732" t="e">
        <f ca="1"/>
        <v>#N/A</v>
      </c>
      <c r="U732" t="e">
        <f ca="1"/>
        <v>#N/A</v>
      </c>
      <c r="V732" t="e">
        <f ca="1"/>
        <v>#N/A</v>
      </c>
      <c r="X732" s="2">
        <f t="shared" ca="1" si="79"/>
        <v>0</v>
      </c>
      <c r="Y732">
        <f t="shared" ca="1" si="80"/>
        <v>0</v>
      </c>
      <c r="AA732" s="63" t="e">
        <f t="shared" ca="1" si="81"/>
        <v>#N/A</v>
      </c>
      <c r="AB732" s="63" t="e">
        <f t="shared" ca="1" si="82"/>
        <v>#N/A</v>
      </c>
      <c r="AC732" s="3" t="e">
        <f t="shared" ca="1" si="83"/>
        <v>#N/A</v>
      </c>
    </row>
    <row r="733" spans="8:29">
      <c r="H733" t="e">
        <f t="shared" ca="1" si="77"/>
        <v>#N/A</v>
      </c>
      <c r="I733" t="e">
        <f t="shared" ca="1" si="78"/>
        <v>#N/A</v>
      </c>
      <c r="J733" t="e">
        <f ca="1"/>
        <v>#N/A</v>
      </c>
      <c r="K733" t="e">
        <f ca="1"/>
        <v>#N/A</v>
      </c>
      <c r="L733" t="e">
        <f ca="1"/>
        <v>#N/A</v>
      </c>
      <c r="M733" t="e">
        <f ca="1"/>
        <v>#N/A</v>
      </c>
      <c r="N733" t="e">
        <f ca="1"/>
        <v>#N/A</v>
      </c>
      <c r="O733" t="e">
        <f ca="1"/>
        <v>#N/A</v>
      </c>
      <c r="P733" t="e">
        <f ca="1"/>
        <v>#N/A</v>
      </c>
      <c r="Q733" t="e">
        <f ca="1"/>
        <v>#N/A</v>
      </c>
      <c r="R733" t="e">
        <f ca="1"/>
        <v>#N/A</v>
      </c>
      <c r="S733" t="e">
        <f ca="1"/>
        <v>#N/A</v>
      </c>
      <c r="T733" t="e">
        <f ca="1"/>
        <v>#N/A</v>
      </c>
      <c r="U733" t="e">
        <f ca="1"/>
        <v>#N/A</v>
      </c>
      <c r="V733" t="e">
        <f ca="1"/>
        <v>#N/A</v>
      </c>
      <c r="X733" s="2">
        <f t="shared" ca="1" si="79"/>
        <v>0</v>
      </c>
      <c r="Y733">
        <f t="shared" ca="1" si="80"/>
        <v>0</v>
      </c>
      <c r="AA733" s="63" t="e">
        <f t="shared" ca="1" si="81"/>
        <v>#N/A</v>
      </c>
      <c r="AB733" s="63" t="e">
        <f t="shared" ca="1" si="82"/>
        <v>#N/A</v>
      </c>
      <c r="AC733" s="3" t="e">
        <f t="shared" ca="1" si="83"/>
        <v>#N/A</v>
      </c>
    </row>
    <row r="734" spans="8:29">
      <c r="H734" t="e">
        <f t="shared" ca="1" si="77"/>
        <v>#N/A</v>
      </c>
      <c r="I734" t="e">
        <f t="shared" ca="1" si="78"/>
        <v>#N/A</v>
      </c>
      <c r="J734" t="e">
        <f ca="1"/>
        <v>#N/A</v>
      </c>
      <c r="K734" t="e">
        <f ca="1"/>
        <v>#N/A</v>
      </c>
      <c r="L734" t="e">
        <f ca="1"/>
        <v>#N/A</v>
      </c>
      <c r="M734" t="e">
        <f ca="1"/>
        <v>#N/A</v>
      </c>
      <c r="N734" t="e">
        <f ca="1"/>
        <v>#N/A</v>
      </c>
      <c r="O734" t="e">
        <f ca="1"/>
        <v>#N/A</v>
      </c>
      <c r="P734" t="e">
        <f ca="1"/>
        <v>#N/A</v>
      </c>
      <c r="Q734" t="e">
        <f ca="1"/>
        <v>#N/A</v>
      </c>
      <c r="R734" t="e">
        <f ca="1"/>
        <v>#N/A</v>
      </c>
      <c r="S734" t="e">
        <f ca="1"/>
        <v>#N/A</v>
      </c>
      <c r="T734" t="e">
        <f ca="1"/>
        <v>#N/A</v>
      </c>
      <c r="U734" t="e">
        <f ca="1"/>
        <v>#N/A</v>
      </c>
      <c r="V734" t="e">
        <f ca="1"/>
        <v>#N/A</v>
      </c>
      <c r="X734" s="2">
        <f t="shared" ca="1" si="79"/>
        <v>0</v>
      </c>
      <c r="Y734">
        <f t="shared" ca="1" si="80"/>
        <v>0</v>
      </c>
      <c r="AA734" s="63" t="e">
        <f t="shared" ca="1" si="81"/>
        <v>#N/A</v>
      </c>
      <c r="AB734" s="63" t="e">
        <f t="shared" ca="1" si="82"/>
        <v>#N/A</v>
      </c>
      <c r="AC734" s="3" t="e">
        <f t="shared" ca="1" si="83"/>
        <v>#N/A</v>
      </c>
    </row>
    <row r="735" spans="8:29">
      <c r="H735" t="e">
        <f t="shared" ca="1" si="77"/>
        <v>#N/A</v>
      </c>
      <c r="I735" t="e">
        <f t="shared" ca="1" si="78"/>
        <v>#N/A</v>
      </c>
      <c r="J735" t="e">
        <f ca="1"/>
        <v>#N/A</v>
      </c>
      <c r="K735" t="e">
        <f ca="1"/>
        <v>#N/A</v>
      </c>
      <c r="L735" t="e">
        <f ca="1"/>
        <v>#N/A</v>
      </c>
      <c r="M735" t="e">
        <f ca="1"/>
        <v>#N/A</v>
      </c>
      <c r="N735" t="e">
        <f ca="1"/>
        <v>#N/A</v>
      </c>
      <c r="O735" t="e">
        <f ca="1"/>
        <v>#N/A</v>
      </c>
      <c r="P735" t="e">
        <f ca="1"/>
        <v>#N/A</v>
      </c>
      <c r="Q735" t="e">
        <f ca="1"/>
        <v>#N/A</v>
      </c>
      <c r="R735" t="e">
        <f ca="1"/>
        <v>#N/A</v>
      </c>
      <c r="S735" t="e">
        <f ca="1"/>
        <v>#N/A</v>
      </c>
      <c r="T735" t="e">
        <f ca="1"/>
        <v>#N/A</v>
      </c>
      <c r="U735" t="e">
        <f ca="1"/>
        <v>#N/A</v>
      </c>
      <c r="V735" t="e">
        <f ca="1"/>
        <v>#N/A</v>
      </c>
      <c r="X735" s="2">
        <f t="shared" ca="1" si="79"/>
        <v>0</v>
      </c>
      <c r="Y735">
        <f t="shared" ca="1" si="80"/>
        <v>0</v>
      </c>
      <c r="AA735" s="63" t="e">
        <f t="shared" ca="1" si="81"/>
        <v>#N/A</v>
      </c>
      <c r="AB735" s="63" t="e">
        <f t="shared" ca="1" si="82"/>
        <v>#N/A</v>
      </c>
      <c r="AC735" s="3" t="e">
        <f t="shared" ca="1" si="83"/>
        <v>#N/A</v>
      </c>
    </row>
    <row r="736" spans="8:29">
      <c r="H736" t="e">
        <f t="shared" ca="1" si="77"/>
        <v>#N/A</v>
      </c>
      <c r="I736" t="e">
        <f t="shared" ca="1" si="78"/>
        <v>#N/A</v>
      </c>
      <c r="J736" t="e">
        <f ca="1"/>
        <v>#N/A</v>
      </c>
      <c r="K736" t="e">
        <f ca="1"/>
        <v>#N/A</v>
      </c>
      <c r="L736" t="e">
        <f ca="1"/>
        <v>#N/A</v>
      </c>
      <c r="M736" t="e">
        <f ca="1"/>
        <v>#N/A</v>
      </c>
      <c r="N736" t="e">
        <f ca="1"/>
        <v>#N/A</v>
      </c>
      <c r="O736" t="e">
        <f ca="1"/>
        <v>#N/A</v>
      </c>
      <c r="P736" t="e">
        <f ca="1"/>
        <v>#N/A</v>
      </c>
      <c r="Q736" t="e">
        <f ca="1"/>
        <v>#N/A</v>
      </c>
      <c r="R736" t="e">
        <f ca="1"/>
        <v>#N/A</v>
      </c>
      <c r="S736" t="e">
        <f ca="1"/>
        <v>#N/A</v>
      </c>
      <c r="T736" t="e">
        <f ca="1"/>
        <v>#N/A</v>
      </c>
      <c r="U736" t="e">
        <f ca="1"/>
        <v>#N/A</v>
      </c>
      <c r="V736" t="e">
        <f ca="1"/>
        <v>#N/A</v>
      </c>
      <c r="X736" s="2">
        <f t="shared" ca="1" si="79"/>
        <v>0</v>
      </c>
      <c r="Y736">
        <f t="shared" ca="1" si="80"/>
        <v>0</v>
      </c>
      <c r="AA736" s="63" t="e">
        <f t="shared" ca="1" si="81"/>
        <v>#N/A</v>
      </c>
      <c r="AB736" s="63" t="e">
        <f t="shared" ca="1" si="82"/>
        <v>#N/A</v>
      </c>
      <c r="AC736" s="3" t="e">
        <f t="shared" ca="1" si="83"/>
        <v>#N/A</v>
      </c>
    </row>
    <row r="737" spans="8:29">
      <c r="H737" t="e">
        <f t="shared" ca="1" si="77"/>
        <v>#N/A</v>
      </c>
      <c r="I737" t="e">
        <f t="shared" ca="1" si="78"/>
        <v>#N/A</v>
      </c>
      <c r="J737" t="e">
        <f ca="1"/>
        <v>#N/A</v>
      </c>
      <c r="K737" t="e">
        <f ca="1"/>
        <v>#N/A</v>
      </c>
      <c r="L737" t="e">
        <f ca="1"/>
        <v>#N/A</v>
      </c>
      <c r="M737" t="e">
        <f ca="1"/>
        <v>#N/A</v>
      </c>
      <c r="N737" t="e">
        <f ca="1"/>
        <v>#N/A</v>
      </c>
      <c r="O737" t="e">
        <f ca="1"/>
        <v>#N/A</v>
      </c>
      <c r="P737" t="e">
        <f ca="1"/>
        <v>#N/A</v>
      </c>
      <c r="Q737" t="e">
        <f ca="1"/>
        <v>#N/A</v>
      </c>
      <c r="R737" t="e">
        <f ca="1"/>
        <v>#N/A</v>
      </c>
      <c r="S737" t="e">
        <f ca="1"/>
        <v>#N/A</v>
      </c>
      <c r="T737" t="e">
        <f ca="1"/>
        <v>#N/A</v>
      </c>
      <c r="U737" t="e">
        <f ca="1"/>
        <v>#N/A</v>
      </c>
      <c r="V737" t="e">
        <f ca="1"/>
        <v>#N/A</v>
      </c>
      <c r="X737" s="2">
        <f t="shared" ca="1" si="79"/>
        <v>0</v>
      </c>
      <c r="Y737">
        <f t="shared" ca="1" si="80"/>
        <v>0</v>
      </c>
      <c r="AA737" s="63" t="e">
        <f t="shared" ca="1" si="81"/>
        <v>#N/A</v>
      </c>
      <c r="AB737" s="63" t="e">
        <f t="shared" ca="1" si="82"/>
        <v>#N/A</v>
      </c>
      <c r="AC737" s="3" t="e">
        <f t="shared" ca="1" si="83"/>
        <v>#N/A</v>
      </c>
    </row>
    <row r="738" spans="8:29">
      <c r="H738" t="e">
        <f t="shared" ca="1" si="77"/>
        <v>#N/A</v>
      </c>
      <c r="I738" t="e">
        <f t="shared" ca="1" si="78"/>
        <v>#N/A</v>
      </c>
      <c r="J738" t="e">
        <f ca="1"/>
        <v>#N/A</v>
      </c>
      <c r="K738" t="e">
        <f ca="1"/>
        <v>#N/A</v>
      </c>
      <c r="L738" t="e">
        <f ca="1"/>
        <v>#N/A</v>
      </c>
      <c r="M738" t="e">
        <f ca="1"/>
        <v>#N/A</v>
      </c>
      <c r="N738" t="e">
        <f ca="1"/>
        <v>#N/A</v>
      </c>
      <c r="O738" t="e">
        <f ca="1"/>
        <v>#N/A</v>
      </c>
      <c r="P738" t="e">
        <f ca="1"/>
        <v>#N/A</v>
      </c>
      <c r="Q738" t="e">
        <f ca="1"/>
        <v>#N/A</v>
      </c>
      <c r="R738" t="e">
        <f ca="1"/>
        <v>#N/A</v>
      </c>
      <c r="S738" t="e">
        <f ca="1"/>
        <v>#N/A</v>
      </c>
      <c r="T738" t="e">
        <f ca="1"/>
        <v>#N/A</v>
      </c>
      <c r="U738" t="e">
        <f ca="1"/>
        <v>#N/A</v>
      </c>
      <c r="V738" t="e">
        <f ca="1"/>
        <v>#N/A</v>
      </c>
      <c r="X738" s="2">
        <f t="shared" ca="1" si="79"/>
        <v>0</v>
      </c>
      <c r="Y738">
        <f t="shared" ca="1" si="80"/>
        <v>0</v>
      </c>
      <c r="AA738" s="63" t="e">
        <f t="shared" ca="1" si="81"/>
        <v>#N/A</v>
      </c>
      <c r="AB738" s="63" t="e">
        <f t="shared" ca="1" si="82"/>
        <v>#N/A</v>
      </c>
      <c r="AC738" s="3" t="e">
        <f t="shared" ca="1" si="83"/>
        <v>#N/A</v>
      </c>
    </row>
    <row r="739" spans="8:29">
      <c r="H739" t="e">
        <f t="shared" ca="1" si="77"/>
        <v>#N/A</v>
      </c>
      <c r="I739" t="e">
        <f t="shared" ca="1" si="78"/>
        <v>#N/A</v>
      </c>
      <c r="J739" t="e">
        <f ca="1"/>
        <v>#N/A</v>
      </c>
      <c r="K739" t="e">
        <f ca="1"/>
        <v>#N/A</v>
      </c>
      <c r="L739" t="e">
        <f ca="1"/>
        <v>#N/A</v>
      </c>
      <c r="M739" t="e">
        <f ca="1"/>
        <v>#N/A</v>
      </c>
      <c r="N739" t="e">
        <f ca="1"/>
        <v>#N/A</v>
      </c>
      <c r="O739" t="e">
        <f ca="1"/>
        <v>#N/A</v>
      </c>
      <c r="P739" t="e">
        <f ca="1"/>
        <v>#N/A</v>
      </c>
      <c r="Q739" t="e">
        <f ca="1"/>
        <v>#N/A</v>
      </c>
      <c r="R739" t="e">
        <f ca="1"/>
        <v>#N/A</v>
      </c>
      <c r="S739" t="e">
        <f ca="1"/>
        <v>#N/A</v>
      </c>
      <c r="T739" t="e">
        <f ca="1"/>
        <v>#N/A</v>
      </c>
      <c r="U739" t="e">
        <f ca="1"/>
        <v>#N/A</v>
      </c>
      <c r="V739" t="e">
        <f ca="1"/>
        <v>#N/A</v>
      </c>
      <c r="X739" s="2">
        <f t="shared" ca="1" si="79"/>
        <v>0</v>
      </c>
      <c r="Y739">
        <f t="shared" ca="1" si="80"/>
        <v>0</v>
      </c>
      <c r="AA739" s="63" t="e">
        <f t="shared" ca="1" si="81"/>
        <v>#N/A</v>
      </c>
      <c r="AB739" s="63" t="e">
        <f t="shared" ca="1" si="82"/>
        <v>#N/A</v>
      </c>
      <c r="AC739" s="3" t="e">
        <f t="shared" ca="1" si="83"/>
        <v>#N/A</v>
      </c>
    </row>
    <row r="740" spans="8:29">
      <c r="H740" t="e">
        <f t="shared" ca="1" si="77"/>
        <v>#N/A</v>
      </c>
      <c r="I740" t="e">
        <f t="shared" ca="1" si="78"/>
        <v>#N/A</v>
      </c>
      <c r="J740" t="e">
        <f ca="1"/>
        <v>#N/A</v>
      </c>
      <c r="K740" t="e">
        <f ca="1"/>
        <v>#N/A</v>
      </c>
      <c r="L740" t="e">
        <f ca="1"/>
        <v>#N/A</v>
      </c>
      <c r="M740" t="e">
        <f ca="1"/>
        <v>#N/A</v>
      </c>
      <c r="N740" t="e">
        <f ca="1"/>
        <v>#N/A</v>
      </c>
      <c r="O740" t="e">
        <f ca="1"/>
        <v>#N/A</v>
      </c>
      <c r="P740" t="e">
        <f ca="1"/>
        <v>#N/A</v>
      </c>
      <c r="Q740" t="e">
        <f ca="1"/>
        <v>#N/A</v>
      </c>
      <c r="R740" t="e">
        <f ca="1"/>
        <v>#N/A</v>
      </c>
      <c r="S740" t="e">
        <f ca="1"/>
        <v>#N/A</v>
      </c>
      <c r="T740" t="e">
        <f ca="1"/>
        <v>#N/A</v>
      </c>
      <c r="U740" t="e">
        <f ca="1"/>
        <v>#N/A</v>
      </c>
      <c r="V740" t="e">
        <f ca="1"/>
        <v>#N/A</v>
      </c>
      <c r="X740" s="2">
        <f t="shared" ca="1" si="79"/>
        <v>0</v>
      </c>
      <c r="Y740">
        <f t="shared" ca="1" si="80"/>
        <v>0</v>
      </c>
      <c r="AA740" s="63" t="e">
        <f t="shared" ca="1" si="81"/>
        <v>#N/A</v>
      </c>
      <c r="AB740" s="63" t="e">
        <f t="shared" ca="1" si="82"/>
        <v>#N/A</v>
      </c>
      <c r="AC740" s="3" t="e">
        <f t="shared" ca="1" si="83"/>
        <v>#N/A</v>
      </c>
    </row>
    <row r="741" spans="8:29">
      <c r="H741" t="e">
        <f t="shared" ca="1" si="77"/>
        <v>#N/A</v>
      </c>
      <c r="I741" t="e">
        <f t="shared" ca="1" si="78"/>
        <v>#N/A</v>
      </c>
      <c r="J741" t="e">
        <f ca="1"/>
        <v>#N/A</v>
      </c>
      <c r="K741" t="e">
        <f ca="1"/>
        <v>#N/A</v>
      </c>
      <c r="L741" t="e">
        <f ca="1"/>
        <v>#N/A</v>
      </c>
      <c r="M741" t="e">
        <f ca="1"/>
        <v>#N/A</v>
      </c>
      <c r="N741" t="e">
        <f ca="1"/>
        <v>#N/A</v>
      </c>
      <c r="O741" t="e">
        <f ca="1"/>
        <v>#N/A</v>
      </c>
      <c r="P741" t="e">
        <f ca="1"/>
        <v>#N/A</v>
      </c>
      <c r="Q741" t="e">
        <f ca="1"/>
        <v>#N/A</v>
      </c>
      <c r="R741" t="e">
        <f ca="1"/>
        <v>#N/A</v>
      </c>
      <c r="S741" t="e">
        <f ca="1"/>
        <v>#N/A</v>
      </c>
      <c r="T741" t="e">
        <f ca="1"/>
        <v>#N/A</v>
      </c>
      <c r="U741" t="e">
        <f ca="1"/>
        <v>#N/A</v>
      </c>
      <c r="V741" t="e">
        <f ca="1"/>
        <v>#N/A</v>
      </c>
      <c r="X741" s="2">
        <f t="shared" ca="1" si="79"/>
        <v>0</v>
      </c>
      <c r="Y741">
        <f t="shared" ca="1" si="80"/>
        <v>0</v>
      </c>
      <c r="AA741" s="63" t="e">
        <f t="shared" ca="1" si="81"/>
        <v>#N/A</v>
      </c>
      <c r="AB741" s="63" t="e">
        <f t="shared" ca="1" si="82"/>
        <v>#N/A</v>
      </c>
      <c r="AC741" s="3" t="e">
        <f t="shared" ca="1" si="83"/>
        <v>#N/A</v>
      </c>
    </row>
    <row r="742" spans="8:29">
      <c r="H742" t="e">
        <f t="shared" ca="1" si="77"/>
        <v>#N/A</v>
      </c>
      <c r="I742" t="e">
        <f t="shared" ca="1" si="78"/>
        <v>#N/A</v>
      </c>
      <c r="J742" t="e">
        <f ca="1"/>
        <v>#N/A</v>
      </c>
      <c r="K742" t="e">
        <f ca="1"/>
        <v>#N/A</v>
      </c>
      <c r="L742" t="e">
        <f ca="1"/>
        <v>#N/A</v>
      </c>
      <c r="M742" t="e">
        <f ca="1"/>
        <v>#N/A</v>
      </c>
      <c r="N742" t="e">
        <f ca="1"/>
        <v>#N/A</v>
      </c>
      <c r="O742" t="e">
        <f ca="1"/>
        <v>#N/A</v>
      </c>
      <c r="P742" t="e">
        <f ca="1"/>
        <v>#N/A</v>
      </c>
      <c r="Q742" t="e">
        <f ca="1"/>
        <v>#N/A</v>
      </c>
      <c r="R742" t="e">
        <f ca="1"/>
        <v>#N/A</v>
      </c>
      <c r="S742" t="e">
        <f ca="1"/>
        <v>#N/A</v>
      </c>
      <c r="T742" t="e">
        <f ca="1"/>
        <v>#N/A</v>
      </c>
      <c r="U742" t="e">
        <f ca="1"/>
        <v>#N/A</v>
      </c>
      <c r="V742" t="e">
        <f ca="1"/>
        <v>#N/A</v>
      </c>
      <c r="X742" s="2">
        <f t="shared" ca="1" si="79"/>
        <v>0</v>
      </c>
      <c r="Y742">
        <f t="shared" ca="1" si="80"/>
        <v>0</v>
      </c>
      <c r="AA742" s="63" t="e">
        <f t="shared" ca="1" si="81"/>
        <v>#N/A</v>
      </c>
      <c r="AB742" s="63" t="e">
        <f t="shared" ca="1" si="82"/>
        <v>#N/A</v>
      </c>
      <c r="AC742" s="3" t="e">
        <f t="shared" ca="1" si="83"/>
        <v>#N/A</v>
      </c>
    </row>
    <row r="743" spans="8:29">
      <c r="H743" t="e">
        <f t="shared" ca="1" si="77"/>
        <v>#N/A</v>
      </c>
      <c r="I743" t="e">
        <f t="shared" ca="1" si="78"/>
        <v>#N/A</v>
      </c>
      <c r="J743" t="e">
        <f ca="1"/>
        <v>#N/A</v>
      </c>
      <c r="K743" t="e">
        <f ca="1"/>
        <v>#N/A</v>
      </c>
      <c r="L743" t="e">
        <f ca="1"/>
        <v>#N/A</v>
      </c>
      <c r="M743" t="e">
        <f ca="1"/>
        <v>#N/A</v>
      </c>
      <c r="N743" t="e">
        <f ca="1"/>
        <v>#N/A</v>
      </c>
      <c r="O743" t="e">
        <f ca="1"/>
        <v>#N/A</v>
      </c>
      <c r="P743" t="e">
        <f ca="1"/>
        <v>#N/A</v>
      </c>
      <c r="Q743" t="e">
        <f ca="1"/>
        <v>#N/A</v>
      </c>
      <c r="R743" t="e">
        <f ca="1"/>
        <v>#N/A</v>
      </c>
      <c r="S743" t="e">
        <f ca="1"/>
        <v>#N/A</v>
      </c>
      <c r="T743" t="e">
        <f ca="1"/>
        <v>#N/A</v>
      </c>
      <c r="U743" t="e">
        <f ca="1"/>
        <v>#N/A</v>
      </c>
      <c r="V743" t="e">
        <f ca="1"/>
        <v>#N/A</v>
      </c>
      <c r="X743" s="2">
        <f t="shared" ca="1" si="79"/>
        <v>0</v>
      </c>
      <c r="Y743">
        <f t="shared" ca="1" si="80"/>
        <v>0</v>
      </c>
      <c r="AA743" s="63" t="e">
        <f t="shared" ca="1" si="81"/>
        <v>#N/A</v>
      </c>
      <c r="AB743" s="63" t="e">
        <f t="shared" ca="1" si="82"/>
        <v>#N/A</v>
      </c>
      <c r="AC743" s="3" t="e">
        <f t="shared" ca="1" si="83"/>
        <v>#N/A</v>
      </c>
    </row>
    <row r="744" spans="8:29">
      <c r="H744" t="e">
        <f t="shared" ca="1" si="77"/>
        <v>#N/A</v>
      </c>
      <c r="I744" t="e">
        <f t="shared" ca="1" si="78"/>
        <v>#N/A</v>
      </c>
      <c r="J744" t="e">
        <f ca="1"/>
        <v>#N/A</v>
      </c>
      <c r="K744" t="e">
        <f ca="1"/>
        <v>#N/A</v>
      </c>
      <c r="L744" t="e">
        <f ca="1"/>
        <v>#N/A</v>
      </c>
      <c r="M744" t="e">
        <f ca="1"/>
        <v>#N/A</v>
      </c>
      <c r="N744" t="e">
        <f ca="1"/>
        <v>#N/A</v>
      </c>
      <c r="O744" t="e">
        <f ca="1"/>
        <v>#N/A</v>
      </c>
      <c r="P744" t="e">
        <f ca="1"/>
        <v>#N/A</v>
      </c>
      <c r="Q744" t="e">
        <f ca="1"/>
        <v>#N/A</v>
      </c>
      <c r="R744" t="e">
        <f ca="1"/>
        <v>#N/A</v>
      </c>
      <c r="S744" t="e">
        <f ca="1"/>
        <v>#N/A</v>
      </c>
      <c r="T744" t="e">
        <f ca="1"/>
        <v>#N/A</v>
      </c>
      <c r="U744" t="e">
        <f ca="1"/>
        <v>#N/A</v>
      </c>
      <c r="V744" t="e">
        <f ca="1"/>
        <v>#N/A</v>
      </c>
      <c r="X744" s="2">
        <f t="shared" ca="1" si="79"/>
        <v>0</v>
      </c>
      <c r="Y744">
        <f t="shared" ca="1" si="80"/>
        <v>0</v>
      </c>
      <c r="AA744" s="63" t="e">
        <f t="shared" ca="1" si="81"/>
        <v>#N/A</v>
      </c>
      <c r="AB744" s="63" t="e">
        <f t="shared" ca="1" si="82"/>
        <v>#N/A</v>
      </c>
      <c r="AC744" s="3" t="e">
        <f t="shared" ca="1" si="83"/>
        <v>#N/A</v>
      </c>
    </row>
    <row r="745" spans="8:29">
      <c r="H745" t="e">
        <f t="shared" ca="1" si="77"/>
        <v>#N/A</v>
      </c>
      <c r="I745" t="e">
        <f t="shared" ca="1" si="78"/>
        <v>#N/A</v>
      </c>
      <c r="J745" t="e">
        <f ca="1"/>
        <v>#N/A</v>
      </c>
      <c r="K745" t="e">
        <f ca="1"/>
        <v>#N/A</v>
      </c>
      <c r="L745" t="e">
        <f ca="1"/>
        <v>#N/A</v>
      </c>
      <c r="M745" t="e">
        <f ca="1"/>
        <v>#N/A</v>
      </c>
      <c r="N745" t="e">
        <f ca="1"/>
        <v>#N/A</v>
      </c>
      <c r="O745" t="e">
        <f ca="1"/>
        <v>#N/A</v>
      </c>
      <c r="P745" t="e">
        <f ca="1"/>
        <v>#N/A</v>
      </c>
      <c r="Q745" t="e">
        <f ca="1"/>
        <v>#N/A</v>
      </c>
      <c r="R745" t="e">
        <f ca="1"/>
        <v>#N/A</v>
      </c>
      <c r="S745" t="e">
        <f ca="1"/>
        <v>#N/A</v>
      </c>
      <c r="T745" t="e">
        <f ca="1"/>
        <v>#N/A</v>
      </c>
      <c r="U745" t="e">
        <f ca="1"/>
        <v>#N/A</v>
      </c>
      <c r="V745" t="e">
        <f ca="1"/>
        <v>#N/A</v>
      </c>
      <c r="X745" s="2">
        <f t="shared" ca="1" si="79"/>
        <v>0</v>
      </c>
      <c r="Y745">
        <f t="shared" ca="1" si="80"/>
        <v>0</v>
      </c>
      <c r="AA745" s="63" t="e">
        <f t="shared" ca="1" si="81"/>
        <v>#N/A</v>
      </c>
      <c r="AB745" s="63" t="e">
        <f t="shared" ca="1" si="82"/>
        <v>#N/A</v>
      </c>
      <c r="AC745" s="3" t="e">
        <f t="shared" ca="1" si="83"/>
        <v>#N/A</v>
      </c>
    </row>
    <row r="746" spans="8:29">
      <c r="H746" t="e">
        <f t="shared" ca="1" si="77"/>
        <v>#N/A</v>
      </c>
      <c r="I746" t="e">
        <f t="shared" ca="1" si="78"/>
        <v>#N/A</v>
      </c>
      <c r="J746" t="e">
        <f ca="1"/>
        <v>#N/A</v>
      </c>
      <c r="K746" t="e">
        <f ca="1"/>
        <v>#N/A</v>
      </c>
      <c r="L746" t="e">
        <f ca="1"/>
        <v>#N/A</v>
      </c>
      <c r="M746" t="e">
        <f ca="1"/>
        <v>#N/A</v>
      </c>
      <c r="N746" t="e">
        <f ca="1"/>
        <v>#N/A</v>
      </c>
      <c r="O746" t="e">
        <f ca="1"/>
        <v>#N/A</v>
      </c>
      <c r="P746" t="e">
        <f ca="1"/>
        <v>#N/A</v>
      </c>
      <c r="Q746" t="e">
        <f ca="1"/>
        <v>#N/A</v>
      </c>
      <c r="R746" t="e">
        <f ca="1"/>
        <v>#N/A</v>
      </c>
      <c r="S746" t="e">
        <f ca="1"/>
        <v>#N/A</v>
      </c>
      <c r="T746" t="e">
        <f ca="1"/>
        <v>#N/A</v>
      </c>
      <c r="U746" t="e">
        <f ca="1"/>
        <v>#N/A</v>
      </c>
      <c r="V746" t="e">
        <f ca="1"/>
        <v>#N/A</v>
      </c>
      <c r="X746" s="2">
        <f t="shared" ca="1" si="79"/>
        <v>0</v>
      </c>
      <c r="Y746">
        <f t="shared" ca="1" si="80"/>
        <v>0</v>
      </c>
      <c r="AA746" s="63" t="e">
        <f t="shared" ca="1" si="81"/>
        <v>#N/A</v>
      </c>
      <c r="AB746" s="63" t="e">
        <f t="shared" ca="1" si="82"/>
        <v>#N/A</v>
      </c>
      <c r="AC746" s="3" t="e">
        <f t="shared" ca="1" si="83"/>
        <v>#N/A</v>
      </c>
    </row>
    <row r="747" spans="8:29">
      <c r="H747" t="e">
        <f t="shared" ca="1" si="77"/>
        <v>#N/A</v>
      </c>
      <c r="I747" t="e">
        <f t="shared" ca="1" si="78"/>
        <v>#N/A</v>
      </c>
      <c r="J747" t="e">
        <f ca="1"/>
        <v>#N/A</v>
      </c>
      <c r="K747" t="e">
        <f ca="1"/>
        <v>#N/A</v>
      </c>
      <c r="L747" t="e">
        <f ca="1"/>
        <v>#N/A</v>
      </c>
      <c r="M747" t="e">
        <f ca="1"/>
        <v>#N/A</v>
      </c>
      <c r="N747" t="e">
        <f ca="1"/>
        <v>#N/A</v>
      </c>
      <c r="O747" t="e">
        <f ca="1"/>
        <v>#N/A</v>
      </c>
      <c r="P747" t="e">
        <f ca="1"/>
        <v>#N/A</v>
      </c>
      <c r="Q747" t="e">
        <f ca="1"/>
        <v>#N/A</v>
      </c>
      <c r="R747" t="e">
        <f ca="1"/>
        <v>#N/A</v>
      </c>
      <c r="S747" t="e">
        <f ca="1"/>
        <v>#N/A</v>
      </c>
      <c r="T747" t="e">
        <f ca="1"/>
        <v>#N/A</v>
      </c>
      <c r="U747" t="e">
        <f ca="1"/>
        <v>#N/A</v>
      </c>
      <c r="V747" t="e">
        <f ca="1"/>
        <v>#N/A</v>
      </c>
      <c r="X747" s="2">
        <f t="shared" ca="1" si="79"/>
        <v>0</v>
      </c>
      <c r="Y747">
        <f t="shared" ca="1" si="80"/>
        <v>0</v>
      </c>
      <c r="AA747" s="63" t="e">
        <f t="shared" ca="1" si="81"/>
        <v>#N/A</v>
      </c>
      <c r="AB747" s="63" t="e">
        <f t="shared" ca="1" si="82"/>
        <v>#N/A</v>
      </c>
      <c r="AC747" s="3" t="e">
        <f t="shared" ca="1" si="83"/>
        <v>#N/A</v>
      </c>
    </row>
    <row r="748" spans="8:29">
      <c r="H748" t="e">
        <f t="shared" ca="1" si="77"/>
        <v>#N/A</v>
      </c>
      <c r="I748" t="e">
        <f t="shared" ca="1" si="78"/>
        <v>#N/A</v>
      </c>
      <c r="J748" t="e">
        <f ca="1"/>
        <v>#N/A</v>
      </c>
      <c r="K748" t="e">
        <f ca="1"/>
        <v>#N/A</v>
      </c>
      <c r="L748" t="e">
        <f ca="1"/>
        <v>#N/A</v>
      </c>
      <c r="M748" t="e">
        <f ca="1"/>
        <v>#N/A</v>
      </c>
      <c r="N748" t="e">
        <f ca="1"/>
        <v>#N/A</v>
      </c>
      <c r="O748" t="e">
        <f ca="1"/>
        <v>#N/A</v>
      </c>
      <c r="P748" t="e">
        <f ca="1"/>
        <v>#N/A</v>
      </c>
      <c r="Q748" t="e">
        <f ca="1"/>
        <v>#N/A</v>
      </c>
      <c r="R748" t="e">
        <f ca="1"/>
        <v>#N/A</v>
      </c>
      <c r="S748" t="e">
        <f ca="1"/>
        <v>#N/A</v>
      </c>
      <c r="T748" t="e">
        <f ca="1"/>
        <v>#N/A</v>
      </c>
      <c r="U748" t="e">
        <f ca="1"/>
        <v>#N/A</v>
      </c>
      <c r="V748" t="e">
        <f ca="1"/>
        <v>#N/A</v>
      </c>
      <c r="X748" s="2">
        <f t="shared" ca="1" si="79"/>
        <v>0</v>
      </c>
      <c r="Y748">
        <f t="shared" ca="1" si="80"/>
        <v>0</v>
      </c>
      <c r="AA748" s="63" t="e">
        <f t="shared" ca="1" si="81"/>
        <v>#N/A</v>
      </c>
      <c r="AB748" s="63" t="e">
        <f t="shared" ca="1" si="82"/>
        <v>#N/A</v>
      </c>
      <c r="AC748" s="3" t="e">
        <f t="shared" ca="1" si="83"/>
        <v>#N/A</v>
      </c>
    </row>
    <row r="749" spans="8:29">
      <c r="H749" t="e">
        <f t="shared" ca="1" si="77"/>
        <v>#N/A</v>
      </c>
      <c r="I749" t="e">
        <f t="shared" ca="1" si="78"/>
        <v>#N/A</v>
      </c>
      <c r="J749" t="e">
        <f ca="1"/>
        <v>#N/A</v>
      </c>
      <c r="K749" t="e">
        <f ca="1"/>
        <v>#N/A</v>
      </c>
      <c r="L749" t="e">
        <f ca="1"/>
        <v>#N/A</v>
      </c>
      <c r="M749" t="e">
        <f ca="1"/>
        <v>#N/A</v>
      </c>
      <c r="N749" t="e">
        <f ca="1"/>
        <v>#N/A</v>
      </c>
      <c r="O749" t="e">
        <f ca="1"/>
        <v>#N/A</v>
      </c>
      <c r="P749" t="e">
        <f ca="1"/>
        <v>#N/A</v>
      </c>
      <c r="Q749" t="e">
        <f ca="1"/>
        <v>#N/A</v>
      </c>
      <c r="R749" t="e">
        <f ca="1"/>
        <v>#N/A</v>
      </c>
      <c r="S749" t="e">
        <f ca="1"/>
        <v>#N/A</v>
      </c>
      <c r="T749" t="e">
        <f ca="1"/>
        <v>#N/A</v>
      </c>
      <c r="U749" t="e">
        <f ca="1"/>
        <v>#N/A</v>
      </c>
      <c r="V749" t="e">
        <f ca="1"/>
        <v>#N/A</v>
      </c>
      <c r="X749" s="2">
        <f t="shared" ca="1" si="79"/>
        <v>0</v>
      </c>
      <c r="Y749">
        <f t="shared" ca="1" si="80"/>
        <v>0</v>
      </c>
      <c r="AA749" s="63" t="e">
        <f t="shared" ca="1" si="81"/>
        <v>#N/A</v>
      </c>
      <c r="AB749" s="63" t="e">
        <f t="shared" ca="1" si="82"/>
        <v>#N/A</v>
      </c>
      <c r="AC749" s="3" t="e">
        <f t="shared" ca="1" si="83"/>
        <v>#N/A</v>
      </c>
    </row>
    <row r="750" spans="8:29">
      <c r="H750" t="e">
        <f t="shared" ca="1" si="77"/>
        <v>#N/A</v>
      </c>
      <c r="I750" t="e">
        <f t="shared" ca="1" si="78"/>
        <v>#N/A</v>
      </c>
      <c r="J750" t="e">
        <f ca="1"/>
        <v>#N/A</v>
      </c>
      <c r="K750" t="e">
        <f ca="1"/>
        <v>#N/A</v>
      </c>
      <c r="L750" t="e">
        <f ca="1"/>
        <v>#N/A</v>
      </c>
      <c r="M750" t="e">
        <f ca="1"/>
        <v>#N/A</v>
      </c>
      <c r="N750" t="e">
        <f ca="1"/>
        <v>#N/A</v>
      </c>
      <c r="O750" t="e">
        <f ca="1"/>
        <v>#N/A</v>
      </c>
      <c r="P750" t="e">
        <f ca="1"/>
        <v>#N/A</v>
      </c>
      <c r="Q750" t="e">
        <f ca="1"/>
        <v>#N/A</v>
      </c>
      <c r="R750" t="e">
        <f ca="1"/>
        <v>#N/A</v>
      </c>
      <c r="S750" t="e">
        <f ca="1"/>
        <v>#N/A</v>
      </c>
      <c r="T750" t="e">
        <f ca="1"/>
        <v>#N/A</v>
      </c>
      <c r="U750" t="e">
        <f ca="1"/>
        <v>#N/A</v>
      </c>
      <c r="V750" t="e">
        <f ca="1"/>
        <v>#N/A</v>
      </c>
      <c r="X750" s="2">
        <f t="shared" ca="1" si="79"/>
        <v>0</v>
      </c>
      <c r="Y750">
        <f t="shared" ca="1" si="80"/>
        <v>0</v>
      </c>
      <c r="AA750" s="63" t="e">
        <f t="shared" ca="1" si="81"/>
        <v>#N/A</v>
      </c>
      <c r="AB750" s="63" t="e">
        <f t="shared" ca="1" si="82"/>
        <v>#N/A</v>
      </c>
      <c r="AC750" s="3" t="e">
        <f t="shared" ca="1" si="83"/>
        <v>#N/A</v>
      </c>
    </row>
    <row r="751" spans="8:29">
      <c r="H751" t="e">
        <f t="shared" ca="1" si="77"/>
        <v>#N/A</v>
      </c>
      <c r="I751" t="e">
        <f t="shared" ca="1" si="78"/>
        <v>#N/A</v>
      </c>
      <c r="J751" t="e">
        <f ca="1"/>
        <v>#N/A</v>
      </c>
      <c r="K751" t="e">
        <f ca="1"/>
        <v>#N/A</v>
      </c>
      <c r="L751" t="e">
        <f ca="1"/>
        <v>#N/A</v>
      </c>
      <c r="M751" t="e">
        <f ca="1"/>
        <v>#N/A</v>
      </c>
      <c r="N751" t="e">
        <f ca="1"/>
        <v>#N/A</v>
      </c>
      <c r="O751" t="e">
        <f ca="1"/>
        <v>#N/A</v>
      </c>
      <c r="P751" t="e">
        <f ca="1"/>
        <v>#N/A</v>
      </c>
      <c r="Q751" t="e">
        <f ca="1"/>
        <v>#N/A</v>
      </c>
      <c r="R751" t="e">
        <f ca="1"/>
        <v>#N/A</v>
      </c>
      <c r="S751" t="e">
        <f ca="1"/>
        <v>#N/A</v>
      </c>
      <c r="T751" t="e">
        <f ca="1"/>
        <v>#N/A</v>
      </c>
      <c r="U751" t="e">
        <f ca="1"/>
        <v>#N/A</v>
      </c>
      <c r="V751" t="e">
        <f ca="1"/>
        <v>#N/A</v>
      </c>
      <c r="X751" s="2">
        <f t="shared" ca="1" si="79"/>
        <v>0</v>
      </c>
      <c r="Y751">
        <f t="shared" ca="1" si="80"/>
        <v>0</v>
      </c>
      <c r="AA751" s="63" t="e">
        <f t="shared" ca="1" si="81"/>
        <v>#N/A</v>
      </c>
      <c r="AB751" s="63" t="e">
        <f t="shared" ca="1" si="82"/>
        <v>#N/A</v>
      </c>
      <c r="AC751" s="3" t="e">
        <f t="shared" ca="1" si="83"/>
        <v>#N/A</v>
      </c>
    </row>
    <row r="752" spans="8:29">
      <c r="H752" t="e">
        <f t="shared" ca="1" si="77"/>
        <v>#N/A</v>
      </c>
      <c r="I752" t="e">
        <f t="shared" ca="1" si="78"/>
        <v>#N/A</v>
      </c>
      <c r="J752" t="e">
        <f ca="1"/>
        <v>#N/A</v>
      </c>
      <c r="K752" t="e">
        <f ca="1"/>
        <v>#N/A</v>
      </c>
      <c r="L752" t="e">
        <f ca="1"/>
        <v>#N/A</v>
      </c>
      <c r="M752" t="e">
        <f ca="1"/>
        <v>#N/A</v>
      </c>
      <c r="N752" t="e">
        <f ca="1"/>
        <v>#N/A</v>
      </c>
      <c r="O752" t="e">
        <f ca="1"/>
        <v>#N/A</v>
      </c>
      <c r="P752" t="e">
        <f ca="1"/>
        <v>#N/A</v>
      </c>
      <c r="Q752" t="e">
        <f ca="1"/>
        <v>#N/A</v>
      </c>
      <c r="R752" t="e">
        <f ca="1"/>
        <v>#N/A</v>
      </c>
      <c r="S752" t="e">
        <f ca="1"/>
        <v>#N/A</v>
      </c>
      <c r="T752" t="e">
        <f ca="1"/>
        <v>#N/A</v>
      </c>
      <c r="U752" t="e">
        <f ca="1"/>
        <v>#N/A</v>
      </c>
      <c r="V752" t="e">
        <f ca="1"/>
        <v>#N/A</v>
      </c>
      <c r="X752" s="2">
        <f t="shared" ca="1" si="79"/>
        <v>0</v>
      </c>
      <c r="Y752">
        <f t="shared" ca="1" si="80"/>
        <v>0</v>
      </c>
      <c r="AA752" s="63" t="e">
        <f t="shared" ca="1" si="81"/>
        <v>#N/A</v>
      </c>
      <c r="AB752" s="63" t="e">
        <f t="shared" ca="1" si="82"/>
        <v>#N/A</v>
      </c>
      <c r="AC752" s="3" t="e">
        <f t="shared" ca="1" si="83"/>
        <v>#N/A</v>
      </c>
    </row>
    <row r="753" spans="8:29">
      <c r="H753" t="e">
        <f t="shared" ref="H753:H816" ca="1" si="84">IF(J753&lt;$J$4,TRUE,FALSE)</f>
        <v>#N/A</v>
      </c>
      <c r="I753" t="e">
        <f t="shared" ref="I753:I816" ca="1" si="85">AND(IF(J753&gt;($J$3-1),TRUE,FALSE),IF(J753&lt;($J$4+1),TRUE,FALSE))</f>
        <v>#N/A</v>
      </c>
      <c r="J753" t="e">
        <f ca="1"/>
        <v>#N/A</v>
      </c>
      <c r="K753" t="e">
        <f ca="1"/>
        <v>#N/A</v>
      </c>
      <c r="L753" t="e">
        <f ca="1"/>
        <v>#N/A</v>
      </c>
      <c r="M753" t="e">
        <f ca="1"/>
        <v>#N/A</v>
      </c>
      <c r="N753" t="e">
        <f ca="1"/>
        <v>#N/A</v>
      </c>
      <c r="O753" t="e">
        <f ca="1"/>
        <v>#N/A</v>
      </c>
      <c r="P753" t="e">
        <f ca="1"/>
        <v>#N/A</v>
      </c>
      <c r="Q753" t="e">
        <f ca="1"/>
        <v>#N/A</v>
      </c>
      <c r="R753" t="e">
        <f ca="1"/>
        <v>#N/A</v>
      </c>
      <c r="S753" t="e">
        <f ca="1"/>
        <v>#N/A</v>
      </c>
      <c r="T753" t="e">
        <f ca="1"/>
        <v>#N/A</v>
      </c>
      <c r="U753" t="e">
        <f ca="1"/>
        <v>#N/A</v>
      </c>
      <c r="V753" t="e">
        <f ca="1"/>
        <v>#N/A</v>
      </c>
      <c r="X753" s="2">
        <f t="shared" ref="X753:X816" ca="1" si="86">IFERROR(J753,$X$5)</f>
        <v>0</v>
      </c>
      <c r="Y753">
        <f t="shared" ref="Y753:Y816" ca="1" si="87">IFERROR(O753,0)</f>
        <v>0</v>
      </c>
      <c r="AA753" s="63" t="e">
        <f t="shared" ref="AA753:AA816" ca="1" si="88">K752+M753+N753+O753</f>
        <v>#N/A</v>
      </c>
      <c r="AB753" s="63" t="e">
        <f t="shared" ref="AB753:AB816" ca="1" si="89">K753+L753+R753</f>
        <v>#N/A</v>
      </c>
      <c r="AC753" s="3" t="e">
        <f t="shared" ref="AC753:AC816" ca="1" si="90">AB753-AA753</f>
        <v>#N/A</v>
      </c>
    </row>
    <row r="754" spans="8:29">
      <c r="H754" t="e">
        <f t="shared" ca="1" si="84"/>
        <v>#N/A</v>
      </c>
      <c r="I754" t="e">
        <f t="shared" ca="1" si="85"/>
        <v>#N/A</v>
      </c>
      <c r="J754" t="e">
        <f ca="1"/>
        <v>#N/A</v>
      </c>
      <c r="K754" t="e">
        <f ca="1"/>
        <v>#N/A</v>
      </c>
      <c r="L754" t="e">
        <f ca="1"/>
        <v>#N/A</v>
      </c>
      <c r="M754" t="e">
        <f ca="1"/>
        <v>#N/A</v>
      </c>
      <c r="N754" t="e">
        <f ca="1"/>
        <v>#N/A</v>
      </c>
      <c r="O754" t="e">
        <f ca="1"/>
        <v>#N/A</v>
      </c>
      <c r="P754" t="e">
        <f ca="1"/>
        <v>#N/A</v>
      </c>
      <c r="Q754" t="e">
        <f ca="1"/>
        <v>#N/A</v>
      </c>
      <c r="R754" t="e">
        <f ca="1"/>
        <v>#N/A</v>
      </c>
      <c r="S754" t="e">
        <f ca="1"/>
        <v>#N/A</v>
      </c>
      <c r="T754" t="e">
        <f ca="1"/>
        <v>#N/A</v>
      </c>
      <c r="U754" t="e">
        <f ca="1"/>
        <v>#N/A</v>
      </c>
      <c r="V754" t="e">
        <f ca="1"/>
        <v>#N/A</v>
      </c>
      <c r="X754" s="2">
        <f t="shared" ca="1" si="86"/>
        <v>0</v>
      </c>
      <c r="Y754">
        <f t="shared" ca="1" si="87"/>
        <v>0</v>
      </c>
      <c r="AA754" s="63" t="e">
        <f t="shared" ca="1" si="88"/>
        <v>#N/A</v>
      </c>
      <c r="AB754" s="63" t="e">
        <f t="shared" ca="1" si="89"/>
        <v>#N/A</v>
      </c>
      <c r="AC754" s="3" t="e">
        <f t="shared" ca="1" si="90"/>
        <v>#N/A</v>
      </c>
    </row>
    <row r="755" spans="8:29">
      <c r="H755" t="e">
        <f t="shared" ca="1" si="84"/>
        <v>#N/A</v>
      </c>
      <c r="I755" t="e">
        <f t="shared" ca="1" si="85"/>
        <v>#N/A</v>
      </c>
      <c r="J755" t="e">
        <f ca="1"/>
        <v>#N/A</v>
      </c>
      <c r="K755" t="e">
        <f ca="1"/>
        <v>#N/A</v>
      </c>
      <c r="L755" t="e">
        <f ca="1"/>
        <v>#N/A</v>
      </c>
      <c r="M755" t="e">
        <f ca="1"/>
        <v>#N/A</v>
      </c>
      <c r="N755" t="e">
        <f ca="1"/>
        <v>#N/A</v>
      </c>
      <c r="O755" t="e">
        <f ca="1"/>
        <v>#N/A</v>
      </c>
      <c r="P755" t="e">
        <f ca="1"/>
        <v>#N/A</v>
      </c>
      <c r="Q755" t="e">
        <f ca="1"/>
        <v>#N/A</v>
      </c>
      <c r="R755" t="e">
        <f ca="1"/>
        <v>#N/A</v>
      </c>
      <c r="S755" t="e">
        <f ca="1"/>
        <v>#N/A</v>
      </c>
      <c r="T755" t="e">
        <f ca="1"/>
        <v>#N/A</v>
      </c>
      <c r="U755" t="e">
        <f ca="1"/>
        <v>#N/A</v>
      </c>
      <c r="V755" t="e">
        <f ca="1"/>
        <v>#N/A</v>
      </c>
      <c r="X755" s="2">
        <f t="shared" ca="1" si="86"/>
        <v>0</v>
      </c>
      <c r="Y755">
        <f t="shared" ca="1" si="87"/>
        <v>0</v>
      </c>
      <c r="AA755" s="63" t="e">
        <f t="shared" ca="1" si="88"/>
        <v>#N/A</v>
      </c>
      <c r="AB755" s="63" t="e">
        <f t="shared" ca="1" si="89"/>
        <v>#N/A</v>
      </c>
      <c r="AC755" s="3" t="e">
        <f t="shared" ca="1" si="90"/>
        <v>#N/A</v>
      </c>
    </row>
    <row r="756" spans="8:29">
      <c r="H756" t="e">
        <f t="shared" ca="1" si="84"/>
        <v>#N/A</v>
      </c>
      <c r="I756" t="e">
        <f t="shared" ca="1" si="85"/>
        <v>#N/A</v>
      </c>
      <c r="J756" t="e">
        <f ca="1"/>
        <v>#N/A</v>
      </c>
      <c r="K756" t="e">
        <f ca="1"/>
        <v>#N/A</v>
      </c>
      <c r="L756" t="e">
        <f ca="1"/>
        <v>#N/A</v>
      </c>
      <c r="M756" t="e">
        <f ca="1"/>
        <v>#N/A</v>
      </c>
      <c r="N756" t="e">
        <f ca="1"/>
        <v>#N/A</v>
      </c>
      <c r="O756" t="e">
        <f ca="1"/>
        <v>#N/A</v>
      </c>
      <c r="P756" t="e">
        <f ca="1"/>
        <v>#N/A</v>
      </c>
      <c r="Q756" t="e">
        <f ca="1"/>
        <v>#N/A</v>
      </c>
      <c r="R756" t="e">
        <f ca="1"/>
        <v>#N/A</v>
      </c>
      <c r="S756" t="e">
        <f ca="1"/>
        <v>#N/A</v>
      </c>
      <c r="T756" t="e">
        <f ca="1"/>
        <v>#N/A</v>
      </c>
      <c r="U756" t="e">
        <f ca="1"/>
        <v>#N/A</v>
      </c>
      <c r="V756" t="e">
        <f ca="1"/>
        <v>#N/A</v>
      </c>
      <c r="X756" s="2">
        <f t="shared" ca="1" si="86"/>
        <v>0</v>
      </c>
      <c r="Y756">
        <f t="shared" ca="1" si="87"/>
        <v>0</v>
      </c>
      <c r="AA756" s="63" t="e">
        <f t="shared" ca="1" si="88"/>
        <v>#N/A</v>
      </c>
      <c r="AB756" s="63" t="e">
        <f t="shared" ca="1" si="89"/>
        <v>#N/A</v>
      </c>
      <c r="AC756" s="3" t="e">
        <f t="shared" ca="1" si="90"/>
        <v>#N/A</v>
      </c>
    </row>
    <row r="757" spans="8:29">
      <c r="H757" t="e">
        <f t="shared" ca="1" si="84"/>
        <v>#N/A</v>
      </c>
      <c r="I757" t="e">
        <f t="shared" ca="1" si="85"/>
        <v>#N/A</v>
      </c>
      <c r="J757" t="e">
        <f ca="1"/>
        <v>#N/A</v>
      </c>
      <c r="K757" t="e">
        <f ca="1"/>
        <v>#N/A</v>
      </c>
      <c r="L757" t="e">
        <f ca="1"/>
        <v>#N/A</v>
      </c>
      <c r="M757" t="e">
        <f ca="1"/>
        <v>#N/A</v>
      </c>
      <c r="N757" t="e">
        <f ca="1"/>
        <v>#N/A</v>
      </c>
      <c r="O757" t="e">
        <f ca="1"/>
        <v>#N/A</v>
      </c>
      <c r="P757" t="e">
        <f ca="1"/>
        <v>#N/A</v>
      </c>
      <c r="Q757" t="e">
        <f ca="1"/>
        <v>#N/A</v>
      </c>
      <c r="R757" t="e">
        <f ca="1"/>
        <v>#N/A</v>
      </c>
      <c r="S757" t="e">
        <f ca="1"/>
        <v>#N/A</v>
      </c>
      <c r="T757" t="e">
        <f ca="1"/>
        <v>#N/A</v>
      </c>
      <c r="U757" t="e">
        <f ca="1"/>
        <v>#N/A</v>
      </c>
      <c r="V757" t="e">
        <f ca="1"/>
        <v>#N/A</v>
      </c>
      <c r="X757" s="2">
        <f t="shared" ca="1" si="86"/>
        <v>0</v>
      </c>
      <c r="Y757">
        <f t="shared" ca="1" si="87"/>
        <v>0</v>
      </c>
      <c r="AA757" s="63" t="e">
        <f t="shared" ca="1" si="88"/>
        <v>#N/A</v>
      </c>
      <c r="AB757" s="63" t="e">
        <f t="shared" ca="1" si="89"/>
        <v>#N/A</v>
      </c>
      <c r="AC757" s="3" t="e">
        <f t="shared" ca="1" si="90"/>
        <v>#N/A</v>
      </c>
    </row>
    <row r="758" spans="8:29">
      <c r="H758" t="e">
        <f t="shared" ca="1" si="84"/>
        <v>#N/A</v>
      </c>
      <c r="I758" t="e">
        <f t="shared" ca="1" si="85"/>
        <v>#N/A</v>
      </c>
      <c r="J758" t="e">
        <f ca="1"/>
        <v>#N/A</v>
      </c>
      <c r="K758" t="e">
        <f ca="1"/>
        <v>#N/A</v>
      </c>
      <c r="L758" t="e">
        <f ca="1"/>
        <v>#N/A</v>
      </c>
      <c r="M758" t="e">
        <f ca="1"/>
        <v>#N/A</v>
      </c>
      <c r="N758" t="e">
        <f ca="1"/>
        <v>#N/A</v>
      </c>
      <c r="O758" t="e">
        <f ca="1"/>
        <v>#N/A</v>
      </c>
      <c r="P758" t="e">
        <f ca="1"/>
        <v>#N/A</v>
      </c>
      <c r="Q758" t="e">
        <f ca="1"/>
        <v>#N/A</v>
      </c>
      <c r="R758" t="e">
        <f ca="1"/>
        <v>#N/A</v>
      </c>
      <c r="S758" t="e">
        <f ca="1"/>
        <v>#N/A</v>
      </c>
      <c r="T758" t="e">
        <f ca="1"/>
        <v>#N/A</v>
      </c>
      <c r="U758" t="e">
        <f ca="1"/>
        <v>#N/A</v>
      </c>
      <c r="V758" t="e">
        <f ca="1"/>
        <v>#N/A</v>
      </c>
      <c r="X758" s="2">
        <f t="shared" ca="1" si="86"/>
        <v>0</v>
      </c>
      <c r="Y758">
        <f t="shared" ca="1" si="87"/>
        <v>0</v>
      </c>
      <c r="AA758" s="63" t="e">
        <f t="shared" ca="1" si="88"/>
        <v>#N/A</v>
      </c>
      <c r="AB758" s="63" t="e">
        <f t="shared" ca="1" si="89"/>
        <v>#N/A</v>
      </c>
      <c r="AC758" s="3" t="e">
        <f t="shared" ca="1" si="90"/>
        <v>#N/A</v>
      </c>
    </row>
    <row r="759" spans="8:29">
      <c r="H759" t="e">
        <f t="shared" ca="1" si="84"/>
        <v>#N/A</v>
      </c>
      <c r="I759" t="e">
        <f t="shared" ca="1" si="85"/>
        <v>#N/A</v>
      </c>
      <c r="J759" t="e">
        <f ca="1"/>
        <v>#N/A</v>
      </c>
      <c r="K759" t="e">
        <f ca="1"/>
        <v>#N/A</v>
      </c>
      <c r="L759" t="e">
        <f ca="1"/>
        <v>#N/A</v>
      </c>
      <c r="M759" t="e">
        <f ca="1"/>
        <v>#N/A</v>
      </c>
      <c r="N759" t="e">
        <f ca="1"/>
        <v>#N/A</v>
      </c>
      <c r="O759" t="e">
        <f ca="1"/>
        <v>#N/A</v>
      </c>
      <c r="P759" t="e">
        <f ca="1"/>
        <v>#N/A</v>
      </c>
      <c r="Q759" t="e">
        <f ca="1"/>
        <v>#N/A</v>
      </c>
      <c r="R759" t="e">
        <f ca="1"/>
        <v>#N/A</v>
      </c>
      <c r="S759" t="e">
        <f ca="1"/>
        <v>#N/A</v>
      </c>
      <c r="T759" t="e">
        <f ca="1"/>
        <v>#N/A</v>
      </c>
      <c r="U759" t="e">
        <f ca="1"/>
        <v>#N/A</v>
      </c>
      <c r="V759" t="e">
        <f ca="1"/>
        <v>#N/A</v>
      </c>
      <c r="X759" s="2">
        <f t="shared" ca="1" si="86"/>
        <v>0</v>
      </c>
      <c r="Y759">
        <f t="shared" ca="1" si="87"/>
        <v>0</v>
      </c>
      <c r="AA759" s="63" t="e">
        <f t="shared" ca="1" si="88"/>
        <v>#N/A</v>
      </c>
      <c r="AB759" s="63" t="e">
        <f t="shared" ca="1" si="89"/>
        <v>#N/A</v>
      </c>
      <c r="AC759" s="3" t="e">
        <f t="shared" ca="1" si="90"/>
        <v>#N/A</v>
      </c>
    </row>
    <row r="760" spans="8:29">
      <c r="H760" t="e">
        <f t="shared" ca="1" si="84"/>
        <v>#N/A</v>
      </c>
      <c r="I760" t="e">
        <f t="shared" ca="1" si="85"/>
        <v>#N/A</v>
      </c>
      <c r="J760" t="e">
        <f ca="1"/>
        <v>#N/A</v>
      </c>
      <c r="K760" t="e">
        <f ca="1"/>
        <v>#N/A</v>
      </c>
      <c r="L760" t="e">
        <f ca="1"/>
        <v>#N/A</v>
      </c>
      <c r="M760" t="e">
        <f ca="1"/>
        <v>#N/A</v>
      </c>
      <c r="N760" t="e">
        <f ca="1"/>
        <v>#N/A</v>
      </c>
      <c r="O760" t="e">
        <f ca="1"/>
        <v>#N/A</v>
      </c>
      <c r="P760" t="e">
        <f ca="1"/>
        <v>#N/A</v>
      </c>
      <c r="Q760" t="e">
        <f ca="1"/>
        <v>#N/A</v>
      </c>
      <c r="R760" t="e">
        <f ca="1"/>
        <v>#N/A</v>
      </c>
      <c r="S760" t="e">
        <f ca="1"/>
        <v>#N/A</v>
      </c>
      <c r="T760" t="e">
        <f ca="1"/>
        <v>#N/A</v>
      </c>
      <c r="U760" t="e">
        <f ca="1"/>
        <v>#N/A</v>
      </c>
      <c r="V760" t="e">
        <f ca="1"/>
        <v>#N/A</v>
      </c>
      <c r="X760" s="2">
        <f t="shared" ca="1" si="86"/>
        <v>0</v>
      </c>
      <c r="Y760">
        <f t="shared" ca="1" si="87"/>
        <v>0</v>
      </c>
      <c r="AA760" s="63" t="e">
        <f t="shared" ca="1" si="88"/>
        <v>#N/A</v>
      </c>
      <c r="AB760" s="63" t="e">
        <f t="shared" ca="1" si="89"/>
        <v>#N/A</v>
      </c>
      <c r="AC760" s="3" t="e">
        <f t="shared" ca="1" si="90"/>
        <v>#N/A</v>
      </c>
    </row>
    <row r="761" spans="8:29">
      <c r="H761" t="e">
        <f t="shared" ca="1" si="84"/>
        <v>#N/A</v>
      </c>
      <c r="I761" t="e">
        <f t="shared" ca="1" si="85"/>
        <v>#N/A</v>
      </c>
      <c r="J761" t="e">
        <f ca="1"/>
        <v>#N/A</v>
      </c>
      <c r="K761" t="e">
        <f ca="1"/>
        <v>#N/A</v>
      </c>
      <c r="L761" t="e">
        <f ca="1"/>
        <v>#N/A</v>
      </c>
      <c r="M761" t="e">
        <f ca="1"/>
        <v>#N/A</v>
      </c>
      <c r="N761" t="e">
        <f ca="1"/>
        <v>#N/A</v>
      </c>
      <c r="O761" t="e">
        <f ca="1"/>
        <v>#N/A</v>
      </c>
      <c r="P761" t="e">
        <f ca="1"/>
        <v>#N/A</v>
      </c>
      <c r="Q761" t="e">
        <f ca="1"/>
        <v>#N/A</v>
      </c>
      <c r="R761" t="e">
        <f ca="1"/>
        <v>#N/A</v>
      </c>
      <c r="S761" t="e">
        <f ca="1"/>
        <v>#N/A</v>
      </c>
      <c r="T761" t="e">
        <f ca="1"/>
        <v>#N/A</v>
      </c>
      <c r="U761" t="e">
        <f ca="1"/>
        <v>#N/A</v>
      </c>
      <c r="V761" t="e">
        <f ca="1"/>
        <v>#N/A</v>
      </c>
      <c r="X761" s="2">
        <f t="shared" ca="1" si="86"/>
        <v>0</v>
      </c>
      <c r="Y761">
        <f t="shared" ca="1" si="87"/>
        <v>0</v>
      </c>
      <c r="AA761" s="63" t="e">
        <f t="shared" ca="1" si="88"/>
        <v>#N/A</v>
      </c>
      <c r="AB761" s="63" t="e">
        <f t="shared" ca="1" si="89"/>
        <v>#N/A</v>
      </c>
      <c r="AC761" s="3" t="e">
        <f t="shared" ca="1" si="90"/>
        <v>#N/A</v>
      </c>
    </row>
    <row r="762" spans="8:29">
      <c r="H762" t="e">
        <f t="shared" ca="1" si="84"/>
        <v>#N/A</v>
      </c>
      <c r="I762" t="e">
        <f t="shared" ca="1" si="85"/>
        <v>#N/A</v>
      </c>
      <c r="J762" t="e">
        <f ca="1"/>
        <v>#N/A</v>
      </c>
      <c r="K762" t="e">
        <f ca="1"/>
        <v>#N/A</v>
      </c>
      <c r="L762" t="e">
        <f ca="1"/>
        <v>#N/A</v>
      </c>
      <c r="M762" t="e">
        <f ca="1"/>
        <v>#N/A</v>
      </c>
      <c r="N762" t="e">
        <f ca="1"/>
        <v>#N/A</v>
      </c>
      <c r="O762" t="e">
        <f ca="1"/>
        <v>#N/A</v>
      </c>
      <c r="P762" t="e">
        <f ca="1"/>
        <v>#N/A</v>
      </c>
      <c r="Q762" t="e">
        <f ca="1"/>
        <v>#N/A</v>
      </c>
      <c r="R762" t="e">
        <f ca="1"/>
        <v>#N/A</v>
      </c>
      <c r="S762" t="e">
        <f ca="1"/>
        <v>#N/A</v>
      </c>
      <c r="T762" t="e">
        <f ca="1"/>
        <v>#N/A</v>
      </c>
      <c r="U762" t="e">
        <f ca="1"/>
        <v>#N/A</v>
      </c>
      <c r="V762" t="e">
        <f ca="1"/>
        <v>#N/A</v>
      </c>
      <c r="X762" s="2">
        <f t="shared" ca="1" si="86"/>
        <v>0</v>
      </c>
      <c r="Y762">
        <f t="shared" ca="1" si="87"/>
        <v>0</v>
      </c>
      <c r="AA762" s="63" t="e">
        <f t="shared" ca="1" si="88"/>
        <v>#N/A</v>
      </c>
      <c r="AB762" s="63" t="e">
        <f t="shared" ca="1" si="89"/>
        <v>#N/A</v>
      </c>
      <c r="AC762" s="3" t="e">
        <f t="shared" ca="1" si="90"/>
        <v>#N/A</v>
      </c>
    </row>
    <row r="763" spans="8:29">
      <c r="H763" t="e">
        <f t="shared" ca="1" si="84"/>
        <v>#N/A</v>
      </c>
      <c r="I763" t="e">
        <f t="shared" ca="1" si="85"/>
        <v>#N/A</v>
      </c>
      <c r="J763" t="e">
        <f ca="1"/>
        <v>#N/A</v>
      </c>
      <c r="K763" t="e">
        <f ca="1"/>
        <v>#N/A</v>
      </c>
      <c r="L763" t="e">
        <f ca="1"/>
        <v>#N/A</v>
      </c>
      <c r="M763" t="e">
        <f ca="1"/>
        <v>#N/A</v>
      </c>
      <c r="N763" t="e">
        <f ca="1"/>
        <v>#N/A</v>
      </c>
      <c r="O763" t="e">
        <f ca="1"/>
        <v>#N/A</v>
      </c>
      <c r="P763" t="e">
        <f ca="1"/>
        <v>#N/A</v>
      </c>
      <c r="Q763" t="e">
        <f ca="1"/>
        <v>#N/A</v>
      </c>
      <c r="R763" t="e">
        <f ca="1"/>
        <v>#N/A</v>
      </c>
      <c r="S763" t="e">
        <f ca="1"/>
        <v>#N/A</v>
      </c>
      <c r="T763" t="e">
        <f ca="1"/>
        <v>#N/A</v>
      </c>
      <c r="U763" t="e">
        <f ca="1"/>
        <v>#N/A</v>
      </c>
      <c r="V763" t="e">
        <f ca="1"/>
        <v>#N/A</v>
      </c>
      <c r="X763" s="2">
        <f t="shared" ca="1" si="86"/>
        <v>0</v>
      </c>
      <c r="Y763">
        <f t="shared" ca="1" si="87"/>
        <v>0</v>
      </c>
      <c r="AA763" s="63" t="e">
        <f t="shared" ca="1" si="88"/>
        <v>#N/A</v>
      </c>
      <c r="AB763" s="63" t="e">
        <f t="shared" ca="1" si="89"/>
        <v>#N/A</v>
      </c>
      <c r="AC763" s="3" t="e">
        <f t="shared" ca="1" si="90"/>
        <v>#N/A</v>
      </c>
    </row>
    <row r="764" spans="8:29">
      <c r="H764" t="e">
        <f t="shared" ca="1" si="84"/>
        <v>#N/A</v>
      </c>
      <c r="I764" t="e">
        <f t="shared" ca="1" si="85"/>
        <v>#N/A</v>
      </c>
      <c r="J764" t="e">
        <f ca="1"/>
        <v>#N/A</v>
      </c>
      <c r="K764" t="e">
        <f ca="1"/>
        <v>#N/A</v>
      </c>
      <c r="L764" t="e">
        <f ca="1"/>
        <v>#N/A</v>
      </c>
      <c r="M764" t="e">
        <f ca="1"/>
        <v>#N/A</v>
      </c>
      <c r="N764" t="e">
        <f ca="1"/>
        <v>#N/A</v>
      </c>
      <c r="O764" t="e">
        <f ca="1"/>
        <v>#N/A</v>
      </c>
      <c r="P764" t="e">
        <f ca="1"/>
        <v>#N/A</v>
      </c>
      <c r="Q764" t="e">
        <f ca="1"/>
        <v>#N/A</v>
      </c>
      <c r="R764" t="e">
        <f ca="1"/>
        <v>#N/A</v>
      </c>
      <c r="S764" t="e">
        <f ca="1"/>
        <v>#N/A</v>
      </c>
      <c r="T764" t="e">
        <f ca="1"/>
        <v>#N/A</v>
      </c>
      <c r="U764" t="e">
        <f ca="1"/>
        <v>#N/A</v>
      </c>
      <c r="V764" t="e">
        <f ca="1"/>
        <v>#N/A</v>
      </c>
      <c r="X764" s="2">
        <f t="shared" ca="1" si="86"/>
        <v>0</v>
      </c>
      <c r="Y764">
        <f t="shared" ca="1" si="87"/>
        <v>0</v>
      </c>
      <c r="AA764" s="63" t="e">
        <f t="shared" ca="1" si="88"/>
        <v>#N/A</v>
      </c>
      <c r="AB764" s="63" t="e">
        <f t="shared" ca="1" si="89"/>
        <v>#N/A</v>
      </c>
      <c r="AC764" s="3" t="e">
        <f t="shared" ca="1" si="90"/>
        <v>#N/A</v>
      </c>
    </row>
    <row r="765" spans="8:29">
      <c r="H765" t="e">
        <f t="shared" ca="1" si="84"/>
        <v>#N/A</v>
      </c>
      <c r="I765" t="e">
        <f t="shared" ca="1" si="85"/>
        <v>#N/A</v>
      </c>
      <c r="J765" t="e">
        <f ca="1"/>
        <v>#N/A</v>
      </c>
      <c r="K765" t="e">
        <f ca="1"/>
        <v>#N/A</v>
      </c>
      <c r="L765" t="e">
        <f ca="1"/>
        <v>#N/A</v>
      </c>
      <c r="M765" t="e">
        <f ca="1"/>
        <v>#N/A</v>
      </c>
      <c r="N765" t="e">
        <f ca="1"/>
        <v>#N/A</v>
      </c>
      <c r="O765" t="e">
        <f ca="1"/>
        <v>#N/A</v>
      </c>
      <c r="P765" t="e">
        <f ca="1"/>
        <v>#N/A</v>
      </c>
      <c r="Q765" t="e">
        <f ca="1"/>
        <v>#N/A</v>
      </c>
      <c r="R765" t="e">
        <f ca="1"/>
        <v>#N/A</v>
      </c>
      <c r="S765" t="e">
        <f ca="1"/>
        <v>#N/A</v>
      </c>
      <c r="T765" t="e">
        <f ca="1"/>
        <v>#N/A</v>
      </c>
      <c r="U765" t="e">
        <f ca="1"/>
        <v>#N/A</v>
      </c>
      <c r="V765" t="e">
        <f ca="1"/>
        <v>#N/A</v>
      </c>
      <c r="X765" s="2">
        <f t="shared" ca="1" si="86"/>
        <v>0</v>
      </c>
      <c r="Y765">
        <f t="shared" ca="1" si="87"/>
        <v>0</v>
      </c>
      <c r="AA765" s="63" t="e">
        <f t="shared" ca="1" si="88"/>
        <v>#N/A</v>
      </c>
      <c r="AB765" s="63" t="e">
        <f t="shared" ca="1" si="89"/>
        <v>#N/A</v>
      </c>
      <c r="AC765" s="3" t="e">
        <f t="shared" ca="1" si="90"/>
        <v>#N/A</v>
      </c>
    </row>
    <row r="766" spans="8:29">
      <c r="H766" t="e">
        <f t="shared" ca="1" si="84"/>
        <v>#N/A</v>
      </c>
      <c r="I766" t="e">
        <f t="shared" ca="1" si="85"/>
        <v>#N/A</v>
      </c>
      <c r="J766" t="e">
        <f ca="1"/>
        <v>#N/A</v>
      </c>
      <c r="K766" t="e">
        <f ca="1"/>
        <v>#N/A</v>
      </c>
      <c r="L766" t="e">
        <f ca="1"/>
        <v>#N/A</v>
      </c>
      <c r="M766" t="e">
        <f ca="1"/>
        <v>#N/A</v>
      </c>
      <c r="N766" t="e">
        <f ca="1"/>
        <v>#N/A</v>
      </c>
      <c r="O766" t="e">
        <f ca="1"/>
        <v>#N/A</v>
      </c>
      <c r="P766" t="e">
        <f ca="1"/>
        <v>#N/A</v>
      </c>
      <c r="Q766" t="e">
        <f ca="1"/>
        <v>#N/A</v>
      </c>
      <c r="R766" t="e">
        <f ca="1"/>
        <v>#N/A</v>
      </c>
      <c r="S766" t="e">
        <f ca="1"/>
        <v>#N/A</v>
      </c>
      <c r="T766" t="e">
        <f ca="1"/>
        <v>#N/A</v>
      </c>
      <c r="U766" t="e">
        <f ca="1"/>
        <v>#N/A</v>
      </c>
      <c r="V766" t="e">
        <f ca="1"/>
        <v>#N/A</v>
      </c>
      <c r="X766" s="2">
        <f t="shared" ca="1" si="86"/>
        <v>0</v>
      </c>
      <c r="Y766">
        <f t="shared" ca="1" si="87"/>
        <v>0</v>
      </c>
      <c r="AA766" s="63" t="e">
        <f t="shared" ca="1" si="88"/>
        <v>#N/A</v>
      </c>
      <c r="AB766" s="63" t="e">
        <f t="shared" ca="1" si="89"/>
        <v>#N/A</v>
      </c>
      <c r="AC766" s="3" t="e">
        <f t="shared" ca="1" si="90"/>
        <v>#N/A</v>
      </c>
    </row>
    <row r="767" spans="8:29">
      <c r="H767" t="e">
        <f t="shared" ca="1" si="84"/>
        <v>#N/A</v>
      </c>
      <c r="I767" t="e">
        <f t="shared" ca="1" si="85"/>
        <v>#N/A</v>
      </c>
      <c r="J767" t="e">
        <f ca="1"/>
        <v>#N/A</v>
      </c>
      <c r="K767" t="e">
        <f ca="1"/>
        <v>#N/A</v>
      </c>
      <c r="L767" t="e">
        <f ca="1"/>
        <v>#N/A</v>
      </c>
      <c r="M767" t="e">
        <f ca="1"/>
        <v>#N/A</v>
      </c>
      <c r="N767" t="e">
        <f ca="1"/>
        <v>#N/A</v>
      </c>
      <c r="O767" t="e">
        <f ca="1"/>
        <v>#N/A</v>
      </c>
      <c r="P767" t="e">
        <f ca="1"/>
        <v>#N/A</v>
      </c>
      <c r="Q767" t="e">
        <f ca="1"/>
        <v>#N/A</v>
      </c>
      <c r="R767" t="e">
        <f ca="1"/>
        <v>#N/A</v>
      </c>
      <c r="S767" t="e">
        <f ca="1"/>
        <v>#N/A</v>
      </c>
      <c r="T767" t="e">
        <f ca="1"/>
        <v>#N/A</v>
      </c>
      <c r="U767" t="e">
        <f ca="1"/>
        <v>#N/A</v>
      </c>
      <c r="V767" t="e">
        <f ca="1"/>
        <v>#N/A</v>
      </c>
      <c r="X767" s="2">
        <f t="shared" ca="1" si="86"/>
        <v>0</v>
      </c>
      <c r="Y767">
        <f t="shared" ca="1" si="87"/>
        <v>0</v>
      </c>
      <c r="AA767" s="63" t="e">
        <f t="shared" ca="1" si="88"/>
        <v>#N/A</v>
      </c>
      <c r="AB767" s="63" t="e">
        <f t="shared" ca="1" si="89"/>
        <v>#N/A</v>
      </c>
      <c r="AC767" s="3" t="e">
        <f t="shared" ca="1" si="90"/>
        <v>#N/A</v>
      </c>
    </row>
    <row r="768" spans="8:29">
      <c r="H768" t="e">
        <f t="shared" ca="1" si="84"/>
        <v>#N/A</v>
      </c>
      <c r="I768" t="e">
        <f t="shared" ca="1" si="85"/>
        <v>#N/A</v>
      </c>
      <c r="J768" t="e">
        <f ca="1"/>
        <v>#N/A</v>
      </c>
      <c r="K768" t="e">
        <f ca="1"/>
        <v>#N/A</v>
      </c>
      <c r="L768" t="e">
        <f ca="1"/>
        <v>#N/A</v>
      </c>
      <c r="M768" t="e">
        <f ca="1"/>
        <v>#N/A</v>
      </c>
      <c r="N768" t="e">
        <f ca="1"/>
        <v>#N/A</v>
      </c>
      <c r="O768" t="e">
        <f ca="1"/>
        <v>#N/A</v>
      </c>
      <c r="P768" t="e">
        <f ca="1"/>
        <v>#N/A</v>
      </c>
      <c r="Q768" t="e">
        <f ca="1"/>
        <v>#N/A</v>
      </c>
      <c r="R768" t="e">
        <f ca="1"/>
        <v>#N/A</v>
      </c>
      <c r="S768" t="e">
        <f ca="1"/>
        <v>#N/A</v>
      </c>
      <c r="T768" t="e">
        <f ca="1"/>
        <v>#N/A</v>
      </c>
      <c r="U768" t="e">
        <f ca="1"/>
        <v>#N/A</v>
      </c>
      <c r="V768" t="e">
        <f ca="1"/>
        <v>#N/A</v>
      </c>
      <c r="X768" s="2">
        <f t="shared" ca="1" si="86"/>
        <v>0</v>
      </c>
      <c r="Y768">
        <f t="shared" ca="1" si="87"/>
        <v>0</v>
      </c>
      <c r="AA768" s="63" t="e">
        <f t="shared" ca="1" si="88"/>
        <v>#N/A</v>
      </c>
      <c r="AB768" s="63" t="e">
        <f t="shared" ca="1" si="89"/>
        <v>#N/A</v>
      </c>
      <c r="AC768" s="3" t="e">
        <f t="shared" ca="1" si="90"/>
        <v>#N/A</v>
      </c>
    </row>
    <row r="769" spans="8:29">
      <c r="H769" t="e">
        <f t="shared" ca="1" si="84"/>
        <v>#N/A</v>
      </c>
      <c r="I769" t="e">
        <f t="shared" ca="1" si="85"/>
        <v>#N/A</v>
      </c>
      <c r="J769" t="e">
        <f ca="1"/>
        <v>#N/A</v>
      </c>
      <c r="K769" t="e">
        <f ca="1"/>
        <v>#N/A</v>
      </c>
      <c r="L769" t="e">
        <f ca="1"/>
        <v>#N/A</v>
      </c>
      <c r="M769" t="e">
        <f ca="1"/>
        <v>#N/A</v>
      </c>
      <c r="N769" t="e">
        <f ca="1"/>
        <v>#N/A</v>
      </c>
      <c r="O769" t="e">
        <f ca="1"/>
        <v>#N/A</v>
      </c>
      <c r="P769" t="e">
        <f ca="1"/>
        <v>#N/A</v>
      </c>
      <c r="Q769" t="e">
        <f ca="1"/>
        <v>#N/A</v>
      </c>
      <c r="R769" t="e">
        <f ca="1"/>
        <v>#N/A</v>
      </c>
      <c r="S769" t="e">
        <f ca="1"/>
        <v>#N/A</v>
      </c>
      <c r="T769" t="e">
        <f ca="1"/>
        <v>#N/A</v>
      </c>
      <c r="U769" t="e">
        <f ca="1"/>
        <v>#N/A</v>
      </c>
      <c r="V769" t="e">
        <f ca="1"/>
        <v>#N/A</v>
      </c>
      <c r="X769" s="2">
        <f t="shared" ca="1" si="86"/>
        <v>0</v>
      </c>
      <c r="Y769">
        <f t="shared" ca="1" si="87"/>
        <v>0</v>
      </c>
      <c r="AA769" s="63" t="e">
        <f t="shared" ca="1" si="88"/>
        <v>#N/A</v>
      </c>
      <c r="AB769" s="63" t="e">
        <f t="shared" ca="1" si="89"/>
        <v>#N/A</v>
      </c>
      <c r="AC769" s="3" t="e">
        <f t="shared" ca="1" si="90"/>
        <v>#N/A</v>
      </c>
    </row>
    <row r="770" spans="8:29">
      <c r="H770" t="e">
        <f t="shared" ca="1" si="84"/>
        <v>#N/A</v>
      </c>
      <c r="I770" t="e">
        <f t="shared" ca="1" si="85"/>
        <v>#N/A</v>
      </c>
      <c r="J770" t="e">
        <f ca="1"/>
        <v>#N/A</v>
      </c>
      <c r="K770" t="e">
        <f ca="1"/>
        <v>#N/A</v>
      </c>
      <c r="L770" t="e">
        <f ca="1"/>
        <v>#N/A</v>
      </c>
      <c r="M770" t="e">
        <f ca="1"/>
        <v>#N/A</v>
      </c>
      <c r="N770" t="e">
        <f ca="1"/>
        <v>#N/A</v>
      </c>
      <c r="O770" t="e">
        <f ca="1"/>
        <v>#N/A</v>
      </c>
      <c r="P770" t="e">
        <f ca="1"/>
        <v>#N/A</v>
      </c>
      <c r="Q770" t="e">
        <f ca="1"/>
        <v>#N/A</v>
      </c>
      <c r="R770" t="e">
        <f ca="1"/>
        <v>#N/A</v>
      </c>
      <c r="S770" t="e">
        <f ca="1"/>
        <v>#N/A</v>
      </c>
      <c r="T770" t="e">
        <f ca="1"/>
        <v>#N/A</v>
      </c>
      <c r="U770" t="e">
        <f ca="1"/>
        <v>#N/A</v>
      </c>
      <c r="V770" t="e">
        <f ca="1"/>
        <v>#N/A</v>
      </c>
      <c r="X770" s="2">
        <f t="shared" ca="1" si="86"/>
        <v>0</v>
      </c>
      <c r="Y770">
        <f t="shared" ca="1" si="87"/>
        <v>0</v>
      </c>
      <c r="AA770" s="63" t="e">
        <f t="shared" ca="1" si="88"/>
        <v>#N/A</v>
      </c>
      <c r="AB770" s="63" t="e">
        <f t="shared" ca="1" si="89"/>
        <v>#N/A</v>
      </c>
      <c r="AC770" s="3" t="e">
        <f t="shared" ca="1" si="90"/>
        <v>#N/A</v>
      </c>
    </row>
    <row r="771" spans="8:29">
      <c r="H771" t="e">
        <f t="shared" ca="1" si="84"/>
        <v>#N/A</v>
      </c>
      <c r="I771" t="e">
        <f t="shared" ca="1" si="85"/>
        <v>#N/A</v>
      </c>
      <c r="J771" t="e">
        <f ca="1"/>
        <v>#N/A</v>
      </c>
      <c r="K771" t="e">
        <f ca="1"/>
        <v>#N/A</v>
      </c>
      <c r="L771" t="e">
        <f ca="1"/>
        <v>#N/A</v>
      </c>
      <c r="M771" t="e">
        <f ca="1"/>
        <v>#N/A</v>
      </c>
      <c r="N771" t="e">
        <f ca="1"/>
        <v>#N/A</v>
      </c>
      <c r="O771" t="e">
        <f ca="1"/>
        <v>#N/A</v>
      </c>
      <c r="P771" t="e">
        <f ca="1"/>
        <v>#N/A</v>
      </c>
      <c r="Q771" t="e">
        <f ca="1"/>
        <v>#N/A</v>
      </c>
      <c r="R771" t="e">
        <f ca="1"/>
        <v>#N/A</v>
      </c>
      <c r="S771" t="e">
        <f ca="1"/>
        <v>#N/A</v>
      </c>
      <c r="T771" t="e">
        <f ca="1"/>
        <v>#N/A</v>
      </c>
      <c r="U771" t="e">
        <f ca="1"/>
        <v>#N/A</v>
      </c>
      <c r="V771" t="e">
        <f ca="1"/>
        <v>#N/A</v>
      </c>
      <c r="X771" s="2">
        <f t="shared" ca="1" si="86"/>
        <v>0</v>
      </c>
      <c r="Y771">
        <f t="shared" ca="1" si="87"/>
        <v>0</v>
      </c>
      <c r="AA771" s="63" t="e">
        <f t="shared" ca="1" si="88"/>
        <v>#N/A</v>
      </c>
      <c r="AB771" s="63" t="e">
        <f t="shared" ca="1" si="89"/>
        <v>#N/A</v>
      </c>
      <c r="AC771" s="3" t="e">
        <f t="shared" ca="1" si="90"/>
        <v>#N/A</v>
      </c>
    </row>
    <row r="772" spans="8:29">
      <c r="H772" t="e">
        <f t="shared" ca="1" si="84"/>
        <v>#N/A</v>
      </c>
      <c r="I772" t="e">
        <f t="shared" ca="1" si="85"/>
        <v>#N/A</v>
      </c>
      <c r="J772" t="e">
        <f ca="1"/>
        <v>#N/A</v>
      </c>
      <c r="K772" t="e">
        <f ca="1"/>
        <v>#N/A</v>
      </c>
      <c r="L772" t="e">
        <f ca="1"/>
        <v>#N/A</v>
      </c>
      <c r="M772" t="e">
        <f ca="1"/>
        <v>#N/A</v>
      </c>
      <c r="N772" t="e">
        <f ca="1"/>
        <v>#N/A</v>
      </c>
      <c r="O772" t="e">
        <f ca="1"/>
        <v>#N/A</v>
      </c>
      <c r="P772" t="e">
        <f ca="1"/>
        <v>#N/A</v>
      </c>
      <c r="Q772" t="e">
        <f ca="1"/>
        <v>#N/A</v>
      </c>
      <c r="R772" t="e">
        <f ca="1"/>
        <v>#N/A</v>
      </c>
      <c r="S772" t="e">
        <f ca="1"/>
        <v>#N/A</v>
      </c>
      <c r="T772" t="e">
        <f ca="1"/>
        <v>#N/A</v>
      </c>
      <c r="U772" t="e">
        <f ca="1"/>
        <v>#N/A</v>
      </c>
      <c r="V772" t="e">
        <f ca="1"/>
        <v>#N/A</v>
      </c>
      <c r="X772" s="2">
        <f t="shared" ca="1" si="86"/>
        <v>0</v>
      </c>
      <c r="Y772">
        <f t="shared" ca="1" si="87"/>
        <v>0</v>
      </c>
      <c r="AA772" s="63" t="e">
        <f t="shared" ca="1" si="88"/>
        <v>#N/A</v>
      </c>
      <c r="AB772" s="63" t="e">
        <f t="shared" ca="1" si="89"/>
        <v>#N/A</v>
      </c>
      <c r="AC772" s="3" t="e">
        <f t="shared" ca="1" si="90"/>
        <v>#N/A</v>
      </c>
    </row>
    <row r="773" spans="8:29">
      <c r="H773" t="e">
        <f t="shared" ca="1" si="84"/>
        <v>#N/A</v>
      </c>
      <c r="I773" t="e">
        <f t="shared" ca="1" si="85"/>
        <v>#N/A</v>
      </c>
      <c r="J773" t="e">
        <f ca="1"/>
        <v>#N/A</v>
      </c>
      <c r="K773" t="e">
        <f ca="1"/>
        <v>#N/A</v>
      </c>
      <c r="L773" t="e">
        <f ca="1"/>
        <v>#N/A</v>
      </c>
      <c r="M773" t="e">
        <f ca="1"/>
        <v>#N/A</v>
      </c>
      <c r="N773" t="e">
        <f ca="1"/>
        <v>#N/A</v>
      </c>
      <c r="O773" t="e">
        <f ca="1"/>
        <v>#N/A</v>
      </c>
      <c r="P773" t="e">
        <f ca="1"/>
        <v>#N/A</v>
      </c>
      <c r="Q773" t="e">
        <f ca="1"/>
        <v>#N/A</v>
      </c>
      <c r="R773" t="e">
        <f ca="1"/>
        <v>#N/A</v>
      </c>
      <c r="S773" t="e">
        <f ca="1"/>
        <v>#N/A</v>
      </c>
      <c r="T773" t="e">
        <f ca="1"/>
        <v>#N/A</v>
      </c>
      <c r="U773" t="e">
        <f ca="1"/>
        <v>#N/A</v>
      </c>
      <c r="V773" t="e">
        <f ca="1"/>
        <v>#N/A</v>
      </c>
      <c r="X773" s="2">
        <f t="shared" ca="1" si="86"/>
        <v>0</v>
      </c>
      <c r="Y773">
        <f t="shared" ca="1" si="87"/>
        <v>0</v>
      </c>
      <c r="AA773" s="63" t="e">
        <f t="shared" ca="1" si="88"/>
        <v>#N/A</v>
      </c>
      <c r="AB773" s="63" t="e">
        <f t="shared" ca="1" si="89"/>
        <v>#N/A</v>
      </c>
      <c r="AC773" s="3" t="e">
        <f t="shared" ca="1" si="90"/>
        <v>#N/A</v>
      </c>
    </row>
    <row r="774" spans="8:29">
      <c r="H774" t="e">
        <f t="shared" ca="1" si="84"/>
        <v>#N/A</v>
      </c>
      <c r="I774" t="e">
        <f t="shared" ca="1" si="85"/>
        <v>#N/A</v>
      </c>
      <c r="J774" t="e">
        <f ca="1"/>
        <v>#N/A</v>
      </c>
      <c r="K774" t="e">
        <f ca="1"/>
        <v>#N/A</v>
      </c>
      <c r="L774" t="e">
        <f ca="1"/>
        <v>#N/A</v>
      </c>
      <c r="M774" t="e">
        <f ca="1"/>
        <v>#N/A</v>
      </c>
      <c r="N774" t="e">
        <f ca="1"/>
        <v>#N/A</v>
      </c>
      <c r="O774" t="e">
        <f ca="1"/>
        <v>#N/A</v>
      </c>
      <c r="P774" t="e">
        <f ca="1"/>
        <v>#N/A</v>
      </c>
      <c r="Q774" t="e">
        <f ca="1"/>
        <v>#N/A</v>
      </c>
      <c r="R774" t="e">
        <f ca="1"/>
        <v>#N/A</v>
      </c>
      <c r="S774" t="e">
        <f ca="1"/>
        <v>#N/A</v>
      </c>
      <c r="T774" t="e">
        <f ca="1"/>
        <v>#N/A</v>
      </c>
      <c r="U774" t="e">
        <f ca="1"/>
        <v>#N/A</v>
      </c>
      <c r="V774" t="e">
        <f ca="1"/>
        <v>#N/A</v>
      </c>
      <c r="X774" s="2">
        <f t="shared" ca="1" si="86"/>
        <v>0</v>
      </c>
      <c r="Y774">
        <f t="shared" ca="1" si="87"/>
        <v>0</v>
      </c>
      <c r="AA774" s="63" t="e">
        <f t="shared" ca="1" si="88"/>
        <v>#N/A</v>
      </c>
      <c r="AB774" s="63" t="e">
        <f t="shared" ca="1" si="89"/>
        <v>#N/A</v>
      </c>
      <c r="AC774" s="3" t="e">
        <f t="shared" ca="1" si="90"/>
        <v>#N/A</v>
      </c>
    </row>
    <row r="775" spans="8:29">
      <c r="H775" t="e">
        <f t="shared" ca="1" si="84"/>
        <v>#N/A</v>
      </c>
      <c r="I775" t="e">
        <f t="shared" ca="1" si="85"/>
        <v>#N/A</v>
      </c>
      <c r="J775" t="e">
        <f ca="1"/>
        <v>#N/A</v>
      </c>
      <c r="K775" t="e">
        <f ca="1"/>
        <v>#N/A</v>
      </c>
      <c r="L775" t="e">
        <f ca="1"/>
        <v>#N/A</v>
      </c>
      <c r="M775" t="e">
        <f ca="1"/>
        <v>#N/A</v>
      </c>
      <c r="N775" t="e">
        <f ca="1"/>
        <v>#N/A</v>
      </c>
      <c r="O775" t="e">
        <f ca="1"/>
        <v>#N/A</v>
      </c>
      <c r="P775" t="e">
        <f ca="1"/>
        <v>#N/A</v>
      </c>
      <c r="Q775" t="e">
        <f ca="1"/>
        <v>#N/A</v>
      </c>
      <c r="R775" t="e">
        <f ca="1"/>
        <v>#N/A</v>
      </c>
      <c r="S775" t="e">
        <f ca="1"/>
        <v>#N/A</v>
      </c>
      <c r="T775" t="e">
        <f ca="1"/>
        <v>#N/A</v>
      </c>
      <c r="U775" t="e">
        <f ca="1"/>
        <v>#N/A</v>
      </c>
      <c r="V775" t="e">
        <f ca="1"/>
        <v>#N/A</v>
      </c>
      <c r="X775" s="2">
        <f t="shared" ca="1" si="86"/>
        <v>0</v>
      </c>
      <c r="Y775">
        <f t="shared" ca="1" si="87"/>
        <v>0</v>
      </c>
      <c r="AA775" s="63" t="e">
        <f t="shared" ca="1" si="88"/>
        <v>#N/A</v>
      </c>
      <c r="AB775" s="63" t="e">
        <f t="shared" ca="1" si="89"/>
        <v>#N/A</v>
      </c>
      <c r="AC775" s="3" t="e">
        <f t="shared" ca="1" si="90"/>
        <v>#N/A</v>
      </c>
    </row>
    <row r="776" spans="8:29">
      <c r="H776" t="e">
        <f t="shared" ca="1" si="84"/>
        <v>#N/A</v>
      </c>
      <c r="I776" t="e">
        <f t="shared" ca="1" si="85"/>
        <v>#N/A</v>
      </c>
      <c r="J776" t="e">
        <f ca="1"/>
        <v>#N/A</v>
      </c>
      <c r="K776" t="e">
        <f ca="1"/>
        <v>#N/A</v>
      </c>
      <c r="L776" t="e">
        <f ca="1"/>
        <v>#N/A</v>
      </c>
      <c r="M776" t="e">
        <f ca="1"/>
        <v>#N/A</v>
      </c>
      <c r="N776" t="e">
        <f ca="1"/>
        <v>#N/A</v>
      </c>
      <c r="O776" t="e">
        <f ca="1"/>
        <v>#N/A</v>
      </c>
      <c r="P776" t="e">
        <f ca="1"/>
        <v>#N/A</v>
      </c>
      <c r="Q776" t="e">
        <f ca="1"/>
        <v>#N/A</v>
      </c>
      <c r="R776" t="e">
        <f ca="1"/>
        <v>#N/A</v>
      </c>
      <c r="S776" t="e">
        <f ca="1"/>
        <v>#N/A</v>
      </c>
      <c r="T776" t="e">
        <f ca="1"/>
        <v>#N/A</v>
      </c>
      <c r="U776" t="e">
        <f ca="1"/>
        <v>#N/A</v>
      </c>
      <c r="V776" t="e">
        <f ca="1"/>
        <v>#N/A</v>
      </c>
      <c r="X776" s="2">
        <f t="shared" ca="1" si="86"/>
        <v>0</v>
      </c>
      <c r="Y776">
        <f t="shared" ca="1" si="87"/>
        <v>0</v>
      </c>
      <c r="AA776" s="63" t="e">
        <f t="shared" ca="1" si="88"/>
        <v>#N/A</v>
      </c>
      <c r="AB776" s="63" t="e">
        <f t="shared" ca="1" si="89"/>
        <v>#N/A</v>
      </c>
      <c r="AC776" s="3" t="e">
        <f t="shared" ca="1" si="90"/>
        <v>#N/A</v>
      </c>
    </row>
    <row r="777" spans="8:29">
      <c r="H777" t="e">
        <f t="shared" ca="1" si="84"/>
        <v>#N/A</v>
      </c>
      <c r="I777" t="e">
        <f t="shared" ca="1" si="85"/>
        <v>#N/A</v>
      </c>
      <c r="J777" t="e">
        <f ca="1"/>
        <v>#N/A</v>
      </c>
      <c r="K777" t="e">
        <f ca="1"/>
        <v>#N/A</v>
      </c>
      <c r="L777" t="e">
        <f ca="1"/>
        <v>#N/A</v>
      </c>
      <c r="M777" t="e">
        <f ca="1"/>
        <v>#N/A</v>
      </c>
      <c r="N777" t="e">
        <f ca="1"/>
        <v>#N/A</v>
      </c>
      <c r="O777" t="e">
        <f ca="1"/>
        <v>#N/A</v>
      </c>
      <c r="P777" t="e">
        <f ca="1"/>
        <v>#N/A</v>
      </c>
      <c r="Q777" t="e">
        <f ca="1"/>
        <v>#N/A</v>
      </c>
      <c r="R777" t="e">
        <f ca="1"/>
        <v>#N/A</v>
      </c>
      <c r="S777" t="e">
        <f ca="1"/>
        <v>#N/A</v>
      </c>
      <c r="T777" t="e">
        <f ca="1"/>
        <v>#N/A</v>
      </c>
      <c r="U777" t="e">
        <f ca="1"/>
        <v>#N/A</v>
      </c>
      <c r="V777" t="e">
        <f ca="1"/>
        <v>#N/A</v>
      </c>
      <c r="X777" s="2">
        <f t="shared" ca="1" si="86"/>
        <v>0</v>
      </c>
      <c r="Y777">
        <f t="shared" ca="1" si="87"/>
        <v>0</v>
      </c>
      <c r="AA777" s="63" t="e">
        <f t="shared" ca="1" si="88"/>
        <v>#N/A</v>
      </c>
      <c r="AB777" s="63" t="e">
        <f t="shared" ca="1" si="89"/>
        <v>#N/A</v>
      </c>
      <c r="AC777" s="3" t="e">
        <f t="shared" ca="1" si="90"/>
        <v>#N/A</v>
      </c>
    </row>
    <row r="778" spans="8:29">
      <c r="H778" t="e">
        <f t="shared" ca="1" si="84"/>
        <v>#N/A</v>
      </c>
      <c r="I778" t="e">
        <f t="shared" ca="1" si="85"/>
        <v>#N/A</v>
      </c>
      <c r="J778" t="e">
        <f ca="1"/>
        <v>#N/A</v>
      </c>
      <c r="K778" t="e">
        <f ca="1"/>
        <v>#N/A</v>
      </c>
      <c r="L778" t="e">
        <f ca="1"/>
        <v>#N/A</v>
      </c>
      <c r="M778" t="e">
        <f ca="1"/>
        <v>#N/A</v>
      </c>
      <c r="N778" t="e">
        <f ca="1"/>
        <v>#N/A</v>
      </c>
      <c r="O778" t="e">
        <f ca="1"/>
        <v>#N/A</v>
      </c>
      <c r="P778" t="e">
        <f ca="1"/>
        <v>#N/A</v>
      </c>
      <c r="Q778" t="e">
        <f ca="1"/>
        <v>#N/A</v>
      </c>
      <c r="R778" t="e">
        <f ca="1"/>
        <v>#N/A</v>
      </c>
      <c r="S778" t="e">
        <f ca="1"/>
        <v>#N/A</v>
      </c>
      <c r="T778" t="e">
        <f ca="1"/>
        <v>#N/A</v>
      </c>
      <c r="U778" t="e">
        <f ca="1"/>
        <v>#N/A</v>
      </c>
      <c r="V778" t="e">
        <f ca="1"/>
        <v>#N/A</v>
      </c>
      <c r="X778" s="2">
        <f t="shared" ca="1" si="86"/>
        <v>0</v>
      </c>
      <c r="Y778">
        <f t="shared" ca="1" si="87"/>
        <v>0</v>
      </c>
      <c r="AA778" s="63" t="e">
        <f t="shared" ca="1" si="88"/>
        <v>#N/A</v>
      </c>
      <c r="AB778" s="63" t="e">
        <f t="shared" ca="1" si="89"/>
        <v>#N/A</v>
      </c>
      <c r="AC778" s="3" t="e">
        <f t="shared" ca="1" si="90"/>
        <v>#N/A</v>
      </c>
    </row>
    <row r="779" spans="8:29">
      <c r="H779" t="e">
        <f t="shared" ca="1" si="84"/>
        <v>#N/A</v>
      </c>
      <c r="I779" t="e">
        <f t="shared" ca="1" si="85"/>
        <v>#N/A</v>
      </c>
      <c r="J779" t="e">
        <f ca="1"/>
        <v>#N/A</v>
      </c>
      <c r="K779" t="e">
        <f ca="1"/>
        <v>#N/A</v>
      </c>
      <c r="L779" t="e">
        <f ca="1"/>
        <v>#N/A</v>
      </c>
      <c r="M779" t="e">
        <f ca="1"/>
        <v>#N/A</v>
      </c>
      <c r="N779" t="e">
        <f ca="1"/>
        <v>#N/A</v>
      </c>
      <c r="O779" t="e">
        <f ca="1"/>
        <v>#N/A</v>
      </c>
      <c r="P779" t="e">
        <f ca="1"/>
        <v>#N/A</v>
      </c>
      <c r="Q779" t="e">
        <f ca="1"/>
        <v>#N/A</v>
      </c>
      <c r="R779" t="e">
        <f ca="1"/>
        <v>#N/A</v>
      </c>
      <c r="S779" t="e">
        <f ca="1"/>
        <v>#N/A</v>
      </c>
      <c r="T779" t="e">
        <f ca="1"/>
        <v>#N/A</v>
      </c>
      <c r="U779" t="e">
        <f ca="1"/>
        <v>#N/A</v>
      </c>
      <c r="V779" t="e">
        <f ca="1"/>
        <v>#N/A</v>
      </c>
      <c r="X779" s="2">
        <f t="shared" ca="1" si="86"/>
        <v>0</v>
      </c>
      <c r="Y779">
        <f t="shared" ca="1" si="87"/>
        <v>0</v>
      </c>
      <c r="AA779" s="63" t="e">
        <f t="shared" ca="1" si="88"/>
        <v>#N/A</v>
      </c>
      <c r="AB779" s="63" t="e">
        <f t="shared" ca="1" si="89"/>
        <v>#N/A</v>
      </c>
      <c r="AC779" s="3" t="e">
        <f t="shared" ca="1" si="90"/>
        <v>#N/A</v>
      </c>
    </row>
    <row r="780" spans="8:29">
      <c r="H780" t="e">
        <f t="shared" ca="1" si="84"/>
        <v>#N/A</v>
      </c>
      <c r="I780" t="e">
        <f t="shared" ca="1" si="85"/>
        <v>#N/A</v>
      </c>
      <c r="J780" t="e">
        <f ca="1"/>
        <v>#N/A</v>
      </c>
      <c r="K780" t="e">
        <f ca="1"/>
        <v>#N/A</v>
      </c>
      <c r="L780" t="e">
        <f ca="1"/>
        <v>#N/A</v>
      </c>
      <c r="M780" t="e">
        <f ca="1"/>
        <v>#N/A</v>
      </c>
      <c r="N780" t="e">
        <f ca="1"/>
        <v>#N/A</v>
      </c>
      <c r="O780" t="e">
        <f ca="1"/>
        <v>#N/A</v>
      </c>
      <c r="P780" t="e">
        <f ca="1"/>
        <v>#N/A</v>
      </c>
      <c r="Q780" t="e">
        <f ca="1"/>
        <v>#N/A</v>
      </c>
      <c r="R780" t="e">
        <f ca="1"/>
        <v>#N/A</v>
      </c>
      <c r="S780" t="e">
        <f ca="1"/>
        <v>#N/A</v>
      </c>
      <c r="T780" t="e">
        <f ca="1"/>
        <v>#N/A</v>
      </c>
      <c r="U780" t="e">
        <f ca="1"/>
        <v>#N/A</v>
      </c>
      <c r="V780" t="e">
        <f ca="1"/>
        <v>#N/A</v>
      </c>
      <c r="X780" s="2">
        <f t="shared" ca="1" si="86"/>
        <v>0</v>
      </c>
      <c r="Y780">
        <f t="shared" ca="1" si="87"/>
        <v>0</v>
      </c>
      <c r="AA780" s="63" t="e">
        <f t="shared" ca="1" si="88"/>
        <v>#N/A</v>
      </c>
      <c r="AB780" s="63" t="e">
        <f t="shared" ca="1" si="89"/>
        <v>#N/A</v>
      </c>
      <c r="AC780" s="3" t="e">
        <f t="shared" ca="1" si="90"/>
        <v>#N/A</v>
      </c>
    </row>
    <row r="781" spans="8:29">
      <c r="H781" t="e">
        <f t="shared" ca="1" si="84"/>
        <v>#N/A</v>
      </c>
      <c r="I781" t="e">
        <f t="shared" ca="1" si="85"/>
        <v>#N/A</v>
      </c>
      <c r="J781" t="e">
        <f ca="1"/>
        <v>#N/A</v>
      </c>
      <c r="K781" t="e">
        <f ca="1"/>
        <v>#N/A</v>
      </c>
      <c r="L781" t="e">
        <f ca="1"/>
        <v>#N/A</v>
      </c>
      <c r="M781" t="e">
        <f ca="1"/>
        <v>#N/A</v>
      </c>
      <c r="N781" t="e">
        <f ca="1"/>
        <v>#N/A</v>
      </c>
      <c r="O781" t="e">
        <f ca="1"/>
        <v>#N/A</v>
      </c>
      <c r="P781" t="e">
        <f ca="1"/>
        <v>#N/A</v>
      </c>
      <c r="Q781" t="e">
        <f ca="1"/>
        <v>#N/A</v>
      </c>
      <c r="R781" t="e">
        <f ca="1"/>
        <v>#N/A</v>
      </c>
      <c r="S781" t="e">
        <f ca="1"/>
        <v>#N/A</v>
      </c>
      <c r="T781" t="e">
        <f ca="1"/>
        <v>#N/A</v>
      </c>
      <c r="U781" t="e">
        <f ca="1"/>
        <v>#N/A</v>
      </c>
      <c r="V781" t="e">
        <f ca="1"/>
        <v>#N/A</v>
      </c>
      <c r="X781" s="2">
        <f t="shared" ca="1" si="86"/>
        <v>0</v>
      </c>
      <c r="Y781">
        <f t="shared" ca="1" si="87"/>
        <v>0</v>
      </c>
      <c r="AA781" s="63" t="e">
        <f t="shared" ca="1" si="88"/>
        <v>#N/A</v>
      </c>
      <c r="AB781" s="63" t="e">
        <f t="shared" ca="1" si="89"/>
        <v>#N/A</v>
      </c>
      <c r="AC781" s="3" t="e">
        <f t="shared" ca="1" si="90"/>
        <v>#N/A</v>
      </c>
    </row>
    <row r="782" spans="8:29">
      <c r="H782" t="e">
        <f t="shared" ca="1" si="84"/>
        <v>#N/A</v>
      </c>
      <c r="I782" t="e">
        <f t="shared" ca="1" si="85"/>
        <v>#N/A</v>
      </c>
      <c r="J782" t="e">
        <f ca="1"/>
        <v>#N/A</v>
      </c>
      <c r="K782" t="e">
        <f ca="1"/>
        <v>#N/A</v>
      </c>
      <c r="L782" t="e">
        <f ca="1"/>
        <v>#N/A</v>
      </c>
      <c r="M782" t="e">
        <f ca="1"/>
        <v>#N/A</v>
      </c>
      <c r="N782" t="e">
        <f ca="1"/>
        <v>#N/A</v>
      </c>
      <c r="O782" t="e">
        <f ca="1"/>
        <v>#N/A</v>
      </c>
      <c r="P782" t="e">
        <f ca="1"/>
        <v>#N/A</v>
      </c>
      <c r="Q782" t="e">
        <f ca="1"/>
        <v>#N/A</v>
      </c>
      <c r="R782" t="e">
        <f ca="1"/>
        <v>#N/A</v>
      </c>
      <c r="S782" t="e">
        <f ca="1"/>
        <v>#N/A</v>
      </c>
      <c r="T782" t="e">
        <f ca="1"/>
        <v>#N/A</v>
      </c>
      <c r="U782" t="e">
        <f ca="1"/>
        <v>#N/A</v>
      </c>
      <c r="V782" t="e">
        <f ca="1"/>
        <v>#N/A</v>
      </c>
      <c r="X782" s="2">
        <f t="shared" ca="1" si="86"/>
        <v>0</v>
      </c>
      <c r="Y782">
        <f t="shared" ca="1" si="87"/>
        <v>0</v>
      </c>
      <c r="AA782" s="63" t="e">
        <f t="shared" ca="1" si="88"/>
        <v>#N/A</v>
      </c>
      <c r="AB782" s="63" t="e">
        <f t="shared" ca="1" si="89"/>
        <v>#N/A</v>
      </c>
      <c r="AC782" s="3" t="e">
        <f t="shared" ca="1" si="90"/>
        <v>#N/A</v>
      </c>
    </row>
    <row r="783" spans="8:29">
      <c r="H783" t="e">
        <f t="shared" ca="1" si="84"/>
        <v>#N/A</v>
      </c>
      <c r="I783" t="e">
        <f t="shared" ca="1" si="85"/>
        <v>#N/A</v>
      </c>
      <c r="J783" t="e">
        <f ca="1"/>
        <v>#N/A</v>
      </c>
      <c r="K783" t="e">
        <f ca="1"/>
        <v>#N/A</v>
      </c>
      <c r="L783" t="e">
        <f ca="1"/>
        <v>#N/A</v>
      </c>
      <c r="M783" t="e">
        <f ca="1"/>
        <v>#N/A</v>
      </c>
      <c r="N783" t="e">
        <f ca="1"/>
        <v>#N/A</v>
      </c>
      <c r="O783" t="e">
        <f ca="1"/>
        <v>#N/A</v>
      </c>
      <c r="P783" t="e">
        <f ca="1"/>
        <v>#N/A</v>
      </c>
      <c r="Q783" t="e">
        <f ca="1"/>
        <v>#N/A</v>
      </c>
      <c r="R783" t="e">
        <f ca="1"/>
        <v>#N/A</v>
      </c>
      <c r="S783" t="e">
        <f ca="1"/>
        <v>#N/A</v>
      </c>
      <c r="T783" t="e">
        <f ca="1"/>
        <v>#N/A</v>
      </c>
      <c r="U783" t="e">
        <f ca="1"/>
        <v>#N/A</v>
      </c>
      <c r="V783" t="e">
        <f ca="1"/>
        <v>#N/A</v>
      </c>
      <c r="X783" s="2">
        <f t="shared" ca="1" si="86"/>
        <v>0</v>
      </c>
      <c r="Y783">
        <f t="shared" ca="1" si="87"/>
        <v>0</v>
      </c>
      <c r="AA783" s="63" t="e">
        <f t="shared" ca="1" si="88"/>
        <v>#N/A</v>
      </c>
      <c r="AB783" s="63" t="e">
        <f t="shared" ca="1" si="89"/>
        <v>#N/A</v>
      </c>
      <c r="AC783" s="3" t="e">
        <f t="shared" ca="1" si="90"/>
        <v>#N/A</v>
      </c>
    </row>
    <row r="784" spans="8:29">
      <c r="H784" t="e">
        <f t="shared" ca="1" si="84"/>
        <v>#N/A</v>
      </c>
      <c r="I784" t="e">
        <f t="shared" ca="1" si="85"/>
        <v>#N/A</v>
      </c>
      <c r="J784" t="e">
        <f ca="1"/>
        <v>#N/A</v>
      </c>
      <c r="K784" t="e">
        <f ca="1"/>
        <v>#N/A</v>
      </c>
      <c r="L784" t="e">
        <f ca="1"/>
        <v>#N/A</v>
      </c>
      <c r="M784" t="e">
        <f ca="1"/>
        <v>#N/A</v>
      </c>
      <c r="N784" t="e">
        <f ca="1"/>
        <v>#N/A</v>
      </c>
      <c r="O784" t="e">
        <f ca="1"/>
        <v>#N/A</v>
      </c>
      <c r="P784" t="e">
        <f ca="1"/>
        <v>#N/A</v>
      </c>
      <c r="Q784" t="e">
        <f ca="1"/>
        <v>#N/A</v>
      </c>
      <c r="R784" t="e">
        <f ca="1"/>
        <v>#N/A</v>
      </c>
      <c r="S784" t="e">
        <f ca="1"/>
        <v>#N/A</v>
      </c>
      <c r="T784" t="e">
        <f ca="1"/>
        <v>#N/A</v>
      </c>
      <c r="U784" t="e">
        <f ca="1"/>
        <v>#N/A</v>
      </c>
      <c r="V784" t="e">
        <f ca="1"/>
        <v>#N/A</v>
      </c>
      <c r="X784" s="2">
        <f t="shared" ca="1" si="86"/>
        <v>0</v>
      </c>
      <c r="Y784">
        <f t="shared" ca="1" si="87"/>
        <v>0</v>
      </c>
      <c r="AA784" s="63" t="e">
        <f t="shared" ca="1" si="88"/>
        <v>#N/A</v>
      </c>
      <c r="AB784" s="63" t="e">
        <f t="shared" ca="1" si="89"/>
        <v>#N/A</v>
      </c>
      <c r="AC784" s="3" t="e">
        <f t="shared" ca="1" si="90"/>
        <v>#N/A</v>
      </c>
    </row>
    <row r="785" spans="8:29">
      <c r="H785" t="e">
        <f t="shared" ca="1" si="84"/>
        <v>#N/A</v>
      </c>
      <c r="I785" t="e">
        <f t="shared" ca="1" si="85"/>
        <v>#N/A</v>
      </c>
      <c r="J785" t="e">
        <f ca="1"/>
        <v>#N/A</v>
      </c>
      <c r="K785" t="e">
        <f ca="1"/>
        <v>#N/A</v>
      </c>
      <c r="L785" t="e">
        <f ca="1"/>
        <v>#N/A</v>
      </c>
      <c r="M785" t="e">
        <f ca="1"/>
        <v>#N/A</v>
      </c>
      <c r="N785" t="e">
        <f ca="1"/>
        <v>#N/A</v>
      </c>
      <c r="O785" t="e">
        <f ca="1"/>
        <v>#N/A</v>
      </c>
      <c r="P785" t="e">
        <f ca="1"/>
        <v>#N/A</v>
      </c>
      <c r="Q785" t="e">
        <f ca="1"/>
        <v>#N/A</v>
      </c>
      <c r="R785" t="e">
        <f ca="1"/>
        <v>#N/A</v>
      </c>
      <c r="S785" t="e">
        <f ca="1"/>
        <v>#N/A</v>
      </c>
      <c r="T785" t="e">
        <f ca="1"/>
        <v>#N/A</v>
      </c>
      <c r="U785" t="e">
        <f ca="1"/>
        <v>#N/A</v>
      </c>
      <c r="V785" t="e">
        <f ca="1"/>
        <v>#N/A</v>
      </c>
      <c r="X785" s="2">
        <f t="shared" ca="1" si="86"/>
        <v>0</v>
      </c>
      <c r="Y785">
        <f t="shared" ca="1" si="87"/>
        <v>0</v>
      </c>
      <c r="AA785" s="63" t="e">
        <f t="shared" ca="1" si="88"/>
        <v>#N/A</v>
      </c>
      <c r="AB785" s="63" t="e">
        <f t="shared" ca="1" si="89"/>
        <v>#N/A</v>
      </c>
      <c r="AC785" s="3" t="e">
        <f t="shared" ca="1" si="90"/>
        <v>#N/A</v>
      </c>
    </row>
    <row r="786" spans="8:29">
      <c r="H786" t="e">
        <f t="shared" ca="1" si="84"/>
        <v>#N/A</v>
      </c>
      <c r="I786" t="e">
        <f t="shared" ca="1" si="85"/>
        <v>#N/A</v>
      </c>
      <c r="J786" t="e">
        <f ca="1"/>
        <v>#N/A</v>
      </c>
      <c r="K786" t="e">
        <f ca="1"/>
        <v>#N/A</v>
      </c>
      <c r="L786" t="e">
        <f ca="1"/>
        <v>#N/A</v>
      </c>
      <c r="M786" t="e">
        <f ca="1"/>
        <v>#N/A</v>
      </c>
      <c r="N786" t="e">
        <f ca="1"/>
        <v>#N/A</v>
      </c>
      <c r="O786" t="e">
        <f ca="1"/>
        <v>#N/A</v>
      </c>
      <c r="P786" t="e">
        <f ca="1"/>
        <v>#N/A</v>
      </c>
      <c r="Q786" t="e">
        <f ca="1"/>
        <v>#N/A</v>
      </c>
      <c r="R786" t="e">
        <f ca="1"/>
        <v>#N/A</v>
      </c>
      <c r="S786" t="e">
        <f ca="1"/>
        <v>#N/A</v>
      </c>
      <c r="T786" t="e">
        <f ca="1"/>
        <v>#N/A</v>
      </c>
      <c r="U786" t="e">
        <f ca="1"/>
        <v>#N/A</v>
      </c>
      <c r="V786" t="e">
        <f ca="1"/>
        <v>#N/A</v>
      </c>
      <c r="X786" s="2">
        <f t="shared" ca="1" si="86"/>
        <v>0</v>
      </c>
      <c r="Y786">
        <f t="shared" ca="1" si="87"/>
        <v>0</v>
      </c>
      <c r="AA786" s="63" t="e">
        <f t="shared" ca="1" si="88"/>
        <v>#N/A</v>
      </c>
      <c r="AB786" s="63" t="e">
        <f t="shared" ca="1" si="89"/>
        <v>#N/A</v>
      </c>
      <c r="AC786" s="3" t="e">
        <f t="shared" ca="1" si="90"/>
        <v>#N/A</v>
      </c>
    </row>
    <row r="787" spans="8:29">
      <c r="H787" t="e">
        <f t="shared" ca="1" si="84"/>
        <v>#N/A</v>
      </c>
      <c r="I787" t="e">
        <f t="shared" ca="1" si="85"/>
        <v>#N/A</v>
      </c>
      <c r="J787" t="e">
        <f ca="1"/>
        <v>#N/A</v>
      </c>
      <c r="K787" t="e">
        <f ca="1"/>
        <v>#N/A</v>
      </c>
      <c r="L787" t="e">
        <f ca="1"/>
        <v>#N/A</v>
      </c>
      <c r="M787" t="e">
        <f ca="1"/>
        <v>#N/A</v>
      </c>
      <c r="N787" t="e">
        <f ca="1"/>
        <v>#N/A</v>
      </c>
      <c r="O787" t="e">
        <f ca="1"/>
        <v>#N/A</v>
      </c>
      <c r="P787" t="e">
        <f ca="1"/>
        <v>#N/A</v>
      </c>
      <c r="Q787" t="e">
        <f ca="1"/>
        <v>#N/A</v>
      </c>
      <c r="R787" t="e">
        <f ca="1"/>
        <v>#N/A</v>
      </c>
      <c r="S787" t="e">
        <f ca="1"/>
        <v>#N/A</v>
      </c>
      <c r="T787" t="e">
        <f ca="1"/>
        <v>#N/A</v>
      </c>
      <c r="U787" t="e">
        <f ca="1"/>
        <v>#N/A</v>
      </c>
      <c r="V787" t="e">
        <f ca="1"/>
        <v>#N/A</v>
      </c>
      <c r="X787" s="2">
        <f t="shared" ca="1" si="86"/>
        <v>0</v>
      </c>
      <c r="Y787">
        <f t="shared" ca="1" si="87"/>
        <v>0</v>
      </c>
      <c r="AA787" s="63" t="e">
        <f t="shared" ca="1" si="88"/>
        <v>#N/A</v>
      </c>
      <c r="AB787" s="63" t="e">
        <f t="shared" ca="1" si="89"/>
        <v>#N/A</v>
      </c>
      <c r="AC787" s="3" t="e">
        <f t="shared" ca="1" si="90"/>
        <v>#N/A</v>
      </c>
    </row>
    <row r="788" spans="8:29">
      <c r="H788" t="e">
        <f t="shared" ca="1" si="84"/>
        <v>#N/A</v>
      </c>
      <c r="I788" t="e">
        <f t="shared" ca="1" si="85"/>
        <v>#N/A</v>
      </c>
      <c r="J788" t="e">
        <f ca="1"/>
        <v>#N/A</v>
      </c>
      <c r="K788" t="e">
        <f ca="1"/>
        <v>#N/A</v>
      </c>
      <c r="L788" t="e">
        <f ca="1"/>
        <v>#N/A</v>
      </c>
      <c r="M788" t="e">
        <f ca="1"/>
        <v>#N/A</v>
      </c>
      <c r="N788" t="e">
        <f ca="1"/>
        <v>#N/A</v>
      </c>
      <c r="O788" t="e">
        <f ca="1"/>
        <v>#N/A</v>
      </c>
      <c r="P788" t="e">
        <f ca="1"/>
        <v>#N/A</v>
      </c>
      <c r="Q788" t="e">
        <f ca="1"/>
        <v>#N/A</v>
      </c>
      <c r="R788" t="e">
        <f ca="1"/>
        <v>#N/A</v>
      </c>
      <c r="S788" t="e">
        <f ca="1"/>
        <v>#N/A</v>
      </c>
      <c r="T788" t="e">
        <f ca="1"/>
        <v>#N/A</v>
      </c>
      <c r="U788" t="e">
        <f ca="1"/>
        <v>#N/A</v>
      </c>
      <c r="V788" t="e">
        <f ca="1"/>
        <v>#N/A</v>
      </c>
      <c r="X788" s="2">
        <f t="shared" ca="1" si="86"/>
        <v>0</v>
      </c>
      <c r="Y788">
        <f t="shared" ca="1" si="87"/>
        <v>0</v>
      </c>
      <c r="AA788" s="63" t="e">
        <f t="shared" ca="1" si="88"/>
        <v>#N/A</v>
      </c>
      <c r="AB788" s="63" t="e">
        <f t="shared" ca="1" si="89"/>
        <v>#N/A</v>
      </c>
      <c r="AC788" s="3" t="e">
        <f t="shared" ca="1" si="90"/>
        <v>#N/A</v>
      </c>
    </row>
    <row r="789" spans="8:29">
      <c r="H789" t="e">
        <f t="shared" ca="1" si="84"/>
        <v>#N/A</v>
      </c>
      <c r="I789" t="e">
        <f t="shared" ca="1" si="85"/>
        <v>#N/A</v>
      </c>
      <c r="J789" t="e">
        <f ca="1"/>
        <v>#N/A</v>
      </c>
      <c r="K789" t="e">
        <f ca="1"/>
        <v>#N/A</v>
      </c>
      <c r="L789" t="e">
        <f ca="1"/>
        <v>#N/A</v>
      </c>
      <c r="M789" t="e">
        <f ca="1"/>
        <v>#N/A</v>
      </c>
      <c r="N789" t="e">
        <f ca="1"/>
        <v>#N/A</v>
      </c>
      <c r="O789" t="e">
        <f ca="1"/>
        <v>#N/A</v>
      </c>
      <c r="P789" t="e">
        <f ca="1"/>
        <v>#N/A</v>
      </c>
      <c r="Q789" t="e">
        <f ca="1"/>
        <v>#N/A</v>
      </c>
      <c r="R789" t="e">
        <f ca="1"/>
        <v>#N/A</v>
      </c>
      <c r="S789" t="e">
        <f ca="1"/>
        <v>#N/A</v>
      </c>
      <c r="T789" t="e">
        <f ca="1"/>
        <v>#N/A</v>
      </c>
      <c r="U789" t="e">
        <f ca="1"/>
        <v>#N/A</v>
      </c>
      <c r="V789" t="e">
        <f ca="1"/>
        <v>#N/A</v>
      </c>
      <c r="X789" s="2">
        <f t="shared" ca="1" si="86"/>
        <v>0</v>
      </c>
      <c r="Y789">
        <f t="shared" ca="1" si="87"/>
        <v>0</v>
      </c>
      <c r="AA789" s="63" t="e">
        <f t="shared" ca="1" si="88"/>
        <v>#N/A</v>
      </c>
      <c r="AB789" s="63" t="e">
        <f t="shared" ca="1" si="89"/>
        <v>#N/A</v>
      </c>
      <c r="AC789" s="3" t="e">
        <f t="shared" ca="1" si="90"/>
        <v>#N/A</v>
      </c>
    </row>
    <row r="790" spans="8:29">
      <c r="H790" t="e">
        <f t="shared" ca="1" si="84"/>
        <v>#N/A</v>
      </c>
      <c r="I790" t="e">
        <f t="shared" ca="1" si="85"/>
        <v>#N/A</v>
      </c>
      <c r="J790" t="e">
        <f ca="1"/>
        <v>#N/A</v>
      </c>
      <c r="K790" t="e">
        <f ca="1"/>
        <v>#N/A</v>
      </c>
      <c r="L790" t="e">
        <f ca="1"/>
        <v>#N/A</v>
      </c>
      <c r="M790" t="e">
        <f ca="1"/>
        <v>#N/A</v>
      </c>
      <c r="N790" t="e">
        <f ca="1"/>
        <v>#N/A</v>
      </c>
      <c r="O790" t="e">
        <f ca="1"/>
        <v>#N/A</v>
      </c>
      <c r="P790" t="e">
        <f ca="1"/>
        <v>#N/A</v>
      </c>
      <c r="Q790" t="e">
        <f ca="1"/>
        <v>#N/A</v>
      </c>
      <c r="R790" t="e">
        <f ca="1"/>
        <v>#N/A</v>
      </c>
      <c r="S790" t="e">
        <f ca="1"/>
        <v>#N/A</v>
      </c>
      <c r="T790" t="e">
        <f ca="1"/>
        <v>#N/A</v>
      </c>
      <c r="U790" t="e">
        <f ca="1"/>
        <v>#N/A</v>
      </c>
      <c r="V790" t="e">
        <f ca="1"/>
        <v>#N/A</v>
      </c>
      <c r="X790" s="2">
        <f t="shared" ca="1" si="86"/>
        <v>0</v>
      </c>
      <c r="Y790">
        <f t="shared" ca="1" si="87"/>
        <v>0</v>
      </c>
      <c r="AA790" s="63" t="e">
        <f t="shared" ca="1" si="88"/>
        <v>#N/A</v>
      </c>
      <c r="AB790" s="63" t="e">
        <f t="shared" ca="1" si="89"/>
        <v>#N/A</v>
      </c>
      <c r="AC790" s="3" t="e">
        <f t="shared" ca="1" si="90"/>
        <v>#N/A</v>
      </c>
    </row>
    <row r="791" spans="8:29">
      <c r="H791" t="e">
        <f t="shared" ca="1" si="84"/>
        <v>#N/A</v>
      </c>
      <c r="I791" t="e">
        <f t="shared" ca="1" si="85"/>
        <v>#N/A</v>
      </c>
      <c r="J791" t="e">
        <f ca="1"/>
        <v>#N/A</v>
      </c>
      <c r="K791" t="e">
        <f ca="1"/>
        <v>#N/A</v>
      </c>
      <c r="L791" t="e">
        <f ca="1"/>
        <v>#N/A</v>
      </c>
      <c r="M791" t="e">
        <f ca="1"/>
        <v>#N/A</v>
      </c>
      <c r="N791" t="e">
        <f ca="1"/>
        <v>#N/A</v>
      </c>
      <c r="O791" t="e">
        <f ca="1"/>
        <v>#N/A</v>
      </c>
      <c r="P791" t="e">
        <f ca="1"/>
        <v>#N/A</v>
      </c>
      <c r="Q791" t="e">
        <f ca="1"/>
        <v>#N/A</v>
      </c>
      <c r="R791" t="e">
        <f ca="1"/>
        <v>#N/A</v>
      </c>
      <c r="S791" t="e">
        <f ca="1"/>
        <v>#N/A</v>
      </c>
      <c r="T791" t="e">
        <f ca="1"/>
        <v>#N/A</v>
      </c>
      <c r="U791" t="e">
        <f ca="1"/>
        <v>#N/A</v>
      </c>
      <c r="V791" t="e">
        <f ca="1"/>
        <v>#N/A</v>
      </c>
      <c r="X791" s="2">
        <f t="shared" ca="1" si="86"/>
        <v>0</v>
      </c>
      <c r="Y791">
        <f t="shared" ca="1" si="87"/>
        <v>0</v>
      </c>
      <c r="AA791" s="63" t="e">
        <f t="shared" ca="1" si="88"/>
        <v>#N/A</v>
      </c>
      <c r="AB791" s="63" t="e">
        <f t="shared" ca="1" si="89"/>
        <v>#N/A</v>
      </c>
      <c r="AC791" s="3" t="e">
        <f t="shared" ca="1" si="90"/>
        <v>#N/A</v>
      </c>
    </row>
    <row r="792" spans="8:29">
      <c r="H792" t="e">
        <f t="shared" ca="1" si="84"/>
        <v>#N/A</v>
      </c>
      <c r="I792" t="e">
        <f t="shared" ca="1" si="85"/>
        <v>#N/A</v>
      </c>
      <c r="J792" t="e">
        <f ca="1"/>
        <v>#N/A</v>
      </c>
      <c r="K792" t="e">
        <f ca="1"/>
        <v>#N/A</v>
      </c>
      <c r="L792" t="e">
        <f ca="1"/>
        <v>#N/A</v>
      </c>
      <c r="M792" t="e">
        <f ca="1"/>
        <v>#N/A</v>
      </c>
      <c r="N792" t="e">
        <f ca="1"/>
        <v>#N/A</v>
      </c>
      <c r="O792" t="e">
        <f ca="1"/>
        <v>#N/A</v>
      </c>
      <c r="P792" t="e">
        <f ca="1"/>
        <v>#N/A</v>
      </c>
      <c r="Q792" t="e">
        <f ca="1"/>
        <v>#N/A</v>
      </c>
      <c r="R792" t="e">
        <f ca="1"/>
        <v>#N/A</v>
      </c>
      <c r="S792" t="e">
        <f ca="1"/>
        <v>#N/A</v>
      </c>
      <c r="T792" t="e">
        <f ca="1"/>
        <v>#N/A</v>
      </c>
      <c r="U792" t="e">
        <f ca="1"/>
        <v>#N/A</v>
      </c>
      <c r="V792" t="e">
        <f ca="1"/>
        <v>#N/A</v>
      </c>
      <c r="X792" s="2">
        <f t="shared" ca="1" si="86"/>
        <v>0</v>
      </c>
      <c r="Y792">
        <f t="shared" ca="1" si="87"/>
        <v>0</v>
      </c>
      <c r="AA792" s="63" t="e">
        <f t="shared" ca="1" si="88"/>
        <v>#N/A</v>
      </c>
      <c r="AB792" s="63" t="e">
        <f t="shared" ca="1" si="89"/>
        <v>#N/A</v>
      </c>
      <c r="AC792" s="3" t="e">
        <f t="shared" ca="1" si="90"/>
        <v>#N/A</v>
      </c>
    </row>
    <row r="793" spans="8:29">
      <c r="H793" t="e">
        <f t="shared" ca="1" si="84"/>
        <v>#N/A</v>
      </c>
      <c r="I793" t="e">
        <f t="shared" ca="1" si="85"/>
        <v>#N/A</v>
      </c>
      <c r="J793" t="e">
        <f ca="1"/>
        <v>#N/A</v>
      </c>
      <c r="K793" t="e">
        <f ca="1"/>
        <v>#N/A</v>
      </c>
      <c r="L793" t="e">
        <f ca="1"/>
        <v>#N/A</v>
      </c>
      <c r="M793" t="e">
        <f ca="1"/>
        <v>#N/A</v>
      </c>
      <c r="N793" t="e">
        <f ca="1"/>
        <v>#N/A</v>
      </c>
      <c r="O793" t="e">
        <f ca="1"/>
        <v>#N/A</v>
      </c>
      <c r="P793" t="e">
        <f ca="1"/>
        <v>#N/A</v>
      </c>
      <c r="Q793" t="e">
        <f ca="1"/>
        <v>#N/A</v>
      </c>
      <c r="R793" t="e">
        <f ca="1"/>
        <v>#N/A</v>
      </c>
      <c r="S793" t="e">
        <f ca="1"/>
        <v>#N/A</v>
      </c>
      <c r="T793" t="e">
        <f ca="1"/>
        <v>#N/A</v>
      </c>
      <c r="U793" t="e">
        <f ca="1"/>
        <v>#N/A</v>
      </c>
      <c r="V793" t="e">
        <f ca="1"/>
        <v>#N/A</v>
      </c>
      <c r="X793" s="2">
        <f t="shared" ca="1" si="86"/>
        <v>0</v>
      </c>
      <c r="Y793">
        <f t="shared" ca="1" si="87"/>
        <v>0</v>
      </c>
      <c r="AA793" s="63" t="e">
        <f t="shared" ca="1" si="88"/>
        <v>#N/A</v>
      </c>
      <c r="AB793" s="63" t="e">
        <f t="shared" ca="1" si="89"/>
        <v>#N/A</v>
      </c>
      <c r="AC793" s="3" t="e">
        <f t="shared" ca="1" si="90"/>
        <v>#N/A</v>
      </c>
    </row>
    <row r="794" spans="8:29">
      <c r="H794" t="e">
        <f t="shared" ca="1" si="84"/>
        <v>#N/A</v>
      </c>
      <c r="I794" t="e">
        <f t="shared" ca="1" si="85"/>
        <v>#N/A</v>
      </c>
      <c r="J794" t="e">
        <f ca="1"/>
        <v>#N/A</v>
      </c>
      <c r="K794" t="e">
        <f ca="1"/>
        <v>#N/A</v>
      </c>
      <c r="L794" t="e">
        <f ca="1"/>
        <v>#N/A</v>
      </c>
      <c r="M794" t="e">
        <f ca="1"/>
        <v>#N/A</v>
      </c>
      <c r="N794" t="e">
        <f ca="1"/>
        <v>#N/A</v>
      </c>
      <c r="O794" t="e">
        <f ca="1"/>
        <v>#N/A</v>
      </c>
      <c r="P794" t="e">
        <f ca="1"/>
        <v>#N/A</v>
      </c>
      <c r="Q794" t="e">
        <f ca="1"/>
        <v>#N/A</v>
      </c>
      <c r="R794" t="e">
        <f ca="1"/>
        <v>#N/A</v>
      </c>
      <c r="S794" t="e">
        <f ca="1"/>
        <v>#N/A</v>
      </c>
      <c r="T794" t="e">
        <f ca="1"/>
        <v>#N/A</v>
      </c>
      <c r="U794" t="e">
        <f ca="1"/>
        <v>#N/A</v>
      </c>
      <c r="V794" t="e">
        <f ca="1"/>
        <v>#N/A</v>
      </c>
      <c r="X794" s="2">
        <f t="shared" ca="1" si="86"/>
        <v>0</v>
      </c>
      <c r="Y794">
        <f t="shared" ca="1" si="87"/>
        <v>0</v>
      </c>
      <c r="AA794" s="63" t="e">
        <f t="shared" ca="1" si="88"/>
        <v>#N/A</v>
      </c>
      <c r="AB794" s="63" t="e">
        <f t="shared" ca="1" si="89"/>
        <v>#N/A</v>
      </c>
      <c r="AC794" s="3" t="e">
        <f t="shared" ca="1" si="90"/>
        <v>#N/A</v>
      </c>
    </row>
    <row r="795" spans="8:29">
      <c r="H795" t="e">
        <f t="shared" ca="1" si="84"/>
        <v>#N/A</v>
      </c>
      <c r="I795" t="e">
        <f t="shared" ca="1" si="85"/>
        <v>#N/A</v>
      </c>
      <c r="J795" t="e">
        <f ca="1"/>
        <v>#N/A</v>
      </c>
      <c r="K795" t="e">
        <f ca="1"/>
        <v>#N/A</v>
      </c>
      <c r="L795" t="e">
        <f ca="1"/>
        <v>#N/A</v>
      </c>
      <c r="M795" t="e">
        <f ca="1"/>
        <v>#N/A</v>
      </c>
      <c r="N795" t="e">
        <f ca="1"/>
        <v>#N/A</v>
      </c>
      <c r="O795" t="e">
        <f ca="1"/>
        <v>#N/A</v>
      </c>
      <c r="P795" t="e">
        <f ca="1"/>
        <v>#N/A</v>
      </c>
      <c r="Q795" t="e">
        <f ca="1"/>
        <v>#N/A</v>
      </c>
      <c r="R795" t="e">
        <f ca="1"/>
        <v>#N/A</v>
      </c>
      <c r="S795" t="e">
        <f ca="1"/>
        <v>#N/A</v>
      </c>
      <c r="T795" t="e">
        <f ca="1"/>
        <v>#N/A</v>
      </c>
      <c r="U795" t="e">
        <f ca="1"/>
        <v>#N/A</v>
      </c>
      <c r="V795" t="e">
        <f ca="1"/>
        <v>#N/A</v>
      </c>
      <c r="X795" s="2">
        <f t="shared" ca="1" si="86"/>
        <v>0</v>
      </c>
      <c r="Y795">
        <f t="shared" ca="1" si="87"/>
        <v>0</v>
      </c>
      <c r="AA795" s="63" t="e">
        <f t="shared" ca="1" si="88"/>
        <v>#N/A</v>
      </c>
      <c r="AB795" s="63" t="e">
        <f t="shared" ca="1" si="89"/>
        <v>#N/A</v>
      </c>
      <c r="AC795" s="3" t="e">
        <f t="shared" ca="1" si="90"/>
        <v>#N/A</v>
      </c>
    </row>
    <row r="796" spans="8:29">
      <c r="H796" t="e">
        <f t="shared" ca="1" si="84"/>
        <v>#N/A</v>
      </c>
      <c r="I796" t="e">
        <f t="shared" ca="1" si="85"/>
        <v>#N/A</v>
      </c>
      <c r="J796" t="e">
        <f ca="1"/>
        <v>#N/A</v>
      </c>
      <c r="K796" t="e">
        <f ca="1"/>
        <v>#N/A</v>
      </c>
      <c r="L796" t="e">
        <f ca="1"/>
        <v>#N/A</v>
      </c>
      <c r="M796" t="e">
        <f ca="1"/>
        <v>#N/A</v>
      </c>
      <c r="N796" t="e">
        <f ca="1"/>
        <v>#N/A</v>
      </c>
      <c r="O796" t="e">
        <f ca="1"/>
        <v>#N/A</v>
      </c>
      <c r="P796" t="e">
        <f ca="1"/>
        <v>#N/A</v>
      </c>
      <c r="Q796" t="e">
        <f ca="1"/>
        <v>#N/A</v>
      </c>
      <c r="R796" t="e">
        <f ca="1"/>
        <v>#N/A</v>
      </c>
      <c r="S796" t="e">
        <f ca="1"/>
        <v>#N/A</v>
      </c>
      <c r="T796" t="e">
        <f ca="1"/>
        <v>#N/A</v>
      </c>
      <c r="U796" t="e">
        <f ca="1"/>
        <v>#N/A</v>
      </c>
      <c r="V796" t="e">
        <f ca="1"/>
        <v>#N/A</v>
      </c>
      <c r="X796" s="2">
        <f t="shared" ca="1" si="86"/>
        <v>0</v>
      </c>
      <c r="Y796">
        <f t="shared" ca="1" si="87"/>
        <v>0</v>
      </c>
      <c r="AA796" s="63" t="e">
        <f t="shared" ca="1" si="88"/>
        <v>#N/A</v>
      </c>
      <c r="AB796" s="63" t="e">
        <f t="shared" ca="1" si="89"/>
        <v>#N/A</v>
      </c>
      <c r="AC796" s="3" t="e">
        <f t="shared" ca="1" si="90"/>
        <v>#N/A</v>
      </c>
    </row>
    <row r="797" spans="8:29">
      <c r="H797" t="e">
        <f t="shared" ca="1" si="84"/>
        <v>#N/A</v>
      </c>
      <c r="I797" t="e">
        <f t="shared" ca="1" si="85"/>
        <v>#N/A</v>
      </c>
      <c r="J797" t="e">
        <f ca="1"/>
        <v>#N/A</v>
      </c>
      <c r="K797" t="e">
        <f ca="1"/>
        <v>#N/A</v>
      </c>
      <c r="L797" t="e">
        <f ca="1"/>
        <v>#N/A</v>
      </c>
      <c r="M797" t="e">
        <f ca="1"/>
        <v>#N/A</v>
      </c>
      <c r="N797" t="e">
        <f ca="1"/>
        <v>#N/A</v>
      </c>
      <c r="O797" t="e">
        <f ca="1"/>
        <v>#N/A</v>
      </c>
      <c r="P797" t="e">
        <f ca="1"/>
        <v>#N/A</v>
      </c>
      <c r="Q797" t="e">
        <f ca="1"/>
        <v>#N/A</v>
      </c>
      <c r="R797" t="e">
        <f ca="1"/>
        <v>#N/A</v>
      </c>
      <c r="S797" t="e">
        <f ca="1"/>
        <v>#N/A</v>
      </c>
      <c r="T797" t="e">
        <f ca="1"/>
        <v>#N/A</v>
      </c>
      <c r="U797" t="e">
        <f ca="1"/>
        <v>#N/A</v>
      </c>
      <c r="V797" t="e">
        <f ca="1"/>
        <v>#N/A</v>
      </c>
      <c r="X797" s="2">
        <f t="shared" ca="1" si="86"/>
        <v>0</v>
      </c>
      <c r="Y797">
        <f t="shared" ca="1" si="87"/>
        <v>0</v>
      </c>
      <c r="AA797" s="63" t="e">
        <f t="shared" ca="1" si="88"/>
        <v>#N/A</v>
      </c>
      <c r="AB797" s="63" t="e">
        <f t="shared" ca="1" si="89"/>
        <v>#N/A</v>
      </c>
      <c r="AC797" s="3" t="e">
        <f t="shared" ca="1" si="90"/>
        <v>#N/A</v>
      </c>
    </row>
    <row r="798" spans="8:29">
      <c r="H798" t="e">
        <f t="shared" ca="1" si="84"/>
        <v>#N/A</v>
      </c>
      <c r="I798" t="e">
        <f t="shared" ca="1" si="85"/>
        <v>#N/A</v>
      </c>
      <c r="J798" t="e">
        <f ca="1"/>
        <v>#N/A</v>
      </c>
      <c r="K798" t="e">
        <f ca="1"/>
        <v>#N/A</v>
      </c>
      <c r="L798" t="e">
        <f ca="1"/>
        <v>#N/A</v>
      </c>
      <c r="M798" t="e">
        <f ca="1"/>
        <v>#N/A</v>
      </c>
      <c r="N798" t="e">
        <f ca="1"/>
        <v>#N/A</v>
      </c>
      <c r="O798" t="e">
        <f ca="1"/>
        <v>#N/A</v>
      </c>
      <c r="P798" t="e">
        <f ca="1"/>
        <v>#N/A</v>
      </c>
      <c r="Q798" t="e">
        <f ca="1"/>
        <v>#N/A</v>
      </c>
      <c r="R798" t="e">
        <f ca="1"/>
        <v>#N/A</v>
      </c>
      <c r="S798" t="e">
        <f ca="1"/>
        <v>#N/A</v>
      </c>
      <c r="T798" t="e">
        <f ca="1"/>
        <v>#N/A</v>
      </c>
      <c r="U798" t="e">
        <f ca="1"/>
        <v>#N/A</v>
      </c>
      <c r="V798" t="e">
        <f ca="1"/>
        <v>#N/A</v>
      </c>
      <c r="X798" s="2">
        <f t="shared" ca="1" si="86"/>
        <v>0</v>
      </c>
      <c r="Y798">
        <f t="shared" ca="1" si="87"/>
        <v>0</v>
      </c>
      <c r="AA798" s="63" t="e">
        <f t="shared" ca="1" si="88"/>
        <v>#N/A</v>
      </c>
      <c r="AB798" s="63" t="e">
        <f t="shared" ca="1" si="89"/>
        <v>#N/A</v>
      </c>
      <c r="AC798" s="3" t="e">
        <f t="shared" ca="1" si="90"/>
        <v>#N/A</v>
      </c>
    </row>
    <row r="799" spans="8:29">
      <c r="H799" t="e">
        <f t="shared" ca="1" si="84"/>
        <v>#N/A</v>
      </c>
      <c r="I799" t="e">
        <f t="shared" ca="1" si="85"/>
        <v>#N/A</v>
      </c>
      <c r="J799" t="e">
        <f ca="1"/>
        <v>#N/A</v>
      </c>
      <c r="K799" t="e">
        <f ca="1"/>
        <v>#N/A</v>
      </c>
      <c r="L799" t="e">
        <f ca="1"/>
        <v>#N/A</v>
      </c>
      <c r="M799" t="e">
        <f ca="1"/>
        <v>#N/A</v>
      </c>
      <c r="N799" t="e">
        <f ca="1"/>
        <v>#N/A</v>
      </c>
      <c r="O799" t="e">
        <f ca="1"/>
        <v>#N/A</v>
      </c>
      <c r="P799" t="e">
        <f ca="1"/>
        <v>#N/A</v>
      </c>
      <c r="Q799" t="e">
        <f ca="1"/>
        <v>#N/A</v>
      </c>
      <c r="R799" t="e">
        <f ca="1"/>
        <v>#N/A</v>
      </c>
      <c r="S799" t="e">
        <f ca="1"/>
        <v>#N/A</v>
      </c>
      <c r="T799" t="e">
        <f ca="1"/>
        <v>#N/A</v>
      </c>
      <c r="U799" t="e">
        <f ca="1"/>
        <v>#N/A</v>
      </c>
      <c r="V799" t="e">
        <f ca="1"/>
        <v>#N/A</v>
      </c>
      <c r="X799" s="2">
        <f t="shared" ca="1" si="86"/>
        <v>0</v>
      </c>
      <c r="Y799">
        <f t="shared" ca="1" si="87"/>
        <v>0</v>
      </c>
      <c r="AA799" s="63" t="e">
        <f t="shared" ca="1" si="88"/>
        <v>#N/A</v>
      </c>
      <c r="AB799" s="63" t="e">
        <f t="shared" ca="1" si="89"/>
        <v>#N/A</v>
      </c>
      <c r="AC799" s="3" t="e">
        <f t="shared" ca="1" si="90"/>
        <v>#N/A</v>
      </c>
    </row>
    <row r="800" spans="8:29">
      <c r="H800" t="e">
        <f t="shared" ca="1" si="84"/>
        <v>#N/A</v>
      </c>
      <c r="I800" t="e">
        <f t="shared" ca="1" si="85"/>
        <v>#N/A</v>
      </c>
      <c r="J800" t="e">
        <f ca="1"/>
        <v>#N/A</v>
      </c>
      <c r="K800" t="e">
        <f ca="1"/>
        <v>#N/A</v>
      </c>
      <c r="L800" t="e">
        <f ca="1"/>
        <v>#N/A</v>
      </c>
      <c r="M800" t="e">
        <f ca="1"/>
        <v>#N/A</v>
      </c>
      <c r="N800" t="e">
        <f ca="1"/>
        <v>#N/A</v>
      </c>
      <c r="O800" t="e">
        <f ca="1"/>
        <v>#N/A</v>
      </c>
      <c r="P800" t="e">
        <f ca="1"/>
        <v>#N/A</v>
      </c>
      <c r="Q800" t="e">
        <f ca="1"/>
        <v>#N/A</v>
      </c>
      <c r="R800" t="e">
        <f ca="1"/>
        <v>#N/A</v>
      </c>
      <c r="S800" t="e">
        <f ca="1"/>
        <v>#N/A</v>
      </c>
      <c r="T800" t="e">
        <f ca="1"/>
        <v>#N/A</v>
      </c>
      <c r="U800" t="e">
        <f ca="1"/>
        <v>#N/A</v>
      </c>
      <c r="V800" t="e">
        <f ca="1"/>
        <v>#N/A</v>
      </c>
      <c r="X800" s="2">
        <f t="shared" ca="1" si="86"/>
        <v>0</v>
      </c>
      <c r="Y800">
        <f t="shared" ca="1" si="87"/>
        <v>0</v>
      </c>
      <c r="AA800" s="63" t="e">
        <f t="shared" ca="1" si="88"/>
        <v>#N/A</v>
      </c>
      <c r="AB800" s="63" t="e">
        <f t="shared" ca="1" si="89"/>
        <v>#N/A</v>
      </c>
      <c r="AC800" s="3" t="e">
        <f t="shared" ca="1" si="90"/>
        <v>#N/A</v>
      </c>
    </row>
    <row r="801" spans="8:29">
      <c r="H801" t="e">
        <f t="shared" ca="1" si="84"/>
        <v>#N/A</v>
      </c>
      <c r="I801" t="e">
        <f t="shared" ca="1" si="85"/>
        <v>#N/A</v>
      </c>
      <c r="J801" t="e">
        <f ca="1"/>
        <v>#N/A</v>
      </c>
      <c r="K801" t="e">
        <f ca="1"/>
        <v>#N/A</v>
      </c>
      <c r="L801" t="e">
        <f ca="1"/>
        <v>#N/A</v>
      </c>
      <c r="M801" t="e">
        <f ca="1"/>
        <v>#N/A</v>
      </c>
      <c r="N801" t="e">
        <f ca="1"/>
        <v>#N/A</v>
      </c>
      <c r="O801" t="e">
        <f ca="1"/>
        <v>#N/A</v>
      </c>
      <c r="P801" t="e">
        <f ca="1"/>
        <v>#N/A</v>
      </c>
      <c r="Q801" t="e">
        <f ca="1"/>
        <v>#N/A</v>
      </c>
      <c r="R801" t="e">
        <f ca="1"/>
        <v>#N/A</v>
      </c>
      <c r="S801" t="e">
        <f ca="1"/>
        <v>#N/A</v>
      </c>
      <c r="T801" t="e">
        <f ca="1"/>
        <v>#N/A</v>
      </c>
      <c r="U801" t="e">
        <f ca="1"/>
        <v>#N/A</v>
      </c>
      <c r="V801" t="e">
        <f ca="1"/>
        <v>#N/A</v>
      </c>
      <c r="X801" s="2">
        <f t="shared" ca="1" si="86"/>
        <v>0</v>
      </c>
      <c r="Y801">
        <f t="shared" ca="1" si="87"/>
        <v>0</v>
      </c>
      <c r="AA801" s="63" t="e">
        <f t="shared" ca="1" si="88"/>
        <v>#N/A</v>
      </c>
      <c r="AB801" s="63" t="e">
        <f t="shared" ca="1" si="89"/>
        <v>#N/A</v>
      </c>
      <c r="AC801" s="3" t="e">
        <f t="shared" ca="1" si="90"/>
        <v>#N/A</v>
      </c>
    </row>
    <row r="802" spans="8:29">
      <c r="H802" t="e">
        <f t="shared" ca="1" si="84"/>
        <v>#N/A</v>
      </c>
      <c r="I802" t="e">
        <f t="shared" ca="1" si="85"/>
        <v>#N/A</v>
      </c>
      <c r="J802" t="e">
        <f ca="1"/>
        <v>#N/A</v>
      </c>
      <c r="K802" t="e">
        <f ca="1"/>
        <v>#N/A</v>
      </c>
      <c r="L802" t="e">
        <f ca="1"/>
        <v>#N/A</v>
      </c>
      <c r="M802" t="e">
        <f ca="1"/>
        <v>#N/A</v>
      </c>
      <c r="N802" t="e">
        <f ca="1"/>
        <v>#N/A</v>
      </c>
      <c r="O802" t="e">
        <f ca="1"/>
        <v>#N/A</v>
      </c>
      <c r="P802" t="e">
        <f ca="1"/>
        <v>#N/A</v>
      </c>
      <c r="Q802" t="e">
        <f ca="1"/>
        <v>#N/A</v>
      </c>
      <c r="R802" t="e">
        <f ca="1"/>
        <v>#N/A</v>
      </c>
      <c r="S802" t="e">
        <f ca="1"/>
        <v>#N/A</v>
      </c>
      <c r="T802" t="e">
        <f ca="1"/>
        <v>#N/A</v>
      </c>
      <c r="U802" t="e">
        <f ca="1"/>
        <v>#N/A</v>
      </c>
      <c r="V802" t="e">
        <f ca="1"/>
        <v>#N/A</v>
      </c>
      <c r="X802" s="2">
        <f t="shared" ca="1" si="86"/>
        <v>0</v>
      </c>
      <c r="Y802">
        <f t="shared" ca="1" si="87"/>
        <v>0</v>
      </c>
      <c r="AA802" s="63" t="e">
        <f t="shared" ca="1" si="88"/>
        <v>#N/A</v>
      </c>
      <c r="AB802" s="63" t="e">
        <f t="shared" ca="1" si="89"/>
        <v>#N/A</v>
      </c>
      <c r="AC802" s="3" t="e">
        <f t="shared" ca="1" si="90"/>
        <v>#N/A</v>
      </c>
    </row>
    <row r="803" spans="8:29">
      <c r="H803" t="e">
        <f t="shared" ca="1" si="84"/>
        <v>#N/A</v>
      </c>
      <c r="I803" t="e">
        <f t="shared" ca="1" si="85"/>
        <v>#N/A</v>
      </c>
      <c r="J803" t="e">
        <f ca="1"/>
        <v>#N/A</v>
      </c>
      <c r="K803" t="e">
        <f ca="1"/>
        <v>#N/A</v>
      </c>
      <c r="L803" t="e">
        <f ca="1"/>
        <v>#N/A</v>
      </c>
      <c r="M803" t="e">
        <f ca="1"/>
        <v>#N/A</v>
      </c>
      <c r="N803" t="e">
        <f ca="1"/>
        <v>#N/A</v>
      </c>
      <c r="O803" t="e">
        <f ca="1"/>
        <v>#N/A</v>
      </c>
      <c r="P803" t="e">
        <f ca="1"/>
        <v>#N/A</v>
      </c>
      <c r="Q803" t="e">
        <f ca="1"/>
        <v>#N/A</v>
      </c>
      <c r="R803" t="e">
        <f ca="1"/>
        <v>#N/A</v>
      </c>
      <c r="S803" t="e">
        <f ca="1"/>
        <v>#N/A</v>
      </c>
      <c r="T803" t="e">
        <f ca="1"/>
        <v>#N/A</v>
      </c>
      <c r="U803" t="e">
        <f ca="1"/>
        <v>#N/A</v>
      </c>
      <c r="V803" t="e">
        <f ca="1"/>
        <v>#N/A</v>
      </c>
      <c r="X803" s="2">
        <f t="shared" ca="1" si="86"/>
        <v>0</v>
      </c>
      <c r="Y803">
        <f t="shared" ca="1" si="87"/>
        <v>0</v>
      </c>
      <c r="AA803" s="63" t="e">
        <f t="shared" ca="1" si="88"/>
        <v>#N/A</v>
      </c>
      <c r="AB803" s="63" t="e">
        <f t="shared" ca="1" si="89"/>
        <v>#N/A</v>
      </c>
      <c r="AC803" s="3" t="e">
        <f t="shared" ca="1" si="90"/>
        <v>#N/A</v>
      </c>
    </row>
    <row r="804" spans="8:29">
      <c r="H804" t="e">
        <f t="shared" ca="1" si="84"/>
        <v>#N/A</v>
      </c>
      <c r="I804" t="e">
        <f t="shared" ca="1" si="85"/>
        <v>#N/A</v>
      </c>
      <c r="J804" t="e">
        <f ca="1"/>
        <v>#N/A</v>
      </c>
      <c r="K804" t="e">
        <f ca="1"/>
        <v>#N/A</v>
      </c>
      <c r="L804" t="e">
        <f ca="1"/>
        <v>#N/A</v>
      </c>
      <c r="M804" t="e">
        <f ca="1"/>
        <v>#N/A</v>
      </c>
      <c r="N804" t="e">
        <f ca="1"/>
        <v>#N/A</v>
      </c>
      <c r="O804" t="e">
        <f ca="1"/>
        <v>#N/A</v>
      </c>
      <c r="P804" t="e">
        <f ca="1"/>
        <v>#N/A</v>
      </c>
      <c r="Q804" t="e">
        <f ca="1"/>
        <v>#N/A</v>
      </c>
      <c r="R804" t="e">
        <f ca="1"/>
        <v>#N/A</v>
      </c>
      <c r="S804" t="e">
        <f ca="1"/>
        <v>#N/A</v>
      </c>
      <c r="T804" t="e">
        <f ca="1"/>
        <v>#N/A</v>
      </c>
      <c r="U804" t="e">
        <f ca="1"/>
        <v>#N/A</v>
      </c>
      <c r="V804" t="e">
        <f ca="1"/>
        <v>#N/A</v>
      </c>
      <c r="X804" s="2">
        <f t="shared" ca="1" si="86"/>
        <v>0</v>
      </c>
      <c r="Y804">
        <f t="shared" ca="1" si="87"/>
        <v>0</v>
      </c>
      <c r="AA804" s="63" t="e">
        <f t="shared" ca="1" si="88"/>
        <v>#N/A</v>
      </c>
      <c r="AB804" s="63" t="e">
        <f t="shared" ca="1" si="89"/>
        <v>#N/A</v>
      </c>
      <c r="AC804" s="3" t="e">
        <f t="shared" ca="1" si="90"/>
        <v>#N/A</v>
      </c>
    </row>
    <row r="805" spans="8:29">
      <c r="H805" t="e">
        <f t="shared" ca="1" si="84"/>
        <v>#N/A</v>
      </c>
      <c r="I805" t="e">
        <f t="shared" ca="1" si="85"/>
        <v>#N/A</v>
      </c>
      <c r="J805" t="e">
        <f ca="1"/>
        <v>#N/A</v>
      </c>
      <c r="K805" t="e">
        <f ca="1"/>
        <v>#N/A</v>
      </c>
      <c r="L805" t="e">
        <f ca="1"/>
        <v>#N/A</v>
      </c>
      <c r="M805" t="e">
        <f ca="1"/>
        <v>#N/A</v>
      </c>
      <c r="N805" t="e">
        <f ca="1"/>
        <v>#N/A</v>
      </c>
      <c r="O805" t="e">
        <f ca="1"/>
        <v>#N/A</v>
      </c>
      <c r="P805" t="e">
        <f ca="1"/>
        <v>#N/A</v>
      </c>
      <c r="Q805" t="e">
        <f ca="1"/>
        <v>#N/A</v>
      </c>
      <c r="R805" t="e">
        <f ca="1"/>
        <v>#N/A</v>
      </c>
      <c r="S805" t="e">
        <f ca="1"/>
        <v>#N/A</v>
      </c>
      <c r="T805" t="e">
        <f ca="1"/>
        <v>#N/A</v>
      </c>
      <c r="U805" t="e">
        <f ca="1"/>
        <v>#N/A</v>
      </c>
      <c r="V805" t="e">
        <f ca="1"/>
        <v>#N/A</v>
      </c>
      <c r="X805" s="2">
        <f t="shared" ca="1" si="86"/>
        <v>0</v>
      </c>
      <c r="Y805">
        <f t="shared" ca="1" si="87"/>
        <v>0</v>
      </c>
      <c r="AA805" s="63" t="e">
        <f t="shared" ca="1" si="88"/>
        <v>#N/A</v>
      </c>
      <c r="AB805" s="63" t="e">
        <f t="shared" ca="1" si="89"/>
        <v>#N/A</v>
      </c>
      <c r="AC805" s="3" t="e">
        <f t="shared" ca="1" si="90"/>
        <v>#N/A</v>
      </c>
    </row>
    <row r="806" spans="8:29">
      <c r="H806" t="e">
        <f t="shared" ca="1" si="84"/>
        <v>#N/A</v>
      </c>
      <c r="I806" t="e">
        <f t="shared" ca="1" si="85"/>
        <v>#N/A</v>
      </c>
      <c r="J806" t="e">
        <f ca="1"/>
        <v>#N/A</v>
      </c>
      <c r="K806" t="e">
        <f ca="1"/>
        <v>#N/A</v>
      </c>
      <c r="L806" t="e">
        <f ca="1"/>
        <v>#N/A</v>
      </c>
      <c r="M806" t="e">
        <f ca="1"/>
        <v>#N/A</v>
      </c>
      <c r="N806" t="e">
        <f ca="1"/>
        <v>#N/A</v>
      </c>
      <c r="O806" t="e">
        <f ca="1"/>
        <v>#N/A</v>
      </c>
      <c r="P806" t="e">
        <f ca="1"/>
        <v>#N/A</v>
      </c>
      <c r="Q806" t="e">
        <f ca="1"/>
        <v>#N/A</v>
      </c>
      <c r="R806" t="e">
        <f ca="1"/>
        <v>#N/A</v>
      </c>
      <c r="S806" t="e">
        <f ca="1"/>
        <v>#N/A</v>
      </c>
      <c r="T806" t="e">
        <f ca="1"/>
        <v>#N/A</v>
      </c>
      <c r="U806" t="e">
        <f ca="1"/>
        <v>#N/A</v>
      </c>
      <c r="V806" t="e">
        <f ca="1"/>
        <v>#N/A</v>
      </c>
      <c r="X806" s="2">
        <f t="shared" ca="1" si="86"/>
        <v>0</v>
      </c>
      <c r="Y806">
        <f t="shared" ca="1" si="87"/>
        <v>0</v>
      </c>
      <c r="AA806" s="63" t="e">
        <f t="shared" ca="1" si="88"/>
        <v>#N/A</v>
      </c>
      <c r="AB806" s="63" t="e">
        <f t="shared" ca="1" si="89"/>
        <v>#N/A</v>
      </c>
      <c r="AC806" s="3" t="e">
        <f t="shared" ca="1" si="90"/>
        <v>#N/A</v>
      </c>
    </row>
    <row r="807" spans="8:29">
      <c r="H807" t="e">
        <f t="shared" ca="1" si="84"/>
        <v>#N/A</v>
      </c>
      <c r="I807" t="e">
        <f t="shared" ca="1" si="85"/>
        <v>#N/A</v>
      </c>
      <c r="J807" t="e">
        <f ca="1"/>
        <v>#N/A</v>
      </c>
      <c r="K807" t="e">
        <f ca="1"/>
        <v>#N/A</v>
      </c>
      <c r="L807" t="e">
        <f ca="1"/>
        <v>#N/A</v>
      </c>
      <c r="M807" t="e">
        <f ca="1"/>
        <v>#N/A</v>
      </c>
      <c r="N807" t="e">
        <f ca="1"/>
        <v>#N/A</v>
      </c>
      <c r="O807" t="e">
        <f ca="1"/>
        <v>#N/A</v>
      </c>
      <c r="P807" t="e">
        <f ca="1"/>
        <v>#N/A</v>
      </c>
      <c r="Q807" t="e">
        <f ca="1"/>
        <v>#N/A</v>
      </c>
      <c r="R807" t="e">
        <f ca="1"/>
        <v>#N/A</v>
      </c>
      <c r="S807" t="e">
        <f ca="1"/>
        <v>#N/A</v>
      </c>
      <c r="T807" t="e">
        <f ca="1"/>
        <v>#N/A</v>
      </c>
      <c r="U807" t="e">
        <f ca="1"/>
        <v>#N/A</v>
      </c>
      <c r="V807" t="e">
        <f ca="1"/>
        <v>#N/A</v>
      </c>
      <c r="X807" s="2">
        <f t="shared" ca="1" si="86"/>
        <v>0</v>
      </c>
      <c r="Y807">
        <f t="shared" ca="1" si="87"/>
        <v>0</v>
      </c>
      <c r="AA807" s="63" t="e">
        <f t="shared" ca="1" si="88"/>
        <v>#N/A</v>
      </c>
      <c r="AB807" s="63" t="e">
        <f t="shared" ca="1" si="89"/>
        <v>#N/A</v>
      </c>
      <c r="AC807" s="3" t="e">
        <f t="shared" ca="1" si="90"/>
        <v>#N/A</v>
      </c>
    </row>
    <row r="808" spans="8:29">
      <c r="H808" t="e">
        <f t="shared" ca="1" si="84"/>
        <v>#N/A</v>
      </c>
      <c r="I808" t="e">
        <f t="shared" ca="1" si="85"/>
        <v>#N/A</v>
      </c>
      <c r="J808" t="e">
        <f ca="1"/>
        <v>#N/A</v>
      </c>
      <c r="K808" t="e">
        <f ca="1"/>
        <v>#N/A</v>
      </c>
      <c r="L808" t="e">
        <f ca="1"/>
        <v>#N/A</v>
      </c>
      <c r="M808" t="e">
        <f ca="1"/>
        <v>#N/A</v>
      </c>
      <c r="N808" t="e">
        <f ca="1"/>
        <v>#N/A</v>
      </c>
      <c r="O808" t="e">
        <f ca="1"/>
        <v>#N/A</v>
      </c>
      <c r="P808" t="e">
        <f ca="1"/>
        <v>#N/A</v>
      </c>
      <c r="Q808" t="e">
        <f ca="1"/>
        <v>#N/A</v>
      </c>
      <c r="R808" t="e">
        <f ca="1"/>
        <v>#N/A</v>
      </c>
      <c r="S808" t="e">
        <f ca="1"/>
        <v>#N/A</v>
      </c>
      <c r="T808" t="e">
        <f ca="1"/>
        <v>#N/A</v>
      </c>
      <c r="U808" t="e">
        <f ca="1"/>
        <v>#N/A</v>
      </c>
      <c r="V808" t="e">
        <f ca="1"/>
        <v>#N/A</v>
      </c>
      <c r="X808" s="2">
        <f t="shared" ca="1" si="86"/>
        <v>0</v>
      </c>
      <c r="Y808">
        <f t="shared" ca="1" si="87"/>
        <v>0</v>
      </c>
      <c r="AA808" s="63" t="e">
        <f t="shared" ca="1" si="88"/>
        <v>#N/A</v>
      </c>
      <c r="AB808" s="63" t="e">
        <f t="shared" ca="1" si="89"/>
        <v>#N/A</v>
      </c>
      <c r="AC808" s="3" t="e">
        <f t="shared" ca="1" si="90"/>
        <v>#N/A</v>
      </c>
    </row>
    <row r="809" spans="8:29">
      <c r="H809" t="e">
        <f t="shared" ca="1" si="84"/>
        <v>#N/A</v>
      </c>
      <c r="I809" t="e">
        <f t="shared" ca="1" si="85"/>
        <v>#N/A</v>
      </c>
      <c r="J809" t="e">
        <f ca="1"/>
        <v>#N/A</v>
      </c>
      <c r="K809" t="e">
        <f ca="1"/>
        <v>#N/A</v>
      </c>
      <c r="L809" t="e">
        <f ca="1"/>
        <v>#N/A</v>
      </c>
      <c r="M809" t="e">
        <f ca="1"/>
        <v>#N/A</v>
      </c>
      <c r="N809" t="e">
        <f ca="1"/>
        <v>#N/A</v>
      </c>
      <c r="O809" t="e">
        <f ca="1"/>
        <v>#N/A</v>
      </c>
      <c r="P809" t="e">
        <f ca="1"/>
        <v>#N/A</v>
      </c>
      <c r="Q809" t="e">
        <f ca="1"/>
        <v>#N/A</v>
      </c>
      <c r="R809" t="e">
        <f ca="1"/>
        <v>#N/A</v>
      </c>
      <c r="S809" t="e">
        <f ca="1"/>
        <v>#N/A</v>
      </c>
      <c r="T809" t="e">
        <f ca="1"/>
        <v>#N/A</v>
      </c>
      <c r="U809" t="e">
        <f ca="1"/>
        <v>#N/A</v>
      </c>
      <c r="V809" t="e">
        <f ca="1"/>
        <v>#N/A</v>
      </c>
      <c r="X809" s="2">
        <f t="shared" ca="1" si="86"/>
        <v>0</v>
      </c>
      <c r="Y809">
        <f t="shared" ca="1" si="87"/>
        <v>0</v>
      </c>
      <c r="AA809" s="63" t="e">
        <f t="shared" ca="1" si="88"/>
        <v>#N/A</v>
      </c>
      <c r="AB809" s="63" t="e">
        <f t="shared" ca="1" si="89"/>
        <v>#N/A</v>
      </c>
      <c r="AC809" s="3" t="e">
        <f t="shared" ca="1" si="90"/>
        <v>#N/A</v>
      </c>
    </row>
    <row r="810" spans="8:29">
      <c r="H810" t="e">
        <f t="shared" ca="1" si="84"/>
        <v>#N/A</v>
      </c>
      <c r="I810" t="e">
        <f t="shared" ca="1" si="85"/>
        <v>#N/A</v>
      </c>
      <c r="J810" t="e">
        <f ca="1"/>
        <v>#N/A</v>
      </c>
      <c r="K810" t="e">
        <f ca="1"/>
        <v>#N/A</v>
      </c>
      <c r="L810" t="e">
        <f ca="1"/>
        <v>#N/A</v>
      </c>
      <c r="M810" t="e">
        <f ca="1"/>
        <v>#N/A</v>
      </c>
      <c r="N810" t="e">
        <f ca="1"/>
        <v>#N/A</v>
      </c>
      <c r="O810" t="e">
        <f ca="1"/>
        <v>#N/A</v>
      </c>
      <c r="P810" t="e">
        <f ca="1"/>
        <v>#N/A</v>
      </c>
      <c r="Q810" t="e">
        <f ca="1"/>
        <v>#N/A</v>
      </c>
      <c r="R810" t="e">
        <f ca="1"/>
        <v>#N/A</v>
      </c>
      <c r="S810" t="e">
        <f ca="1"/>
        <v>#N/A</v>
      </c>
      <c r="T810" t="e">
        <f ca="1"/>
        <v>#N/A</v>
      </c>
      <c r="U810" t="e">
        <f ca="1"/>
        <v>#N/A</v>
      </c>
      <c r="V810" t="e">
        <f ca="1"/>
        <v>#N/A</v>
      </c>
      <c r="X810" s="2">
        <f t="shared" ca="1" si="86"/>
        <v>0</v>
      </c>
      <c r="Y810">
        <f t="shared" ca="1" si="87"/>
        <v>0</v>
      </c>
      <c r="AA810" s="63" t="e">
        <f t="shared" ca="1" si="88"/>
        <v>#N/A</v>
      </c>
      <c r="AB810" s="63" t="e">
        <f t="shared" ca="1" si="89"/>
        <v>#N/A</v>
      </c>
      <c r="AC810" s="3" t="e">
        <f t="shared" ca="1" si="90"/>
        <v>#N/A</v>
      </c>
    </row>
    <row r="811" spans="8:29">
      <c r="H811" t="e">
        <f t="shared" ca="1" si="84"/>
        <v>#N/A</v>
      </c>
      <c r="I811" t="e">
        <f t="shared" ca="1" si="85"/>
        <v>#N/A</v>
      </c>
      <c r="J811" t="e">
        <f ca="1"/>
        <v>#N/A</v>
      </c>
      <c r="K811" t="e">
        <f ca="1"/>
        <v>#N/A</v>
      </c>
      <c r="L811" t="e">
        <f ca="1"/>
        <v>#N/A</v>
      </c>
      <c r="M811" t="e">
        <f ca="1"/>
        <v>#N/A</v>
      </c>
      <c r="N811" t="e">
        <f ca="1"/>
        <v>#N/A</v>
      </c>
      <c r="O811" t="e">
        <f ca="1"/>
        <v>#N/A</v>
      </c>
      <c r="P811" t="e">
        <f ca="1"/>
        <v>#N/A</v>
      </c>
      <c r="Q811" t="e">
        <f ca="1"/>
        <v>#N/A</v>
      </c>
      <c r="R811" t="e">
        <f ca="1"/>
        <v>#N/A</v>
      </c>
      <c r="S811" t="e">
        <f ca="1"/>
        <v>#N/A</v>
      </c>
      <c r="T811" t="e">
        <f ca="1"/>
        <v>#N/A</v>
      </c>
      <c r="U811" t="e">
        <f ca="1"/>
        <v>#N/A</v>
      </c>
      <c r="V811" t="e">
        <f ca="1"/>
        <v>#N/A</v>
      </c>
      <c r="X811" s="2">
        <f t="shared" ca="1" si="86"/>
        <v>0</v>
      </c>
      <c r="Y811">
        <f t="shared" ca="1" si="87"/>
        <v>0</v>
      </c>
      <c r="AA811" s="63" t="e">
        <f t="shared" ca="1" si="88"/>
        <v>#N/A</v>
      </c>
      <c r="AB811" s="63" t="e">
        <f t="shared" ca="1" si="89"/>
        <v>#N/A</v>
      </c>
      <c r="AC811" s="3" t="e">
        <f t="shared" ca="1" si="90"/>
        <v>#N/A</v>
      </c>
    </row>
    <row r="812" spans="8:29">
      <c r="H812" t="e">
        <f t="shared" ca="1" si="84"/>
        <v>#N/A</v>
      </c>
      <c r="I812" t="e">
        <f t="shared" ca="1" si="85"/>
        <v>#N/A</v>
      </c>
      <c r="J812" t="e">
        <f ca="1"/>
        <v>#N/A</v>
      </c>
      <c r="K812" t="e">
        <f ca="1"/>
        <v>#N/A</v>
      </c>
      <c r="L812" t="e">
        <f ca="1"/>
        <v>#N/A</v>
      </c>
      <c r="M812" t="e">
        <f ca="1"/>
        <v>#N/A</v>
      </c>
      <c r="N812" t="e">
        <f ca="1"/>
        <v>#N/A</v>
      </c>
      <c r="O812" t="e">
        <f ca="1"/>
        <v>#N/A</v>
      </c>
      <c r="P812" t="e">
        <f ca="1"/>
        <v>#N/A</v>
      </c>
      <c r="Q812" t="e">
        <f ca="1"/>
        <v>#N/A</v>
      </c>
      <c r="R812" t="e">
        <f ca="1"/>
        <v>#N/A</v>
      </c>
      <c r="S812" t="e">
        <f ca="1"/>
        <v>#N/A</v>
      </c>
      <c r="T812" t="e">
        <f ca="1"/>
        <v>#N/A</v>
      </c>
      <c r="U812" t="e">
        <f ca="1"/>
        <v>#N/A</v>
      </c>
      <c r="V812" t="e">
        <f ca="1"/>
        <v>#N/A</v>
      </c>
      <c r="X812" s="2">
        <f t="shared" ca="1" si="86"/>
        <v>0</v>
      </c>
      <c r="Y812">
        <f t="shared" ca="1" si="87"/>
        <v>0</v>
      </c>
      <c r="AA812" s="63" t="e">
        <f t="shared" ca="1" si="88"/>
        <v>#N/A</v>
      </c>
      <c r="AB812" s="63" t="e">
        <f t="shared" ca="1" si="89"/>
        <v>#N/A</v>
      </c>
      <c r="AC812" s="3" t="e">
        <f t="shared" ca="1" si="90"/>
        <v>#N/A</v>
      </c>
    </row>
    <row r="813" spans="8:29">
      <c r="H813" t="e">
        <f t="shared" ca="1" si="84"/>
        <v>#N/A</v>
      </c>
      <c r="I813" t="e">
        <f t="shared" ca="1" si="85"/>
        <v>#N/A</v>
      </c>
      <c r="J813" t="e">
        <f ca="1"/>
        <v>#N/A</v>
      </c>
      <c r="K813" t="e">
        <f ca="1"/>
        <v>#N/A</v>
      </c>
      <c r="L813" t="e">
        <f ca="1"/>
        <v>#N/A</v>
      </c>
      <c r="M813" t="e">
        <f ca="1"/>
        <v>#N/A</v>
      </c>
      <c r="N813" t="e">
        <f ca="1"/>
        <v>#N/A</v>
      </c>
      <c r="O813" t="e">
        <f ca="1"/>
        <v>#N/A</v>
      </c>
      <c r="P813" t="e">
        <f ca="1"/>
        <v>#N/A</v>
      </c>
      <c r="Q813" t="e">
        <f ca="1"/>
        <v>#N/A</v>
      </c>
      <c r="R813" t="e">
        <f ca="1"/>
        <v>#N/A</v>
      </c>
      <c r="S813" t="e">
        <f ca="1"/>
        <v>#N/A</v>
      </c>
      <c r="T813" t="e">
        <f ca="1"/>
        <v>#N/A</v>
      </c>
      <c r="U813" t="e">
        <f ca="1"/>
        <v>#N/A</v>
      </c>
      <c r="V813" t="e">
        <f ca="1"/>
        <v>#N/A</v>
      </c>
      <c r="X813" s="2">
        <f t="shared" ca="1" si="86"/>
        <v>0</v>
      </c>
      <c r="Y813">
        <f t="shared" ca="1" si="87"/>
        <v>0</v>
      </c>
      <c r="AA813" s="63" t="e">
        <f t="shared" ca="1" si="88"/>
        <v>#N/A</v>
      </c>
      <c r="AB813" s="63" t="e">
        <f t="shared" ca="1" si="89"/>
        <v>#N/A</v>
      </c>
      <c r="AC813" s="3" t="e">
        <f t="shared" ca="1" si="90"/>
        <v>#N/A</v>
      </c>
    </row>
    <row r="814" spans="8:29">
      <c r="H814" t="e">
        <f t="shared" ca="1" si="84"/>
        <v>#N/A</v>
      </c>
      <c r="I814" t="e">
        <f t="shared" ca="1" si="85"/>
        <v>#N/A</v>
      </c>
      <c r="J814" t="e">
        <f ca="1"/>
        <v>#N/A</v>
      </c>
      <c r="K814" t="e">
        <f ca="1"/>
        <v>#N/A</v>
      </c>
      <c r="L814" t="e">
        <f ca="1"/>
        <v>#N/A</v>
      </c>
      <c r="M814" t="e">
        <f ca="1"/>
        <v>#N/A</v>
      </c>
      <c r="N814" t="e">
        <f ca="1"/>
        <v>#N/A</v>
      </c>
      <c r="O814" t="e">
        <f ca="1"/>
        <v>#N/A</v>
      </c>
      <c r="P814" t="e">
        <f ca="1"/>
        <v>#N/A</v>
      </c>
      <c r="Q814" t="e">
        <f ca="1"/>
        <v>#N/A</v>
      </c>
      <c r="R814" t="e">
        <f ca="1"/>
        <v>#N/A</v>
      </c>
      <c r="S814" t="e">
        <f ca="1"/>
        <v>#N/A</v>
      </c>
      <c r="T814" t="e">
        <f ca="1"/>
        <v>#N/A</v>
      </c>
      <c r="U814" t="e">
        <f ca="1"/>
        <v>#N/A</v>
      </c>
      <c r="V814" t="e">
        <f ca="1"/>
        <v>#N/A</v>
      </c>
      <c r="X814" s="2">
        <f t="shared" ca="1" si="86"/>
        <v>0</v>
      </c>
      <c r="Y814">
        <f t="shared" ca="1" si="87"/>
        <v>0</v>
      </c>
      <c r="AA814" s="63" t="e">
        <f t="shared" ca="1" si="88"/>
        <v>#N/A</v>
      </c>
      <c r="AB814" s="63" t="e">
        <f t="shared" ca="1" si="89"/>
        <v>#N/A</v>
      </c>
      <c r="AC814" s="3" t="e">
        <f t="shared" ca="1" si="90"/>
        <v>#N/A</v>
      </c>
    </row>
    <row r="815" spans="8:29">
      <c r="H815" t="e">
        <f t="shared" ca="1" si="84"/>
        <v>#N/A</v>
      </c>
      <c r="I815" t="e">
        <f t="shared" ca="1" si="85"/>
        <v>#N/A</v>
      </c>
      <c r="J815" t="e">
        <f ca="1"/>
        <v>#N/A</v>
      </c>
      <c r="K815" t="e">
        <f ca="1"/>
        <v>#N/A</v>
      </c>
      <c r="L815" t="e">
        <f ca="1"/>
        <v>#N/A</v>
      </c>
      <c r="M815" t="e">
        <f ca="1"/>
        <v>#N/A</v>
      </c>
      <c r="N815" t="e">
        <f ca="1"/>
        <v>#N/A</v>
      </c>
      <c r="O815" t="e">
        <f ca="1"/>
        <v>#N/A</v>
      </c>
      <c r="P815" t="e">
        <f ca="1"/>
        <v>#N/A</v>
      </c>
      <c r="Q815" t="e">
        <f ca="1"/>
        <v>#N/A</v>
      </c>
      <c r="R815" t="e">
        <f ca="1"/>
        <v>#N/A</v>
      </c>
      <c r="S815" t="e">
        <f ca="1"/>
        <v>#N/A</v>
      </c>
      <c r="T815" t="e">
        <f ca="1"/>
        <v>#N/A</v>
      </c>
      <c r="U815" t="e">
        <f ca="1"/>
        <v>#N/A</v>
      </c>
      <c r="V815" t="e">
        <f ca="1"/>
        <v>#N/A</v>
      </c>
      <c r="X815" s="2">
        <f t="shared" ca="1" si="86"/>
        <v>0</v>
      </c>
      <c r="Y815">
        <f t="shared" ca="1" si="87"/>
        <v>0</v>
      </c>
      <c r="AA815" s="63" t="e">
        <f t="shared" ca="1" si="88"/>
        <v>#N/A</v>
      </c>
      <c r="AB815" s="63" t="e">
        <f t="shared" ca="1" si="89"/>
        <v>#N/A</v>
      </c>
      <c r="AC815" s="3" t="e">
        <f t="shared" ca="1" si="90"/>
        <v>#N/A</v>
      </c>
    </row>
    <row r="816" spans="8:29">
      <c r="H816" t="e">
        <f t="shared" ca="1" si="84"/>
        <v>#N/A</v>
      </c>
      <c r="I816" t="e">
        <f t="shared" ca="1" si="85"/>
        <v>#N/A</v>
      </c>
      <c r="J816" t="e">
        <f ca="1"/>
        <v>#N/A</v>
      </c>
      <c r="K816" t="e">
        <f ca="1"/>
        <v>#N/A</v>
      </c>
      <c r="L816" t="e">
        <f ca="1"/>
        <v>#N/A</v>
      </c>
      <c r="M816" t="e">
        <f ca="1"/>
        <v>#N/A</v>
      </c>
      <c r="N816" t="e">
        <f ca="1"/>
        <v>#N/A</v>
      </c>
      <c r="O816" t="e">
        <f ca="1"/>
        <v>#N/A</v>
      </c>
      <c r="P816" t="e">
        <f ca="1"/>
        <v>#N/A</v>
      </c>
      <c r="Q816" t="e">
        <f ca="1"/>
        <v>#N/A</v>
      </c>
      <c r="R816" t="e">
        <f ca="1"/>
        <v>#N/A</v>
      </c>
      <c r="S816" t="e">
        <f ca="1"/>
        <v>#N/A</v>
      </c>
      <c r="T816" t="e">
        <f ca="1"/>
        <v>#N/A</v>
      </c>
      <c r="U816" t="e">
        <f ca="1"/>
        <v>#N/A</v>
      </c>
      <c r="V816" t="e">
        <f ca="1"/>
        <v>#N/A</v>
      </c>
      <c r="X816" s="2">
        <f t="shared" ca="1" si="86"/>
        <v>0</v>
      </c>
      <c r="Y816">
        <f t="shared" ca="1" si="87"/>
        <v>0</v>
      </c>
      <c r="AA816" s="63" t="e">
        <f t="shared" ca="1" si="88"/>
        <v>#N/A</v>
      </c>
      <c r="AB816" s="63" t="e">
        <f t="shared" ca="1" si="89"/>
        <v>#N/A</v>
      </c>
      <c r="AC816" s="3" t="e">
        <f t="shared" ca="1" si="90"/>
        <v>#N/A</v>
      </c>
    </row>
    <row r="817" spans="8:29">
      <c r="H817" t="e">
        <f t="shared" ref="H817:H880" ca="1" si="91">IF(J817&lt;$J$4,TRUE,FALSE)</f>
        <v>#N/A</v>
      </c>
      <c r="I817" t="e">
        <f t="shared" ref="I817:I880" ca="1" si="92">AND(IF(J817&gt;($J$3-1),TRUE,FALSE),IF(J817&lt;($J$4+1),TRUE,FALSE))</f>
        <v>#N/A</v>
      </c>
      <c r="J817" t="e">
        <f ca="1"/>
        <v>#N/A</v>
      </c>
      <c r="K817" t="e">
        <f ca="1"/>
        <v>#N/A</v>
      </c>
      <c r="L817" t="e">
        <f ca="1"/>
        <v>#N/A</v>
      </c>
      <c r="M817" t="e">
        <f ca="1"/>
        <v>#N/A</v>
      </c>
      <c r="N817" t="e">
        <f ca="1"/>
        <v>#N/A</v>
      </c>
      <c r="O817" t="e">
        <f ca="1"/>
        <v>#N/A</v>
      </c>
      <c r="P817" t="e">
        <f ca="1"/>
        <v>#N/A</v>
      </c>
      <c r="Q817" t="e">
        <f ca="1"/>
        <v>#N/A</v>
      </c>
      <c r="R817" t="e">
        <f ca="1"/>
        <v>#N/A</v>
      </c>
      <c r="S817" t="e">
        <f ca="1"/>
        <v>#N/A</v>
      </c>
      <c r="T817" t="e">
        <f ca="1"/>
        <v>#N/A</v>
      </c>
      <c r="U817" t="e">
        <f ca="1"/>
        <v>#N/A</v>
      </c>
      <c r="V817" t="e">
        <f ca="1"/>
        <v>#N/A</v>
      </c>
      <c r="X817" s="2">
        <f t="shared" ref="X817:X880" ca="1" si="93">IFERROR(J817,$X$5)</f>
        <v>0</v>
      </c>
      <c r="Y817">
        <f t="shared" ref="Y817:Y880" ca="1" si="94">IFERROR(O817,0)</f>
        <v>0</v>
      </c>
      <c r="AA817" s="63" t="e">
        <f t="shared" ref="AA817:AA880" ca="1" si="95">K816+M817+N817+O817</f>
        <v>#N/A</v>
      </c>
      <c r="AB817" s="63" t="e">
        <f t="shared" ref="AB817:AB880" ca="1" si="96">K817+L817+R817</f>
        <v>#N/A</v>
      </c>
      <c r="AC817" s="3" t="e">
        <f t="shared" ref="AC817:AC880" ca="1" si="97">AB817-AA817</f>
        <v>#N/A</v>
      </c>
    </row>
    <row r="818" spans="8:29">
      <c r="H818" t="e">
        <f t="shared" ca="1" si="91"/>
        <v>#N/A</v>
      </c>
      <c r="I818" t="e">
        <f t="shared" ca="1" si="92"/>
        <v>#N/A</v>
      </c>
      <c r="J818" t="e">
        <f ca="1"/>
        <v>#N/A</v>
      </c>
      <c r="K818" t="e">
        <f ca="1"/>
        <v>#N/A</v>
      </c>
      <c r="L818" t="e">
        <f ca="1"/>
        <v>#N/A</v>
      </c>
      <c r="M818" t="e">
        <f ca="1"/>
        <v>#N/A</v>
      </c>
      <c r="N818" t="e">
        <f ca="1"/>
        <v>#N/A</v>
      </c>
      <c r="O818" t="e">
        <f ca="1"/>
        <v>#N/A</v>
      </c>
      <c r="P818" t="e">
        <f ca="1"/>
        <v>#N/A</v>
      </c>
      <c r="Q818" t="e">
        <f ca="1"/>
        <v>#N/A</v>
      </c>
      <c r="R818" t="e">
        <f ca="1"/>
        <v>#N/A</v>
      </c>
      <c r="S818" t="e">
        <f ca="1"/>
        <v>#N/A</v>
      </c>
      <c r="T818" t="e">
        <f ca="1"/>
        <v>#N/A</v>
      </c>
      <c r="U818" t="e">
        <f ca="1"/>
        <v>#N/A</v>
      </c>
      <c r="V818" t="e">
        <f ca="1"/>
        <v>#N/A</v>
      </c>
      <c r="X818" s="2">
        <f t="shared" ca="1" si="93"/>
        <v>0</v>
      </c>
      <c r="Y818">
        <f t="shared" ca="1" si="94"/>
        <v>0</v>
      </c>
      <c r="AA818" s="63" t="e">
        <f t="shared" ca="1" si="95"/>
        <v>#N/A</v>
      </c>
      <c r="AB818" s="63" t="e">
        <f t="shared" ca="1" si="96"/>
        <v>#N/A</v>
      </c>
      <c r="AC818" s="3" t="e">
        <f t="shared" ca="1" si="97"/>
        <v>#N/A</v>
      </c>
    </row>
    <row r="819" spans="8:29">
      <c r="H819" t="e">
        <f t="shared" ca="1" si="91"/>
        <v>#N/A</v>
      </c>
      <c r="I819" t="e">
        <f t="shared" ca="1" si="92"/>
        <v>#N/A</v>
      </c>
      <c r="J819" t="e">
        <f ca="1"/>
        <v>#N/A</v>
      </c>
      <c r="K819" t="e">
        <f ca="1"/>
        <v>#N/A</v>
      </c>
      <c r="L819" t="e">
        <f ca="1"/>
        <v>#N/A</v>
      </c>
      <c r="M819" t="e">
        <f ca="1"/>
        <v>#N/A</v>
      </c>
      <c r="N819" t="e">
        <f ca="1"/>
        <v>#N/A</v>
      </c>
      <c r="O819" t="e">
        <f ca="1"/>
        <v>#N/A</v>
      </c>
      <c r="P819" t="e">
        <f ca="1"/>
        <v>#N/A</v>
      </c>
      <c r="Q819" t="e">
        <f ca="1"/>
        <v>#N/A</v>
      </c>
      <c r="R819" t="e">
        <f ca="1"/>
        <v>#N/A</v>
      </c>
      <c r="S819" t="e">
        <f ca="1"/>
        <v>#N/A</v>
      </c>
      <c r="T819" t="e">
        <f ca="1"/>
        <v>#N/A</v>
      </c>
      <c r="U819" t="e">
        <f ca="1"/>
        <v>#N/A</v>
      </c>
      <c r="V819" t="e">
        <f ca="1"/>
        <v>#N/A</v>
      </c>
      <c r="X819" s="2">
        <f t="shared" ca="1" si="93"/>
        <v>0</v>
      </c>
      <c r="Y819">
        <f t="shared" ca="1" si="94"/>
        <v>0</v>
      </c>
      <c r="AA819" s="63" t="e">
        <f t="shared" ca="1" si="95"/>
        <v>#N/A</v>
      </c>
      <c r="AB819" s="63" t="e">
        <f t="shared" ca="1" si="96"/>
        <v>#N/A</v>
      </c>
      <c r="AC819" s="3" t="e">
        <f t="shared" ca="1" si="97"/>
        <v>#N/A</v>
      </c>
    </row>
    <row r="820" spans="8:29">
      <c r="H820" t="e">
        <f t="shared" ca="1" si="91"/>
        <v>#N/A</v>
      </c>
      <c r="I820" t="e">
        <f t="shared" ca="1" si="92"/>
        <v>#N/A</v>
      </c>
      <c r="J820" t="e">
        <f ca="1"/>
        <v>#N/A</v>
      </c>
      <c r="K820" t="e">
        <f ca="1"/>
        <v>#N/A</v>
      </c>
      <c r="L820" t="e">
        <f ca="1"/>
        <v>#N/A</v>
      </c>
      <c r="M820" t="e">
        <f ca="1"/>
        <v>#N/A</v>
      </c>
      <c r="N820" t="e">
        <f ca="1"/>
        <v>#N/A</v>
      </c>
      <c r="O820" t="e">
        <f ca="1"/>
        <v>#N/A</v>
      </c>
      <c r="P820" t="e">
        <f ca="1"/>
        <v>#N/A</v>
      </c>
      <c r="Q820" t="e">
        <f ca="1"/>
        <v>#N/A</v>
      </c>
      <c r="R820" t="e">
        <f ca="1"/>
        <v>#N/A</v>
      </c>
      <c r="S820" t="e">
        <f ca="1"/>
        <v>#N/A</v>
      </c>
      <c r="T820" t="e">
        <f ca="1"/>
        <v>#N/A</v>
      </c>
      <c r="U820" t="e">
        <f ca="1"/>
        <v>#N/A</v>
      </c>
      <c r="V820" t="e">
        <f ca="1"/>
        <v>#N/A</v>
      </c>
      <c r="X820" s="2">
        <f t="shared" ca="1" si="93"/>
        <v>0</v>
      </c>
      <c r="Y820">
        <f t="shared" ca="1" si="94"/>
        <v>0</v>
      </c>
      <c r="AA820" s="63" t="e">
        <f t="shared" ca="1" si="95"/>
        <v>#N/A</v>
      </c>
      <c r="AB820" s="63" t="e">
        <f t="shared" ca="1" si="96"/>
        <v>#N/A</v>
      </c>
      <c r="AC820" s="3" t="e">
        <f t="shared" ca="1" si="97"/>
        <v>#N/A</v>
      </c>
    </row>
    <row r="821" spans="8:29">
      <c r="H821" t="e">
        <f t="shared" ca="1" si="91"/>
        <v>#N/A</v>
      </c>
      <c r="I821" t="e">
        <f t="shared" ca="1" si="92"/>
        <v>#N/A</v>
      </c>
      <c r="J821" t="e">
        <f ca="1"/>
        <v>#N/A</v>
      </c>
      <c r="K821" t="e">
        <f ca="1"/>
        <v>#N/A</v>
      </c>
      <c r="L821" t="e">
        <f ca="1"/>
        <v>#N/A</v>
      </c>
      <c r="M821" t="e">
        <f ca="1"/>
        <v>#N/A</v>
      </c>
      <c r="N821" t="e">
        <f ca="1"/>
        <v>#N/A</v>
      </c>
      <c r="O821" t="e">
        <f ca="1"/>
        <v>#N/A</v>
      </c>
      <c r="P821" t="e">
        <f ca="1"/>
        <v>#N/A</v>
      </c>
      <c r="Q821" t="e">
        <f ca="1"/>
        <v>#N/A</v>
      </c>
      <c r="R821" t="e">
        <f ca="1"/>
        <v>#N/A</v>
      </c>
      <c r="S821" t="e">
        <f ca="1"/>
        <v>#N/A</v>
      </c>
      <c r="T821" t="e">
        <f ca="1"/>
        <v>#N/A</v>
      </c>
      <c r="U821" t="e">
        <f ca="1"/>
        <v>#N/A</v>
      </c>
      <c r="V821" t="e">
        <f ca="1"/>
        <v>#N/A</v>
      </c>
      <c r="X821" s="2">
        <f t="shared" ca="1" si="93"/>
        <v>0</v>
      </c>
      <c r="Y821">
        <f t="shared" ca="1" si="94"/>
        <v>0</v>
      </c>
      <c r="AA821" s="63" t="e">
        <f t="shared" ca="1" si="95"/>
        <v>#N/A</v>
      </c>
      <c r="AB821" s="63" t="e">
        <f t="shared" ca="1" si="96"/>
        <v>#N/A</v>
      </c>
      <c r="AC821" s="3" t="e">
        <f t="shared" ca="1" si="97"/>
        <v>#N/A</v>
      </c>
    </row>
    <row r="822" spans="8:29">
      <c r="H822" t="e">
        <f t="shared" ca="1" si="91"/>
        <v>#N/A</v>
      </c>
      <c r="I822" t="e">
        <f t="shared" ca="1" si="92"/>
        <v>#N/A</v>
      </c>
      <c r="J822" t="e">
        <f ca="1"/>
        <v>#N/A</v>
      </c>
      <c r="K822" t="e">
        <f ca="1"/>
        <v>#N/A</v>
      </c>
      <c r="L822" t="e">
        <f ca="1"/>
        <v>#N/A</v>
      </c>
      <c r="M822" t="e">
        <f ca="1"/>
        <v>#N/A</v>
      </c>
      <c r="N822" t="e">
        <f ca="1"/>
        <v>#N/A</v>
      </c>
      <c r="O822" t="e">
        <f ca="1"/>
        <v>#N/A</v>
      </c>
      <c r="P822" t="e">
        <f ca="1"/>
        <v>#N/A</v>
      </c>
      <c r="Q822" t="e">
        <f ca="1"/>
        <v>#N/A</v>
      </c>
      <c r="R822" t="e">
        <f ca="1"/>
        <v>#N/A</v>
      </c>
      <c r="S822" t="e">
        <f ca="1"/>
        <v>#N/A</v>
      </c>
      <c r="T822" t="e">
        <f ca="1"/>
        <v>#N/A</v>
      </c>
      <c r="U822" t="e">
        <f ca="1"/>
        <v>#N/A</v>
      </c>
      <c r="V822" t="e">
        <f ca="1"/>
        <v>#N/A</v>
      </c>
      <c r="X822" s="2">
        <f t="shared" ca="1" si="93"/>
        <v>0</v>
      </c>
      <c r="Y822">
        <f t="shared" ca="1" si="94"/>
        <v>0</v>
      </c>
      <c r="AA822" s="63" t="e">
        <f t="shared" ca="1" si="95"/>
        <v>#N/A</v>
      </c>
      <c r="AB822" s="63" t="e">
        <f t="shared" ca="1" si="96"/>
        <v>#N/A</v>
      </c>
      <c r="AC822" s="3" t="e">
        <f t="shared" ca="1" si="97"/>
        <v>#N/A</v>
      </c>
    </row>
    <row r="823" spans="8:29">
      <c r="H823" t="e">
        <f t="shared" ca="1" si="91"/>
        <v>#N/A</v>
      </c>
      <c r="I823" t="e">
        <f t="shared" ca="1" si="92"/>
        <v>#N/A</v>
      </c>
      <c r="J823" t="e">
        <f ca="1"/>
        <v>#N/A</v>
      </c>
      <c r="K823" t="e">
        <f ca="1"/>
        <v>#N/A</v>
      </c>
      <c r="L823" t="e">
        <f ca="1"/>
        <v>#N/A</v>
      </c>
      <c r="M823" t="e">
        <f ca="1"/>
        <v>#N/A</v>
      </c>
      <c r="N823" t="e">
        <f ca="1"/>
        <v>#N/A</v>
      </c>
      <c r="O823" t="e">
        <f ca="1"/>
        <v>#N/A</v>
      </c>
      <c r="P823" t="e">
        <f ca="1"/>
        <v>#N/A</v>
      </c>
      <c r="Q823" t="e">
        <f ca="1"/>
        <v>#N/A</v>
      </c>
      <c r="R823" t="e">
        <f ca="1"/>
        <v>#N/A</v>
      </c>
      <c r="S823" t="e">
        <f ca="1"/>
        <v>#N/A</v>
      </c>
      <c r="T823" t="e">
        <f ca="1"/>
        <v>#N/A</v>
      </c>
      <c r="U823" t="e">
        <f ca="1"/>
        <v>#N/A</v>
      </c>
      <c r="V823" t="e">
        <f ca="1"/>
        <v>#N/A</v>
      </c>
      <c r="X823" s="2">
        <f t="shared" ca="1" si="93"/>
        <v>0</v>
      </c>
      <c r="Y823">
        <f t="shared" ca="1" si="94"/>
        <v>0</v>
      </c>
      <c r="AA823" s="63" t="e">
        <f t="shared" ca="1" si="95"/>
        <v>#N/A</v>
      </c>
      <c r="AB823" s="63" t="e">
        <f t="shared" ca="1" si="96"/>
        <v>#N/A</v>
      </c>
      <c r="AC823" s="3" t="e">
        <f t="shared" ca="1" si="97"/>
        <v>#N/A</v>
      </c>
    </row>
    <row r="824" spans="8:29">
      <c r="H824" t="e">
        <f t="shared" ca="1" si="91"/>
        <v>#N/A</v>
      </c>
      <c r="I824" t="e">
        <f t="shared" ca="1" si="92"/>
        <v>#N/A</v>
      </c>
      <c r="J824" t="e">
        <f ca="1"/>
        <v>#N/A</v>
      </c>
      <c r="K824" t="e">
        <f ca="1"/>
        <v>#N/A</v>
      </c>
      <c r="L824" t="e">
        <f ca="1"/>
        <v>#N/A</v>
      </c>
      <c r="M824" t="e">
        <f ca="1"/>
        <v>#N/A</v>
      </c>
      <c r="N824" t="e">
        <f ca="1"/>
        <v>#N/A</v>
      </c>
      <c r="O824" t="e">
        <f ca="1"/>
        <v>#N/A</v>
      </c>
      <c r="P824" t="e">
        <f ca="1"/>
        <v>#N/A</v>
      </c>
      <c r="Q824" t="e">
        <f ca="1"/>
        <v>#N/A</v>
      </c>
      <c r="R824" t="e">
        <f ca="1"/>
        <v>#N/A</v>
      </c>
      <c r="S824" t="e">
        <f ca="1"/>
        <v>#N/A</v>
      </c>
      <c r="T824" t="e">
        <f ca="1"/>
        <v>#N/A</v>
      </c>
      <c r="U824" t="e">
        <f ca="1"/>
        <v>#N/A</v>
      </c>
      <c r="V824" t="e">
        <f ca="1"/>
        <v>#N/A</v>
      </c>
      <c r="X824" s="2">
        <f t="shared" ca="1" si="93"/>
        <v>0</v>
      </c>
      <c r="Y824">
        <f t="shared" ca="1" si="94"/>
        <v>0</v>
      </c>
      <c r="AA824" s="63" t="e">
        <f t="shared" ca="1" si="95"/>
        <v>#N/A</v>
      </c>
      <c r="AB824" s="63" t="e">
        <f t="shared" ca="1" si="96"/>
        <v>#N/A</v>
      </c>
      <c r="AC824" s="3" t="e">
        <f t="shared" ca="1" si="97"/>
        <v>#N/A</v>
      </c>
    </row>
    <row r="825" spans="8:29">
      <c r="H825" t="e">
        <f t="shared" ca="1" si="91"/>
        <v>#N/A</v>
      </c>
      <c r="I825" t="e">
        <f t="shared" ca="1" si="92"/>
        <v>#N/A</v>
      </c>
      <c r="J825" t="e">
        <f ca="1"/>
        <v>#N/A</v>
      </c>
      <c r="K825" t="e">
        <f ca="1"/>
        <v>#N/A</v>
      </c>
      <c r="L825" t="e">
        <f ca="1"/>
        <v>#N/A</v>
      </c>
      <c r="M825" t="e">
        <f ca="1"/>
        <v>#N/A</v>
      </c>
      <c r="N825" t="e">
        <f ca="1"/>
        <v>#N/A</v>
      </c>
      <c r="O825" t="e">
        <f ca="1"/>
        <v>#N/A</v>
      </c>
      <c r="P825" t="e">
        <f ca="1"/>
        <v>#N/A</v>
      </c>
      <c r="Q825" t="e">
        <f ca="1"/>
        <v>#N/A</v>
      </c>
      <c r="R825" t="e">
        <f ca="1"/>
        <v>#N/A</v>
      </c>
      <c r="S825" t="e">
        <f ca="1"/>
        <v>#N/A</v>
      </c>
      <c r="T825" t="e">
        <f ca="1"/>
        <v>#N/A</v>
      </c>
      <c r="U825" t="e">
        <f ca="1"/>
        <v>#N/A</v>
      </c>
      <c r="V825" t="e">
        <f ca="1"/>
        <v>#N/A</v>
      </c>
      <c r="X825" s="2">
        <f t="shared" ca="1" si="93"/>
        <v>0</v>
      </c>
      <c r="Y825">
        <f t="shared" ca="1" si="94"/>
        <v>0</v>
      </c>
      <c r="AA825" s="63" t="e">
        <f t="shared" ca="1" si="95"/>
        <v>#N/A</v>
      </c>
      <c r="AB825" s="63" t="e">
        <f t="shared" ca="1" si="96"/>
        <v>#N/A</v>
      </c>
      <c r="AC825" s="3" t="e">
        <f t="shared" ca="1" si="97"/>
        <v>#N/A</v>
      </c>
    </row>
    <row r="826" spans="8:29">
      <c r="H826" t="e">
        <f t="shared" ca="1" si="91"/>
        <v>#N/A</v>
      </c>
      <c r="I826" t="e">
        <f t="shared" ca="1" si="92"/>
        <v>#N/A</v>
      </c>
      <c r="J826" t="e">
        <f ca="1"/>
        <v>#N/A</v>
      </c>
      <c r="K826" t="e">
        <f ca="1"/>
        <v>#N/A</v>
      </c>
      <c r="L826" t="e">
        <f ca="1"/>
        <v>#N/A</v>
      </c>
      <c r="M826" t="e">
        <f ca="1"/>
        <v>#N/A</v>
      </c>
      <c r="N826" t="e">
        <f ca="1"/>
        <v>#N/A</v>
      </c>
      <c r="O826" t="e">
        <f ca="1"/>
        <v>#N/A</v>
      </c>
      <c r="P826" t="e">
        <f ca="1"/>
        <v>#N/A</v>
      </c>
      <c r="Q826" t="e">
        <f ca="1"/>
        <v>#N/A</v>
      </c>
      <c r="R826" t="e">
        <f ca="1"/>
        <v>#N/A</v>
      </c>
      <c r="S826" t="e">
        <f ca="1"/>
        <v>#N/A</v>
      </c>
      <c r="T826" t="e">
        <f ca="1"/>
        <v>#N/A</v>
      </c>
      <c r="U826" t="e">
        <f ca="1"/>
        <v>#N/A</v>
      </c>
      <c r="V826" t="e">
        <f ca="1"/>
        <v>#N/A</v>
      </c>
      <c r="X826" s="2">
        <f t="shared" ca="1" si="93"/>
        <v>0</v>
      </c>
      <c r="Y826">
        <f t="shared" ca="1" si="94"/>
        <v>0</v>
      </c>
      <c r="AA826" s="63" t="e">
        <f t="shared" ca="1" si="95"/>
        <v>#N/A</v>
      </c>
      <c r="AB826" s="63" t="e">
        <f t="shared" ca="1" si="96"/>
        <v>#N/A</v>
      </c>
      <c r="AC826" s="3" t="e">
        <f t="shared" ca="1" si="97"/>
        <v>#N/A</v>
      </c>
    </row>
    <row r="827" spans="8:29">
      <c r="H827" t="e">
        <f t="shared" ca="1" si="91"/>
        <v>#N/A</v>
      </c>
      <c r="I827" t="e">
        <f t="shared" ca="1" si="92"/>
        <v>#N/A</v>
      </c>
      <c r="J827" t="e">
        <f ca="1"/>
        <v>#N/A</v>
      </c>
      <c r="K827" t="e">
        <f ca="1"/>
        <v>#N/A</v>
      </c>
      <c r="L827" t="e">
        <f ca="1"/>
        <v>#N/A</v>
      </c>
      <c r="M827" t="e">
        <f ca="1"/>
        <v>#N/A</v>
      </c>
      <c r="N827" t="e">
        <f ca="1"/>
        <v>#N/A</v>
      </c>
      <c r="O827" t="e">
        <f ca="1"/>
        <v>#N/A</v>
      </c>
      <c r="P827" t="e">
        <f ca="1"/>
        <v>#N/A</v>
      </c>
      <c r="Q827" t="e">
        <f ca="1"/>
        <v>#N/A</v>
      </c>
      <c r="R827" t="e">
        <f ca="1"/>
        <v>#N/A</v>
      </c>
      <c r="S827" t="e">
        <f ca="1"/>
        <v>#N/A</v>
      </c>
      <c r="T827" t="e">
        <f ca="1"/>
        <v>#N/A</v>
      </c>
      <c r="U827" t="e">
        <f ca="1"/>
        <v>#N/A</v>
      </c>
      <c r="V827" t="e">
        <f ca="1"/>
        <v>#N/A</v>
      </c>
      <c r="X827" s="2">
        <f t="shared" ca="1" si="93"/>
        <v>0</v>
      </c>
      <c r="Y827">
        <f t="shared" ca="1" si="94"/>
        <v>0</v>
      </c>
      <c r="AA827" s="63" t="e">
        <f t="shared" ca="1" si="95"/>
        <v>#N/A</v>
      </c>
      <c r="AB827" s="63" t="e">
        <f t="shared" ca="1" si="96"/>
        <v>#N/A</v>
      </c>
      <c r="AC827" s="3" t="e">
        <f t="shared" ca="1" si="97"/>
        <v>#N/A</v>
      </c>
    </row>
    <row r="828" spans="8:29">
      <c r="H828" t="e">
        <f t="shared" ca="1" si="91"/>
        <v>#N/A</v>
      </c>
      <c r="I828" t="e">
        <f t="shared" ca="1" si="92"/>
        <v>#N/A</v>
      </c>
      <c r="J828" t="e">
        <f ca="1"/>
        <v>#N/A</v>
      </c>
      <c r="K828" t="e">
        <f ca="1"/>
        <v>#N/A</v>
      </c>
      <c r="L828" t="e">
        <f ca="1"/>
        <v>#N/A</v>
      </c>
      <c r="M828" t="e">
        <f ca="1"/>
        <v>#N/A</v>
      </c>
      <c r="N828" t="e">
        <f ca="1"/>
        <v>#N/A</v>
      </c>
      <c r="O828" t="e">
        <f ca="1"/>
        <v>#N/A</v>
      </c>
      <c r="P828" t="e">
        <f ca="1"/>
        <v>#N/A</v>
      </c>
      <c r="Q828" t="e">
        <f ca="1"/>
        <v>#N/A</v>
      </c>
      <c r="R828" t="e">
        <f ca="1"/>
        <v>#N/A</v>
      </c>
      <c r="S828" t="e">
        <f ca="1"/>
        <v>#N/A</v>
      </c>
      <c r="T828" t="e">
        <f ca="1"/>
        <v>#N/A</v>
      </c>
      <c r="U828" t="e">
        <f ca="1"/>
        <v>#N/A</v>
      </c>
      <c r="V828" t="e">
        <f ca="1"/>
        <v>#N/A</v>
      </c>
      <c r="X828" s="2">
        <f t="shared" ca="1" si="93"/>
        <v>0</v>
      </c>
      <c r="Y828">
        <f t="shared" ca="1" si="94"/>
        <v>0</v>
      </c>
      <c r="AA828" s="63" t="e">
        <f t="shared" ca="1" si="95"/>
        <v>#N/A</v>
      </c>
      <c r="AB828" s="63" t="e">
        <f t="shared" ca="1" si="96"/>
        <v>#N/A</v>
      </c>
      <c r="AC828" s="3" t="e">
        <f t="shared" ca="1" si="97"/>
        <v>#N/A</v>
      </c>
    </row>
    <row r="829" spans="8:29">
      <c r="H829" t="e">
        <f t="shared" ca="1" si="91"/>
        <v>#N/A</v>
      </c>
      <c r="I829" t="e">
        <f t="shared" ca="1" si="92"/>
        <v>#N/A</v>
      </c>
      <c r="J829" t="e">
        <f ca="1"/>
        <v>#N/A</v>
      </c>
      <c r="K829" t="e">
        <f ca="1"/>
        <v>#N/A</v>
      </c>
      <c r="L829" t="e">
        <f ca="1"/>
        <v>#N/A</v>
      </c>
      <c r="M829" t="e">
        <f ca="1"/>
        <v>#N/A</v>
      </c>
      <c r="N829" t="e">
        <f ca="1"/>
        <v>#N/A</v>
      </c>
      <c r="O829" t="e">
        <f ca="1"/>
        <v>#N/A</v>
      </c>
      <c r="P829" t="e">
        <f ca="1"/>
        <v>#N/A</v>
      </c>
      <c r="Q829" t="e">
        <f ca="1"/>
        <v>#N/A</v>
      </c>
      <c r="R829" t="e">
        <f ca="1"/>
        <v>#N/A</v>
      </c>
      <c r="S829" t="e">
        <f ca="1"/>
        <v>#N/A</v>
      </c>
      <c r="T829" t="e">
        <f ca="1"/>
        <v>#N/A</v>
      </c>
      <c r="U829" t="e">
        <f ca="1"/>
        <v>#N/A</v>
      </c>
      <c r="V829" t="e">
        <f ca="1"/>
        <v>#N/A</v>
      </c>
      <c r="X829" s="2">
        <f t="shared" ca="1" si="93"/>
        <v>0</v>
      </c>
      <c r="Y829">
        <f t="shared" ca="1" si="94"/>
        <v>0</v>
      </c>
      <c r="AA829" s="63" t="e">
        <f t="shared" ca="1" si="95"/>
        <v>#N/A</v>
      </c>
      <c r="AB829" s="63" t="e">
        <f t="shared" ca="1" si="96"/>
        <v>#N/A</v>
      </c>
      <c r="AC829" s="3" t="e">
        <f t="shared" ca="1" si="97"/>
        <v>#N/A</v>
      </c>
    </row>
    <row r="830" spans="8:29">
      <c r="H830" t="e">
        <f t="shared" ca="1" si="91"/>
        <v>#N/A</v>
      </c>
      <c r="I830" t="e">
        <f t="shared" ca="1" si="92"/>
        <v>#N/A</v>
      </c>
      <c r="J830" t="e">
        <f ca="1"/>
        <v>#N/A</v>
      </c>
      <c r="K830" t="e">
        <f ca="1"/>
        <v>#N/A</v>
      </c>
      <c r="L830" t="e">
        <f ca="1"/>
        <v>#N/A</v>
      </c>
      <c r="M830" t="e">
        <f ca="1"/>
        <v>#N/A</v>
      </c>
      <c r="N830" t="e">
        <f ca="1"/>
        <v>#N/A</v>
      </c>
      <c r="O830" t="e">
        <f ca="1"/>
        <v>#N/A</v>
      </c>
      <c r="P830" t="e">
        <f ca="1"/>
        <v>#N/A</v>
      </c>
      <c r="Q830" t="e">
        <f ca="1"/>
        <v>#N/A</v>
      </c>
      <c r="R830" t="e">
        <f ca="1"/>
        <v>#N/A</v>
      </c>
      <c r="S830" t="e">
        <f ca="1"/>
        <v>#N/A</v>
      </c>
      <c r="T830" t="e">
        <f ca="1"/>
        <v>#N/A</v>
      </c>
      <c r="U830" t="e">
        <f ca="1"/>
        <v>#N/A</v>
      </c>
      <c r="V830" t="e">
        <f ca="1"/>
        <v>#N/A</v>
      </c>
      <c r="X830" s="2">
        <f t="shared" ca="1" si="93"/>
        <v>0</v>
      </c>
      <c r="Y830">
        <f t="shared" ca="1" si="94"/>
        <v>0</v>
      </c>
      <c r="AA830" s="63" t="e">
        <f t="shared" ca="1" si="95"/>
        <v>#N/A</v>
      </c>
      <c r="AB830" s="63" t="e">
        <f t="shared" ca="1" si="96"/>
        <v>#N/A</v>
      </c>
      <c r="AC830" s="3" t="e">
        <f t="shared" ca="1" si="97"/>
        <v>#N/A</v>
      </c>
    </row>
    <row r="831" spans="8:29">
      <c r="H831" t="e">
        <f t="shared" ca="1" si="91"/>
        <v>#N/A</v>
      </c>
      <c r="I831" t="e">
        <f t="shared" ca="1" si="92"/>
        <v>#N/A</v>
      </c>
      <c r="J831" t="e">
        <f ca="1"/>
        <v>#N/A</v>
      </c>
      <c r="K831" t="e">
        <f ca="1"/>
        <v>#N/A</v>
      </c>
      <c r="L831" t="e">
        <f ca="1"/>
        <v>#N/A</v>
      </c>
      <c r="M831" t="e">
        <f ca="1"/>
        <v>#N/A</v>
      </c>
      <c r="N831" t="e">
        <f ca="1"/>
        <v>#N/A</v>
      </c>
      <c r="O831" t="e">
        <f ca="1"/>
        <v>#N/A</v>
      </c>
      <c r="P831" t="e">
        <f ca="1"/>
        <v>#N/A</v>
      </c>
      <c r="Q831" t="e">
        <f ca="1"/>
        <v>#N/A</v>
      </c>
      <c r="R831" t="e">
        <f ca="1"/>
        <v>#N/A</v>
      </c>
      <c r="S831" t="e">
        <f ca="1"/>
        <v>#N/A</v>
      </c>
      <c r="T831" t="e">
        <f ca="1"/>
        <v>#N/A</v>
      </c>
      <c r="U831" t="e">
        <f ca="1"/>
        <v>#N/A</v>
      </c>
      <c r="V831" t="e">
        <f ca="1"/>
        <v>#N/A</v>
      </c>
      <c r="X831" s="2">
        <f t="shared" ca="1" si="93"/>
        <v>0</v>
      </c>
      <c r="Y831">
        <f t="shared" ca="1" si="94"/>
        <v>0</v>
      </c>
      <c r="AA831" s="63" t="e">
        <f t="shared" ca="1" si="95"/>
        <v>#N/A</v>
      </c>
      <c r="AB831" s="63" t="e">
        <f t="shared" ca="1" si="96"/>
        <v>#N/A</v>
      </c>
      <c r="AC831" s="3" t="e">
        <f t="shared" ca="1" si="97"/>
        <v>#N/A</v>
      </c>
    </row>
    <row r="832" spans="8:29">
      <c r="H832" t="e">
        <f t="shared" ca="1" si="91"/>
        <v>#N/A</v>
      </c>
      <c r="I832" t="e">
        <f t="shared" ca="1" si="92"/>
        <v>#N/A</v>
      </c>
      <c r="J832" t="e">
        <f ca="1"/>
        <v>#N/A</v>
      </c>
      <c r="K832" t="e">
        <f ca="1"/>
        <v>#N/A</v>
      </c>
      <c r="L832" t="e">
        <f ca="1"/>
        <v>#N/A</v>
      </c>
      <c r="M832" t="e">
        <f ca="1"/>
        <v>#N/A</v>
      </c>
      <c r="N832" t="e">
        <f ca="1"/>
        <v>#N/A</v>
      </c>
      <c r="O832" t="e">
        <f ca="1"/>
        <v>#N/A</v>
      </c>
      <c r="P832" t="e">
        <f ca="1"/>
        <v>#N/A</v>
      </c>
      <c r="Q832" t="e">
        <f ca="1"/>
        <v>#N/A</v>
      </c>
      <c r="R832" t="e">
        <f ca="1"/>
        <v>#N/A</v>
      </c>
      <c r="S832" t="e">
        <f ca="1"/>
        <v>#N/A</v>
      </c>
      <c r="T832" t="e">
        <f ca="1"/>
        <v>#N/A</v>
      </c>
      <c r="U832" t="e">
        <f ca="1"/>
        <v>#N/A</v>
      </c>
      <c r="V832" t="e">
        <f ca="1"/>
        <v>#N/A</v>
      </c>
      <c r="X832" s="2">
        <f t="shared" ca="1" si="93"/>
        <v>0</v>
      </c>
      <c r="Y832">
        <f t="shared" ca="1" si="94"/>
        <v>0</v>
      </c>
      <c r="AA832" s="63" t="e">
        <f t="shared" ca="1" si="95"/>
        <v>#N/A</v>
      </c>
      <c r="AB832" s="63" t="e">
        <f t="shared" ca="1" si="96"/>
        <v>#N/A</v>
      </c>
      <c r="AC832" s="3" t="e">
        <f t="shared" ca="1" si="97"/>
        <v>#N/A</v>
      </c>
    </row>
    <row r="833" spans="8:29">
      <c r="H833" t="e">
        <f t="shared" ca="1" si="91"/>
        <v>#N/A</v>
      </c>
      <c r="I833" t="e">
        <f t="shared" ca="1" si="92"/>
        <v>#N/A</v>
      </c>
      <c r="J833" t="e">
        <f ca="1"/>
        <v>#N/A</v>
      </c>
      <c r="K833" t="e">
        <f ca="1"/>
        <v>#N/A</v>
      </c>
      <c r="L833" t="e">
        <f ca="1"/>
        <v>#N/A</v>
      </c>
      <c r="M833" t="e">
        <f ca="1"/>
        <v>#N/A</v>
      </c>
      <c r="N833" t="e">
        <f ca="1"/>
        <v>#N/A</v>
      </c>
      <c r="O833" t="e">
        <f ca="1"/>
        <v>#N/A</v>
      </c>
      <c r="P833" t="e">
        <f ca="1"/>
        <v>#N/A</v>
      </c>
      <c r="Q833" t="e">
        <f ca="1"/>
        <v>#N/A</v>
      </c>
      <c r="R833" t="e">
        <f ca="1"/>
        <v>#N/A</v>
      </c>
      <c r="S833" t="e">
        <f ca="1"/>
        <v>#N/A</v>
      </c>
      <c r="T833" t="e">
        <f ca="1"/>
        <v>#N/A</v>
      </c>
      <c r="U833" t="e">
        <f ca="1"/>
        <v>#N/A</v>
      </c>
      <c r="V833" t="e">
        <f ca="1"/>
        <v>#N/A</v>
      </c>
      <c r="X833" s="2">
        <f t="shared" ca="1" si="93"/>
        <v>0</v>
      </c>
      <c r="Y833">
        <f t="shared" ca="1" si="94"/>
        <v>0</v>
      </c>
      <c r="AA833" s="63" t="e">
        <f t="shared" ca="1" si="95"/>
        <v>#N/A</v>
      </c>
      <c r="AB833" s="63" t="e">
        <f t="shared" ca="1" si="96"/>
        <v>#N/A</v>
      </c>
      <c r="AC833" s="3" t="e">
        <f t="shared" ca="1" si="97"/>
        <v>#N/A</v>
      </c>
    </row>
    <row r="834" spans="8:29">
      <c r="H834" t="e">
        <f t="shared" ca="1" si="91"/>
        <v>#N/A</v>
      </c>
      <c r="I834" t="e">
        <f t="shared" ca="1" si="92"/>
        <v>#N/A</v>
      </c>
      <c r="J834" t="e">
        <f ca="1"/>
        <v>#N/A</v>
      </c>
      <c r="K834" t="e">
        <f ca="1"/>
        <v>#N/A</v>
      </c>
      <c r="L834" t="e">
        <f ca="1"/>
        <v>#N/A</v>
      </c>
      <c r="M834" t="e">
        <f ca="1"/>
        <v>#N/A</v>
      </c>
      <c r="N834" t="e">
        <f ca="1"/>
        <v>#N/A</v>
      </c>
      <c r="O834" t="e">
        <f ca="1"/>
        <v>#N/A</v>
      </c>
      <c r="P834" t="e">
        <f ca="1"/>
        <v>#N/A</v>
      </c>
      <c r="Q834" t="e">
        <f ca="1"/>
        <v>#N/A</v>
      </c>
      <c r="R834" t="e">
        <f ca="1"/>
        <v>#N/A</v>
      </c>
      <c r="S834" t="e">
        <f ca="1"/>
        <v>#N/A</v>
      </c>
      <c r="T834" t="e">
        <f ca="1"/>
        <v>#N/A</v>
      </c>
      <c r="U834" t="e">
        <f ca="1"/>
        <v>#N/A</v>
      </c>
      <c r="V834" t="e">
        <f ca="1"/>
        <v>#N/A</v>
      </c>
      <c r="X834" s="2">
        <f t="shared" ca="1" si="93"/>
        <v>0</v>
      </c>
      <c r="Y834">
        <f t="shared" ca="1" si="94"/>
        <v>0</v>
      </c>
      <c r="AA834" s="63" t="e">
        <f t="shared" ca="1" si="95"/>
        <v>#N/A</v>
      </c>
      <c r="AB834" s="63" t="e">
        <f t="shared" ca="1" si="96"/>
        <v>#N/A</v>
      </c>
      <c r="AC834" s="3" t="e">
        <f t="shared" ca="1" si="97"/>
        <v>#N/A</v>
      </c>
    </row>
    <row r="835" spans="8:29">
      <c r="H835" t="e">
        <f t="shared" ca="1" si="91"/>
        <v>#N/A</v>
      </c>
      <c r="I835" t="e">
        <f t="shared" ca="1" si="92"/>
        <v>#N/A</v>
      </c>
      <c r="J835" t="e">
        <f ca="1"/>
        <v>#N/A</v>
      </c>
      <c r="K835" t="e">
        <f ca="1"/>
        <v>#N/A</v>
      </c>
      <c r="L835" t="e">
        <f ca="1"/>
        <v>#N/A</v>
      </c>
      <c r="M835" t="e">
        <f ca="1"/>
        <v>#N/A</v>
      </c>
      <c r="N835" t="e">
        <f ca="1"/>
        <v>#N/A</v>
      </c>
      <c r="O835" t="e">
        <f ca="1"/>
        <v>#N/A</v>
      </c>
      <c r="P835" t="e">
        <f ca="1"/>
        <v>#N/A</v>
      </c>
      <c r="Q835" t="e">
        <f ca="1"/>
        <v>#N/A</v>
      </c>
      <c r="R835" t="e">
        <f ca="1"/>
        <v>#N/A</v>
      </c>
      <c r="S835" t="e">
        <f ca="1"/>
        <v>#N/A</v>
      </c>
      <c r="T835" t="e">
        <f ca="1"/>
        <v>#N/A</v>
      </c>
      <c r="U835" t="e">
        <f ca="1"/>
        <v>#N/A</v>
      </c>
      <c r="V835" t="e">
        <f ca="1"/>
        <v>#N/A</v>
      </c>
      <c r="X835" s="2">
        <f t="shared" ca="1" si="93"/>
        <v>0</v>
      </c>
      <c r="Y835">
        <f t="shared" ca="1" si="94"/>
        <v>0</v>
      </c>
      <c r="AA835" s="63" t="e">
        <f t="shared" ca="1" si="95"/>
        <v>#N/A</v>
      </c>
      <c r="AB835" s="63" t="e">
        <f t="shared" ca="1" si="96"/>
        <v>#N/A</v>
      </c>
      <c r="AC835" s="3" t="e">
        <f t="shared" ca="1" si="97"/>
        <v>#N/A</v>
      </c>
    </row>
    <row r="836" spans="8:29">
      <c r="H836" t="e">
        <f t="shared" ca="1" si="91"/>
        <v>#N/A</v>
      </c>
      <c r="I836" t="e">
        <f t="shared" ca="1" si="92"/>
        <v>#N/A</v>
      </c>
      <c r="J836" t="e">
        <f ca="1"/>
        <v>#N/A</v>
      </c>
      <c r="K836" t="e">
        <f ca="1"/>
        <v>#N/A</v>
      </c>
      <c r="L836" t="e">
        <f ca="1"/>
        <v>#N/A</v>
      </c>
      <c r="M836" t="e">
        <f ca="1"/>
        <v>#N/A</v>
      </c>
      <c r="N836" t="e">
        <f ca="1"/>
        <v>#N/A</v>
      </c>
      <c r="O836" t="e">
        <f ca="1"/>
        <v>#N/A</v>
      </c>
      <c r="P836" t="e">
        <f ca="1"/>
        <v>#N/A</v>
      </c>
      <c r="Q836" t="e">
        <f ca="1"/>
        <v>#N/A</v>
      </c>
      <c r="R836" t="e">
        <f ca="1"/>
        <v>#N/A</v>
      </c>
      <c r="S836" t="e">
        <f ca="1"/>
        <v>#N/A</v>
      </c>
      <c r="T836" t="e">
        <f ca="1"/>
        <v>#N/A</v>
      </c>
      <c r="U836" t="e">
        <f ca="1"/>
        <v>#N/A</v>
      </c>
      <c r="V836" t="e">
        <f ca="1"/>
        <v>#N/A</v>
      </c>
      <c r="X836" s="2">
        <f t="shared" ca="1" si="93"/>
        <v>0</v>
      </c>
      <c r="Y836">
        <f t="shared" ca="1" si="94"/>
        <v>0</v>
      </c>
      <c r="AA836" s="63" t="e">
        <f t="shared" ca="1" si="95"/>
        <v>#N/A</v>
      </c>
      <c r="AB836" s="63" t="e">
        <f t="shared" ca="1" si="96"/>
        <v>#N/A</v>
      </c>
      <c r="AC836" s="3" t="e">
        <f t="shared" ca="1" si="97"/>
        <v>#N/A</v>
      </c>
    </row>
    <row r="837" spans="8:29">
      <c r="H837" t="e">
        <f t="shared" ca="1" si="91"/>
        <v>#N/A</v>
      </c>
      <c r="I837" t="e">
        <f t="shared" ca="1" si="92"/>
        <v>#N/A</v>
      </c>
      <c r="J837" t="e">
        <f ca="1"/>
        <v>#N/A</v>
      </c>
      <c r="K837" t="e">
        <f ca="1"/>
        <v>#N/A</v>
      </c>
      <c r="L837" t="e">
        <f ca="1"/>
        <v>#N/A</v>
      </c>
      <c r="M837" t="e">
        <f ca="1"/>
        <v>#N/A</v>
      </c>
      <c r="N837" t="e">
        <f ca="1"/>
        <v>#N/A</v>
      </c>
      <c r="O837" t="e">
        <f ca="1"/>
        <v>#N/A</v>
      </c>
      <c r="P837" t="e">
        <f ca="1"/>
        <v>#N/A</v>
      </c>
      <c r="Q837" t="e">
        <f ca="1"/>
        <v>#N/A</v>
      </c>
      <c r="R837" t="e">
        <f ca="1"/>
        <v>#N/A</v>
      </c>
      <c r="S837" t="e">
        <f ca="1"/>
        <v>#N/A</v>
      </c>
      <c r="T837" t="e">
        <f ca="1"/>
        <v>#N/A</v>
      </c>
      <c r="U837" t="e">
        <f ca="1"/>
        <v>#N/A</v>
      </c>
      <c r="V837" t="e">
        <f ca="1"/>
        <v>#N/A</v>
      </c>
      <c r="X837" s="2">
        <f t="shared" ca="1" si="93"/>
        <v>0</v>
      </c>
      <c r="Y837">
        <f t="shared" ca="1" si="94"/>
        <v>0</v>
      </c>
      <c r="AA837" s="63" t="e">
        <f t="shared" ca="1" si="95"/>
        <v>#N/A</v>
      </c>
      <c r="AB837" s="63" t="e">
        <f t="shared" ca="1" si="96"/>
        <v>#N/A</v>
      </c>
      <c r="AC837" s="3" t="e">
        <f t="shared" ca="1" si="97"/>
        <v>#N/A</v>
      </c>
    </row>
    <row r="838" spans="8:29">
      <c r="H838" t="e">
        <f t="shared" ca="1" si="91"/>
        <v>#N/A</v>
      </c>
      <c r="I838" t="e">
        <f t="shared" ca="1" si="92"/>
        <v>#N/A</v>
      </c>
      <c r="J838" t="e">
        <f ca="1"/>
        <v>#N/A</v>
      </c>
      <c r="K838" t="e">
        <f ca="1"/>
        <v>#N/A</v>
      </c>
      <c r="L838" t="e">
        <f ca="1"/>
        <v>#N/A</v>
      </c>
      <c r="M838" t="e">
        <f ca="1"/>
        <v>#N/A</v>
      </c>
      <c r="N838" t="e">
        <f ca="1"/>
        <v>#N/A</v>
      </c>
      <c r="O838" t="e">
        <f ca="1"/>
        <v>#N/A</v>
      </c>
      <c r="P838" t="e">
        <f ca="1"/>
        <v>#N/A</v>
      </c>
      <c r="Q838" t="e">
        <f ca="1"/>
        <v>#N/A</v>
      </c>
      <c r="R838" t="e">
        <f ca="1"/>
        <v>#N/A</v>
      </c>
      <c r="S838" t="e">
        <f ca="1"/>
        <v>#N/A</v>
      </c>
      <c r="T838" t="e">
        <f ca="1"/>
        <v>#N/A</v>
      </c>
      <c r="U838" t="e">
        <f ca="1"/>
        <v>#N/A</v>
      </c>
      <c r="V838" t="e">
        <f ca="1"/>
        <v>#N/A</v>
      </c>
      <c r="X838" s="2">
        <f t="shared" ca="1" si="93"/>
        <v>0</v>
      </c>
      <c r="Y838">
        <f t="shared" ca="1" si="94"/>
        <v>0</v>
      </c>
      <c r="AA838" s="63" t="e">
        <f t="shared" ca="1" si="95"/>
        <v>#N/A</v>
      </c>
      <c r="AB838" s="63" t="e">
        <f t="shared" ca="1" si="96"/>
        <v>#N/A</v>
      </c>
      <c r="AC838" s="3" t="e">
        <f t="shared" ca="1" si="97"/>
        <v>#N/A</v>
      </c>
    </row>
    <row r="839" spans="8:29">
      <c r="H839" t="e">
        <f t="shared" ca="1" si="91"/>
        <v>#N/A</v>
      </c>
      <c r="I839" t="e">
        <f t="shared" ca="1" si="92"/>
        <v>#N/A</v>
      </c>
      <c r="J839" t="e">
        <f ca="1"/>
        <v>#N/A</v>
      </c>
      <c r="K839" t="e">
        <f ca="1"/>
        <v>#N/A</v>
      </c>
      <c r="L839" t="e">
        <f ca="1"/>
        <v>#N/A</v>
      </c>
      <c r="M839" t="e">
        <f ca="1"/>
        <v>#N/A</v>
      </c>
      <c r="N839" t="e">
        <f ca="1"/>
        <v>#N/A</v>
      </c>
      <c r="O839" t="e">
        <f ca="1"/>
        <v>#N/A</v>
      </c>
      <c r="P839" t="e">
        <f ca="1"/>
        <v>#N/A</v>
      </c>
      <c r="Q839" t="e">
        <f ca="1"/>
        <v>#N/A</v>
      </c>
      <c r="R839" t="e">
        <f ca="1"/>
        <v>#N/A</v>
      </c>
      <c r="S839" t="e">
        <f ca="1"/>
        <v>#N/A</v>
      </c>
      <c r="T839" t="e">
        <f ca="1"/>
        <v>#N/A</v>
      </c>
      <c r="U839" t="e">
        <f ca="1"/>
        <v>#N/A</v>
      </c>
      <c r="V839" t="e">
        <f ca="1"/>
        <v>#N/A</v>
      </c>
      <c r="X839" s="2">
        <f t="shared" ca="1" si="93"/>
        <v>0</v>
      </c>
      <c r="Y839">
        <f t="shared" ca="1" si="94"/>
        <v>0</v>
      </c>
      <c r="AA839" s="63" t="e">
        <f t="shared" ca="1" si="95"/>
        <v>#N/A</v>
      </c>
      <c r="AB839" s="63" t="e">
        <f t="shared" ca="1" si="96"/>
        <v>#N/A</v>
      </c>
      <c r="AC839" s="3" t="e">
        <f t="shared" ca="1" si="97"/>
        <v>#N/A</v>
      </c>
    </row>
    <row r="840" spans="8:29">
      <c r="H840" t="e">
        <f t="shared" ca="1" si="91"/>
        <v>#N/A</v>
      </c>
      <c r="I840" t="e">
        <f t="shared" ca="1" si="92"/>
        <v>#N/A</v>
      </c>
      <c r="J840" t="e">
        <f ca="1"/>
        <v>#N/A</v>
      </c>
      <c r="K840" t="e">
        <f ca="1"/>
        <v>#N/A</v>
      </c>
      <c r="L840" t="e">
        <f ca="1"/>
        <v>#N/A</v>
      </c>
      <c r="M840" t="e">
        <f ca="1"/>
        <v>#N/A</v>
      </c>
      <c r="N840" t="e">
        <f ca="1"/>
        <v>#N/A</v>
      </c>
      <c r="O840" t="e">
        <f ca="1"/>
        <v>#N/A</v>
      </c>
      <c r="P840" t="e">
        <f ca="1"/>
        <v>#N/A</v>
      </c>
      <c r="Q840" t="e">
        <f ca="1"/>
        <v>#N/A</v>
      </c>
      <c r="R840" t="e">
        <f ca="1"/>
        <v>#N/A</v>
      </c>
      <c r="S840" t="e">
        <f ca="1"/>
        <v>#N/A</v>
      </c>
      <c r="T840" t="e">
        <f ca="1"/>
        <v>#N/A</v>
      </c>
      <c r="U840" t="e">
        <f ca="1"/>
        <v>#N/A</v>
      </c>
      <c r="V840" t="e">
        <f ca="1"/>
        <v>#N/A</v>
      </c>
      <c r="X840" s="2">
        <f t="shared" ca="1" si="93"/>
        <v>0</v>
      </c>
      <c r="Y840">
        <f t="shared" ca="1" si="94"/>
        <v>0</v>
      </c>
      <c r="AA840" s="63" t="e">
        <f t="shared" ca="1" si="95"/>
        <v>#N/A</v>
      </c>
      <c r="AB840" s="63" t="e">
        <f t="shared" ca="1" si="96"/>
        <v>#N/A</v>
      </c>
      <c r="AC840" s="3" t="e">
        <f t="shared" ca="1" si="97"/>
        <v>#N/A</v>
      </c>
    </row>
    <row r="841" spans="8:29">
      <c r="H841" t="e">
        <f t="shared" ca="1" si="91"/>
        <v>#N/A</v>
      </c>
      <c r="I841" t="e">
        <f t="shared" ca="1" si="92"/>
        <v>#N/A</v>
      </c>
      <c r="J841" t="e">
        <f ca="1"/>
        <v>#N/A</v>
      </c>
      <c r="K841" t="e">
        <f ca="1"/>
        <v>#N/A</v>
      </c>
      <c r="L841" t="e">
        <f ca="1"/>
        <v>#N/A</v>
      </c>
      <c r="M841" t="e">
        <f ca="1"/>
        <v>#N/A</v>
      </c>
      <c r="N841" t="e">
        <f ca="1"/>
        <v>#N/A</v>
      </c>
      <c r="O841" t="e">
        <f ca="1"/>
        <v>#N/A</v>
      </c>
      <c r="P841" t="e">
        <f ca="1"/>
        <v>#N/A</v>
      </c>
      <c r="Q841" t="e">
        <f ca="1"/>
        <v>#N/A</v>
      </c>
      <c r="R841" t="e">
        <f ca="1"/>
        <v>#N/A</v>
      </c>
      <c r="S841" t="e">
        <f ca="1"/>
        <v>#N/A</v>
      </c>
      <c r="T841" t="e">
        <f ca="1"/>
        <v>#N/A</v>
      </c>
      <c r="U841" t="e">
        <f ca="1"/>
        <v>#N/A</v>
      </c>
      <c r="V841" t="e">
        <f ca="1"/>
        <v>#N/A</v>
      </c>
      <c r="X841" s="2">
        <f t="shared" ca="1" si="93"/>
        <v>0</v>
      </c>
      <c r="Y841">
        <f t="shared" ca="1" si="94"/>
        <v>0</v>
      </c>
      <c r="AA841" s="63" t="e">
        <f t="shared" ca="1" si="95"/>
        <v>#N/A</v>
      </c>
      <c r="AB841" s="63" t="e">
        <f t="shared" ca="1" si="96"/>
        <v>#N/A</v>
      </c>
      <c r="AC841" s="3" t="e">
        <f t="shared" ca="1" si="97"/>
        <v>#N/A</v>
      </c>
    </row>
    <row r="842" spans="8:29">
      <c r="H842" t="e">
        <f t="shared" ca="1" si="91"/>
        <v>#N/A</v>
      </c>
      <c r="I842" t="e">
        <f t="shared" ca="1" si="92"/>
        <v>#N/A</v>
      </c>
      <c r="J842" t="e">
        <f ca="1"/>
        <v>#N/A</v>
      </c>
      <c r="K842" t="e">
        <f ca="1"/>
        <v>#N/A</v>
      </c>
      <c r="L842" t="e">
        <f ca="1"/>
        <v>#N/A</v>
      </c>
      <c r="M842" t="e">
        <f ca="1"/>
        <v>#N/A</v>
      </c>
      <c r="N842" t="e">
        <f ca="1"/>
        <v>#N/A</v>
      </c>
      <c r="O842" t="e">
        <f ca="1"/>
        <v>#N/A</v>
      </c>
      <c r="P842" t="e">
        <f ca="1"/>
        <v>#N/A</v>
      </c>
      <c r="Q842" t="e">
        <f ca="1"/>
        <v>#N/A</v>
      </c>
      <c r="R842" t="e">
        <f ca="1"/>
        <v>#N/A</v>
      </c>
      <c r="S842" t="e">
        <f ca="1"/>
        <v>#N/A</v>
      </c>
      <c r="T842" t="e">
        <f ca="1"/>
        <v>#N/A</v>
      </c>
      <c r="U842" t="e">
        <f ca="1"/>
        <v>#N/A</v>
      </c>
      <c r="V842" t="e">
        <f ca="1"/>
        <v>#N/A</v>
      </c>
      <c r="X842" s="2">
        <f t="shared" ca="1" si="93"/>
        <v>0</v>
      </c>
      <c r="Y842">
        <f t="shared" ca="1" si="94"/>
        <v>0</v>
      </c>
      <c r="AA842" s="63" t="e">
        <f t="shared" ca="1" si="95"/>
        <v>#N/A</v>
      </c>
      <c r="AB842" s="63" t="e">
        <f t="shared" ca="1" si="96"/>
        <v>#N/A</v>
      </c>
      <c r="AC842" s="3" t="e">
        <f t="shared" ca="1" si="97"/>
        <v>#N/A</v>
      </c>
    </row>
    <row r="843" spans="8:29">
      <c r="H843" t="e">
        <f t="shared" ca="1" si="91"/>
        <v>#N/A</v>
      </c>
      <c r="I843" t="e">
        <f t="shared" ca="1" si="92"/>
        <v>#N/A</v>
      </c>
      <c r="J843" t="e">
        <f ca="1"/>
        <v>#N/A</v>
      </c>
      <c r="K843" t="e">
        <f ca="1"/>
        <v>#N/A</v>
      </c>
      <c r="L843" t="e">
        <f ca="1"/>
        <v>#N/A</v>
      </c>
      <c r="M843" t="e">
        <f ca="1"/>
        <v>#N/A</v>
      </c>
      <c r="N843" t="e">
        <f ca="1"/>
        <v>#N/A</v>
      </c>
      <c r="O843" t="e">
        <f ca="1"/>
        <v>#N/A</v>
      </c>
      <c r="P843" t="e">
        <f ca="1"/>
        <v>#N/A</v>
      </c>
      <c r="Q843" t="e">
        <f ca="1"/>
        <v>#N/A</v>
      </c>
      <c r="R843" t="e">
        <f ca="1"/>
        <v>#N/A</v>
      </c>
      <c r="S843" t="e">
        <f ca="1"/>
        <v>#N/A</v>
      </c>
      <c r="T843" t="e">
        <f ca="1"/>
        <v>#N/A</v>
      </c>
      <c r="U843" t="e">
        <f ca="1"/>
        <v>#N/A</v>
      </c>
      <c r="V843" t="e">
        <f ca="1"/>
        <v>#N/A</v>
      </c>
      <c r="X843" s="2">
        <f t="shared" ca="1" si="93"/>
        <v>0</v>
      </c>
      <c r="Y843">
        <f t="shared" ca="1" si="94"/>
        <v>0</v>
      </c>
      <c r="AA843" s="63" t="e">
        <f t="shared" ca="1" si="95"/>
        <v>#N/A</v>
      </c>
      <c r="AB843" s="63" t="e">
        <f t="shared" ca="1" si="96"/>
        <v>#N/A</v>
      </c>
      <c r="AC843" s="3" t="e">
        <f t="shared" ca="1" si="97"/>
        <v>#N/A</v>
      </c>
    </row>
    <row r="844" spans="8:29">
      <c r="H844" t="e">
        <f t="shared" ca="1" si="91"/>
        <v>#N/A</v>
      </c>
      <c r="I844" t="e">
        <f t="shared" ca="1" si="92"/>
        <v>#N/A</v>
      </c>
      <c r="J844" t="e">
        <f ca="1"/>
        <v>#N/A</v>
      </c>
      <c r="K844" t="e">
        <f ca="1"/>
        <v>#N/A</v>
      </c>
      <c r="L844" t="e">
        <f ca="1"/>
        <v>#N/A</v>
      </c>
      <c r="M844" t="e">
        <f ca="1"/>
        <v>#N/A</v>
      </c>
      <c r="N844" t="e">
        <f ca="1"/>
        <v>#N/A</v>
      </c>
      <c r="O844" t="e">
        <f ca="1"/>
        <v>#N/A</v>
      </c>
      <c r="P844" t="e">
        <f ca="1"/>
        <v>#N/A</v>
      </c>
      <c r="Q844" t="e">
        <f ca="1"/>
        <v>#N/A</v>
      </c>
      <c r="R844" t="e">
        <f ca="1"/>
        <v>#N/A</v>
      </c>
      <c r="S844" t="e">
        <f ca="1"/>
        <v>#N/A</v>
      </c>
      <c r="T844" t="e">
        <f ca="1"/>
        <v>#N/A</v>
      </c>
      <c r="U844" t="e">
        <f ca="1"/>
        <v>#N/A</v>
      </c>
      <c r="V844" t="e">
        <f ca="1"/>
        <v>#N/A</v>
      </c>
      <c r="X844" s="2">
        <f t="shared" ca="1" si="93"/>
        <v>0</v>
      </c>
      <c r="Y844">
        <f t="shared" ca="1" si="94"/>
        <v>0</v>
      </c>
      <c r="AA844" s="63" t="e">
        <f t="shared" ca="1" si="95"/>
        <v>#N/A</v>
      </c>
      <c r="AB844" s="63" t="e">
        <f t="shared" ca="1" si="96"/>
        <v>#N/A</v>
      </c>
      <c r="AC844" s="3" t="e">
        <f t="shared" ca="1" si="97"/>
        <v>#N/A</v>
      </c>
    </row>
    <row r="845" spans="8:29">
      <c r="H845" t="e">
        <f t="shared" ca="1" si="91"/>
        <v>#N/A</v>
      </c>
      <c r="I845" t="e">
        <f t="shared" ca="1" si="92"/>
        <v>#N/A</v>
      </c>
      <c r="J845" t="e">
        <f ca="1"/>
        <v>#N/A</v>
      </c>
      <c r="K845" t="e">
        <f ca="1"/>
        <v>#N/A</v>
      </c>
      <c r="L845" t="e">
        <f ca="1"/>
        <v>#N/A</v>
      </c>
      <c r="M845" t="e">
        <f ca="1"/>
        <v>#N/A</v>
      </c>
      <c r="N845" t="e">
        <f ca="1"/>
        <v>#N/A</v>
      </c>
      <c r="O845" t="e">
        <f ca="1"/>
        <v>#N/A</v>
      </c>
      <c r="P845" t="e">
        <f ca="1"/>
        <v>#N/A</v>
      </c>
      <c r="Q845" t="e">
        <f ca="1"/>
        <v>#N/A</v>
      </c>
      <c r="R845" t="e">
        <f ca="1"/>
        <v>#N/A</v>
      </c>
      <c r="S845" t="e">
        <f ca="1"/>
        <v>#N/A</v>
      </c>
      <c r="T845" t="e">
        <f ca="1"/>
        <v>#N/A</v>
      </c>
      <c r="U845" t="e">
        <f ca="1"/>
        <v>#N/A</v>
      </c>
      <c r="V845" t="e">
        <f ca="1"/>
        <v>#N/A</v>
      </c>
      <c r="X845" s="2">
        <f t="shared" ca="1" si="93"/>
        <v>0</v>
      </c>
      <c r="Y845">
        <f t="shared" ca="1" si="94"/>
        <v>0</v>
      </c>
      <c r="AA845" s="63" t="e">
        <f t="shared" ca="1" si="95"/>
        <v>#N/A</v>
      </c>
      <c r="AB845" s="63" t="e">
        <f t="shared" ca="1" si="96"/>
        <v>#N/A</v>
      </c>
      <c r="AC845" s="3" t="e">
        <f t="shared" ca="1" si="97"/>
        <v>#N/A</v>
      </c>
    </row>
    <row r="846" spans="8:29">
      <c r="H846" t="e">
        <f t="shared" ca="1" si="91"/>
        <v>#N/A</v>
      </c>
      <c r="I846" t="e">
        <f t="shared" ca="1" si="92"/>
        <v>#N/A</v>
      </c>
      <c r="J846" t="e">
        <f ca="1"/>
        <v>#N/A</v>
      </c>
      <c r="K846" t="e">
        <f ca="1"/>
        <v>#N/A</v>
      </c>
      <c r="L846" t="e">
        <f ca="1"/>
        <v>#N/A</v>
      </c>
      <c r="M846" t="e">
        <f ca="1"/>
        <v>#N/A</v>
      </c>
      <c r="N846" t="e">
        <f ca="1"/>
        <v>#N/A</v>
      </c>
      <c r="O846" t="e">
        <f ca="1"/>
        <v>#N/A</v>
      </c>
      <c r="P846" t="e">
        <f ca="1"/>
        <v>#N/A</v>
      </c>
      <c r="Q846" t="e">
        <f ca="1"/>
        <v>#N/A</v>
      </c>
      <c r="R846" t="e">
        <f ca="1"/>
        <v>#N/A</v>
      </c>
      <c r="S846" t="e">
        <f ca="1"/>
        <v>#N/A</v>
      </c>
      <c r="T846" t="e">
        <f ca="1"/>
        <v>#N/A</v>
      </c>
      <c r="U846" t="e">
        <f ca="1"/>
        <v>#N/A</v>
      </c>
      <c r="V846" t="e">
        <f ca="1"/>
        <v>#N/A</v>
      </c>
      <c r="X846" s="2">
        <f t="shared" ca="1" si="93"/>
        <v>0</v>
      </c>
      <c r="Y846">
        <f t="shared" ca="1" si="94"/>
        <v>0</v>
      </c>
      <c r="AA846" s="63" t="e">
        <f t="shared" ca="1" si="95"/>
        <v>#N/A</v>
      </c>
      <c r="AB846" s="63" t="e">
        <f t="shared" ca="1" si="96"/>
        <v>#N/A</v>
      </c>
      <c r="AC846" s="3" t="e">
        <f t="shared" ca="1" si="97"/>
        <v>#N/A</v>
      </c>
    </row>
    <row r="847" spans="8:29">
      <c r="H847" t="e">
        <f t="shared" ca="1" si="91"/>
        <v>#N/A</v>
      </c>
      <c r="I847" t="e">
        <f t="shared" ca="1" si="92"/>
        <v>#N/A</v>
      </c>
      <c r="J847" t="e">
        <f ca="1"/>
        <v>#N/A</v>
      </c>
      <c r="K847" t="e">
        <f ca="1"/>
        <v>#N/A</v>
      </c>
      <c r="L847" t="e">
        <f ca="1"/>
        <v>#N/A</v>
      </c>
      <c r="M847" t="e">
        <f ca="1"/>
        <v>#N/A</v>
      </c>
      <c r="N847" t="e">
        <f ca="1"/>
        <v>#N/A</v>
      </c>
      <c r="O847" t="e">
        <f ca="1"/>
        <v>#N/A</v>
      </c>
      <c r="P847" t="e">
        <f ca="1"/>
        <v>#N/A</v>
      </c>
      <c r="Q847" t="e">
        <f ca="1"/>
        <v>#N/A</v>
      </c>
      <c r="R847" t="e">
        <f ca="1"/>
        <v>#N/A</v>
      </c>
      <c r="S847" t="e">
        <f ca="1"/>
        <v>#N/A</v>
      </c>
      <c r="T847" t="e">
        <f ca="1"/>
        <v>#N/A</v>
      </c>
      <c r="U847" t="e">
        <f ca="1"/>
        <v>#N/A</v>
      </c>
      <c r="V847" t="e">
        <f ca="1"/>
        <v>#N/A</v>
      </c>
      <c r="X847" s="2">
        <f t="shared" ca="1" si="93"/>
        <v>0</v>
      </c>
      <c r="Y847">
        <f t="shared" ca="1" si="94"/>
        <v>0</v>
      </c>
      <c r="AA847" s="63" t="e">
        <f t="shared" ca="1" si="95"/>
        <v>#N/A</v>
      </c>
      <c r="AB847" s="63" t="e">
        <f t="shared" ca="1" si="96"/>
        <v>#N/A</v>
      </c>
      <c r="AC847" s="3" t="e">
        <f t="shared" ca="1" si="97"/>
        <v>#N/A</v>
      </c>
    </row>
    <row r="848" spans="8:29">
      <c r="H848" t="e">
        <f t="shared" ca="1" si="91"/>
        <v>#N/A</v>
      </c>
      <c r="I848" t="e">
        <f t="shared" ca="1" si="92"/>
        <v>#N/A</v>
      </c>
      <c r="J848" t="e">
        <f ca="1"/>
        <v>#N/A</v>
      </c>
      <c r="K848" t="e">
        <f ca="1"/>
        <v>#N/A</v>
      </c>
      <c r="L848" t="e">
        <f ca="1"/>
        <v>#N/A</v>
      </c>
      <c r="M848" t="e">
        <f ca="1"/>
        <v>#N/A</v>
      </c>
      <c r="N848" t="e">
        <f ca="1"/>
        <v>#N/A</v>
      </c>
      <c r="O848" t="e">
        <f ca="1"/>
        <v>#N/A</v>
      </c>
      <c r="P848" t="e">
        <f ca="1"/>
        <v>#N/A</v>
      </c>
      <c r="Q848" t="e">
        <f ca="1"/>
        <v>#N/A</v>
      </c>
      <c r="R848" t="e">
        <f ca="1"/>
        <v>#N/A</v>
      </c>
      <c r="S848" t="e">
        <f ca="1"/>
        <v>#N/A</v>
      </c>
      <c r="T848" t="e">
        <f ca="1"/>
        <v>#N/A</v>
      </c>
      <c r="U848" t="e">
        <f ca="1"/>
        <v>#N/A</v>
      </c>
      <c r="V848" t="e">
        <f ca="1"/>
        <v>#N/A</v>
      </c>
      <c r="X848" s="2">
        <f t="shared" ca="1" si="93"/>
        <v>0</v>
      </c>
      <c r="Y848">
        <f t="shared" ca="1" si="94"/>
        <v>0</v>
      </c>
      <c r="AA848" s="63" t="e">
        <f t="shared" ca="1" si="95"/>
        <v>#N/A</v>
      </c>
      <c r="AB848" s="63" t="e">
        <f t="shared" ca="1" si="96"/>
        <v>#N/A</v>
      </c>
      <c r="AC848" s="3" t="e">
        <f t="shared" ca="1" si="97"/>
        <v>#N/A</v>
      </c>
    </row>
    <row r="849" spans="8:29">
      <c r="H849" t="e">
        <f t="shared" ca="1" si="91"/>
        <v>#N/A</v>
      </c>
      <c r="I849" t="e">
        <f t="shared" ca="1" si="92"/>
        <v>#N/A</v>
      </c>
      <c r="J849" t="e">
        <f ca="1"/>
        <v>#N/A</v>
      </c>
      <c r="K849" t="e">
        <f ca="1"/>
        <v>#N/A</v>
      </c>
      <c r="L849" t="e">
        <f ca="1"/>
        <v>#N/A</v>
      </c>
      <c r="M849" t="e">
        <f ca="1"/>
        <v>#N/A</v>
      </c>
      <c r="N849" t="e">
        <f ca="1"/>
        <v>#N/A</v>
      </c>
      <c r="O849" t="e">
        <f ca="1"/>
        <v>#N/A</v>
      </c>
      <c r="P849" t="e">
        <f ca="1"/>
        <v>#N/A</v>
      </c>
      <c r="Q849" t="e">
        <f ca="1"/>
        <v>#N/A</v>
      </c>
      <c r="R849" t="e">
        <f ca="1"/>
        <v>#N/A</v>
      </c>
      <c r="S849" t="e">
        <f ca="1"/>
        <v>#N/A</v>
      </c>
      <c r="T849" t="e">
        <f ca="1"/>
        <v>#N/A</v>
      </c>
      <c r="U849" t="e">
        <f ca="1"/>
        <v>#N/A</v>
      </c>
      <c r="V849" t="e">
        <f ca="1"/>
        <v>#N/A</v>
      </c>
      <c r="X849" s="2">
        <f t="shared" ca="1" si="93"/>
        <v>0</v>
      </c>
      <c r="Y849">
        <f t="shared" ca="1" si="94"/>
        <v>0</v>
      </c>
      <c r="AA849" s="63" t="e">
        <f t="shared" ca="1" si="95"/>
        <v>#N/A</v>
      </c>
      <c r="AB849" s="63" t="e">
        <f t="shared" ca="1" si="96"/>
        <v>#N/A</v>
      </c>
      <c r="AC849" s="3" t="e">
        <f t="shared" ca="1" si="97"/>
        <v>#N/A</v>
      </c>
    </row>
    <row r="850" spans="8:29">
      <c r="H850" t="e">
        <f t="shared" ca="1" si="91"/>
        <v>#N/A</v>
      </c>
      <c r="I850" t="e">
        <f t="shared" ca="1" si="92"/>
        <v>#N/A</v>
      </c>
      <c r="J850" t="e">
        <f ca="1"/>
        <v>#N/A</v>
      </c>
      <c r="K850" t="e">
        <f ca="1"/>
        <v>#N/A</v>
      </c>
      <c r="L850" t="e">
        <f ca="1"/>
        <v>#N/A</v>
      </c>
      <c r="M850" t="e">
        <f ca="1"/>
        <v>#N/A</v>
      </c>
      <c r="N850" t="e">
        <f ca="1"/>
        <v>#N/A</v>
      </c>
      <c r="O850" t="e">
        <f ca="1"/>
        <v>#N/A</v>
      </c>
      <c r="P850" t="e">
        <f ca="1"/>
        <v>#N/A</v>
      </c>
      <c r="Q850" t="e">
        <f ca="1"/>
        <v>#N/A</v>
      </c>
      <c r="R850" t="e">
        <f ca="1"/>
        <v>#N/A</v>
      </c>
      <c r="S850" t="e">
        <f ca="1"/>
        <v>#N/A</v>
      </c>
      <c r="T850" t="e">
        <f ca="1"/>
        <v>#N/A</v>
      </c>
      <c r="U850" t="e">
        <f ca="1"/>
        <v>#N/A</v>
      </c>
      <c r="V850" t="e">
        <f ca="1"/>
        <v>#N/A</v>
      </c>
      <c r="X850" s="2">
        <f t="shared" ca="1" si="93"/>
        <v>0</v>
      </c>
      <c r="Y850">
        <f t="shared" ca="1" si="94"/>
        <v>0</v>
      </c>
      <c r="AA850" s="63" t="e">
        <f t="shared" ca="1" si="95"/>
        <v>#N/A</v>
      </c>
      <c r="AB850" s="63" t="e">
        <f t="shared" ca="1" si="96"/>
        <v>#N/A</v>
      </c>
      <c r="AC850" s="3" t="e">
        <f t="shared" ca="1" si="97"/>
        <v>#N/A</v>
      </c>
    </row>
    <row r="851" spans="8:29">
      <c r="H851" t="e">
        <f t="shared" ca="1" si="91"/>
        <v>#N/A</v>
      </c>
      <c r="I851" t="e">
        <f t="shared" ca="1" si="92"/>
        <v>#N/A</v>
      </c>
      <c r="J851" t="e">
        <f ca="1"/>
        <v>#N/A</v>
      </c>
      <c r="K851" t="e">
        <f ca="1"/>
        <v>#N/A</v>
      </c>
      <c r="L851" t="e">
        <f ca="1"/>
        <v>#N/A</v>
      </c>
      <c r="M851" t="e">
        <f ca="1"/>
        <v>#N/A</v>
      </c>
      <c r="N851" t="e">
        <f ca="1"/>
        <v>#N/A</v>
      </c>
      <c r="O851" t="e">
        <f ca="1"/>
        <v>#N/A</v>
      </c>
      <c r="P851" t="e">
        <f ca="1"/>
        <v>#N/A</v>
      </c>
      <c r="Q851" t="e">
        <f ca="1"/>
        <v>#N/A</v>
      </c>
      <c r="R851" t="e">
        <f ca="1"/>
        <v>#N/A</v>
      </c>
      <c r="S851" t="e">
        <f ca="1"/>
        <v>#N/A</v>
      </c>
      <c r="T851" t="e">
        <f ca="1"/>
        <v>#N/A</v>
      </c>
      <c r="U851" t="e">
        <f ca="1"/>
        <v>#N/A</v>
      </c>
      <c r="V851" t="e">
        <f ca="1"/>
        <v>#N/A</v>
      </c>
      <c r="X851" s="2">
        <f t="shared" ca="1" si="93"/>
        <v>0</v>
      </c>
      <c r="Y851">
        <f t="shared" ca="1" si="94"/>
        <v>0</v>
      </c>
      <c r="AA851" s="63" t="e">
        <f t="shared" ca="1" si="95"/>
        <v>#N/A</v>
      </c>
      <c r="AB851" s="63" t="e">
        <f t="shared" ca="1" si="96"/>
        <v>#N/A</v>
      </c>
      <c r="AC851" s="3" t="e">
        <f t="shared" ca="1" si="97"/>
        <v>#N/A</v>
      </c>
    </row>
    <row r="852" spans="8:29">
      <c r="H852" t="e">
        <f t="shared" ca="1" si="91"/>
        <v>#N/A</v>
      </c>
      <c r="I852" t="e">
        <f t="shared" ca="1" si="92"/>
        <v>#N/A</v>
      </c>
      <c r="J852" t="e">
        <f ca="1"/>
        <v>#N/A</v>
      </c>
      <c r="K852" t="e">
        <f ca="1"/>
        <v>#N/A</v>
      </c>
      <c r="L852" t="e">
        <f ca="1"/>
        <v>#N/A</v>
      </c>
      <c r="M852" t="e">
        <f ca="1"/>
        <v>#N/A</v>
      </c>
      <c r="N852" t="e">
        <f ca="1"/>
        <v>#N/A</v>
      </c>
      <c r="O852" t="e">
        <f ca="1"/>
        <v>#N/A</v>
      </c>
      <c r="P852" t="e">
        <f ca="1"/>
        <v>#N/A</v>
      </c>
      <c r="Q852" t="e">
        <f ca="1"/>
        <v>#N/A</v>
      </c>
      <c r="R852" t="e">
        <f ca="1"/>
        <v>#N/A</v>
      </c>
      <c r="S852" t="e">
        <f ca="1"/>
        <v>#N/A</v>
      </c>
      <c r="T852" t="e">
        <f ca="1"/>
        <v>#N/A</v>
      </c>
      <c r="U852" t="e">
        <f ca="1"/>
        <v>#N/A</v>
      </c>
      <c r="V852" t="e">
        <f ca="1"/>
        <v>#N/A</v>
      </c>
      <c r="X852" s="2">
        <f t="shared" ca="1" si="93"/>
        <v>0</v>
      </c>
      <c r="Y852">
        <f t="shared" ca="1" si="94"/>
        <v>0</v>
      </c>
      <c r="AA852" s="63" t="e">
        <f t="shared" ca="1" si="95"/>
        <v>#N/A</v>
      </c>
      <c r="AB852" s="63" t="e">
        <f t="shared" ca="1" si="96"/>
        <v>#N/A</v>
      </c>
      <c r="AC852" s="3" t="e">
        <f t="shared" ca="1" si="97"/>
        <v>#N/A</v>
      </c>
    </row>
    <row r="853" spans="8:29">
      <c r="H853" t="e">
        <f t="shared" ca="1" si="91"/>
        <v>#N/A</v>
      </c>
      <c r="I853" t="e">
        <f t="shared" ca="1" si="92"/>
        <v>#N/A</v>
      </c>
      <c r="J853" t="e">
        <f ca="1"/>
        <v>#N/A</v>
      </c>
      <c r="K853" t="e">
        <f ca="1"/>
        <v>#N/A</v>
      </c>
      <c r="L853" t="e">
        <f ca="1"/>
        <v>#N/A</v>
      </c>
      <c r="M853" t="e">
        <f ca="1"/>
        <v>#N/A</v>
      </c>
      <c r="N853" t="e">
        <f ca="1"/>
        <v>#N/A</v>
      </c>
      <c r="O853" t="e">
        <f ca="1"/>
        <v>#N/A</v>
      </c>
      <c r="P853" t="e">
        <f ca="1"/>
        <v>#N/A</v>
      </c>
      <c r="Q853" t="e">
        <f ca="1"/>
        <v>#N/A</v>
      </c>
      <c r="R853" t="e">
        <f ca="1"/>
        <v>#N/A</v>
      </c>
      <c r="S853" t="e">
        <f ca="1"/>
        <v>#N/A</v>
      </c>
      <c r="T853" t="e">
        <f ca="1"/>
        <v>#N/A</v>
      </c>
      <c r="U853" t="e">
        <f ca="1"/>
        <v>#N/A</v>
      </c>
      <c r="V853" t="e">
        <f ca="1"/>
        <v>#N/A</v>
      </c>
      <c r="X853" s="2">
        <f t="shared" ca="1" si="93"/>
        <v>0</v>
      </c>
      <c r="Y853">
        <f t="shared" ca="1" si="94"/>
        <v>0</v>
      </c>
      <c r="AA853" s="63" t="e">
        <f t="shared" ca="1" si="95"/>
        <v>#N/A</v>
      </c>
      <c r="AB853" s="63" t="e">
        <f t="shared" ca="1" si="96"/>
        <v>#N/A</v>
      </c>
      <c r="AC853" s="3" t="e">
        <f t="shared" ca="1" si="97"/>
        <v>#N/A</v>
      </c>
    </row>
    <row r="854" spans="8:29">
      <c r="H854" t="e">
        <f t="shared" ca="1" si="91"/>
        <v>#N/A</v>
      </c>
      <c r="I854" t="e">
        <f t="shared" ca="1" si="92"/>
        <v>#N/A</v>
      </c>
      <c r="J854" t="e">
        <f ca="1"/>
        <v>#N/A</v>
      </c>
      <c r="K854" t="e">
        <f ca="1"/>
        <v>#N/A</v>
      </c>
      <c r="L854" t="e">
        <f ca="1"/>
        <v>#N/A</v>
      </c>
      <c r="M854" t="e">
        <f ca="1"/>
        <v>#N/A</v>
      </c>
      <c r="N854" t="e">
        <f ca="1"/>
        <v>#N/A</v>
      </c>
      <c r="O854" t="e">
        <f ca="1"/>
        <v>#N/A</v>
      </c>
      <c r="P854" t="e">
        <f ca="1"/>
        <v>#N/A</v>
      </c>
      <c r="Q854" t="e">
        <f ca="1"/>
        <v>#N/A</v>
      </c>
      <c r="R854" t="e">
        <f ca="1"/>
        <v>#N/A</v>
      </c>
      <c r="S854" t="e">
        <f ca="1"/>
        <v>#N/A</v>
      </c>
      <c r="T854" t="e">
        <f ca="1"/>
        <v>#N/A</v>
      </c>
      <c r="U854" t="e">
        <f ca="1"/>
        <v>#N/A</v>
      </c>
      <c r="V854" t="e">
        <f ca="1"/>
        <v>#N/A</v>
      </c>
      <c r="X854" s="2">
        <f t="shared" ca="1" si="93"/>
        <v>0</v>
      </c>
      <c r="Y854">
        <f t="shared" ca="1" si="94"/>
        <v>0</v>
      </c>
      <c r="AA854" s="63" t="e">
        <f t="shared" ca="1" si="95"/>
        <v>#N/A</v>
      </c>
      <c r="AB854" s="63" t="e">
        <f t="shared" ca="1" si="96"/>
        <v>#N/A</v>
      </c>
      <c r="AC854" s="3" t="e">
        <f t="shared" ca="1" si="97"/>
        <v>#N/A</v>
      </c>
    </row>
    <row r="855" spans="8:29">
      <c r="H855" t="e">
        <f t="shared" ca="1" si="91"/>
        <v>#N/A</v>
      </c>
      <c r="I855" t="e">
        <f t="shared" ca="1" si="92"/>
        <v>#N/A</v>
      </c>
      <c r="J855" t="e">
        <f ca="1"/>
        <v>#N/A</v>
      </c>
      <c r="K855" t="e">
        <f ca="1"/>
        <v>#N/A</v>
      </c>
      <c r="L855" t="e">
        <f ca="1"/>
        <v>#N/A</v>
      </c>
      <c r="M855" t="e">
        <f ca="1"/>
        <v>#N/A</v>
      </c>
      <c r="N855" t="e">
        <f ca="1"/>
        <v>#N/A</v>
      </c>
      <c r="O855" t="e">
        <f ca="1"/>
        <v>#N/A</v>
      </c>
      <c r="P855" t="e">
        <f ca="1"/>
        <v>#N/A</v>
      </c>
      <c r="Q855" t="e">
        <f ca="1"/>
        <v>#N/A</v>
      </c>
      <c r="R855" t="e">
        <f ca="1"/>
        <v>#N/A</v>
      </c>
      <c r="S855" t="e">
        <f ca="1"/>
        <v>#N/A</v>
      </c>
      <c r="T855" t="e">
        <f ca="1"/>
        <v>#N/A</v>
      </c>
      <c r="U855" t="e">
        <f ca="1"/>
        <v>#N/A</v>
      </c>
      <c r="V855" t="e">
        <f ca="1"/>
        <v>#N/A</v>
      </c>
      <c r="X855" s="2">
        <f t="shared" ca="1" si="93"/>
        <v>0</v>
      </c>
      <c r="Y855">
        <f t="shared" ca="1" si="94"/>
        <v>0</v>
      </c>
      <c r="AA855" s="63" t="e">
        <f t="shared" ca="1" si="95"/>
        <v>#N/A</v>
      </c>
      <c r="AB855" s="63" t="e">
        <f t="shared" ca="1" si="96"/>
        <v>#N/A</v>
      </c>
      <c r="AC855" s="3" t="e">
        <f t="shared" ca="1" si="97"/>
        <v>#N/A</v>
      </c>
    </row>
    <row r="856" spans="8:29">
      <c r="H856" t="e">
        <f t="shared" ca="1" si="91"/>
        <v>#N/A</v>
      </c>
      <c r="I856" t="e">
        <f t="shared" ca="1" si="92"/>
        <v>#N/A</v>
      </c>
      <c r="J856" t="e">
        <f ca="1"/>
        <v>#N/A</v>
      </c>
      <c r="K856" t="e">
        <f ca="1"/>
        <v>#N/A</v>
      </c>
      <c r="L856" t="e">
        <f ca="1"/>
        <v>#N/A</v>
      </c>
      <c r="M856" t="e">
        <f ca="1"/>
        <v>#N/A</v>
      </c>
      <c r="N856" t="e">
        <f ca="1"/>
        <v>#N/A</v>
      </c>
      <c r="O856" t="e">
        <f ca="1"/>
        <v>#N/A</v>
      </c>
      <c r="P856" t="e">
        <f ca="1"/>
        <v>#N/A</v>
      </c>
      <c r="Q856" t="e">
        <f ca="1"/>
        <v>#N/A</v>
      </c>
      <c r="R856" t="e">
        <f ca="1"/>
        <v>#N/A</v>
      </c>
      <c r="S856" t="e">
        <f ca="1"/>
        <v>#N/A</v>
      </c>
      <c r="T856" t="e">
        <f ca="1"/>
        <v>#N/A</v>
      </c>
      <c r="U856" t="e">
        <f ca="1"/>
        <v>#N/A</v>
      </c>
      <c r="V856" t="e">
        <f ca="1"/>
        <v>#N/A</v>
      </c>
      <c r="X856" s="2">
        <f t="shared" ca="1" si="93"/>
        <v>0</v>
      </c>
      <c r="Y856">
        <f t="shared" ca="1" si="94"/>
        <v>0</v>
      </c>
      <c r="AA856" s="63" t="e">
        <f t="shared" ca="1" si="95"/>
        <v>#N/A</v>
      </c>
      <c r="AB856" s="63" t="e">
        <f t="shared" ca="1" si="96"/>
        <v>#N/A</v>
      </c>
      <c r="AC856" s="3" t="e">
        <f t="shared" ca="1" si="97"/>
        <v>#N/A</v>
      </c>
    </row>
    <row r="857" spans="8:29">
      <c r="H857" t="e">
        <f t="shared" ca="1" si="91"/>
        <v>#N/A</v>
      </c>
      <c r="I857" t="e">
        <f t="shared" ca="1" si="92"/>
        <v>#N/A</v>
      </c>
      <c r="J857" t="e">
        <f ca="1"/>
        <v>#N/A</v>
      </c>
      <c r="K857" t="e">
        <f ca="1"/>
        <v>#N/A</v>
      </c>
      <c r="L857" t="e">
        <f ca="1"/>
        <v>#N/A</v>
      </c>
      <c r="M857" t="e">
        <f ca="1"/>
        <v>#N/A</v>
      </c>
      <c r="N857" t="e">
        <f ca="1"/>
        <v>#N/A</v>
      </c>
      <c r="O857" t="e">
        <f ca="1"/>
        <v>#N/A</v>
      </c>
      <c r="P857" t="e">
        <f ca="1"/>
        <v>#N/A</v>
      </c>
      <c r="Q857" t="e">
        <f ca="1"/>
        <v>#N/A</v>
      </c>
      <c r="R857" t="e">
        <f ca="1"/>
        <v>#N/A</v>
      </c>
      <c r="S857" t="e">
        <f ca="1"/>
        <v>#N/A</v>
      </c>
      <c r="T857" t="e">
        <f ca="1"/>
        <v>#N/A</v>
      </c>
      <c r="U857" t="e">
        <f ca="1"/>
        <v>#N/A</v>
      </c>
      <c r="V857" t="e">
        <f ca="1"/>
        <v>#N/A</v>
      </c>
      <c r="X857" s="2">
        <f t="shared" ca="1" si="93"/>
        <v>0</v>
      </c>
      <c r="Y857">
        <f t="shared" ca="1" si="94"/>
        <v>0</v>
      </c>
      <c r="AA857" s="63" t="e">
        <f t="shared" ca="1" si="95"/>
        <v>#N/A</v>
      </c>
      <c r="AB857" s="63" t="e">
        <f t="shared" ca="1" si="96"/>
        <v>#N/A</v>
      </c>
      <c r="AC857" s="3" t="e">
        <f t="shared" ca="1" si="97"/>
        <v>#N/A</v>
      </c>
    </row>
    <row r="858" spans="8:29">
      <c r="H858" t="e">
        <f t="shared" ca="1" si="91"/>
        <v>#N/A</v>
      </c>
      <c r="I858" t="e">
        <f t="shared" ca="1" si="92"/>
        <v>#N/A</v>
      </c>
      <c r="J858" t="e">
        <f ca="1"/>
        <v>#N/A</v>
      </c>
      <c r="K858" t="e">
        <f ca="1"/>
        <v>#N/A</v>
      </c>
      <c r="L858" t="e">
        <f ca="1"/>
        <v>#N/A</v>
      </c>
      <c r="M858" t="e">
        <f ca="1"/>
        <v>#N/A</v>
      </c>
      <c r="N858" t="e">
        <f ca="1"/>
        <v>#N/A</v>
      </c>
      <c r="O858" t="e">
        <f ca="1"/>
        <v>#N/A</v>
      </c>
      <c r="P858" t="e">
        <f ca="1"/>
        <v>#N/A</v>
      </c>
      <c r="Q858" t="e">
        <f ca="1"/>
        <v>#N/A</v>
      </c>
      <c r="R858" t="e">
        <f ca="1"/>
        <v>#N/A</v>
      </c>
      <c r="S858" t="e">
        <f ca="1"/>
        <v>#N/A</v>
      </c>
      <c r="T858" t="e">
        <f ca="1"/>
        <v>#N/A</v>
      </c>
      <c r="U858" t="e">
        <f ca="1"/>
        <v>#N/A</v>
      </c>
      <c r="V858" t="e">
        <f ca="1"/>
        <v>#N/A</v>
      </c>
      <c r="X858" s="2">
        <f t="shared" ca="1" si="93"/>
        <v>0</v>
      </c>
      <c r="Y858">
        <f t="shared" ca="1" si="94"/>
        <v>0</v>
      </c>
      <c r="AA858" s="63" t="e">
        <f t="shared" ca="1" si="95"/>
        <v>#N/A</v>
      </c>
      <c r="AB858" s="63" t="e">
        <f t="shared" ca="1" si="96"/>
        <v>#N/A</v>
      </c>
      <c r="AC858" s="3" t="e">
        <f t="shared" ca="1" si="97"/>
        <v>#N/A</v>
      </c>
    </row>
    <row r="859" spans="8:29">
      <c r="H859" t="e">
        <f t="shared" ca="1" si="91"/>
        <v>#N/A</v>
      </c>
      <c r="I859" t="e">
        <f t="shared" ca="1" si="92"/>
        <v>#N/A</v>
      </c>
      <c r="J859" t="e">
        <f ca="1"/>
        <v>#N/A</v>
      </c>
      <c r="K859" t="e">
        <f ca="1"/>
        <v>#N/A</v>
      </c>
      <c r="L859" t="e">
        <f ca="1"/>
        <v>#N/A</v>
      </c>
      <c r="M859" t="e">
        <f ca="1"/>
        <v>#N/A</v>
      </c>
      <c r="N859" t="e">
        <f ca="1"/>
        <v>#N/A</v>
      </c>
      <c r="O859" t="e">
        <f ca="1"/>
        <v>#N/A</v>
      </c>
      <c r="P859" t="e">
        <f ca="1"/>
        <v>#N/A</v>
      </c>
      <c r="Q859" t="e">
        <f ca="1"/>
        <v>#N/A</v>
      </c>
      <c r="R859" t="e">
        <f ca="1"/>
        <v>#N/A</v>
      </c>
      <c r="S859" t="e">
        <f ca="1"/>
        <v>#N/A</v>
      </c>
      <c r="T859" t="e">
        <f ca="1"/>
        <v>#N/A</v>
      </c>
      <c r="U859" t="e">
        <f ca="1"/>
        <v>#N/A</v>
      </c>
      <c r="V859" t="e">
        <f ca="1"/>
        <v>#N/A</v>
      </c>
      <c r="X859" s="2">
        <f t="shared" ca="1" si="93"/>
        <v>0</v>
      </c>
      <c r="Y859">
        <f t="shared" ca="1" si="94"/>
        <v>0</v>
      </c>
      <c r="AA859" s="63" t="e">
        <f t="shared" ca="1" si="95"/>
        <v>#N/A</v>
      </c>
      <c r="AB859" s="63" t="e">
        <f t="shared" ca="1" si="96"/>
        <v>#N/A</v>
      </c>
      <c r="AC859" s="3" t="e">
        <f t="shared" ca="1" si="97"/>
        <v>#N/A</v>
      </c>
    </row>
    <row r="860" spans="8:29">
      <c r="H860" t="e">
        <f t="shared" ca="1" si="91"/>
        <v>#N/A</v>
      </c>
      <c r="I860" t="e">
        <f t="shared" ca="1" si="92"/>
        <v>#N/A</v>
      </c>
      <c r="J860" t="e">
        <f ca="1"/>
        <v>#N/A</v>
      </c>
      <c r="K860" t="e">
        <f ca="1"/>
        <v>#N/A</v>
      </c>
      <c r="L860" t="e">
        <f ca="1"/>
        <v>#N/A</v>
      </c>
      <c r="M860" t="e">
        <f ca="1"/>
        <v>#N/A</v>
      </c>
      <c r="N860" t="e">
        <f ca="1"/>
        <v>#N/A</v>
      </c>
      <c r="O860" t="e">
        <f ca="1"/>
        <v>#N/A</v>
      </c>
      <c r="P860" t="e">
        <f ca="1"/>
        <v>#N/A</v>
      </c>
      <c r="Q860" t="e">
        <f ca="1"/>
        <v>#N/A</v>
      </c>
      <c r="R860" t="e">
        <f ca="1"/>
        <v>#N/A</v>
      </c>
      <c r="S860" t="e">
        <f ca="1"/>
        <v>#N/A</v>
      </c>
      <c r="T860" t="e">
        <f ca="1"/>
        <v>#N/A</v>
      </c>
      <c r="U860" t="e">
        <f ca="1"/>
        <v>#N/A</v>
      </c>
      <c r="V860" t="e">
        <f ca="1"/>
        <v>#N/A</v>
      </c>
      <c r="X860" s="2">
        <f t="shared" ca="1" si="93"/>
        <v>0</v>
      </c>
      <c r="Y860">
        <f t="shared" ca="1" si="94"/>
        <v>0</v>
      </c>
      <c r="AA860" s="63" t="e">
        <f t="shared" ca="1" si="95"/>
        <v>#N/A</v>
      </c>
      <c r="AB860" s="63" t="e">
        <f t="shared" ca="1" si="96"/>
        <v>#N/A</v>
      </c>
      <c r="AC860" s="3" t="e">
        <f t="shared" ca="1" si="97"/>
        <v>#N/A</v>
      </c>
    </row>
    <row r="861" spans="8:29">
      <c r="H861" t="e">
        <f t="shared" ca="1" si="91"/>
        <v>#N/A</v>
      </c>
      <c r="I861" t="e">
        <f t="shared" ca="1" si="92"/>
        <v>#N/A</v>
      </c>
      <c r="J861" t="e">
        <f ca="1"/>
        <v>#N/A</v>
      </c>
      <c r="K861" t="e">
        <f ca="1"/>
        <v>#N/A</v>
      </c>
      <c r="L861" t="e">
        <f ca="1"/>
        <v>#N/A</v>
      </c>
      <c r="M861" t="e">
        <f ca="1"/>
        <v>#N/A</v>
      </c>
      <c r="N861" t="e">
        <f ca="1"/>
        <v>#N/A</v>
      </c>
      <c r="O861" t="e">
        <f ca="1"/>
        <v>#N/A</v>
      </c>
      <c r="P861" t="e">
        <f ca="1"/>
        <v>#N/A</v>
      </c>
      <c r="Q861" t="e">
        <f ca="1"/>
        <v>#N/A</v>
      </c>
      <c r="R861" t="e">
        <f ca="1"/>
        <v>#N/A</v>
      </c>
      <c r="S861" t="e">
        <f ca="1"/>
        <v>#N/A</v>
      </c>
      <c r="T861" t="e">
        <f ca="1"/>
        <v>#N/A</v>
      </c>
      <c r="U861" t="e">
        <f ca="1"/>
        <v>#N/A</v>
      </c>
      <c r="V861" t="e">
        <f ca="1"/>
        <v>#N/A</v>
      </c>
      <c r="X861" s="2">
        <f t="shared" ca="1" si="93"/>
        <v>0</v>
      </c>
      <c r="Y861">
        <f t="shared" ca="1" si="94"/>
        <v>0</v>
      </c>
      <c r="AA861" s="63" t="e">
        <f t="shared" ca="1" si="95"/>
        <v>#N/A</v>
      </c>
      <c r="AB861" s="63" t="e">
        <f t="shared" ca="1" si="96"/>
        <v>#N/A</v>
      </c>
      <c r="AC861" s="3" t="e">
        <f t="shared" ca="1" si="97"/>
        <v>#N/A</v>
      </c>
    </row>
    <row r="862" spans="8:29">
      <c r="H862" t="e">
        <f t="shared" ca="1" si="91"/>
        <v>#N/A</v>
      </c>
      <c r="I862" t="e">
        <f t="shared" ca="1" si="92"/>
        <v>#N/A</v>
      </c>
      <c r="J862" t="e">
        <f ca="1"/>
        <v>#N/A</v>
      </c>
      <c r="K862" t="e">
        <f ca="1"/>
        <v>#N/A</v>
      </c>
      <c r="L862" t="e">
        <f ca="1"/>
        <v>#N/A</v>
      </c>
      <c r="M862" t="e">
        <f ca="1"/>
        <v>#N/A</v>
      </c>
      <c r="N862" t="e">
        <f ca="1"/>
        <v>#N/A</v>
      </c>
      <c r="O862" t="e">
        <f ca="1"/>
        <v>#N/A</v>
      </c>
      <c r="P862" t="e">
        <f ca="1"/>
        <v>#N/A</v>
      </c>
      <c r="Q862" t="e">
        <f ca="1"/>
        <v>#N/A</v>
      </c>
      <c r="R862" t="e">
        <f ca="1"/>
        <v>#N/A</v>
      </c>
      <c r="S862" t="e">
        <f ca="1"/>
        <v>#N/A</v>
      </c>
      <c r="T862" t="e">
        <f ca="1"/>
        <v>#N/A</v>
      </c>
      <c r="U862" t="e">
        <f ca="1"/>
        <v>#N/A</v>
      </c>
      <c r="V862" t="e">
        <f ca="1"/>
        <v>#N/A</v>
      </c>
      <c r="X862" s="2">
        <f t="shared" ca="1" si="93"/>
        <v>0</v>
      </c>
      <c r="Y862">
        <f t="shared" ca="1" si="94"/>
        <v>0</v>
      </c>
      <c r="AA862" s="63" t="e">
        <f t="shared" ca="1" si="95"/>
        <v>#N/A</v>
      </c>
      <c r="AB862" s="63" t="e">
        <f t="shared" ca="1" si="96"/>
        <v>#N/A</v>
      </c>
      <c r="AC862" s="3" t="e">
        <f t="shared" ca="1" si="97"/>
        <v>#N/A</v>
      </c>
    </row>
    <row r="863" spans="8:29">
      <c r="H863" t="e">
        <f t="shared" ca="1" si="91"/>
        <v>#N/A</v>
      </c>
      <c r="I863" t="e">
        <f t="shared" ca="1" si="92"/>
        <v>#N/A</v>
      </c>
      <c r="J863" t="e">
        <f ca="1"/>
        <v>#N/A</v>
      </c>
      <c r="K863" t="e">
        <f ca="1"/>
        <v>#N/A</v>
      </c>
      <c r="L863" t="e">
        <f ca="1"/>
        <v>#N/A</v>
      </c>
      <c r="M863" t="e">
        <f ca="1"/>
        <v>#N/A</v>
      </c>
      <c r="N863" t="e">
        <f ca="1"/>
        <v>#N/A</v>
      </c>
      <c r="O863" t="e">
        <f ca="1"/>
        <v>#N/A</v>
      </c>
      <c r="P863" t="e">
        <f ca="1"/>
        <v>#N/A</v>
      </c>
      <c r="Q863" t="e">
        <f ca="1"/>
        <v>#N/A</v>
      </c>
      <c r="R863" t="e">
        <f ca="1"/>
        <v>#N/A</v>
      </c>
      <c r="S863" t="e">
        <f ca="1"/>
        <v>#N/A</v>
      </c>
      <c r="T863" t="e">
        <f ca="1"/>
        <v>#N/A</v>
      </c>
      <c r="U863" t="e">
        <f ca="1"/>
        <v>#N/A</v>
      </c>
      <c r="V863" t="e">
        <f ca="1"/>
        <v>#N/A</v>
      </c>
      <c r="X863" s="2">
        <f t="shared" ca="1" si="93"/>
        <v>0</v>
      </c>
      <c r="Y863">
        <f t="shared" ca="1" si="94"/>
        <v>0</v>
      </c>
      <c r="AA863" s="63" t="e">
        <f t="shared" ca="1" si="95"/>
        <v>#N/A</v>
      </c>
      <c r="AB863" s="63" t="e">
        <f t="shared" ca="1" si="96"/>
        <v>#N/A</v>
      </c>
      <c r="AC863" s="3" t="e">
        <f t="shared" ca="1" si="97"/>
        <v>#N/A</v>
      </c>
    </row>
    <row r="864" spans="8:29">
      <c r="H864" t="e">
        <f t="shared" ca="1" si="91"/>
        <v>#N/A</v>
      </c>
      <c r="I864" t="e">
        <f t="shared" ca="1" si="92"/>
        <v>#N/A</v>
      </c>
      <c r="J864" t="e">
        <f ca="1"/>
        <v>#N/A</v>
      </c>
      <c r="K864" t="e">
        <f ca="1"/>
        <v>#N/A</v>
      </c>
      <c r="L864" t="e">
        <f ca="1"/>
        <v>#N/A</v>
      </c>
      <c r="M864" t="e">
        <f ca="1"/>
        <v>#N/A</v>
      </c>
      <c r="N864" t="e">
        <f ca="1"/>
        <v>#N/A</v>
      </c>
      <c r="O864" t="e">
        <f ca="1"/>
        <v>#N/A</v>
      </c>
      <c r="P864" t="e">
        <f ca="1"/>
        <v>#N/A</v>
      </c>
      <c r="Q864" t="e">
        <f ca="1"/>
        <v>#N/A</v>
      </c>
      <c r="R864" t="e">
        <f ca="1"/>
        <v>#N/A</v>
      </c>
      <c r="S864" t="e">
        <f ca="1"/>
        <v>#N/A</v>
      </c>
      <c r="T864" t="e">
        <f ca="1"/>
        <v>#N/A</v>
      </c>
      <c r="U864" t="e">
        <f ca="1"/>
        <v>#N/A</v>
      </c>
      <c r="V864" t="e">
        <f ca="1"/>
        <v>#N/A</v>
      </c>
      <c r="X864" s="2">
        <f t="shared" ca="1" si="93"/>
        <v>0</v>
      </c>
      <c r="Y864">
        <f t="shared" ca="1" si="94"/>
        <v>0</v>
      </c>
      <c r="AA864" s="63" t="e">
        <f t="shared" ca="1" si="95"/>
        <v>#N/A</v>
      </c>
      <c r="AB864" s="63" t="e">
        <f t="shared" ca="1" si="96"/>
        <v>#N/A</v>
      </c>
      <c r="AC864" s="3" t="e">
        <f t="shared" ca="1" si="97"/>
        <v>#N/A</v>
      </c>
    </row>
    <row r="865" spans="8:29">
      <c r="H865" t="e">
        <f t="shared" ca="1" si="91"/>
        <v>#N/A</v>
      </c>
      <c r="I865" t="e">
        <f t="shared" ca="1" si="92"/>
        <v>#N/A</v>
      </c>
      <c r="J865" t="e">
        <f ca="1"/>
        <v>#N/A</v>
      </c>
      <c r="K865" t="e">
        <f ca="1"/>
        <v>#N/A</v>
      </c>
      <c r="L865" t="e">
        <f ca="1"/>
        <v>#N/A</v>
      </c>
      <c r="M865" t="e">
        <f ca="1"/>
        <v>#N/A</v>
      </c>
      <c r="N865" t="e">
        <f ca="1"/>
        <v>#N/A</v>
      </c>
      <c r="O865" t="e">
        <f ca="1"/>
        <v>#N/A</v>
      </c>
      <c r="P865" t="e">
        <f ca="1"/>
        <v>#N/A</v>
      </c>
      <c r="Q865" t="e">
        <f ca="1"/>
        <v>#N/A</v>
      </c>
      <c r="R865" t="e">
        <f ca="1"/>
        <v>#N/A</v>
      </c>
      <c r="S865" t="e">
        <f ca="1"/>
        <v>#N/A</v>
      </c>
      <c r="T865" t="e">
        <f ca="1"/>
        <v>#N/A</v>
      </c>
      <c r="U865" t="e">
        <f ca="1"/>
        <v>#N/A</v>
      </c>
      <c r="V865" t="e">
        <f ca="1"/>
        <v>#N/A</v>
      </c>
      <c r="X865" s="2">
        <f t="shared" ca="1" si="93"/>
        <v>0</v>
      </c>
      <c r="Y865">
        <f t="shared" ca="1" si="94"/>
        <v>0</v>
      </c>
      <c r="AA865" s="63" t="e">
        <f t="shared" ca="1" si="95"/>
        <v>#N/A</v>
      </c>
      <c r="AB865" s="63" t="e">
        <f t="shared" ca="1" si="96"/>
        <v>#N/A</v>
      </c>
      <c r="AC865" s="3" t="e">
        <f t="shared" ca="1" si="97"/>
        <v>#N/A</v>
      </c>
    </row>
    <row r="866" spans="8:29">
      <c r="H866" t="e">
        <f t="shared" ca="1" si="91"/>
        <v>#N/A</v>
      </c>
      <c r="I866" t="e">
        <f t="shared" ca="1" si="92"/>
        <v>#N/A</v>
      </c>
      <c r="J866" t="e">
        <f ca="1"/>
        <v>#N/A</v>
      </c>
      <c r="K866" t="e">
        <f ca="1"/>
        <v>#N/A</v>
      </c>
      <c r="L866" t="e">
        <f ca="1"/>
        <v>#N/A</v>
      </c>
      <c r="M866" t="e">
        <f ca="1"/>
        <v>#N/A</v>
      </c>
      <c r="N866" t="e">
        <f ca="1"/>
        <v>#N/A</v>
      </c>
      <c r="O866" t="e">
        <f ca="1"/>
        <v>#N/A</v>
      </c>
      <c r="P866" t="e">
        <f ca="1"/>
        <v>#N/A</v>
      </c>
      <c r="Q866" t="e">
        <f ca="1"/>
        <v>#N/A</v>
      </c>
      <c r="R866" t="e">
        <f ca="1"/>
        <v>#N/A</v>
      </c>
      <c r="S866" t="e">
        <f ca="1"/>
        <v>#N/A</v>
      </c>
      <c r="T866" t="e">
        <f ca="1"/>
        <v>#N/A</v>
      </c>
      <c r="U866" t="e">
        <f ca="1"/>
        <v>#N/A</v>
      </c>
      <c r="V866" t="e">
        <f ca="1"/>
        <v>#N/A</v>
      </c>
      <c r="X866" s="2">
        <f t="shared" ca="1" si="93"/>
        <v>0</v>
      </c>
      <c r="Y866">
        <f t="shared" ca="1" si="94"/>
        <v>0</v>
      </c>
      <c r="AA866" s="63" t="e">
        <f t="shared" ca="1" si="95"/>
        <v>#N/A</v>
      </c>
      <c r="AB866" s="63" t="e">
        <f t="shared" ca="1" si="96"/>
        <v>#N/A</v>
      </c>
      <c r="AC866" s="3" t="e">
        <f t="shared" ca="1" si="97"/>
        <v>#N/A</v>
      </c>
    </row>
    <row r="867" spans="8:29">
      <c r="H867" t="e">
        <f t="shared" ca="1" si="91"/>
        <v>#N/A</v>
      </c>
      <c r="I867" t="e">
        <f t="shared" ca="1" si="92"/>
        <v>#N/A</v>
      </c>
      <c r="J867" t="e">
        <f ca="1"/>
        <v>#N/A</v>
      </c>
      <c r="K867" t="e">
        <f ca="1"/>
        <v>#N/A</v>
      </c>
      <c r="L867" t="e">
        <f ca="1"/>
        <v>#N/A</v>
      </c>
      <c r="M867" t="e">
        <f ca="1"/>
        <v>#N/A</v>
      </c>
      <c r="N867" t="e">
        <f ca="1"/>
        <v>#N/A</v>
      </c>
      <c r="O867" t="e">
        <f ca="1"/>
        <v>#N/A</v>
      </c>
      <c r="P867" t="e">
        <f ca="1"/>
        <v>#N/A</v>
      </c>
      <c r="Q867" t="e">
        <f ca="1"/>
        <v>#N/A</v>
      </c>
      <c r="R867" t="e">
        <f ca="1"/>
        <v>#N/A</v>
      </c>
      <c r="S867" t="e">
        <f ca="1"/>
        <v>#N/A</v>
      </c>
      <c r="T867" t="e">
        <f ca="1"/>
        <v>#N/A</v>
      </c>
      <c r="U867" t="e">
        <f ca="1"/>
        <v>#N/A</v>
      </c>
      <c r="V867" t="e">
        <f ca="1"/>
        <v>#N/A</v>
      </c>
      <c r="X867" s="2">
        <f t="shared" ca="1" si="93"/>
        <v>0</v>
      </c>
      <c r="Y867">
        <f t="shared" ca="1" si="94"/>
        <v>0</v>
      </c>
      <c r="AA867" s="63" t="e">
        <f t="shared" ca="1" si="95"/>
        <v>#N/A</v>
      </c>
      <c r="AB867" s="63" t="e">
        <f t="shared" ca="1" si="96"/>
        <v>#N/A</v>
      </c>
      <c r="AC867" s="3" t="e">
        <f t="shared" ca="1" si="97"/>
        <v>#N/A</v>
      </c>
    </row>
    <row r="868" spans="8:29">
      <c r="H868" t="e">
        <f t="shared" ca="1" si="91"/>
        <v>#N/A</v>
      </c>
      <c r="I868" t="e">
        <f t="shared" ca="1" si="92"/>
        <v>#N/A</v>
      </c>
      <c r="J868" t="e">
        <f ca="1"/>
        <v>#N/A</v>
      </c>
      <c r="K868" t="e">
        <f ca="1"/>
        <v>#N/A</v>
      </c>
      <c r="L868" t="e">
        <f ca="1"/>
        <v>#N/A</v>
      </c>
      <c r="M868" t="e">
        <f ca="1"/>
        <v>#N/A</v>
      </c>
      <c r="N868" t="e">
        <f ca="1"/>
        <v>#N/A</v>
      </c>
      <c r="O868" t="e">
        <f ca="1"/>
        <v>#N/A</v>
      </c>
      <c r="P868" t="e">
        <f ca="1"/>
        <v>#N/A</v>
      </c>
      <c r="Q868" t="e">
        <f ca="1"/>
        <v>#N/A</v>
      </c>
      <c r="R868" t="e">
        <f ca="1"/>
        <v>#N/A</v>
      </c>
      <c r="S868" t="e">
        <f ca="1"/>
        <v>#N/A</v>
      </c>
      <c r="T868" t="e">
        <f ca="1"/>
        <v>#N/A</v>
      </c>
      <c r="U868" t="e">
        <f ca="1"/>
        <v>#N/A</v>
      </c>
      <c r="V868" t="e">
        <f ca="1"/>
        <v>#N/A</v>
      </c>
      <c r="X868" s="2">
        <f t="shared" ca="1" si="93"/>
        <v>0</v>
      </c>
      <c r="Y868">
        <f t="shared" ca="1" si="94"/>
        <v>0</v>
      </c>
      <c r="AA868" s="63" t="e">
        <f t="shared" ca="1" si="95"/>
        <v>#N/A</v>
      </c>
      <c r="AB868" s="63" t="e">
        <f t="shared" ca="1" si="96"/>
        <v>#N/A</v>
      </c>
      <c r="AC868" s="3" t="e">
        <f t="shared" ca="1" si="97"/>
        <v>#N/A</v>
      </c>
    </row>
    <row r="869" spans="8:29">
      <c r="H869" t="e">
        <f t="shared" ca="1" si="91"/>
        <v>#N/A</v>
      </c>
      <c r="I869" t="e">
        <f t="shared" ca="1" si="92"/>
        <v>#N/A</v>
      </c>
      <c r="J869" t="e">
        <f ca="1"/>
        <v>#N/A</v>
      </c>
      <c r="K869" t="e">
        <f ca="1"/>
        <v>#N/A</v>
      </c>
      <c r="L869" t="e">
        <f ca="1"/>
        <v>#N/A</v>
      </c>
      <c r="M869" t="e">
        <f ca="1"/>
        <v>#N/A</v>
      </c>
      <c r="N869" t="e">
        <f ca="1"/>
        <v>#N/A</v>
      </c>
      <c r="O869" t="e">
        <f ca="1"/>
        <v>#N/A</v>
      </c>
      <c r="P869" t="e">
        <f ca="1"/>
        <v>#N/A</v>
      </c>
      <c r="Q869" t="e">
        <f ca="1"/>
        <v>#N/A</v>
      </c>
      <c r="R869" t="e">
        <f ca="1"/>
        <v>#N/A</v>
      </c>
      <c r="S869" t="e">
        <f ca="1"/>
        <v>#N/A</v>
      </c>
      <c r="T869" t="e">
        <f ca="1"/>
        <v>#N/A</v>
      </c>
      <c r="U869" t="e">
        <f ca="1"/>
        <v>#N/A</v>
      </c>
      <c r="V869" t="e">
        <f ca="1"/>
        <v>#N/A</v>
      </c>
      <c r="X869" s="2">
        <f t="shared" ca="1" si="93"/>
        <v>0</v>
      </c>
      <c r="Y869">
        <f t="shared" ca="1" si="94"/>
        <v>0</v>
      </c>
      <c r="AA869" s="63" t="e">
        <f t="shared" ca="1" si="95"/>
        <v>#N/A</v>
      </c>
      <c r="AB869" s="63" t="e">
        <f t="shared" ca="1" si="96"/>
        <v>#N/A</v>
      </c>
      <c r="AC869" s="3" t="e">
        <f t="shared" ca="1" si="97"/>
        <v>#N/A</v>
      </c>
    </row>
    <row r="870" spans="8:29">
      <c r="H870" t="e">
        <f t="shared" ca="1" si="91"/>
        <v>#N/A</v>
      </c>
      <c r="I870" t="e">
        <f t="shared" ca="1" si="92"/>
        <v>#N/A</v>
      </c>
      <c r="J870" t="e">
        <f ca="1"/>
        <v>#N/A</v>
      </c>
      <c r="K870" t="e">
        <f ca="1"/>
        <v>#N/A</v>
      </c>
      <c r="L870" t="e">
        <f ca="1"/>
        <v>#N/A</v>
      </c>
      <c r="M870" t="e">
        <f ca="1"/>
        <v>#N/A</v>
      </c>
      <c r="N870" t="e">
        <f ca="1"/>
        <v>#N/A</v>
      </c>
      <c r="O870" t="e">
        <f ca="1"/>
        <v>#N/A</v>
      </c>
      <c r="P870" t="e">
        <f ca="1"/>
        <v>#N/A</v>
      </c>
      <c r="Q870" t="e">
        <f ca="1"/>
        <v>#N/A</v>
      </c>
      <c r="R870" t="e">
        <f ca="1"/>
        <v>#N/A</v>
      </c>
      <c r="S870" t="e">
        <f ca="1"/>
        <v>#N/A</v>
      </c>
      <c r="T870" t="e">
        <f ca="1"/>
        <v>#N/A</v>
      </c>
      <c r="U870" t="e">
        <f ca="1"/>
        <v>#N/A</v>
      </c>
      <c r="V870" t="e">
        <f ca="1"/>
        <v>#N/A</v>
      </c>
      <c r="X870" s="2">
        <f t="shared" ca="1" si="93"/>
        <v>0</v>
      </c>
      <c r="Y870">
        <f t="shared" ca="1" si="94"/>
        <v>0</v>
      </c>
      <c r="AA870" s="63" t="e">
        <f t="shared" ca="1" si="95"/>
        <v>#N/A</v>
      </c>
      <c r="AB870" s="63" t="e">
        <f t="shared" ca="1" si="96"/>
        <v>#N/A</v>
      </c>
      <c r="AC870" s="3" t="e">
        <f t="shared" ca="1" si="97"/>
        <v>#N/A</v>
      </c>
    </row>
    <row r="871" spans="8:29">
      <c r="H871" t="e">
        <f t="shared" ca="1" si="91"/>
        <v>#N/A</v>
      </c>
      <c r="I871" t="e">
        <f t="shared" ca="1" si="92"/>
        <v>#N/A</v>
      </c>
      <c r="J871" t="e">
        <f ca="1"/>
        <v>#N/A</v>
      </c>
      <c r="K871" t="e">
        <f ca="1"/>
        <v>#N/A</v>
      </c>
      <c r="L871" t="e">
        <f ca="1"/>
        <v>#N/A</v>
      </c>
      <c r="M871" t="e">
        <f ca="1"/>
        <v>#N/A</v>
      </c>
      <c r="N871" t="e">
        <f ca="1"/>
        <v>#N/A</v>
      </c>
      <c r="O871" t="e">
        <f ca="1"/>
        <v>#N/A</v>
      </c>
      <c r="P871" t="e">
        <f ca="1"/>
        <v>#N/A</v>
      </c>
      <c r="Q871" t="e">
        <f ca="1"/>
        <v>#N/A</v>
      </c>
      <c r="R871" t="e">
        <f ca="1"/>
        <v>#N/A</v>
      </c>
      <c r="S871" t="e">
        <f ca="1"/>
        <v>#N/A</v>
      </c>
      <c r="T871" t="e">
        <f ca="1"/>
        <v>#N/A</v>
      </c>
      <c r="U871" t="e">
        <f ca="1"/>
        <v>#N/A</v>
      </c>
      <c r="V871" t="e">
        <f ca="1"/>
        <v>#N/A</v>
      </c>
      <c r="X871" s="2">
        <f t="shared" ca="1" si="93"/>
        <v>0</v>
      </c>
      <c r="Y871">
        <f t="shared" ca="1" si="94"/>
        <v>0</v>
      </c>
      <c r="AA871" s="63" t="e">
        <f t="shared" ca="1" si="95"/>
        <v>#N/A</v>
      </c>
      <c r="AB871" s="63" t="e">
        <f t="shared" ca="1" si="96"/>
        <v>#N/A</v>
      </c>
      <c r="AC871" s="3" t="e">
        <f t="shared" ca="1" si="97"/>
        <v>#N/A</v>
      </c>
    </row>
    <row r="872" spans="8:29">
      <c r="H872" t="e">
        <f t="shared" ca="1" si="91"/>
        <v>#N/A</v>
      </c>
      <c r="I872" t="e">
        <f t="shared" ca="1" si="92"/>
        <v>#N/A</v>
      </c>
      <c r="J872" t="e">
        <f ca="1"/>
        <v>#N/A</v>
      </c>
      <c r="K872" t="e">
        <f ca="1"/>
        <v>#N/A</v>
      </c>
      <c r="L872" t="e">
        <f ca="1"/>
        <v>#N/A</v>
      </c>
      <c r="M872" t="e">
        <f ca="1"/>
        <v>#N/A</v>
      </c>
      <c r="N872" t="e">
        <f ca="1"/>
        <v>#N/A</v>
      </c>
      <c r="O872" t="e">
        <f ca="1"/>
        <v>#N/A</v>
      </c>
      <c r="P872" t="e">
        <f ca="1"/>
        <v>#N/A</v>
      </c>
      <c r="Q872" t="e">
        <f ca="1"/>
        <v>#N/A</v>
      </c>
      <c r="R872" t="e">
        <f ca="1"/>
        <v>#N/A</v>
      </c>
      <c r="S872" t="e">
        <f ca="1"/>
        <v>#N/A</v>
      </c>
      <c r="T872" t="e">
        <f ca="1"/>
        <v>#N/A</v>
      </c>
      <c r="U872" t="e">
        <f ca="1"/>
        <v>#N/A</v>
      </c>
      <c r="V872" t="e">
        <f ca="1"/>
        <v>#N/A</v>
      </c>
      <c r="X872" s="2">
        <f t="shared" ca="1" si="93"/>
        <v>0</v>
      </c>
      <c r="Y872">
        <f t="shared" ca="1" si="94"/>
        <v>0</v>
      </c>
      <c r="AA872" s="63" t="e">
        <f t="shared" ca="1" si="95"/>
        <v>#N/A</v>
      </c>
      <c r="AB872" s="63" t="e">
        <f t="shared" ca="1" si="96"/>
        <v>#N/A</v>
      </c>
      <c r="AC872" s="3" t="e">
        <f t="shared" ca="1" si="97"/>
        <v>#N/A</v>
      </c>
    </row>
    <row r="873" spans="8:29">
      <c r="H873" t="e">
        <f t="shared" ca="1" si="91"/>
        <v>#N/A</v>
      </c>
      <c r="I873" t="e">
        <f t="shared" ca="1" si="92"/>
        <v>#N/A</v>
      </c>
      <c r="J873" t="e">
        <f ca="1"/>
        <v>#N/A</v>
      </c>
      <c r="K873" t="e">
        <f ca="1"/>
        <v>#N/A</v>
      </c>
      <c r="L873" t="e">
        <f ca="1"/>
        <v>#N/A</v>
      </c>
      <c r="M873" t="e">
        <f ca="1"/>
        <v>#N/A</v>
      </c>
      <c r="N873" t="e">
        <f ca="1"/>
        <v>#N/A</v>
      </c>
      <c r="O873" t="e">
        <f ca="1"/>
        <v>#N/A</v>
      </c>
      <c r="P873" t="e">
        <f ca="1"/>
        <v>#N/A</v>
      </c>
      <c r="Q873" t="e">
        <f ca="1"/>
        <v>#N/A</v>
      </c>
      <c r="R873" t="e">
        <f ca="1"/>
        <v>#N/A</v>
      </c>
      <c r="S873" t="e">
        <f ca="1"/>
        <v>#N/A</v>
      </c>
      <c r="T873" t="e">
        <f ca="1"/>
        <v>#N/A</v>
      </c>
      <c r="U873" t="e">
        <f ca="1"/>
        <v>#N/A</v>
      </c>
      <c r="V873" t="e">
        <f ca="1"/>
        <v>#N/A</v>
      </c>
      <c r="X873" s="2">
        <f t="shared" ca="1" si="93"/>
        <v>0</v>
      </c>
      <c r="Y873">
        <f t="shared" ca="1" si="94"/>
        <v>0</v>
      </c>
      <c r="AA873" s="63" t="e">
        <f t="shared" ca="1" si="95"/>
        <v>#N/A</v>
      </c>
      <c r="AB873" s="63" t="e">
        <f t="shared" ca="1" si="96"/>
        <v>#N/A</v>
      </c>
      <c r="AC873" s="3" t="e">
        <f t="shared" ca="1" si="97"/>
        <v>#N/A</v>
      </c>
    </row>
    <row r="874" spans="8:29">
      <c r="H874" t="e">
        <f t="shared" ca="1" si="91"/>
        <v>#N/A</v>
      </c>
      <c r="I874" t="e">
        <f t="shared" ca="1" si="92"/>
        <v>#N/A</v>
      </c>
      <c r="J874" t="e">
        <f ca="1"/>
        <v>#N/A</v>
      </c>
      <c r="K874" t="e">
        <f ca="1"/>
        <v>#N/A</v>
      </c>
      <c r="L874" t="e">
        <f ca="1"/>
        <v>#N/A</v>
      </c>
      <c r="M874" t="e">
        <f ca="1"/>
        <v>#N/A</v>
      </c>
      <c r="N874" t="e">
        <f ca="1"/>
        <v>#N/A</v>
      </c>
      <c r="O874" t="e">
        <f ca="1"/>
        <v>#N/A</v>
      </c>
      <c r="P874" t="e">
        <f ca="1"/>
        <v>#N/A</v>
      </c>
      <c r="Q874" t="e">
        <f ca="1"/>
        <v>#N/A</v>
      </c>
      <c r="R874" t="e">
        <f ca="1"/>
        <v>#N/A</v>
      </c>
      <c r="S874" t="e">
        <f ca="1"/>
        <v>#N/A</v>
      </c>
      <c r="T874" t="e">
        <f ca="1"/>
        <v>#N/A</v>
      </c>
      <c r="U874" t="e">
        <f ca="1"/>
        <v>#N/A</v>
      </c>
      <c r="V874" t="e">
        <f ca="1"/>
        <v>#N/A</v>
      </c>
      <c r="X874" s="2">
        <f t="shared" ca="1" si="93"/>
        <v>0</v>
      </c>
      <c r="Y874">
        <f t="shared" ca="1" si="94"/>
        <v>0</v>
      </c>
      <c r="AA874" s="63" t="e">
        <f t="shared" ca="1" si="95"/>
        <v>#N/A</v>
      </c>
      <c r="AB874" s="63" t="e">
        <f t="shared" ca="1" si="96"/>
        <v>#N/A</v>
      </c>
      <c r="AC874" s="3" t="e">
        <f t="shared" ca="1" si="97"/>
        <v>#N/A</v>
      </c>
    </row>
    <row r="875" spans="8:29">
      <c r="H875" t="e">
        <f t="shared" ca="1" si="91"/>
        <v>#N/A</v>
      </c>
      <c r="I875" t="e">
        <f t="shared" ca="1" si="92"/>
        <v>#N/A</v>
      </c>
      <c r="J875" t="e">
        <f ca="1"/>
        <v>#N/A</v>
      </c>
      <c r="K875" t="e">
        <f ca="1"/>
        <v>#N/A</v>
      </c>
      <c r="L875" t="e">
        <f ca="1"/>
        <v>#N/A</v>
      </c>
      <c r="M875" t="e">
        <f ca="1"/>
        <v>#N/A</v>
      </c>
      <c r="N875" t="e">
        <f ca="1"/>
        <v>#N/A</v>
      </c>
      <c r="O875" t="e">
        <f ca="1"/>
        <v>#N/A</v>
      </c>
      <c r="P875" t="e">
        <f ca="1"/>
        <v>#N/A</v>
      </c>
      <c r="Q875" t="e">
        <f ca="1"/>
        <v>#N/A</v>
      </c>
      <c r="R875" t="e">
        <f ca="1"/>
        <v>#N/A</v>
      </c>
      <c r="S875" t="e">
        <f ca="1"/>
        <v>#N/A</v>
      </c>
      <c r="T875" t="e">
        <f ca="1"/>
        <v>#N/A</v>
      </c>
      <c r="U875" t="e">
        <f ca="1"/>
        <v>#N/A</v>
      </c>
      <c r="V875" t="e">
        <f ca="1"/>
        <v>#N/A</v>
      </c>
      <c r="X875" s="2">
        <f t="shared" ca="1" si="93"/>
        <v>0</v>
      </c>
      <c r="Y875">
        <f t="shared" ca="1" si="94"/>
        <v>0</v>
      </c>
      <c r="AA875" s="63" t="e">
        <f t="shared" ca="1" si="95"/>
        <v>#N/A</v>
      </c>
      <c r="AB875" s="63" t="e">
        <f t="shared" ca="1" si="96"/>
        <v>#N/A</v>
      </c>
      <c r="AC875" s="3" t="e">
        <f t="shared" ca="1" si="97"/>
        <v>#N/A</v>
      </c>
    </row>
    <row r="876" spans="8:29">
      <c r="H876" t="e">
        <f t="shared" ca="1" si="91"/>
        <v>#N/A</v>
      </c>
      <c r="I876" t="e">
        <f t="shared" ca="1" si="92"/>
        <v>#N/A</v>
      </c>
      <c r="J876" t="e">
        <f ca="1"/>
        <v>#N/A</v>
      </c>
      <c r="K876" t="e">
        <f ca="1"/>
        <v>#N/A</v>
      </c>
      <c r="L876" t="e">
        <f ca="1"/>
        <v>#N/A</v>
      </c>
      <c r="M876" t="e">
        <f ca="1"/>
        <v>#N/A</v>
      </c>
      <c r="N876" t="e">
        <f ca="1"/>
        <v>#N/A</v>
      </c>
      <c r="O876" t="e">
        <f ca="1"/>
        <v>#N/A</v>
      </c>
      <c r="P876" t="e">
        <f ca="1"/>
        <v>#N/A</v>
      </c>
      <c r="Q876" t="e">
        <f ca="1"/>
        <v>#N/A</v>
      </c>
      <c r="R876" t="e">
        <f ca="1"/>
        <v>#N/A</v>
      </c>
      <c r="S876" t="e">
        <f ca="1"/>
        <v>#N/A</v>
      </c>
      <c r="T876" t="e">
        <f ca="1"/>
        <v>#N/A</v>
      </c>
      <c r="U876" t="e">
        <f ca="1"/>
        <v>#N/A</v>
      </c>
      <c r="V876" t="e">
        <f ca="1"/>
        <v>#N/A</v>
      </c>
      <c r="X876" s="2">
        <f t="shared" ca="1" si="93"/>
        <v>0</v>
      </c>
      <c r="Y876">
        <f t="shared" ca="1" si="94"/>
        <v>0</v>
      </c>
      <c r="AA876" s="63" t="e">
        <f t="shared" ca="1" si="95"/>
        <v>#N/A</v>
      </c>
      <c r="AB876" s="63" t="e">
        <f t="shared" ca="1" si="96"/>
        <v>#N/A</v>
      </c>
      <c r="AC876" s="3" t="e">
        <f t="shared" ca="1" si="97"/>
        <v>#N/A</v>
      </c>
    </row>
    <row r="877" spans="8:29">
      <c r="H877" t="e">
        <f t="shared" ca="1" si="91"/>
        <v>#N/A</v>
      </c>
      <c r="I877" t="e">
        <f t="shared" ca="1" si="92"/>
        <v>#N/A</v>
      </c>
      <c r="J877" t="e">
        <f ca="1"/>
        <v>#N/A</v>
      </c>
      <c r="K877" t="e">
        <f ca="1"/>
        <v>#N/A</v>
      </c>
      <c r="L877" t="e">
        <f ca="1"/>
        <v>#N/A</v>
      </c>
      <c r="M877" t="e">
        <f ca="1"/>
        <v>#N/A</v>
      </c>
      <c r="N877" t="e">
        <f ca="1"/>
        <v>#N/A</v>
      </c>
      <c r="O877" t="e">
        <f ca="1"/>
        <v>#N/A</v>
      </c>
      <c r="P877" t="e">
        <f ca="1"/>
        <v>#N/A</v>
      </c>
      <c r="Q877" t="e">
        <f ca="1"/>
        <v>#N/A</v>
      </c>
      <c r="R877" t="e">
        <f ca="1"/>
        <v>#N/A</v>
      </c>
      <c r="S877" t="e">
        <f ca="1"/>
        <v>#N/A</v>
      </c>
      <c r="T877" t="e">
        <f ca="1"/>
        <v>#N/A</v>
      </c>
      <c r="U877" t="e">
        <f ca="1"/>
        <v>#N/A</v>
      </c>
      <c r="V877" t="e">
        <f ca="1"/>
        <v>#N/A</v>
      </c>
      <c r="X877" s="2">
        <f t="shared" ca="1" si="93"/>
        <v>0</v>
      </c>
      <c r="Y877">
        <f t="shared" ca="1" si="94"/>
        <v>0</v>
      </c>
      <c r="AA877" s="63" t="e">
        <f t="shared" ca="1" si="95"/>
        <v>#N/A</v>
      </c>
      <c r="AB877" s="63" t="e">
        <f t="shared" ca="1" si="96"/>
        <v>#N/A</v>
      </c>
      <c r="AC877" s="3" t="e">
        <f t="shared" ca="1" si="97"/>
        <v>#N/A</v>
      </c>
    </row>
    <row r="878" spans="8:29">
      <c r="H878" t="e">
        <f t="shared" ca="1" si="91"/>
        <v>#N/A</v>
      </c>
      <c r="I878" t="e">
        <f t="shared" ca="1" si="92"/>
        <v>#N/A</v>
      </c>
      <c r="J878" t="e">
        <f ca="1"/>
        <v>#N/A</v>
      </c>
      <c r="K878" t="e">
        <f ca="1"/>
        <v>#N/A</v>
      </c>
      <c r="L878" t="e">
        <f ca="1"/>
        <v>#N/A</v>
      </c>
      <c r="M878" t="e">
        <f ca="1"/>
        <v>#N/A</v>
      </c>
      <c r="N878" t="e">
        <f ca="1"/>
        <v>#N/A</v>
      </c>
      <c r="O878" t="e">
        <f ca="1"/>
        <v>#N/A</v>
      </c>
      <c r="P878" t="e">
        <f ca="1"/>
        <v>#N/A</v>
      </c>
      <c r="Q878" t="e">
        <f ca="1"/>
        <v>#N/A</v>
      </c>
      <c r="R878" t="e">
        <f ca="1"/>
        <v>#N/A</v>
      </c>
      <c r="S878" t="e">
        <f ca="1"/>
        <v>#N/A</v>
      </c>
      <c r="T878" t="e">
        <f ca="1"/>
        <v>#N/A</v>
      </c>
      <c r="U878" t="e">
        <f ca="1"/>
        <v>#N/A</v>
      </c>
      <c r="V878" t="e">
        <f ca="1"/>
        <v>#N/A</v>
      </c>
      <c r="X878" s="2">
        <f t="shared" ca="1" si="93"/>
        <v>0</v>
      </c>
      <c r="Y878">
        <f t="shared" ca="1" si="94"/>
        <v>0</v>
      </c>
      <c r="AA878" s="63" t="e">
        <f t="shared" ca="1" si="95"/>
        <v>#N/A</v>
      </c>
      <c r="AB878" s="63" t="e">
        <f t="shared" ca="1" si="96"/>
        <v>#N/A</v>
      </c>
      <c r="AC878" s="3" t="e">
        <f t="shared" ca="1" si="97"/>
        <v>#N/A</v>
      </c>
    </row>
    <row r="879" spans="8:29">
      <c r="H879" t="e">
        <f t="shared" ca="1" si="91"/>
        <v>#N/A</v>
      </c>
      <c r="I879" t="e">
        <f t="shared" ca="1" si="92"/>
        <v>#N/A</v>
      </c>
      <c r="J879" t="e">
        <f ca="1"/>
        <v>#N/A</v>
      </c>
      <c r="K879" t="e">
        <f ca="1"/>
        <v>#N/A</v>
      </c>
      <c r="L879" t="e">
        <f ca="1"/>
        <v>#N/A</v>
      </c>
      <c r="M879" t="e">
        <f ca="1"/>
        <v>#N/A</v>
      </c>
      <c r="N879" t="e">
        <f ca="1"/>
        <v>#N/A</v>
      </c>
      <c r="O879" t="e">
        <f ca="1"/>
        <v>#N/A</v>
      </c>
      <c r="P879" t="e">
        <f ca="1"/>
        <v>#N/A</v>
      </c>
      <c r="Q879" t="e">
        <f ca="1"/>
        <v>#N/A</v>
      </c>
      <c r="R879" t="e">
        <f ca="1"/>
        <v>#N/A</v>
      </c>
      <c r="S879" t="e">
        <f ca="1"/>
        <v>#N/A</v>
      </c>
      <c r="T879" t="e">
        <f ca="1"/>
        <v>#N/A</v>
      </c>
      <c r="U879" t="e">
        <f ca="1"/>
        <v>#N/A</v>
      </c>
      <c r="V879" t="e">
        <f ca="1"/>
        <v>#N/A</v>
      </c>
      <c r="X879" s="2">
        <f t="shared" ca="1" si="93"/>
        <v>0</v>
      </c>
      <c r="Y879">
        <f t="shared" ca="1" si="94"/>
        <v>0</v>
      </c>
      <c r="AA879" s="63" t="e">
        <f t="shared" ca="1" si="95"/>
        <v>#N/A</v>
      </c>
      <c r="AB879" s="63" t="e">
        <f t="shared" ca="1" si="96"/>
        <v>#N/A</v>
      </c>
      <c r="AC879" s="3" t="e">
        <f t="shared" ca="1" si="97"/>
        <v>#N/A</v>
      </c>
    </row>
    <row r="880" spans="8:29">
      <c r="H880" t="e">
        <f t="shared" ca="1" si="91"/>
        <v>#N/A</v>
      </c>
      <c r="I880" t="e">
        <f t="shared" ca="1" si="92"/>
        <v>#N/A</v>
      </c>
      <c r="J880" t="e">
        <f ca="1"/>
        <v>#N/A</v>
      </c>
      <c r="K880" t="e">
        <f ca="1"/>
        <v>#N/A</v>
      </c>
      <c r="L880" t="e">
        <f ca="1"/>
        <v>#N/A</v>
      </c>
      <c r="M880" t="e">
        <f ca="1"/>
        <v>#N/A</v>
      </c>
      <c r="N880" t="e">
        <f ca="1"/>
        <v>#N/A</v>
      </c>
      <c r="O880" t="e">
        <f ca="1"/>
        <v>#N/A</v>
      </c>
      <c r="P880" t="e">
        <f ca="1"/>
        <v>#N/A</v>
      </c>
      <c r="Q880" t="e">
        <f ca="1"/>
        <v>#N/A</v>
      </c>
      <c r="R880" t="e">
        <f ca="1"/>
        <v>#N/A</v>
      </c>
      <c r="S880" t="e">
        <f ca="1"/>
        <v>#N/A</v>
      </c>
      <c r="T880" t="e">
        <f ca="1"/>
        <v>#N/A</v>
      </c>
      <c r="U880" t="e">
        <f ca="1"/>
        <v>#N/A</v>
      </c>
      <c r="V880" t="e">
        <f ca="1"/>
        <v>#N/A</v>
      </c>
      <c r="X880" s="2">
        <f t="shared" ca="1" si="93"/>
        <v>0</v>
      </c>
      <c r="Y880">
        <f t="shared" ca="1" si="94"/>
        <v>0</v>
      </c>
      <c r="AA880" s="63" t="e">
        <f t="shared" ca="1" si="95"/>
        <v>#N/A</v>
      </c>
      <c r="AB880" s="63" t="e">
        <f t="shared" ca="1" si="96"/>
        <v>#N/A</v>
      </c>
      <c r="AC880" s="3" t="e">
        <f t="shared" ca="1" si="97"/>
        <v>#N/A</v>
      </c>
    </row>
    <row r="881" spans="8:29">
      <c r="H881" t="e">
        <f t="shared" ref="H881:H944" ca="1" si="98">IF(J881&lt;$J$4,TRUE,FALSE)</f>
        <v>#N/A</v>
      </c>
      <c r="I881" t="e">
        <f t="shared" ref="I881:I944" ca="1" si="99">AND(IF(J881&gt;($J$3-1),TRUE,FALSE),IF(J881&lt;($J$4+1),TRUE,FALSE))</f>
        <v>#N/A</v>
      </c>
      <c r="J881" t="e">
        <f ca="1"/>
        <v>#N/A</v>
      </c>
      <c r="K881" t="e">
        <f ca="1"/>
        <v>#N/A</v>
      </c>
      <c r="L881" t="e">
        <f ca="1"/>
        <v>#N/A</v>
      </c>
      <c r="M881" t="e">
        <f ca="1"/>
        <v>#N/A</v>
      </c>
      <c r="N881" t="e">
        <f ca="1"/>
        <v>#N/A</v>
      </c>
      <c r="O881" t="e">
        <f ca="1"/>
        <v>#N/A</v>
      </c>
      <c r="P881" t="e">
        <f ca="1"/>
        <v>#N/A</v>
      </c>
      <c r="Q881" t="e">
        <f ca="1"/>
        <v>#N/A</v>
      </c>
      <c r="R881" t="e">
        <f ca="1"/>
        <v>#N/A</v>
      </c>
      <c r="S881" t="e">
        <f ca="1"/>
        <v>#N/A</v>
      </c>
      <c r="T881" t="e">
        <f ca="1"/>
        <v>#N/A</v>
      </c>
      <c r="U881" t="e">
        <f ca="1"/>
        <v>#N/A</v>
      </c>
      <c r="V881" t="e">
        <f ca="1"/>
        <v>#N/A</v>
      </c>
      <c r="X881" s="2">
        <f t="shared" ref="X881:X944" ca="1" si="100">IFERROR(J881,$X$5)</f>
        <v>0</v>
      </c>
      <c r="Y881">
        <f t="shared" ref="Y881:Y944" ca="1" si="101">IFERROR(O881,0)</f>
        <v>0</v>
      </c>
      <c r="AA881" s="63" t="e">
        <f t="shared" ref="AA881:AA944" ca="1" si="102">K880+M881+N881+O881</f>
        <v>#N/A</v>
      </c>
      <c r="AB881" s="63" t="e">
        <f t="shared" ref="AB881:AB944" ca="1" si="103">K881+L881+R881</f>
        <v>#N/A</v>
      </c>
      <c r="AC881" s="3" t="e">
        <f t="shared" ref="AC881:AC944" ca="1" si="104">AB881-AA881</f>
        <v>#N/A</v>
      </c>
    </row>
    <row r="882" spans="8:29">
      <c r="H882" t="e">
        <f t="shared" ca="1" si="98"/>
        <v>#N/A</v>
      </c>
      <c r="I882" t="e">
        <f t="shared" ca="1" si="99"/>
        <v>#N/A</v>
      </c>
      <c r="J882" t="e">
        <f ca="1"/>
        <v>#N/A</v>
      </c>
      <c r="K882" t="e">
        <f ca="1"/>
        <v>#N/A</v>
      </c>
      <c r="L882" t="e">
        <f ca="1"/>
        <v>#N/A</v>
      </c>
      <c r="M882" t="e">
        <f ca="1"/>
        <v>#N/A</v>
      </c>
      <c r="N882" t="e">
        <f ca="1"/>
        <v>#N/A</v>
      </c>
      <c r="O882" t="e">
        <f ca="1"/>
        <v>#N/A</v>
      </c>
      <c r="P882" t="e">
        <f ca="1"/>
        <v>#N/A</v>
      </c>
      <c r="Q882" t="e">
        <f ca="1"/>
        <v>#N/A</v>
      </c>
      <c r="R882" t="e">
        <f ca="1"/>
        <v>#N/A</v>
      </c>
      <c r="S882" t="e">
        <f ca="1"/>
        <v>#N/A</v>
      </c>
      <c r="T882" t="e">
        <f ca="1"/>
        <v>#N/A</v>
      </c>
      <c r="U882" t="e">
        <f ca="1"/>
        <v>#N/A</v>
      </c>
      <c r="V882" t="e">
        <f ca="1"/>
        <v>#N/A</v>
      </c>
      <c r="X882" s="2">
        <f t="shared" ca="1" si="100"/>
        <v>0</v>
      </c>
      <c r="Y882">
        <f t="shared" ca="1" si="101"/>
        <v>0</v>
      </c>
      <c r="AA882" s="63" t="e">
        <f t="shared" ca="1" si="102"/>
        <v>#N/A</v>
      </c>
      <c r="AB882" s="63" t="e">
        <f t="shared" ca="1" si="103"/>
        <v>#N/A</v>
      </c>
      <c r="AC882" s="3" t="e">
        <f t="shared" ca="1" si="104"/>
        <v>#N/A</v>
      </c>
    </row>
    <row r="883" spans="8:29">
      <c r="H883" t="e">
        <f t="shared" ca="1" si="98"/>
        <v>#N/A</v>
      </c>
      <c r="I883" t="e">
        <f t="shared" ca="1" si="99"/>
        <v>#N/A</v>
      </c>
      <c r="J883" t="e">
        <f ca="1"/>
        <v>#N/A</v>
      </c>
      <c r="K883" t="e">
        <f ca="1"/>
        <v>#N/A</v>
      </c>
      <c r="L883" t="e">
        <f ca="1"/>
        <v>#N/A</v>
      </c>
      <c r="M883" t="e">
        <f ca="1"/>
        <v>#N/A</v>
      </c>
      <c r="N883" t="e">
        <f ca="1"/>
        <v>#N/A</v>
      </c>
      <c r="O883" t="e">
        <f ca="1"/>
        <v>#N/A</v>
      </c>
      <c r="P883" t="e">
        <f ca="1"/>
        <v>#N/A</v>
      </c>
      <c r="Q883" t="e">
        <f ca="1"/>
        <v>#N/A</v>
      </c>
      <c r="R883" t="e">
        <f ca="1"/>
        <v>#N/A</v>
      </c>
      <c r="S883" t="e">
        <f ca="1"/>
        <v>#N/A</v>
      </c>
      <c r="T883" t="e">
        <f ca="1"/>
        <v>#N/A</v>
      </c>
      <c r="U883" t="e">
        <f ca="1"/>
        <v>#N/A</v>
      </c>
      <c r="V883" t="e">
        <f ca="1"/>
        <v>#N/A</v>
      </c>
      <c r="X883" s="2">
        <f t="shared" ca="1" si="100"/>
        <v>0</v>
      </c>
      <c r="Y883">
        <f t="shared" ca="1" si="101"/>
        <v>0</v>
      </c>
      <c r="AA883" s="63" t="e">
        <f t="shared" ca="1" si="102"/>
        <v>#N/A</v>
      </c>
      <c r="AB883" s="63" t="e">
        <f t="shared" ca="1" si="103"/>
        <v>#N/A</v>
      </c>
      <c r="AC883" s="3" t="e">
        <f t="shared" ca="1" si="104"/>
        <v>#N/A</v>
      </c>
    </row>
    <row r="884" spans="8:29">
      <c r="H884" t="e">
        <f t="shared" ca="1" si="98"/>
        <v>#N/A</v>
      </c>
      <c r="I884" t="e">
        <f t="shared" ca="1" si="99"/>
        <v>#N/A</v>
      </c>
      <c r="J884" t="e">
        <f ca="1"/>
        <v>#N/A</v>
      </c>
      <c r="K884" t="e">
        <f ca="1"/>
        <v>#N/A</v>
      </c>
      <c r="L884" t="e">
        <f ca="1"/>
        <v>#N/A</v>
      </c>
      <c r="M884" t="e">
        <f ca="1"/>
        <v>#N/A</v>
      </c>
      <c r="N884" t="e">
        <f ca="1"/>
        <v>#N/A</v>
      </c>
      <c r="O884" t="e">
        <f ca="1"/>
        <v>#N/A</v>
      </c>
      <c r="P884" t="e">
        <f ca="1"/>
        <v>#N/A</v>
      </c>
      <c r="Q884" t="e">
        <f ca="1"/>
        <v>#N/A</v>
      </c>
      <c r="R884" t="e">
        <f ca="1"/>
        <v>#N/A</v>
      </c>
      <c r="S884" t="e">
        <f ca="1"/>
        <v>#N/A</v>
      </c>
      <c r="T884" t="e">
        <f ca="1"/>
        <v>#N/A</v>
      </c>
      <c r="U884" t="e">
        <f ca="1"/>
        <v>#N/A</v>
      </c>
      <c r="V884" t="e">
        <f ca="1"/>
        <v>#N/A</v>
      </c>
      <c r="X884" s="2">
        <f t="shared" ca="1" si="100"/>
        <v>0</v>
      </c>
      <c r="Y884">
        <f t="shared" ca="1" si="101"/>
        <v>0</v>
      </c>
      <c r="AA884" s="63" t="e">
        <f t="shared" ca="1" si="102"/>
        <v>#N/A</v>
      </c>
      <c r="AB884" s="63" t="e">
        <f t="shared" ca="1" si="103"/>
        <v>#N/A</v>
      </c>
      <c r="AC884" s="3" t="e">
        <f t="shared" ca="1" si="104"/>
        <v>#N/A</v>
      </c>
    </row>
    <row r="885" spans="8:29">
      <c r="H885" t="e">
        <f t="shared" ca="1" si="98"/>
        <v>#N/A</v>
      </c>
      <c r="I885" t="e">
        <f t="shared" ca="1" si="99"/>
        <v>#N/A</v>
      </c>
      <c r="J885" t="e">
        <f ca="1"/>
        <v>#N/A</v>
      </c>
      <c r="K885" t="e">
        <f ca="1"/>
        <v>#N/A</v>
      </c>
      <c r="L885" t="e">
        <f ca="1"/>
        <v>#N/A</v>
      </c>
      <c r="M885" t="e">
        <f ca="1"/>
        <v>#N/A</v>
      </c>
      <c r="N885" t="e">
        <f ca="1"/>
        <v>#N/A</v>
      </c>
      <c r="O885" t="e">
        <f ca="1"/>
        <v>#N/A</v>
      </c>
      <c r="P885" t="e">
        <f ca="1"/>
        <v>#N/A</v>
      </c>
      <c r="Q885" t="e">
        <f ca="1"/>
        <v>#N/A</v>
      </c>
      <c r="R885" t="e">
        <f ca="1"/>
        <v>#N/A</v>
      </c>
      <c r="S885" t="e">
        <f ca="1"/>
        <v>#N/A</v>
      </c>
      <c r="T885" t="e">
        <f ca="1"/>
        <v>#N/A</v>
      </c>
      <c r="U885" t="e">
        <f ca="1"/>
        <v>#N/A</v>
      </c>
      <c r="V885" t="e">
        <f ca="1"/>
        <v>#N/A</v>
      </c>
      <c r="X885" s="2">
        <f t="shared" ca="1" si="100"/>
        <v>0</v>
      </c>
      <c r="Y885">
        <f t="shared" ca="1" si="101"/>
        <v>0</v>
      </c>
      <c r="AA885" s="63" t="e">
        <f t="shared" ca="1" si="102"/>
        <v>#N/A</v>
      </c>
      <c r="AB885" s="63" t="e">
        <f t="shared" ca="1" si="103"/>
        <v>#N/A</v>
      </c>
      <c r="AC885" s="3" t="e">
        <f t="shared" ca="1" si="104"/>
        <v>#N/A</v>
      </c>
    </row>
    <row r="886" spans="8:29">
      <c r="H886" t="e">
        <f t="shared" ca="1" si="98"/>
        <v>#N/A</v>
      </c>
      <c r="I886" t="e">
        <f t="shared" ca="1" si="99"/>
        <v>#N/A</v>
      </c>
      <c r="J886" t="e">
        <f ca="1"/>
        <v>#N/A</v>
      </c>
      <c r="K886" t="e">
        <f ca="1"/>
        <v>#N/A</v>
      </c>
      <c r="L886" t="e">
        <f ca="1"/>
        <v>#N/A</v>
      </c>
      <c r="M886" t="e">
        <f ca="1"/>
        <v>#N/A</v>
      </c>
      <c r="N886" t="e">
        <f ca="1"/>
        <v>#N/A</v>
      </c>
      <c r="O886" t="e">
        <f ca="1"/>
        <v>#N/A</v>
      </c>
      <c r="P886" t="e">
        <f ca="1"/>
        <v>#N/A</v>
      </c>
      <c r="Q886" t="e">
        <f ca="1"/>
        <v>#N/A</v>
      </c>
      <c r="R886" t="e">
        <f ca="1"/>
        <v>#N/A</v>
      </c>
      <c r="S886" t="e">
        <f ca="1"/>
        <v>#N/A</v>
      </c>
      <c r="T886" t="e">
        <f ca="1"/>
        <v>#N/A</v>
      </c>
      <c r="U886" t="e">
        <f ca="1"/>
        <v>#N/A</v>
      </c>
      <c r="V886" t="e">
        <f ca="1"/>
        <v>#N/A</v>
      </c>
      <c r="X886" s="2">
        <f t="shared" ca="1" si="100"/>
        <v>0</v>
      </c>
      <c r="Y886">
        <f t="shared" ca="1" si="101"/>
        <v>0</v>
      </c>
      <c r="AA886" s="63" t="e">
        <f t="shared" ca="1" si="102"/>
        <v>#N/A</v>
      </c>
      <c r="AB886" s="63" t="e">
        <f t="shared" ca="1" si="103"/>
        <v>#N/A</v>
      </c>
      <c r="AC886" s="3" t="e">
        <f t="shared" ca="1" si="104"/>
        <v>#N/A</v>
      </c>
    </row>
    <row r="887" spans="8:29">
      <c r="H887" t="e">
        <f t="shared" ca="1" si="98"/>
        <v>#N/A</v>
      </c>
      <c r="I887" t="e">
        <f t="shared" ca="1" si="99"/>
        <v>#N/A</v>
      </c>
      <c r="J887" t="e">
        <f ca="1"/>
        <v>#N/A</v>
      </c>
      <c r="K887" t="e">
        <f ca="1"/>
        <v>#N/A</v>
      </c>
      <c r="L887" t="e">
        <f ca="1"/>
        <v>#N/A</v>
      </c>
      <c r="M887" t="e">
        <f ca="1"/>
        <v>#N/A</v>
      </c>
      <c r="N887" t="e">
        <f ca="1"/>
        <v>#N/A</v>
      </c>
      <c r="O887" t="e">
        <f ca="1"/>
        <v>#N/A</v>
      </c>
      <c r="P887" t="e">
        <f ca="1"/>
        <v>#N/A</v>
      </c>
      <c r="Q887" t="e">
        <f ca="1"/>
        <v>#N/A</v>
      </c>
      <c r="R887" t="e">
        <f ca="1"/>
        <v>#N/A</v>
      </c>
      <c r="S887" t="e">
        <f ca="1"/>
        <v>#N/A</v>
      </c>
      <c r="T887" t="e">
        <f ca="1"/>
        <v>#N/A</v>
      </c>
      <c r="U887" t="e">
        <f ca="1"/>
        <v>#N/A</v>
      </c>
      <c r="V887" t="e">
        <f ca="1"/>
        <v>#N/A</v>
      </c>
      <c r="X887" s="2">
        <f t="shared" ca="1" si="100"/>
        <v>0</v>
      </c>
      <c r="Y887">
        <f t="shared" ca="1" si="101"/>
        <v>0</v>
      </c>
      <c r="AA887" s="63" t="e">
        <f t="shared" ca="1" si="102"/>
        <v>#N/A</v>
      </c>
      <c r="AB887" s="63" t="e">
        <f t="shared" ca="1" si="103"/>
        <v>#N/A</v>
      </c>
      <c r="AC887" s="3" t="e">
        <f t="shared" ca="1" si="104"/>
        <v>#N/A</v>
      </c>
    </row>
    <row r="888" spans="8:29">
      <c r="H888" t="e">
        <f t="shared" ca="1" si="98"/>
        <v>#N/A</v>
      </c>
      <c r="I888" t="e">
        <f t="shared" ca="1" si="99"/>
        <v>#N/A</v>
      </c>
      <c r="J888" t="e">
        <f ca="1"/>
        <v>#N/A</v>
      </c>
      <c r="K888" t="e">
        <f ca="1"/>
        <v>#N/A</v>
      </c>
      <c r="L888" t="e">
        <f ca="1"/>
        <v>#N/A</v>
      </c>
      <c r="M888" t="e">
        <f ca="1"/>
        <v>#N/A</v>
      </c>
      <c r="N888" t="e">
        <f ca="1"/>
        <v>#N/A</v>
      </c>
      <c r="O888" t="e">
        <f ca="1"/>
        <v>#N/A</v>
      </c>
      <c r="P888" t="e">
        <f ca="1"/>
        <v>#N/A</v>
      </c>
      <c r="Q888" t="e">
        <f ca="1"/>
        <v>#N/A</v>
      </c>
      <c r="R888" t="e">
        <f ca="1"/>
        <v>#N/A</v>
      </c>
      <c r="S888" t="e">
        <f ca="1"/>
        <v>#N/A</v>
      </c>
      <c r="T888" t="e">
        <f ca="1"/>
        <v>#N/A</v>
      </c>
      <c r="U888" t="e">
        <f ca="1"/>
        <v>#N/A</v>
      </c>
      <c r="V888" t="e">
        <f ca="1"/>
        <v>#N/A</v>
      </c>
      <c r="X888" s="2">
        <f t="shared" ca="1" si="100"/>
        <v>0</v>
      </c>
      <c r="Y888">
        <f t="shared" ca="1" si="101"/>
        <v>0</v>
      </c>
      <c r="AA888" s="63" t="e">
        <f t="shared" ca="1" si="102"/>
        <v>#N/A</v>
      </c>
      <c r="AB888" s="63" t="e">
        <f t="shared" ca="1" si="103"/>
        <v>#N/A</v>
      </c>
      <c r="AC888" s="3" t="e">
        <f t="shared" ca="1" si="104"/>
        <v>#N/A</v>
      </c>
    </row>
    <row r="889" spans="8:29">
      <c r="H889" t="e">
        <f t="shared" ca="1" si="98"/>
        <v>#N/A</v>
      </c>
      <c r="I889" t="e">
        <f t="shared" ca="1" si="99"/>
        <v>#N/A</v>
      </c>
      <c r="J889" t="e">
        <f ca="1"/>
        <v>#N/A</v>
      </c>
      <c r="K889" t="e">
        <f ca="1"/>
        <v>#N/A</v>
      </c>
      <c r="L889" t="e">
        <f ca="1"/>
        <v>#N/A</v>
      </c>
      <c r="M889" t="e">
        <f ca="1"/>
        <v>#N/A</v>
      </c>
      <c r="N889" t="e">
        <f ca="1"/>
        <v>#N/A</v>
      </c>
      <c r="O889" t="e">
        <f ca="1"/>
        <v>#N/A</v>
      </c>
      <c r="P889" t="e">
        <f ca="1"/>
        <v>#N/A</v>
      </c>
      <c r="Q889" t="e">
        <f ca="1"/>
        <v>#N/A</v>
      </c>
      <c r="R889" t="e">
        <f ca="1"/>
        <v>#N/A</v>
      </c>
      <c r="S889" t="e">
        <f ca="1"/>
        <v>#N/A</v>
      </c>
      <c r="T889" t="e">
        <f ca="1"/>
        <v>#N/A</v>
      </c>
      <c r="U889" t="e">
        <f ca="1"/>
        <v>#N/A</v>
      </c>
      <c r="V889" t="e">
        <f ca="1"/>
        <v>#N/A</v>
      </c>
      <c r="X889" s="2">
        <f t="shared" ca="1" si="100"/>
        <v>0</v>
      </c>
      <c r="Y889">
        <f t="shared" ca="1" si="101"/>
        <v>0</v>
      </c>
      <c r="AA889" s="63" t="e">
        <f t="shared" ca="1" si="102"/>
        <v>#N/A</v>
      </c>
      <c r="AB889" s="63" t="e">
        <f t="shared" ca="1" si="103"/>
        <v>#N/A</v>
      </c>
      <c r="AC889" s="3" t="e">
        <f t="shared" ca="1" si="104"/>
        <v>#N/A</v>
      </c>
    </row>
    <row r="890" spans="8:29">
      <c r="H890" t="e">
        <f t="shared" ca="1" si="98"/>
        <v>#N/A</v>
      </c>
      <c r="I890" t="e">
        <f t="shared" ca="1" si="99"/>
        <v>#N/A</v>
      </c>
      <c r="J890" t="e">
        <f ca="1"/>
        <v>#N/A</v>
      </c>
      <c r="K890" t="e">
        <f ca="1"/>
        <v>#N/A</v>
      </c>
      <c r="L890" t="e">
        <f ca="1"/>
        <v>#N/A</v>
      </c>
      <c r="M890" t="e">
        <f ca="1"/>
        <v>#N/A</v>
      </c>
      <c r="N890" t="e">
        <f ca="1"/>
        <v>#N/A</v>
      </c>
      <c r="O890" t="e">
        <f ca="1"/>
        <v>#N/A</v>
      </c>
      <c r="P890" t="e">
        <f ca="1"/>
        <v>#N/A</v>
      </c>
      <c r="Q890" t="e">
        <f ca="1"/>
        <v>#N/A</v>
      </c>
      <c r="R890" t="e">
        <f ca="1"/>
        <v>#N/A</v>
      </c>
      <c r="S890" t="e">
        <f ca="1"/>
        <v>#N/A</v>
      </c>
      <c r="T890" t="e">
        <f ca="1"/>
        <v>#N/A</v>
      </c>
      <c r="U890" t="e">
        <f ca="1"/>
        <v>#N/A</v>
      </c>
      <c r="V890" t="e">
        <f ca="1"/>
        <v>#N/A</v>
      </c>
      <c r="X890" s="2">
        <f t="shared" ca="1" si="100"/>
        <v>0</v>
      </c>
      <c r="Y890">
        <f t="shared" ca="1" si="101"/>
        <v>0</v>
      </c>
      <c r="AA890" s="63" t="e">
        <f t="shared" ca="1" si="102"/>
        <v>#N/A</v>
      </c>
      <c r="AB890" s="63" t="e">
        <f t="shared" ca="1" si="103"/>
        <v>#N/A</v>
      </c>
      <c r="AC890" s="3" t="e">
        <f t="shared" ca="1" si="104"/>
        <v>#N/A</v>
      </c>
    </row>
    <row r="891" spans="8:29">
      <c r="H891" t="e">
        <f t="shared" ca="1" si="98"/>
        <v>#N/A</v>
      </c>
      <c r="I891" t="e">
        <f t="shared" ca="1" si="99"/>
        <v>#N/A</v>
      </c>
      <c r="J891" t="e">
        <f ca="1"/>
        <v>#N/A</v>
      </c>
      <c r="K891" t="e">
        <f ca="1"/>
        <v>#N/A</v>
      </c>
      <c r="L891" t="e">
        <f ca="1"/>
        <v>#N/A</v>
      </c>
      <c r="M891" t="e">
        <f ca="1"/>
        <v>#N/A</v>
      </c>
      <c r="N891" t="e">
        <f ca="1"/>
        <v>#N/A</v>
      </c>
      <c r="O891" t="e">
        <f ca="1"/>
        <v>#N/A</v>
      </c>
      <c r="P891" t="e">
        <f ca="1"/>
        <v>#N/A</v>
      </c>
      <c r="Q891" t="e">
        <f ca="1"/>
        <v>#N/A</v>
      </c>
      <c r="R891" t="e">
        <f ca="1"/>
        <v>#N/A</v>
      </c>
      <c r="S891" t="e">
        <f ca="1"/>
        <v>#N/A</v>
      </c>
      <c r="T891" t="e">
        <f ca="1"/>
        <v>#N/A</v>
      </c>
      <c r="U891" t="e">
        <f ca="1"/>
        <v>#N/A</v>
      </c>
      <c r="V891" t="e">
        <f ca="1"/>
        <v>#N/A</v>
      </c>
      <c r="X891" s="2">
        <f t="shared" ca="1" si="100"/>
        <v>0</v>
      </c>
      <c r="Y891">
        <f t="shared" ca="1" si="101"/>
        <v>0</v>
      </c>
      <c r="AA891" s="63" t="e">
        <f t="shared" ca="1" si="102"/>
        <v>#N/A</v>
      </c>
      <c r="AB891" s="63" t="e">
        <f t="shared" ca="1" si="103"/>
        <v>#N/A</v>
      </c>
      <c r="AC891" s="3" t="e">
        <f t="shared" ca="1" si="104"/>
        <v>#N/A</v>
      </c>
    </row>
    <row r="892" spans="8:29">
      <c r="H892" t="e">
        <f t="shared" ca="1" si="98"/>
        <v>#N/A</v>
      </c>
      <c r="I892" t="e">
        <f t="shared" ca="1" si="99"/>
        <v>#N/A</v>
      </c>
      <c r="J892" t="e">
        <f ca="1"/>
        <v>#N/A</v>
      </c>
      <c r="K892" t="e">
        <f ca="1"/>
        <v>#N/A</v>
      </c>
      <c r="L892" t="e">
        <f ca="1"/>
        <v>#N/A</v>
      </c>
      <c r="M892" t="e">
        <f ca="1"/>
        <v>#N/A</v>
      </c>
      <c r="N892" t="e">
        <f ca="1"/>
        <v>#N/A</v>
      </c>
      <c r="O892" t="e">
        <f ca="1"/>
        <v>#N/A</v>
      </c>
      <c r="P892" t="e">
        <f ca="1"/>
        <v>#N/A</v>
      </c>
      <c r="Q892" t="e">
        <f ca="1"/>
        <v>#N/A</v>
      </c>
      <c r="R892" t="e">
        <f ca="1"/>
        <v>#N/A</v>
      </c>
      <c r="S892" t="e">
        <f ca="1"/>
        <v>#N/A</v>
      </c>
      <c r="T892" t="e">
        <f ca="1"/>
        <v>#N/A</v>
      </c>
      <c r="U892" t="e">
        <f ca="1"/>
        <v>#N/A</v>
      </c>
      <c r="V892" t="e">
        <f ca="1"/>
        <v>#N/A</v>
      </c>
      <c r="X892" s="2">
        <f t="shared" ca="1" si="100"/>
        <v>0</v>
      </c>
      <c r="Y892">
        <f t="shared" ca="1" si="101"/>
        <v>0</v>
      </c>
      <c r="AA892" s="63" t="e">
        <f t="shared" ca="1" si="102"/>
        <v>#N/A</v>
      </c>
      <c r="AB892" s="63" t="e">
        <f t="shared" ca="1" si="103"/>
        <v>#N/A</v>
      </c>
      <c r="AC892" s="3" t="e">
        <f t="shared" ca="1" si="104"/>
        <v>#N/A</v>
      </c>
    </row>
    <row r="893" spans="8:29">
      <c r="H893" t="e">
        <f t="shared" ca="1" si="98"/>
        <v>#N/A</v>
      </c>
      <c r="I893" t="e">
        <f t="shared" ca="1" si="99"/>
        <v>#N/A</v>
      </c>
      <c r="J893" t="e">
        <f ca="1"/>
        <v>#N/A</v>
      </c>
      <c r="K893" t="e">
        <f ca="1"/>
        <v>#N/A</v>
      </c>
      <c r="L893" t="e">
        <f ca="1"/>
        <v>#N/A</v>
      </c>
      <c r="M893" t="e">
        <f ca="1"/>
        <v>#N/A</v>
      </c>
      <c r="N893" t="e">
        <f ca="1"/>
        <v>#N/A</v>
      </c>
      <c r="O893" t="e">
        <f ca="1"/>
        <v>#N/A</v>
      </c>
      <c r="P893" t="e">
        <f ca="1"/>
        <v>#N/A</v>
      </c>
      <c r="Q893" t="e">
        <f ca="1"/>
        <v>#N/A</v>
      </c>
      <c r="R893" t="e">
        <f ca="1"/>
        <v>#N/A</v>
      </c>
      <c r="S893" t="e">
        <f ca="1"/>
        <v>#N/A</v>
      </c>
      <c r="T893" t="e">
        <f ca="1"/>
        <v>#N/A</v>
      </c>
      <c r="U893" t="e">
        <f ca="1"/>
        <v>#N/A</v>
      </c>
      <c r="V893" t="e">
        <f ca="1"/>
        <v>#N/A</v>
      </c>
      <c r="X893" s="2">
        <f t="shared" ca="1" si="100"/>
        <v>0</v>
      </c>
      <c r="Y893">
        <f t="shared" ca="1" si="101"/>
        <v>0</v>
      </c>
      <c r="AA893" s="63" t="e">
        <f t="shared" ca="1" si="102"/>
        <v>#N/A</v>
      </c>
      <c r="AB893" s="63" t="e">
        <f t="shared" ca="1" si="103"/>
        <v>#N/A</v>
      </c>
      <c r="AC893" s="3" t="e">
        <f t="shared" ca="1" si="104"/>
        <v>#N/A</v>
      </c>
    </row>
    <row r="894" spans="8:29">
      <c r="H894" t="e">
        <f t="shared" ca="1" si="98"/>
        <v>#N/A</v>
      </c>
      <c r="I894" t="e">
        <f t="shared" ca="1" si="99"/>
        <v>#N/A</v>
      </c>
      <c r="J894" t="e">
        <f ca="1"/>
        <v>#N/A</v>
      </c>
      <c r="K894" t="e">
        <f ca="1"/>
        <v>#N/A</v>
      </c>
      <c r="L894" t="e">
        <f ca="1"/>
        <v>#N/A</v>
      </c>
      <c r="M894" t="e">
        <f ca="1"/>
        <v>#N/A</v>
      </c>
      <c r="N894" t="e">
        <f ca="1"/>
        <v>#N/A</v>
      </c>
      <c r="O894" t="e">
        <f ca="1"/>
        <v>#N/A</v>
      </c>
      <c r="P894" t="e">
        <f ca="1"/>
        <v>#N/A</v>
      </c>
      <c r="Q894" t="e">
        <f ca="1"/>
        <v>#N/A</v>
      </c>
      <c r="R894" t="e">
        <f ca="1"/>
        <v>#N/A</v>
      </c>
      <c r="S894" t="e">
        <f ca="1"/>
        <v>#N/A</v>
      </c>
      <c r="T894" t="e">
        <f ca="1"/>
        <v>#N/A</v>
      </c>
      <c r="U894" t="e">
        <f ca="1"/>
        <v>#N/A</v>
      </c>
      <c r="V894" t="e">
        <f ca="1"/>
        <v>#N/A</v>
      </c>
      <c r="X894" s="2">
        <f t="shared" ca="1" si="100"/>
        <v>0</v>
      </c>
      <c r="Y894">
        <f t="shared" ca="1" si="101"/>
        <v>0</v>
      </c>
      <c r="AA894" s="63" t="e">
        <f t="shared" ca="1" si="102"/>
        <v>#N/A</v>
      </c>
      <c r="AB894" s="63" t="e">
        <f t="shared" ca="1" si="103"/>
        <v>#N/A</v>
      </c>
      <c r="AC894" s="3" t="e">
        <f t="shared" ca="1" si="104"/>
        <v>#N/A</v>
      </c>
    </row>
    <row r="895" spans="8:29">
      <c r="H895" t="e">
        <f t="shared" ca="1" si="98"/>
        <v>#N/A</v>
      </c>
      <c r="I895" t="e">
        <f t="shared" ca="1" si="99"/>
        <v>#N/A</v>
      </c>
      <c r="J895" t="e">
        <f ca="1"/>
        <v>#N/A</v>
      </c>
      <c r="K895" t="e">
        <f ca="1"/>
        <v>#N/A</v>
      </c>
      <c r="L895" t="e">
        <f ca="1"/>
        <v>#N/A</v>
      </c>
      <c r="M895" t="e">
        <f ca="1"/>
        <v>#N/A</v>
      </c>
      <c r="N895" t="e">
        <f ca="1"/>
        <v>#N/A</v>
      </c>
      <c r="O895" t="e">
        <f ca="1"/>
        <v>#N/A</v>
      </c>
      <c r="P895" t="e">
        <f ca="1"/>
        <v>#N/A</v>
      </c>
      <c r="Q895" t="e">
        <f ca="1"/>
        <v>#N/A</v>
      </c>
      <c r="R895" t="e">
        <f ca="1"/>
        <v>#N/A</v>
      </c>
      <c r="S895" t="e">
        <f ca="1"/>
        <v>#N/A</v>
      </c>
      <c r="T895" t="e">
        <f ca="1"/>
        <v>#N/A</v>
      </c>
      <c r="U895" t="e">
        <f ca="1"/>
        <v>#N/A</v>
      </c>
      <c r="V895" t="e">
        <f ca="1"/>
        <v>#N/A</v>
      </c>
      <c r="X895" s="2">
        <f t="shared" ca="1" si="100"/>
        <v>0</v>
      </c>
      <c r="Y895">
        <f t="shared" ca="1" si="101"/>
        <v>0</v>
      </c>
      <c r="AA895" s="63" t="e">
        <f t="shared" ca="1" si="102"/>
        <v>#N/A</v>
      </c>
      <c r="AB895" s="63" t="e">
        <f t="shared" ca="1" si="103"/>
        <v>#N/A</v>
      </c>
      <c r="AC895" s="3" t="e">
        <f t="shared" ca="1" si="104"/>
        <v>#N/A</v>
      </c>
    </row>
    <row r="896" spans="8:29">
      <c r="H896" t="e">
        <f t="shared" ca="1" si="98"/>
        <v>#N/A</v>
      </c>
      <c r="I896" t="e">
        <f t="shared" ca="1" si="99"/>
        <v>#N/A</v>
      </c>
      <c r="J896" t="e">
        <f ca="1"/>
        <v>#N/A</v>
      </c>
      <c r="K896" t="e">
        <f ca="1"/>
        <v>#N/A</v>
      </c>
      <c r="L896" t="e">
        <f ca="1"/>
        <v>#N/A</v>
      </c>
      <c r="M896" t="e">
        <f ca="1"/>
        <v>#N/A</v>
      </c>
      <c r="N896" t="e">
        <f ca="1"/>
        <v>#N/A</v>
      </c>
      <c r="O896" t="e">
        <f ca="1"/>
        <v>#N/A</v>
      </c>
      <c r="P896" t="e">
        <f ca="1"/>
        <v>#N/A</v>
      </c>
      <c r="Q896" t="e">
        <f ca="1"/>
        <v>#N/A</v>
      </c>
      <c r="R896" t="e">
        <f ca="1"/>
        <v>#N/A</v>
      </c>
      <c r="S896" t="e">
        <f ca="1"/>
        <v>#N/A</v>
      </c>
      <c r="T896" t="e">
        <f ca="1"/>
        <v>#N/A</v>
      </c>
      <c r="U896" t="e">
        <f ca="1"/>
        <v>#N/A</v>
      </c>
      <c r="V896" t="e">
        <f ca="1"/>
        <v>#N/A</v>
      </c>
      <c r="X896" s="2">
        <f t="shared" ca="1" si="100"/>
        <v>0</v>
      </c>
      <c r="Y896">
        <f t="shared" ca="1" si="101"/>
        <v>0</v>
      </c>
      <c r="AA896" s="63" t="e">
        <f t="shared" ca="1" si="102"/>
        <v>#N/A</v>
      </c>
      <c r="AB896" s="63" t="e">
        <f t="shared" ca="1" si="103"/>
        <v>#N/A</v>
      </c>
      <c r="AC896" s="3" t="e">
        <f t="shared" ca="1" si="104"/>
        <v>#N/A</v>
      </c>
    </row>
    <row r="897" spans="8:29">
      <c r="H897" t="e">
        <f t="shared" ca="1" si="98"/>
        <v>#N/A</v>
      </c>
      <c r="I897" t="e">
        <f t="shared" ca="1" si="99"/>
        <v>#N/A</v>
      </c>
      <c r="J897" t="e">
        <f ca="1"/>
        <v>#N/A</v>
      </c>
      <c r="K897" t="e">
        <f ca="1"/>
        <v>#N/A</v>
      </c>
      <c r="L897" t="e">
        <f ca="1"/>
        <v>#N/A</v>
      </c>
      <c r="M897" t="e">
        <f ca="1"/>
        <v>#N/A</v>
      </c>
      <c r="N897" t="e">
        <f ca="1"/>
        <v>#N/A</v>
      </c>
      <c r="O897" t="e">
        <f ca="1"/>
        <v>#N/A</v>
      </c>
      <c r="P897" t="e">
        <f ca="1"/>
        <v>#N/A</v>
      </c>
      <c r="Q897" t="e">
        <f ca="1"/>
        <v>#N/A</v>
      </c>
      <c r="R897" t="e">
        <f ca="1"/>
        <v>#N/A</v>
      </c>
      <c r="S897" t="e">
        <f ca="1"/>
        <v>#N/A</v>
      </c>
      <c r="T897" t="e">
        <f ca="1"/>
        <v>#N/A</v>
      </c>
      <c r="U897" t="e">
        <f ca="1"/>
        <v>#N/A</v>
      </c>
      <c r="V897" t="e">
        <f ca="1"/>
        <v>#N/A</v>
      </c>
      <c r="X897" s="2">
        <f t="shared" ca="1" si="100"/>
        <v>0</v>
      </c>
      <c r="Y897">
        <f t="shared" ca="1" si="101"/>
        <v>0</v>
      </c>
      <c r="AA897" s="63" t="e">
        <f t="shared" ca="1" si="102"/>
        <v>#N/A</v>
      </c>
      <c r="AB897" s="63" t="e">
        <f t="shared" ca="1" si="103"/>
        <v>#N/A</v>
      </c>
      <c r="AC897" s="3" t="e">
        <f t="shared" ca="1" si="104"/>
        <v>#N/A</v>
      </c>
    </row>
    <row r="898" spans="8:29">
      <c r="H898" t="e">
        <f t="shared" ca="1" si="98"/>
        <v>#N/A</v>
      </c>
      <c r="I898" t="e">
        <f t="shared" ca="1" si="99"/>
        <v>#N/A</v>
      </c>
      <c r="J898" t="e">
        <f ca="1"/>
        <v>#N/A</v>
      </c>
      <c r="K898" t="e">
        <f ca="1"/>
        <v>#N/A</v>
      </c>
      <c r="L898" t="e">
        <f ca="1"/>
        <v>#N/A</v>
      </c>
      <c r="M898" t="e">
        <f ca="1"/>
        <v>#N/A</v>
      </c>
      <c r="N898" t="e">
        <f ca="1"/>
        <v>#N/A</v>
      </c>
      <c r="O898" t="e">
        <f ca="1"/>
        <v>#N/A</v>
      </c>
      <c r="P898" t="e">
        <f ca="1"/>
        <v>#N/A</v>
      </c>
      <c r="Q898" t="e">
        <f ca="1"/>
        <v>#N/A</v>
      </c>
      <c r="R898" t="e">
        <f ca="1"/>
        <v>#N/A</v>
      </c>
      <c r="S898" t="e">
        <f ca="1"/>
        <v>#N/A</v>
      </c>
      <c r="T898" t="e">
        <f ca="1"/>
        <v>#N/A</v>
      </c>
      <c r="U898" t="e">
        <f ca="1"/>
        <v>#N/A</v>
      </c>
      <c r="V898" t="e">
        <f ca="1"/>
        <v>#N/A</v>
      </c>
      <c r="X898" s="2">
        <f t="shared" ca="1" si="100"/>
        <v>0</v>
      </c>
      <c r="Y898">
        <f t="shared" ca="1" si="101"/>
        <v>0</v>
      </c>
      <c r="AA898" s="63" t="e">
        <f t="shared" ca="1" si="102"/>
        <v>#N/A</v>
      </c>
      <c r="AB898" s="63" t="e">
        <f t="shared" ca="1" si="103"/>
        <v>#N/A</v>
      </c>
      <c r="AC898" s="3" t="e">
        <f t="shared" ca="1" si="104"/>
        <v>#N/A</v>
      </c>
    </row>
    <row r="899" spans="8:29">
      <c r="H899" t="e">
        <f t="shared" ca="1" si="98"/>
        <v>#N/A</v>
      </c>
      <c r="I899" t="e">
        <f t="shared" ca="1" si="99"/>
        <v>#N/A</v>
      </c>
      <c r="J899" t="e">
        <f ca="1"/>
        <v>#N/A</v>
      </c>
      <c r="K899" t="e">
        <f ca="1"/>
        <v>#N/A</v>
      </c>
      <c r="L899" t="e">
        <f ca="1"/>
        <v>#N/A</v>
      </c>
      <c r="M899" t="e">
        <f ca="1"/>
        <v>#N/A</v>
      </c>
      <c r="N899" t="e">
        <f ca="1"/>
        <v>#N/A</v>
      </c>
      <c r="O899" t="e">
        <f ca="1"/>
        <v>#N/A</v>
      </c>
      <c r="P899" t="e">
        <f ca="1"/>
        <v>#N/A</v>
      </c>
      <c r="Q899" t="e">
        <f ca="1"/>
        <v>#N/A</v>
      </c>
      <c r="R899" t="e">
        <f ca="1"/>
        <v>#N/A</v>
      </c>
      <c r="S899" t="e">
        <f ca="1"/>
        <v>#N/A</v>
      </c>
      <c r="T899" t="e">
        <f ca="1"/>
        <v>#N/A</v>
      </c>
      <c r="U899" t="e">
        <f ca="1"/>
        <v>#N/A</v>
      </c>
      <c r="V899" t="e">
        <f ca="1"/>
        <v>#N/A</v>
      </c>
      <c r="X899" s="2">
        <f t="shared" ca="1" si="100"/>
        <v>0</v>
      </c>
      <c r="Y899">
        <f t="shared" ca="1" si="101"/>
        <v>0</v>
      </c>
      <c r="AA899" s="63" t="e">
        <f t="shared" ca="1" si="102"/>
        <v>#N/A</v>
      </c>
      <c r="AB899" s="63" t="e">
        <f t="shared" ca="1" si="103"/>
        <v>#N/A</v>
      </c>
      <c r="AC899" s="3" t="e">
        <f t="shared" ca="1" si="104"/>
        <v>#N/A</v>
      </c>
    </row>
    <row r="900" spans="8:29">
      <c r="H900" t="e">
        <f t="shared" ca="1" si="98"/>
        <v>#N/A</v>
      </c>
      <c r="I900" t="e">
        <f t="shared" ca="1" si="99"/>
        <v>#N/A</v>
      </c>
      <c r="J900" t="e">
        <f ca="1"/>
        <v>#N/A</v>
      </c>
      <c r="K900" t="e">
        <f ca="1"/>
        <v>#N/A</v>
      </c>
      <c r="L900" t="e">
        <f ca="1"/>
        <v>#N/A</v>
      </c>
      <c r="M900" t="e">
        <f ca="1"/>
        <v>#N/A</v>
      </c>
      <c r="N900" t="e">
        <f ca="1"/>
        <v>#N/A</v>
      </c>
      <c r="O900" t="e">
        <f ca="1"/>
        <v>#N/A</v>
      </c>
      <c r="P900" t="e">
        <f ca="1"/>
        <v>#N/A</v>
      </c>
      <c r="Q900" t="e">
        <f ca="1"/>
        <v>#N/A</v>
      </c>
      <c r="R900" t="e">
        <f ca="1"/>
        <v>#N/A</v>
      </c>
      <c r="S900" t="e">
        <f ca="1"/>
        <v>#N/A</v>
      </c>
      <c r="T900" t="e">
        <f ca="1"/>
        <v>#N/A</v>
      </c>
      <c r="U900" t="e">
        <f ca="1"/>
        <v>#N/A</v>
      </c>
      <c r="V900" t="e">
        <f ca="1"/>
        <v>#N/A</v>
      </c>
      <c r="X900" s="2">
        <f t="shared" ca="1" si="100"/>
        <v>0</v>
      </c>
      <c r="Y900">
        <f t="shared" ca="1" si="101"/>
        <v>0</v>
      </c>
      <c r="AA900" s="63" t="e">
        <f t="shared" ca="1" si="102"/>
        <v>#N/A</v>
      </c>
      <c r="AB900" s="63" t="e">
        <f t="shared" ca="1" si="103"/>
        <v>#N/A</v>
      </c>
      <c r="AC900" s="3" t="e">
        <f t="shared" ca="1" si="104"/>
        <v>#N/A</v>
      </c>
    </row>
    <row r="901" spans="8:29">
      <c r="H901" t="e">
        <f t="shared" ca="1" si="98"/>
        <v>#N/A</v>
      </c>
      <c r="I901" t="e">
        <f t="shared" ca="1" si="99"/>
        <v>#N/A</v>
      </c>
      <c r="J901" t="e">
        <f ca="1"/>
        <v>#N/A</v>
      </c>
      <c r="K901" t="e">
        <f ca="1"/>
        <v>#N/A</v>
      </c>
      <c r="L901" t="e">
        <f ca="1"/>
        <v>#N/A</v>
      </c>
      <c r="M901" t="e">
        <f ca="1"/>
        <v>#N/A</v>
      </c>
      <c r="N901" t="e">
        <f ca="1"/>
        <v>#N/A</v>
      </c>
      <c r="O901" t="e">
        <f ca="1"/>
        <v>#N/A</v>
      </c>
      <c r="P901" t="e">
        <f ca="1"/>
        <v>#N/A</v>
      </c>
      <c r="Q901" t="e">
        <f ca="1"/>
        <v>#N/A</v>
      </c>
      <c r="R901" t="e">
        <f ca="1"/>
        <v>#N/A</v>
      </c>
      <c r="S901" t="e">
        <f ca="1"/>
        <v>#N/A</v>
      </c>
      <c r="T901" t="e">
        <f ca="1"/>
        <v>#N/A</v>
      </c>
      <c r="U901" t="e">
        <f ca="1"/>
        <v>#N/A</v>
      </c>
      <c r="V901" t="e">
        <f ca="1"/>
        <v>#N/A</v>
      </c>
      <c r="X901" s="2">
        <f t="shared" ca="1" si="100"/>
        <v>0</v>
      </c>
      <c r="Y901">
        <f t="shared" ca="1" si="101"/>
        <v>0</v>
      </c>
      <c r="AA901" s="63" t="e">
        <f t="shared" ca="1" si="102"/>
        <v>#N/A</v>
      </c>
      <c r="AB901" s="63" t="e">
        <f t="shared" ca="1" si="103"/>
        <v>#N/A</v>
      </c>
      <c r="AC901" s="3" t="e">
        <f t="shared" ca="1" si="104"/>
        <v>#N/A</v>
      </c>
    </row>
    <row r="902" spans="8:29">
      <c r="H902" t="e">
        <f t="shared" ca="1" si="98"/>
        <v>#N/A</v>
      </c>
      <c r="I902" t="e">
        <f t="shared" ca="1" si="99"/>
        <v>#N/A</v>
      </c>
      <c r="J902" t="e">
        <f ca="1"/>
        <v>#N/A</v>
      </c>
      <c r="K902" t="e">
        <f ca="1"/>
        <v>#N/A</v>
      </c>
      <c r="L902" t="e">
        <f ca="1"/>
        <v>#N/A</v>
      </c>
      <c r="M902" t="e">
        <f ca="1"/>
        <v>#N/A</v>
      </c>
      <c r="N902" t="e">
        <f ca="1"/>
        <v>#N/A</v>
      </c>
      <c r="O902" t="e">
        <f ca="1"/>
        <v>#N/A</v>
      </c>
      <c r="P902" t="e">
        <f ca="1"/>
        <v>#N/A</v>
      </c>
      <c r="Q902" t="e">
        <f ca="1"/>
        <v>#N/A</v>
      </c>
      <c r="R902" t="e">
        <f ca="1"/>
        <v>#N/A</v>
      </c>
      <c r="S902" t="e">
        <f ca="1"/>
        <v>#N/A</v>
      </c>
      <c r="T902" t="e">
        <f ca="1"/>
        <v>#N/A</v>
      </c>
      <c r="U902" t="e">
        <f ca="1"/>
        <v>#N/A</v>
      </c>
      <c r="V902" t="e">
        <f ca="1"/>
        <v>#N/A</v>
      </c>
      <c r="X902" s="2">
        <f t="shared" ca="1" si="100"/>
        <v>0</v>
      </c>
      <c r="Y902">
        <f t="shared" ca="1" si="101"/>
        <v>0</v>
      </c>
      <c r="AA902" s="63" t="e">
        <f t="shared" ca="1" si="102"/>
        <v>#N/A</v>
      </c>
      <c r="AB902" s="63" t="e">
        <f t="shared" ca="1" si="103"/>
        <v>#N/A</v>
      </c>
      <c r="AC902" s="3" t="e">
        <f t="shared" ca="1" si="104"/>
        <v>#N/A</v>
      </c>
    </row>
    <row r="903" spans="8:29">
      <c r="H903" t="e">
        <f t="shared" ca="1" si="98"/>
        <v>#N/A</v>
      </c>
      <c r="I903" t="e">
        <f t="shared" ca="1" si="99"/>
        <v>#N/A</v>
      </c>
      <c r="J903" t="e">
        <f ca="1"/>
        <v>#N/A</v>
      </c>
      <c r="K903" t="e">
        <f ca="1"/>
        <v>#N/A</v>
      </c>
      <c r="L903" t="e">
        <f ca="1"/>
        <v>#N/A</v>
      </c>
      <c r="M903" t="e">
        <f ca="1"/>
        <v>#N/A</v>
      </c>
      <c r="N903" t="e">
        <f ca="1"/>
        <v>#N/A</v>
      </c>
      <c r="O903" t="e">
        <f ca="1"/>
        <v>#N/A</v>
      </c>
      <c r="P903" t="e">
        <f ca="1"/>
        <v>#N/A</v>
      </c>
      <c r="Q903" t="e">
        <f ca="1"/>
        <v>#N/A</v>
      </c>
      <c r="R903" t="e">
        <f ca="1"/>
        <v>#N/A</v>
      </c>
      <c r="S903" t="e">
        <f ca="1"/>
        <v>#N/A</v>
      </c>
      <c r="T903" t="e">
        <f ca="1"/>
        <v>#N/A</v>
      </c>
      <c r="U903" t="e">
        <f ca="1"/>
        <v>#N/A</v>
      </c>
      <c r="V903" t="e">
        <f ca="1"/>
        <v>#N/A</v>
      </c>
      <c r="X903" s="2">
        <f t="shared" ca="1" si="100"/>
        <v>0</v>
      </c>
      <c r="Y903">
        <f t="shared" ca="1" si="101"/>
        <v>0</v>
      </c>
      <c r="AA903" s="63" t="e">
        <f t="shared" ca="1" si="102"/>
        <v>#N/A</v>
      </c>
      <c r="AB903" s="63" t="e">
        <f t="shared" ca="1" si="103"/>
        <v>#N/A</v>
      </c>
      <c r="AC903" s="3" t="e">
        <f t="shared" ca="1" si="104"/>
        <v>#N/A</v>
      </c>
    </row>
    <row r="904" spans="8:29">
      <c r="H904" t="e">
        <f t="shared" ca="1" si="98"/>
        <v>#N/A</v>
      </c>
      <c r="I904" t="e">
        <f t="shared" ca="1" si="99"/>
        <v>#N/A</v>
      </c>
      <c r="J904" t="e">
        <f ca="1"/>
        <v>#N/A</v>
      </c>
      <c r="K904" t="e">
        <f ca="1"/>
        <v>#N/A</v>
      </c>
      <c r="L904" t="e">
        <f ca="1"/>
        <v>#N/A</v>
      </c>
      <c r="M904" t="e">
        <f ca="1"/>
        <v>#N/A</v>
      </c>
      <c r="N904" t="e">
        <f ca="1"/>
        <v>#N/A</v>
      </c>
      <c r="O904" t="e">
        <f ca="1"/>
        <v>#N/A</v>
      </c>
      <c r="P904" t="e">
        <f ca="1"/>
        <v>#N/A</v>
      </c>
      <c r="Q904" t="e">
        <f ca="1"/>
        <v>#N/A</v>
      </c>
      <c r="R904" t="e">
        <f ca="1"/>
        <v>#N/A</v>
      </c>
      <c r="S904" t="e">
        <f ca="1"/>
        <v>#N/A</v>
      </c>
      <c r="T904" t="e">
        <f ca="1"/>
        <v>#N/A</v>
      </c>
      <c r="U904" t="e">
        <f ca="1"/>
        <v>#N/A</v>
      </c>
      <c r="V904" t="e">
        <f ca="1"/>
        <v>#N/A</v>
      </c>
      <c r="X904" s="2">
        <f t="shared" ca="1" si="100"/>
        <v>0</v>
      </c>
      <c r="Y904">
        <f t="shared" ca="1" si="101"/>
        <v>0</v>
      </c>
      <c r="AA904" s="63" t="e">
        <f t="shared" ca="1" si="102"/>
        <v>#N/A</v>
      </c>
      <c r="AB904" s="63" t="e">
        <f t="shared" ca="1" si="103"/>
        <v>#N/A</v>
      </c>
      <c r="AC904" s="3" t="e">
        <f t="shared" ca="1" si="104"/>
        <v>#N/A</v>
      </c>
    </row>
    <row r="905" spans="8:29">
      <c r="H905" t="e">
        <f t="shared" ca="1" si="98"/>
        <v>#N/A</v>
      </c>
      <c r="I905" t="e">
        <f t="shared" ca="1" si="99"/>
        <v>#N/A</v>
      </c>
      <c r="J905" t="e">
        <f ca="1"/>
        <v>#N/A</v>
      </c>
      <c r="K905" t="e">
        <f ca="1"/>
        <v>#N/A</v>
      </c>
      <c r="L905" t="e">
        <f ca="1"/>
        <v>#N/A</v>
      </c>
      <c r="M905" t="e">
        <f ca="1"/>
        <v>#N/A</v>
      </c>
      <c r="N905" t="e">
        <f ca="1"/>
        <v>#N/A</v>
      </c>
      <c r="O905" t="e">
        <f ca="1"/>
        <v>#N/A</v>
      </c>
      <c r="P905" t="e">
        <f ca="1"/>
        <v>#N/A</v>
      </c>
      <c r="Q905" t="e">
        <f ca="1"/>
        <v>#N/A</v>
      </c>
      <c r="R905" t="e">
        <f ca="1"/>
        <v>#N/A</v>
      </c>
      <c r="S905" t="e">
        <f ca="1"/>
        <v>#N/A</v>
      </c>
      <c r="T905" t="e">
        <f ca="1"/>
        <v>#N/A</v>
      </c>
      <c r="U905" t="e">
        <f ca="1"/>
        <v>#N/A</v>
      </c>
      <c r="V905" t="e">
        <f ca="1"/>
        <v>#N/A</v>
      </c>
      <c r="X905" s="2">
        <f t="shared" ca="1" si="100"/>
        <v>0</v>
      </c>
      <c r="Y905">
        <f t="shared" ca="1" si="101"/>
        <v>0</v>
      </c>
      <c r="AA905" s="63" t="e">
        <f t="shared" ca="1" si="102"/>
        <v>#N/A</v>
      </c>
      <c r="AB905" s="63" t="e">
        <f t="shared" ca="1" si="103"/>
        <v>#N/A</v>
      </c>
      <c r="AC905" s="3" t="e">
        <f t="shared" ca="1" si="104"/>
        <v>#N/A</v>
      </c>
    </row>
    <row r="906" spans="8:29">
      <c r="H906" t="e">
        <f t="shared" ca="1" si="98"/>
        <v>#N/A</v>
      </c>
      <c r="I906" t="e">
        <f t="shared" ca="1" si="99"/>
        <v>#N/A</v>
      </c>
      <c r="J906" t="e">
        <f ca="1"/>
        <v>#N/A</v>
      </c>
      <c r="K906" t="e">
        <f ca="1"/>
        <v>#N/A</v>
      </c>
      <c r="L906" t="e">
        <f ca="1"/>
        <v>#N/A</v>
      </c>
      <c r="M906" t="e">
        <f ca="1"/>
        <v>#N/A</v>
      </c>
      <c r="N906" t="e">
        <f ca="1"/>
        <v>#N/A</v>
      </c>
      <c r="O906" t="e">
        <f ca="1"/>
        <v>#N/A</v>
      </c>
      <c r="P906" t="e">
        <f ca="1"/>
        <v>#N/A</v>
      </c>
      <c r="Q906" t="e">
        <f ca="1"/>
        <v>#N/A</v>
      </c>
      <c r="R906" t="e">
        <f ca="1"/>
        <v>#N/A</v>
      </c>
      <c r="S906" t="e">
        <f ca="1"/>
        <v>#N/A</v>
      </c>
      <c r="T906" t="e">
        <f ca="1"/>
        <v>#N/A</v>
      </c>
      <c r="U906" t="e">
        <f ca="1"/>
        <v>#N/A</v>
      </c>
      <c r="V906" t="e">
        <f ca="1"/>
        <v>#N/A</v>
      </c>
      <c r="X906" s="2">
        <f t="shared" ca="1" si="100"/>
        <v>0</v>
      </c>
      <c r="Y906">
        <f t="shared" ca="1" si="101"/>
        <v>0</v>
      </c>
      <c r="AA906" s="63" t="e">
        <f t="shared" ca="1" si="102"/>
        <v>#N/A</v>
      </c>
      <c r="AB906" s="63" t="e">
        <f t="shared" ca="1" si="103"/>
        <v>#N/A</v>
      </c>
      <c r="AC906" s="3" t="e">
        <f t="shared" ca="1" si="104"/>
        <v>#N/A</v>
      </c>
    </row>
    <row r="907" spans="8:29">
      <c r="H907" t="e">
        <f t="shared" ca="1" si="98"/>
        <v>#N/A</v>
      </c>
      <c r="I907" t="e">
        <f t="shared" ca="1" si="99"/>
        <v>#N/A</v>
      </c>
      <c r="J907" t="e">
        <f ca="1"/>
        <v>#N/A</v>
      </c>
      <c r="K907" t="e">
        <f ca="1"/>
        <v>#N/A</v>
      </c>
      <c r="L907" t="e">
        <f ca="1"/>
        <v>#N/A</v>
      </c>
      <c r="M907" t="e">
        <f ca="1"/>
        <v>#N/A</v>
      </c>
      <c r="N907" t="e">
        <f ca="1"/>
        <v>#N/A</v>
      </c>
      <c r="O907" t="e">
        <f ca="1"/>
        <v>#N/A</v>
      </c>
      <c r="P907" t="e">
        <f ca="1"/>
        <v>#N/A</v>
      </c>
      <c r="Q907" t="e">
        <f ca="1"/>
        <v>#N/A</v>
      </c>
      <c r="R907" t="e">
        <f ca="1"/>
        <v>#N/A</v>
      </c>
      <c r="S907" t="e">
        <f ca="1"/>
        <v>#N/A</v>
      </c>
      <c r="T907" t="e">
        <f ca="1"/>
        <v>#N/A</v>
      </c>
      <c r="U907" t="e">
        <f ca="1"/>
        <v>#N/A</v>
      </c>
      <c r="V907" t="e">
        <f ca="1"/>
        <v>#N/A</v>
      </c>
      <c r="X907" s="2">
        <f t="shared" ca="1" si="100"/>
        <v>0</v>
      </c>
      <c r="Y907">
        <f t="shared" ca="1" si="101"/>
        <v>0</v>
      </c>
      <c r="AA907" s="63" t="e">
        <f t="shared" ca="1" si="102"/>
        <v>#N/A</v>
      </c>
      <c r="AB907" s="63" t="e">
        <f t="shared" ca="1" si="103"/>
        <v>#N/A</v>
      </c>
      <c r="AC907" s="3" t="e">
        <f t="shared" ca="1" si="104"/>
        <v>#N/A</v>
      </c>
    </row>
    <row r="908" spans="8:29">
      <c r="H908" t="e">
        <f t="shared" ca="1" si="98"/>
        <v>#N/A</v>
      </c>
      <c r="I908" t="e">
        <f t="shared" ca="1" si="99"/>
        <v>#N/A</v>
      </c>
      <c r="J908" t="e">
        <f ca="1"/>
        <v>#N/A</v>
      </c>
      <c r="K908" t="e">
        <f ca="1"/>
        <v>#N/A</v>
      </c>
      <c r="L908" t="e">
        <f ca="1"/>
        <v>#N/A</v>
      </c>
      <c r="M908" t="e">
        <f ca="1"/>
        <v>#N/A</v>
      </c>
      <c r="N908" t="e">
        <f ca="1"/>
        <v>#N/A</v>
      </c>
      <c r="O908" t="e">
        <f ca="1"/>
        <v>#N/A</v>
      </c>
      <c r="P908" t="e">
        <f ca="1"/>
        <v>#N/A</v>
      </c>
      <c r="Q908" t="e">
        <f ca="1"/>
        <v>#N/A</v>
      </c>
      <c r="R908" t="e">
        <f ca="1"/>
        <v>#N/A</v>
      </c>
      <c r="S908" t="e">
        <f ca="1"/>
        <v>#N/A</v>
      </c>
      <c r="T908" t="e">
        <f ca="1"/>
        <v>#N/A</v>
      </c>
      <c r="U908" t="e">
        <f ca="1"/>
        <v>#N/A</v>
      </c>
      <c r="V908" t="e">
        <f ca="1"/>
        <v>#N/A</v>
      </c>
      <c r="X908" s="2">
        <f t="shared" ca="1" si="100"/>
        <v>0</v>
      </c>
      <c r="Y908">
        <f t="shared" ca="1" si="101"/>
        <v>0</v>
      </c>
      <c r="AA908" s="63" t="e">
        <f t="shared" ca="1" si="102"/>
        <v>#N/A</v>
      </c>
      <c r="AB908" s="63" t="e">
        <f t="shared" ca="1" si="103"/>
        <v>#N/A</v>
      </c>
      <c r="AC908" s="3" t="e">
        <f t="shared" ca="1" si="104"/>
        <v>#N/A</v>
      </c>
    </row>
    <row r="909" spans="8:29">
      <c r="H909" t="e">
        <f t="shared" ca="1" si="98"/>
        <v>#N/A</v>
      </c>
      <c r="I909" t="e">
        <f t="shared" ca="1" si="99"/>
        <v>#N/A</v>
      </c>
      <c r="J909" t="e">
        <f ca="1"/>
        <v>#N/A</v>
      </c>
      <c r="K909" t="e">
        <f ca="1"/>
        <v>#N/A</v>
      </c>
      <c r="L909" t="e">
        <f ca="1"/>
        <v>#N/A</v>
      </c>
      <c r="M909" t="e">
        <f ca="1"/>
        <v>#N/A</v>
      </c>
      <c r="N909" t="e">
        <f ca="1"/>
        <v>#N/A</v>
      </c>
      <c r="O909" t="e">
        <f ca="1"/>
        <v>#N/A</v>
      </c>
      <c r="P909" t="e">
        <f ca="1"/>
        <v>#N/A</v>
      </c>
      <c r="Q909" t="e">
        <f ca="1"/>
        <v>#N/A</v>
      </c>
      <c r="R909" t="e">
        <f ca="1"/>
        <v>#N/A</v>
      </c>
      <c r="S909" t="e">
        <f ca="1"/>
        <v>#N/A</v>
      </c>
      <c r="T909" t="e">
        <f ca="1"/>
        <v>#N/A</v>
      </c>
      <c r="U909" t="e">
        <f ca="1"/>
        <v>#N/A</v>
      </c>
      <c r="V909" t="e">
        <f ca="1"/>
        <v>#N/A</v>
      </c>
      <c r="X909" s="2">
        <f t="shared" ca="1" si="100"/>
        <v>0</v>
      </c>
      <c r="Y909">
        <f t="shared" ca="1" si="101"/>
        <v>0</v>
      </c>
      <c r="AA909" s="63" t="e">
        <f t="shared" ca="1" si="102"/>
        <v>#N/A</v>
      </c>
      <c r="AB909" s="63" t="e">
        <f t="shared" ca="1" si="103"/>
        <v>#N/A</v>
      </c>
      <c r="AC909" s="3" t="e">
        <f t="shared" ca="1" si="104"/>
        <v>#N/A</v>
      </c>
    </row>
    <row r="910" spans="8:29">
      <c r="H910" t="e">
        <f t="shared" ca="1" si="98"/>
        <v>#N/A</v>
      </c>
      <c r="I910" t="e">
        <f t="shared" ca="1" si="99"/>
        <v>#N/A</v>
      </c>
      <c r="J910" t="e">
        <f ca="1"/>
        <v>#N/A</v>
      </c>
      <c r="K910" t="e">
        <f ca="1"/>
        <v>#N/A</v>
      </c>
      <c r="L910" t="e">
        <f ca="1"/>
        <v>#N/A</v>
      </c>
      <c r="M910" t="e">
        <f ca="1"/>
        <v>#N/A</v>
      </c>
      <c r="N910" t="e">
        <f ca="1"/>
        <v>#N/A</v>
      </c>
      <c r="O910" t="e">
        <f ca="1"/>
        <v>#N/A</v>
      </c>
      <c r="P910" t="e">
        <f ca="1"/>
        <v>#N/A</v>
      </c>
      <c r="Q910" t="e">
        <f ca="1"/>
        <v>#N/A</v>
      </c>
      <c r="R910" t="e">
        <f ca="1"/>
        <v>#N/A</v>
      </c>
      <c r="S910" t="e">
        <f ca="1"/>
        <v>#N/A</v>
      </c>
      <c r="T910" t="e">
        <f ca="1"/>
        <v>#N/A</v>
      </c>
      <c r="U910" t="e">
        <f ca="1"/>
        <v>#N/A</v>
      </c>
      <c r="V910" t="e">
        <f ca="1"/>
        <v>#N/A</v>
      </c>
      <c r="X910" s="2">
        <f t="shared" ca="1" si="100"/>
        <v>0</v>
      </c>
      <c r="Y910">
        <f t="shared" ca="1" si="101"/>
        <v>0</v>
      </c>
      <c r="AA910" s="63" t="e">
        <f t="shared" ca="1" si="102"/>
        <v>#N/A</v>
      </c>
      <c r="AB910" s="63" t="e">
        <f t="shared" ca="1" si="103"/>
        <v>#N/A</v>
      </c>
      <c r="AC910" s="3" t="e">
        <f t="shared" ca="1" si="104"/>
        <v>#N/A</v>
      </c>
    </row>
    <row r="911" spans="8:29">
      <c r="H911" t="e">
        <f t="shared" ca="1" si="98"/>
        <v>#N/A</v>
      </c>
      <c r="I911" t="e">
        <f t="shared" ca="1" si="99"/>
        <v>#N/A</v>
      </c>
      <c r="J911" t="e">
        <f ca="1"/>
        <v>#N/A</v>
      </c>
      <c r="K911" t="e">
        <f ca="1"/>
        <v>#N/A</v>
      </c>
      <c r="L911" t="e">
        <f ca="1"/>
        <v>#N/A</v>
      </c>
      <c r="M911" t="e">
        <f ca="1"/>
        <v>#N/A</v>
      </c>
      <c r="N911" t="e">
        <f ca="1"/>
        <v>#N/A</v>
      </c>
      <c r="O911" t="e">
        <f ca="1"/>
        <v>#N/A</v>
      </c>
      <c r="P911" t="e">
        <f ca="1"/>
        <v>#N/A</v>
      </c>
      <c r="Q911" t="e">
        <f ca="1"/>
        <v>#N/A</v>
      </c>
      <c r="R911" t="e">
        <f ca="1"/>
        <v>#N/A</v>
      </c>
      <c r="S911" t="e">
        <f ca="1"/>
        <v>#N/A</v>
      </c>
      <c r="T911" t="e">
        <f ca="1"/>
        <v>#N/A</v>
      </c>
      <c r="U911" t="e">
        <f ca="1"/>
        <v>#N/A</v>
      </c>
      <c r="V911" t="e">
        <f ca="1"/>
        <v>#N/A</v>
      </c>
      <c r="X911" s="2">
        <f t="shared" ca="1" si="100"/>
        <v>0</v>
      </c>
      <c r="Y911">
        <f t="shared" ca="1" si="101"/>
        <v>0</v>
      </c>
      <c r="AA911" s="63" t="e">
        <f t="shared" ca="1" si="102"/>
        <v>#N/A</v>
      </c>
      <c r="AB911" s="63" t="e">
        <f t="shared" ca="1" si="103"/>
        <v>#N/A</v>
      </c>
      <c r="AC911" s="3" t="e">
        <f t="shared" ca="1" si="104"/>
        <v>#N/A</v>
      </c>
    </row>
    <row r="912" spans="8:29">
      <c r="H912" t="e">
        <f t="shared" ca="1" si="98"/>
        <v>#N/A</v>
      </c>
      <c r="I912" t="e">
        <f t="shared" ca="1" si="99"/>
        <v>#N/A</v>
      </c>
      <c r="J912" t="e">
        <f ca="1"/>
        <v>#N/A</v>
      </c>
      <c r="K912" t="e">
        <f ca="1"/>
        <v>#N/A</v>
      </c>
      <c r="L912" t="e">
        <f ca="1"/>
        <v>#N/A</v>
      </c>
      <c r="M912" t="e">
        <f ca="1"/>
        <v>#N/A</v>
      </c>
      <c r="N912" t="e">
        <f ca="1"/>
        <v>#N/A</v>
      </c>
      <c r="O912" t="e">
        <f ca="1"/>
        <v>#N/A</v>
      </c>
      <c r="P912" t="e">
        <f ca="1"/>
        <v>#N/A</v>
      </c>
      <c r="Q912" t="e">
        <f ca="1"/>
        <v>#N/A</v>
      </c>
      <c r="R912" t="e">
        <f ca="1"/>
        <v>#N/A</v>
      </c>
      <c r="S912" t="e">
        <f ca="1"/>
        <v>#N/A</v>
      </c>
      <c r="T912" t="e">
        <f ca="1"/>
        <v>#N/A</v>
      </c>
      <c r="U912" t="e">
        <f ca="1"/>
        <v>#N/A</v>
      </c>
      <c r="V912" t="e">
        <f ca="1"/>
        <v>#N/A</v>
      </c>
      <c r="X912" s="2">
        <f t="shared" ca="1" si="100"/>
        <v>0</v>
      </c>
      <c r="Y912">
        <f t="shared" ca="1" si="101"/>
        <v>0</v>
      </c>
      <c r="AA912" s="63" t="e">
        <f t="shared" ca="1" si="102"/>
        <v>#N/A</v>
      </c>
      <c r="AB912" s="63" t="e">
        <f t="shared" ca="1" si="103"/>
        <v>#N/A</v>
      </c>
      <c r="AC912" s="3" t="e">
        <f t="shared" ca="1" si="104"/>
        <v>#N/A</v>
      </c>
    </row>
    <row r="913" spans="8:29">
      <c r="H913" t="e">
        <f t="shared" ca="1" si="98"/>
        <v>#N/A</v>
      </c>
      <c r="I913" t="e">
        <f t="shared" ca="1" si="99"/>
        <v>#N/A</v>
      </c>
      <c r="J913" t="e">
        <f ca="1"/>
        <v>#N/A</v>
      </c>
      <c r="K913" t="e">
        <f ca="1"/>
        <v>#N/A</v>
      </c>
      <c r="L913" t="e">
        <f ca="1"/>
        <v>#N/A</v>
      </c>
      <c r="M913" t="e">
        <f ca="1"/>
        <v>#N/A</v>
      </c>
      <c r="N913" t="e">
        <f ca="1"/>
        <v>#N/A</v>
      </c>
      <c r="O913" t="e">
        <f ca="1"/>
        <v>#N/A</v>
      </c>
      <c r="P913" t="e">
        <f ca="1"/>
        <v>#N/A</v>
      </c>
      <c r="Q913" t="e">
        <f ca="1"/>
        <v>#N/A</v>
      </c>
      <c r="R913" t="e">
        <f ca="1"/>
        <v>#N/A</v>
      </c>
      <c r="S913" t="e">
        <f ca="1"/>
        <v>#N/A</v>
      </c>
      <c r="T913" t="e">
        <f ca="1"/>
        <v>#N/A</v>
      </c>
      <c r="U913" t="e">
        <f ca="1"/>
        <v>#N/A</v>
      </c>
      <c r="V913" t="e">
        <f ca="1"/>
        <v>#N/A</v>
      </c>
      <c r="X913" s="2">
        <f t="shared" ca="1" si="100"/>
        <v>0</v>
      </c>
      <c r="Y913">
        <f t="shared" ca="1" si="101"/>
        <v>0</v>
      </c>
      <c r="AA913" s="63" t="e">
        <f t="shared" ca="1" si="102"/>
        <v>#N/A</v>
      </c>
      <c r="AB913" s="63" t="e">
        <f t="shared" ca="1" si="103"/>
        <v>#N/A</v>
      </c>
      <c r="AC913" s="3" t="e">
        <f t="shared" ca="1" si="104"/>
        <v>#N/A</v>
      </c>
    </row>
    <row r="914" spans="8:29">
      <c r="H914" t="e">
        <f t="shared" ca="1" si="98"/>
        <v>#N/A</v>
      </c>
      <c r="I914" t="e">
        <f t="shared" ca="1" si="99"/>
        <v>#N/A</v>
      </c>
      <c r="J914" t="e">
        <f ca="1"/>
        <v>#N/A</v>
      </c>
      <c r="K914" t="e">
        <f ca="1"/>
        <v>#N/A</v>
      </c>
      <c r="L914" t="e">
        <f ca="1"/>
        <v>#N/A</v>
      </c>
      <c r="M914" t="e">
        <f ca="1"/>
        <v>#N/A</v>
      </c>
      <c r="N914" t="e">
        <f ca="1"/>
        <v>#N/A</v>
      </c>
      <c r="O914" t="e">
        <f ca="1"/>
        <v>#N/A</v>
      </c>
      <c r="P914" t="e">
        <f ca="1"/>
        <v>#N/A</v>
      </c>
      <c r="Q914" t="e">
        <f ca="1"/>
        <v>#N/A</v>
      </c>
      <c r="R914" t="e">
        <f ca="1"/>
        <v>#N/A</v>
      </c>
      <c r="S914" t="e">
        <f ca="1"/>
        <v>#N/A</v>
      </c>
      <c r="T914" t="e">
        <f ca="1"/>
        <v>#N/A</v>
      </c>
      <c r="U914" t="e">
        <f ca="1"/>
        <v>#N/A</v>
      </c>
      <c r="V914" t="e">
        <f ca="1"/>
        <v>#N/A</v>
      </c>
      <c r="X914" s="2">
        <f t="shared" ca="1" si="100"/>
        <v>0</v>
      </c>
      <c r="Y914">
        <f t="shared" ca="1" si="101"/>
        <v>0</v>
      </c>
      <c r="AA914" s="63" t="e">
        <f t="shared" ca="1" si="102"/>
        <v>#N/A</v>
      </c>
      <c r="AB914" s="63" t="e">
        <f t="shared" ca="1" si="103"/>
        <v>#N/A</v>
      </c>
      <c r="AC914" s="3" t="e">
        <f t="shared" ca="1" si="104"/>
        <v>#N/A</v>
      </c>
    </row>
    <row r="915" spans="8:29">
      <c r="H915" t="e">
        <f t="shared" ca="1" si="98"/>
        <v>#N/A</v>
      </c>
      <c r="I915" t="e">
        <f t="shared" ca="1" si="99"/>
        <v>#N/A</v>
      </c>
      <c r="J915" t="e">
        <f ca="1"/>
        <v>#N/A</v>
      </c>
      <c r="K915" t="e">
        <f ca="1"/>
        <v>#N/A</v>
      </c>
      <c r="L915" t="e">
        <f ca="1"/>
        <v>#N/A</v>
      </c>
      <c r="M915" t="e">
        <f ca="1"/>
        <v>#N/A</v>
      </c>
      <c r="N915" t="e">
        <f ca="1"/>
        <v>#N/A</v>
      </c>
      <c r="O915" t="e">
        <f ca="1"/>
        <v>#N/A</v>
      </c>
      <c r="P915" t="e">
        <f ca="1"/>
        <v>#N/A</v>
      </c>
      <c r="Q915" t="e">
        <f ca="1"/>
        <v>#N/A</v>
      </c>
      <c r="R915" t="e">
        <f ca="1"/>
        <v>#N/A</v>
      </c>
      <c r="S915" t="e">
        <f ca="1"/>
        <v>#N/A</v>
      </c>
      <c r="T915" t="e">
        <f ca="1"/>
        <v>#N/A</v>
      </c>
      <c r="U915" t="e">
        <f ca="1"/>
        <v>#N/A</v>
      </c>
      <c r="V915" t="e">
        <f ca="1"/>
        <v>#N/A</v>
      </c>
      <c r="X915" s="2">
        <f t="shared" ca="1" si="100"/>
        <v>0</v>
      </c>
      <c r="Y915">
        <f t="shared" ca="1" si="101"/>
        <v>0</v>
      </c>
      <c r="AA915" s="63" t="e">
        <f t="shared" ca="1" si="102"/>
        <v>#N/A</v>
      </c>
      <c r="AB915" s="63" t="e">
        <f t="shared" ca="1" si="103"/>
        <v>#N/A</v>
      </c>
      <c r="AC915" s="3" t="e">
        <f t="shared" ca="1" si="104"/>
        <v>#N/A</v>
      </c>
    </row>
    <row r="916" spans="8:29">
      <c r="H916" t="e">
        <f t="shared" ca="1" si="98"/>
        <v>#N/A</v>
      </c>
      <c r="I916" t="e">
        <f t="shared" ca="1" si="99"/>
        <v>#N/A</v>
      </c>
      <c r="J916" t="e">
        <f ca="1"/>
        <v>#N/A</v>
      </c>
      <c r="K916" t="e">
        <f ca="1"/>
        <v>#N/A</v>
      </c>
      <c r="L916" t="e">
        <f ca="1"/>
        <v>#N/A</v>
      </c>
      <c r="M916" t="e">
        <f ca="1"/>
        <v>#N/A</v>
      </c>
      <c r="N916" t="e">
        <f ca="1"/>
        <v>#N/A</v>
      </c>
      <c r="O916" t="e">
        <f ca="1"/>
        <v>#N/A</v>
      </c>
      <c r="P916" t="e">
        <f ca="1"/>
        <v>#N/A</v>
      </c>
      <c r="Q916" t="e">
        <f ca="1"/>
        <v>#N/A</v>
      </c>
      <c r="R916" t="e">
        <f ca="1"/>
        <v>#N/A</v>
      </c>
      <c r="S916" t="e">
        <f ca="1"/>
        <v>#N/A</v>
      </c>
      <c r="T916" t="e">
        <f ca="1"/>
        <v>#N/A</v>
      </c>
      <c r="U916" t="e">
        <f ca="1"/>
        <v>#N/A</v>
      </c>
      <c r="V916" t="e">
        <f ca="1"/>
        <v>#N/A</v>
      </c>
      <c r="X916" s="2">
        <f t="shared" ca="1" si="100"/>
        <v>0</v>
      </c>
      <c r="Y916">
        <f t="shared" ca="1" si="101"/>
        <v>0</v>
      </c>
      <c r="AA916" s="63" t="e">
        <f t="shared" ca="1" si="102"/>
        <v>#N/A</v>
      </c>
      <c r="AB916" s="63" t="e">
        <f t="shared" ca="1" si="103"/>
        <v>#N/A</v>
      </c>
      <c r="AC916" s="3" t="e">
        <f t="shared" ca="1" si="104"/>
        <v>#N/A</v>
      </c>
    </row>
    <row r="917" spans="8:29">
      <c r="H917" t="e">
        <f t="shared" ca="1" si="98"/>
        <v>#N/A</v>
      </c>
      <c r="I917" t="e">
        <f t="shared" ca="1" si="99"/>
        <v>#N/A</v>
      </c>
      <c r="J917" t="e">
        <f ca="1"/>
        <v>#N/A</v>
      </c>
      <c r="K917" t="e">
        <f ca="1"/>
        <v>#N/A</v>
      </c>
      <c r="L917" t="e">
        <f ca="1"/>
        <v>#N/A</v>
      </c>
      <c r="M917" t="e">
        <f ca="1"/>
        <v>#N/A</v>
      </c>
      <c r="N917" t="e">
        <f ca="1"/>
        <v>#N/A</v>
      </c>
      <c r="O917" t="e">
        <f ca="1"/>
        <v>#N/A</v>
      </c>
      <c r="P917" t="e">
        <f ca="1"/>
        <v>#N/A</v>
      </c>
      <c r="Q917" t="e">
        <f ca="1"/>
        <v>#N/A</v>
      </c>
      <c r="R917" t="e">
        <f ca="1"/>
        <v>#N/A</v>
      </c>
      <c r="S917" t="e">
        <f ca="1"/>
        <v>#N/A</v>
      </c>
      <c r="T917" t="e">
        <f ca="1"/>
        <v>#N/A</v>
      </c>
      <c r="U917" t="e">
        <f ca="1"/>
        <v>#N/A</v>
      </c>
      <c r="V917" t="e">
        <f ca="1"/>
        <v>#N/A</v>
      </c>
      <c r="X917" s="2">
        <f t="shared" ca="1" si="100"/>
        <v>0</v>
      </c>
      <c r="Y917">
        <f t="shared" ca="1" si="101"/>
        <v>0</v>
      </c>
      <c r="AA917" s="63" t="e">
        <f t="shared" ca="1" si="102"/>
        <v>#N/A</v>
      </c>
      <c r="AB917" s="63" t="e">
        <f t="shared" ca="1" si="103"/>
        <v>#N/A</v>
      </c>
      <c r="AC917" s="3" t="e">
        <f t="shared" ca="1" si="104"/>
        <v>#N/A</v>
      </c>
    </row>
    <row r="918" spans="8:29">
      <c r="H918" t="e">
        <f t="shared" ca="1" si="98"/>
        <v>#N/A</v>
      </c>
      <c r="I918" t="e">
        <f t="shared" ca="1" si="99"/>
        <v>#N/A</v>
      </c>
      <c r="J918" t="e">
        <f ca="1"/>
        <v>#N/A</v>
      </c>
      <c r="K918" t="e">
        <f ca="1"/>
        <v>#N/A</v>
      </c>
      <c r="L918" t="e">
        <f ca="1"/>
        <v>#N/A</v>
      </c>
      <c r="M918" t="e">
        <f ca="1"/>
        <v>#N/A</v>
      </c>
      <c r="N918" t="e">
        <f ca="1"/>
        <v>#N/A</v>
      </c>
      <c r="O918" t="e">
        <f ca="1"/>
        <v>#N/A</v>
      </c>
      <c r="P918" t="e">
        <f ca="1"/>
        <v>#N/A</v>
      </c>
      <c r="Q918" t="e">
        <f ca="1"/>
        <v>#N/A</v>
      </c>
      <c r="R918" t="e">
        <f ca="1"/>
        <v>#N/A</v>
      </c>
      <c r="S918" t="e">
        <f ca="1"/>
        <v>#N/A</v>
      </c>
      <c r="T918" t="e">
        <f ca="1"/>
        <v>#N/A</v>
      </c>
      <c r="U918" t="e">
        <f ca="1"/>
        <v>#N/A</v>
      </c>
      <c r="V918" t="e">
        <f ca="1"/>
        <v>#N/A</v>
      </c>
      <c r="X918" s="2">
        <f t="shared" ca="1" si="100"/>
        <v>0</v>
      </c>
      <c r="Y918">
        <f t="shared" ca="1" si="101"/>
        <v>0</v>
      </c>
      <c r="AA918" s="63" t="e">
        <f t="shared" ca="1" si="102"/>
        <v>#N/A</v>
      </c>
      <c r="AB918" s="63" t="e">
        <f t="shared" ca="1" si="103"/>
        <v>#N/A</v>
      </c>
      <c r="AC918" s="3" t="e">
        <f t="shared" ca="1" si="104"/>
        <v>#N/A</v>
      </c>
    </row>
    <row r="919" spans="8:29">
      <c r="H919" t="e">
        <f t="shared" ca="1" si="98"/>
        <v>#N/A</v>
      </c>
      <c r="I919" t="e">
        <f t="shared" ca="1" si="99"/>
        <v>#N/A</v>
      </c>
      <c r="J919" t="e">
        <f ca="1"/>
        <v>#N/A</v>
      </c>
      <c r="K919" t="e">
        <f ca="1"/>
        <v>#N/A</v>
      </c>
      <c r="L919" t="e">
        <f ca="1"/>
        <v>#N/A</v>
      </c>
      <c r="M919" t="e">
        <f ca="1"/>
        <v>#N/A</v>
      </c>
      <c r="N919" t="e">
        <f ca="1"/>
        <v>#N/A</v>
      </c>
      <c r="O919" t="e">
        <f ca="1"/>
        <v>#N/A</v>
      </c>
      <c r="P919" t="e">
        <f ca="1"/>
        <v>#N/A</v>
      </c>
      <c r="Q919" t="e">
        <f ca="1"/>
        <v>#N/A</v>
      </c>
      <c r="R919" t="e">
        <f ca="1"/>
        <v>#N/A</v>
      </c>
      <c r="S919" t="e">
        <f ca="1"/>
        <v>#N/A</v>
      </c>
      <c r="T919" t="e">
        <f ca="1"/>
        <v>#N/A</v>
      </c>
      <c r="U919" t="e">
        <f ca="1"/>
        <v>#N/A</v>
      </c>
      <c r="V919" t="e">
        <f ca="1"/>
        <v>#N/A</v>
      </c>
      <c r="X919" s="2">
        <f t="shared" ca="1" si="100"/>
        <v>0</v>
      </c>
      <c r="Y919">
        <f t="shared" ca="1" si="101"/>
        <v>0</v>
      </c>
      <c r="AA919" s="63" t="e">
        <f t="shared" ca="1" si="102"/>
        <v>#N/A</v>
      </c>
      <c r="AB919" s="63" t="e">
        <f t="shared" ca="1" si="103"/>
        <v>#N/A</v>
      </c>
      <c r="AC919" s="3" t="e">
        <f t="shared" ca="1" si="104"/>
        <v>#N/A</v>
      </c>
    </row>
    <row r="920" spans="8:29">
      <c r="H920" t="e">
        <f t="shared" ca="1" si="98"/>
        <v>#N/A</v>
      </c>
      <c r="I920" t="e">
        <f t="shared" ca="1" si="99"/>
        <v>#N/A</v>
      </c>
      <c r="J920" t="e">
        <f ca="1"/>
        <v>#N/A</v>
      </c>
      <c r="K920" t="e">
        <f ca="1"/>
        <v>#N/A</v>
      </c>
      <c r="L920" t="e">
        <f ca="1"/>
        <v>#N/A</v>
      </c>
      <c r="M920" t="e">
        <f ca="1"/>
        <v>#N/A</v>
      </c>
      <c r="N920" t="e">
        <f ca="1"/>
        <v>#N/A</v>
      </c>
      <c r="O920" t="e">
        <f ca="1"/>
        <v>#N/A</v>
      </c>
      <c r="P920" t="e">
        <f ca="1"/>
        <v>#N/A</v>
      </c>
      <c r="Q920" t="e">
        <f ca="1"/>
        <v>#N/A</v>
      </c>
      <c r="R920" t="e">
        <f ca="1"/>
        <v>#N/A</v>
      </c>
      <c r="S920" t="e">
        <f ca="1"/>
        <v>#N/A</v>
      </c>
      <c r="T920" t="e">
        <f ca="1"/>
        <v>#N/A</v>
      </c>
      <c r="U920" t="e">
        <f ca="1"/>
        <v>#N/A</v>
      </c>
      <c r="V920" t="e">
        <f ca="1"/>
        <v>#N/A</v>
      </c>
      <c r="X920" s="2">
        <f t="shared" ca="1" si="100"/>
        <v>0</v>
      </c>
      <c r="Y920">
        <f t="shared" ca="1" si="101"/>
        <v>0</v>
      </c>
      <c r="AA920" s="63" t="e">
        <f t="shared" ca="1" si="102"/>
        <v>#N/A</v>
      </c>
      <c r="AB920" s="63" t="e">
        <f t="shared" ca="1" si="103"/>
        <v>#N/A</v>
      </c>
      <c r="AC920" s="3" t="e">
        <f t="shared" ca="1" si="104"/>
        <v>#N/A</v>
      </c>
    </row>
    <row r="921" spans="8:29">
      <c r="H921" t="e">
        <f t="shared" ca="1" si="98"/>
        <v>#N/A</v>
      </c>
      <c r="I921" t="e">
        <f t="shared" ca="1" si="99"/>
        <v>#N/A</v>
      </c>
      <c r="J921" t="e">
        <f ca="1"/>
        <v>#N/A</v>
      </c>
      <c r="K921" t="e">
        <f ca="1"/>
        <v>#N/A</v>
      </c>
      <c r="L921" t="e">
        <f ca="1"/>
        <v>#N/A</v>
      </c>
      <c r="M921" t="e">
        <f ca="1"/>
        <v>#N/A</v>
      </c>
      <c r="N921" t="e">
        <f ca="1"/>
        <v>#N/A</v>
      </c>
      <c r="O921" t="e">
        <f ca="1"/>
        <v>#N/A</v>
      </c>
      <c r="P921" t="e">
        <f ca="1"/>
        <v>#N/A</v>
      </c>
      <c r="Q921" t="e">
        <f ca="1"/>
        <v>#N/A</v>
      </c>
      <c r="R921" t="e">
        <f ca="1"/>
        <v>#N/A</v>
      </c>
      <c r="S921" t="e">
        <f ca="1"/>
        <v>#N/A</v>
      </c>
      <c r="T921" t="e">
        <f ca="1"/>
        <v>#N/A</v>
      </c>
      <c r="U921" t="e">
        <f ca="1"/>
        <v>#N/A</v>
      </c>
      <c r="V921" t="e">
        <f ca="1"/>
        <v>#N/A</v>
      </c>
      <c r="X921" s="2">
        <f t="shared" ca="1" si="100"/>
        <v>0</v>
      </c>
      <c r="Y921">
        <f t="shared" ca="1" si="101"/>
        <v>0</v>
      </c>
      <c r="AA921" s="63" t="e">
        <f t="shared" ca="1" si="102"/>
        <v>#N/A</v>
      </c>
      <c r="AB921" s="63" t="e">
        <f t="shared" ca="1" si="103"/>
        <v>#N/A</v>
      </c>
      <c r="AC921" s="3" t="e">
        <f t="shared" ca="1" si="104"/>
        <v>#N/A</v>
      </c>
    </row>
    <row r="922" spans="8:29">
      <c r="H922" t="e">
        <f t="shared" ca="1" si="98"/>
        <v>#N/A</v>
      </c>
      <c r="I922" t="e">
        <f t="shared" ca="1" si="99"/>
        <v>#N/A</v>
      </c>
      <c r="J922" t="e">
        <f ca="1"/>
        <v>#N/A</v>
      </c>
      <c r="K922" t="e">
        <f ca="1"/>
        <v>#N/A</v>
      </c>
      <c r="L922" t="e">
        <f ca="1"/>
        <v>#N/A</v>
      </c>
      <c r="M922" t="e">
        <f ca="1"/>
        <v>#N/A</v>
      </c>
      <c r="N922" t="e">
        <f ca="1"/>
        <v>#N/A</v>
      </c>
      <c r="O922" t="e">
        <f ca="1"/>
        <v>#N/A</v>
      </c>
      <c r="P922" t="e">
        <f ca="1"/>
        <v>#N/A</v>
      </c>
      <c r="Q922" t="e">
        <f ca="1"/>
        <v>#N/A</v>
      </c>
      <c r="R922" t="e">
        <f ca="1"/>
        <v>#N/A</v>
      </c>
      <c r="S922" t="e">
        <f ca="1"/>
        <v>#N/A</v>
      </c>
      <c r="T922" t="e">
        <f ca="1"/>
        <v>#N/A</v>
      </c>
      <c r="U922" t="e">
        <f ca="1"/>
        <v>#N/A</v>
      </c>
      <c r="V922" t="e">
        <f ca="1"/>
        <v>#N/A</v>
      </c>
      <c r="X922" s="2">
        <f t="shared" ca="1" si="100"/>
        <v>0</v>
      </c>
      <c r="Y922">
        <f t="shared" ca="1" si="101"/>
        <v>0</v>
      </c>
      <c r="AA922" s="63" t="e">
        <f t="shared" ca="1" si="102"/>
        <v>#N/A</v>
      </c>
      <c r="AB922" s="63" t="e">
        <f t="shared" ca="1" si="103"/>
        <v>#N/A</v>
      </c>
      <c r="AC922" s="3" t="e">
        <f t="shared" ca="1" si="104"/>
        <v>#N/A</v>
      </c>
    </row>
    <row r="923" spans="8:29">
      <c r="H923" t="e">
        <f t="shared" ca="1" si="98"/>
        <v>#N/A</v>
      </c>
      <c r="I923" t="e">
        <f t="shared" ca="1" si="99"/>
        <v>#N/A</v>
      </c>
      <c r="J923" t="e">
        <f ca="1"/>
        <v>#N/A</v>
      </c>
      <c r="K923" t="e">
        <f ca="1"/>
        <v>#N/A</v>
      </c>
      <c r="L923" t="e">
        <f ca="1"/>
        <v>#N/A</v>
      </c>
      <c r="M923" t="e">
        <f ca="1"/>
        <v>#N/A</v>
      </c>
      <c r="N923" t="e">
        <f ca="1"/>
        <v>#N/A</v>
      </c>
      <c r="O923" t="e">
        <f ca="1"/>
        <v>#N/A</v>
      </c>
      <c r="P923" t="e">
        <f ca="1"/>
        <v>#N/A</v>
      </c>
      <c r="Q923" t="e">
        <f ca="1"/>
        <v>#N/A</v>
      </c>
      <c r="R923" t="e">
        <f ca="1"/>
        <v>#N/A</v>
      </c>
      <c r="S923" t="e">
        <f ca="1"/>
        <v>#N/A</v>
      </c>
      <c r="T923" t="e">
        <f ca="1"/>
        <v>#N/A</v>
      </c>
      <c r="U923" t="e">
        <f ca="1"/>
        <v>#N/A</v>
      </c>
      <c r="V923" t="e">
        <f ca="1"/>
        <v>#N/A</v>
      </c>
      <c r="X923" s="2">
        <f t="shared" ca="1" si="100"/>
        <v>0</v>
      </c>
      <c r="Y923">
        <f t="shared" ca="1" si="101"/>
        <v>0</v>
      </c>
      <c r="AA923" s="63" t="e">
        <f t="shared" ca="1" si="102"/>
        <v>#N/A</v>
      </c>
      <c r="AB923" s="63" t="e">
        <f t="shared" ca="1" si="103"/>
        <v>#N/A</v>
      </c>
      <c r="AC923" s="3" t="e">
        <f t="shared" ca="1" si="104"/>
        <v>#N/A</v>
      </c>
    </row>
    <row r="924" spans="8:29">
      <c r="H924" t="e">
        <f t="shared" ca="1" si="98"/>
        <v>#N/A</v>
      </c>
      <c r="I924" t="e">
        <f t="shared" ca="1" si="99"/>
        <v>#N/A</v>
      </c>
      <c r="J924" t="e">
        <f ca="1"/>
        <v>#N/A</v>
      </c>
      <c r="K924" t="e">
        <f ca="1"/>
        <v>#N/A</v>
      </c>
      <c r="L924" t="e">
        <f ca="1"/>
        <v>#N/A</v>
      </c>
      <c r="M924" t="e">
        <f ca="1"/>
        <v>#N/A</v>
      </c>
      <c r="N924" t="e">
        <f ca="1"/>
        <v>#N/A</v>
      </c>
      <c r="O924" t="e">
        <f ca="1"/>
        <v>#N/A</v>
      </c>
      <c r="P924" t="e">
        <f ca="1"/>
        <v>#N/A</v>
      </c>
      <c r="Q924" t="e">
        <f ca="1"/>
        <v>#N/A</v>
      </c>
      <c r="R924" t="e">
        <f ca="1"/>
        <v>#N/A</v>
      </c>
      <c r="S924" t="e">
        <f ca="1"/>
        <v>#N/A</v>
      </c>
      <c r="T924" t="e">
        <f ca="1"/>
        <v>#N/A</v>
      </c>
      <c r="U924" t="e">
        <f ca="1"/>
        <v>#N/A</v>
      </c>
      <c r="V924" t="e">
        <f ca="1"/>
        <v>#N/A</v>
      </c>
      <c r="X924" s="2">
        <f t="shared" ca="1" si="100"/>
        <v>0</v>
      </c>
      <c r="Y924">
        <f t="shared" ca="1" si="101"/>
        <v>0</v>
      </c>
      <c r="AA924" s="63" t="e">
        <f t="shared" ca="1" si="102"/>
        <v>#N/A</v>
      </c>
      <c r="AB924" s="63" t="e">
        <f t="shared" ca="1" si="103"/>
        <v>#N/A</v>
      </c>
      <c r="AC924" s="3" t="e">
        <f t="shared" ca="1" si="104"/>
        <v>#N/A</v>
      </c>
    </row>
    <row r="925" spans="8:29">
      <c r="H925" t="e">
        <f t="shared" ca="1" si="98"/>
        <v>#N/A</v>
      </c>
      <c r="I925" t="e">
        <f t="shared" ca="1" si="99"/>
        <v>#N/A</v>
      </c>
      <c r="J925" t="e">
        <f ca="1"/>
        <v>#N/A</v>
      </c>
      <c r="K925" t="e">
        <f ca="1"/>
        <v>#N/A</v>
      </c>
      <c r="L925" t="e">
        <f ca="1"/>
        <v>#N/A</v>
      </c>
      <c r="M925" t="e">
        <f ca="1"/>
        <v>#N/A</v>
      </c>
      <c r="N925" t="e">
        <f ca="1"/>
        <v>#N/A</v>
      </c>
      <c r="O925" t="e">
        <f ca="1"/>
        <v>#N/A</v>
      </c>
      <c r="P925" t="e">
        <f ca="1"/>
        <v>#N/A</v>
      </c>
      <c r="Q925" t="e">
        <f ca="1"/>
        <v>#N/A</v>
      </c>
      <c r="R925" t="e">
        <f ca="1"/>
        <v>#N/A</v>
      </c>
      <c r="S925" t="e">
        <f ca="1"/>
        <v>#N/A</v>
      </c>
      <c r="T925" t="e">
        <f ca="1"/>
        <v>#N/A</v>
      </c>
      <c r="U925" t="e">
        <f ca="1"/>
        <v>#N/A</v>
      </c>
      <c r="V925" t="e">
        <f ca="1"/>
        <v>#N/A</v>
      </c>
      <c r="X925" s="2">
        <f t="shared" ca="1" si="100"/>
        <v>0</v>
      </c>
      <c r="Y925">
        <f t="shared" ca="1" si="101"/>
        <v>0</v>
      </c>
      <c r="AA925" s="63" t="e">
        <f t="shared" ca="1" si="102"/>
        <v>#N/A</v>
      </c>
      <c r="AB925" s="63" t="e">
        <f t="shared" ca="1" si="103"/>
        <v>#N/A</v>
      </c>
      <c r="AC925" s="3" t="e">
        <f t="shared" ca="1" si="104"/>
        <v>#N/A</v>
      </c>
    </row>
    <row r="926" spans="8:29">
      <c r="H926" t="e">
        <f t="shared" ca="1" si="98"/>
        <v>#N/A</v>
      </c>
      <c r="I926" t="e">
        <f t="shared" ca="1" si="99"/>
        <v>#N/A</v>
      </c>
      <c r="J926" t="e">
        <f ca="1"/>
        <v>#N/A</v>
      </c>
      <c r="K926" t="e">
        <f ca="1"/>
        <v>#N/A</v>
      </c>
      <c r="L926" t="e">
        <f ca="1"/>
        <v>#N/A</v>
      </c>
      <c r="M926" t="e">
        <f ca="1"/>
        <v>#N/A</v>
      </c>
      <c r="N926" t="e">
        <f ca="1"/>
        <v>#N/A</v>
      </c>
      <c r="O926" t="e">
        <f ca="1"/>
        <v>#N/A</v>
      </c>
      <c r="P926" t="e">
        <f ca="1"/>
        <v>#N/A</v>
      </c>
      <c r="Q926" t="e">
        <f ca="1"/>
        <v>#N/A</v>
      </c>
      <c r="R926" t="e">
        <f ca="1"/>
        <v>#N/A</v>
      </c>
      <c r="S926" t="e">
        <f ca="1"/>
        <v>#N/A</v>
      </c>
      <c r="T926" t="e">
        <f ca="1"/>
        <v>#N/A</v>
      </c>
      <c r="U926" t="e">
        <f ca="1"/>
        <v>#N/A</v>
      </c>
      <c r="V926" t="e">
        <f ca="1"/>
        <v>#N/A</v>
      </c>
      <c r="X926" s="2">
        <f t="shared" ca="1" si="100"/>
        <v>0</v>
      </c>
      <c r="Y926">
        <f t="shared" ca="1" si="101"/>
        <v>0</v>
      </c>
      <c r="AA926" s="63" t="e">
        <f t="shared" ca="1" si="102"/>
        <v>#N/A</v>
      </c>
      <c r="AB926" s="63" t="e">
        <f t="shared" ca="1" si="103"/>
        <v>#N/A</v>
      </c>
      <c r="AC926" s="3" t="e">
        <f t="shared" ca="1" si="104"/>
        <v>#N/A</v>
      </c>
    </row>
    <row r="927" spans="8:29">
      <c r="H927" t="e">
        <f t="shared" ca="1" si="98"/>
        <v>#N/A</v>
      </c>
      <c r="I927" t="e">
        <f t="shared" ca="1" si="99"/>
        <v>#N/A</v>
      </c>
      <c r="J927" t="e">
        <f ca="1"/>
        <v>#N/A</v>
      </c>
      <c r="K927" t="e">
        <f ca="1"/>
        <v>#N/A</v>
      </c>
      <c r="L927" t="e">
        <f ca="1"/>
        <v>#N/A</v>
      </c>
      <c r="M927" t="e">
        <f ca="1"/>
        <v>#N/A</v>
      </c>
      <c r="N927" t="e">
        <f ca="1"/>
        <v>#N/A</v>
      </c>
      <c r="O927" t="e">
        <f ca="1"/>
        <v>#N/A</v>
      </c>
      <c r="P927" t="e">
        <f ca="1"/>
        <v>#N/A</v>
      </c>
      <c r="Q927" t="e">
        <f ca="1"/>
        <v>#N/A</v>
      </c>
      <c r="R927" t="e">
        <f ca="1"/>
        <v>#N/A</v>
      </c>
      <c r="S927" t="e">
        <f ca="1"/>
        <v>#N/A</v>
      </c>
      <c r="T927" t="e">
        <f ca="1"/>
        <v>#N/A</v>
      </c>
      <c r="U927" t="e">
        <f ca="1"/>
        <v>#N/A</v>
      </c>
      <c r="V927" t="e">
        <f ca="1"/>
        <v>#N/A</v>
      </c>
      <c r="X927" s="2">
        <f t="shared" ca="1" si="100"/>
        <v>0</v>
      </c>
      <c r="Y927">
        <f t="shared" ca="1" si="101"/>
        <v>0</v>
      </c>
      <c r="AA927" s="63" t="e">
        <f t="shared" ca="1" si="102"/>
        <v>#N/A</v>
      </c>
      <c r="AB927" s="63" t="e">
        <f t="shared" ca="1" si="103"/>
        <v>#N/A</v>
      </c>
      <c r="AC927" s="3" t="e">
        <f t="shared" ca="1" si="104"/>
        <v>#N/A</v>
      </c>
    </row>
    <row r="928" spans="8:29">
      <c r="H928" t="e">
        <f t="shared" ca="1" si="98"/>
        <v>#N/A</v>
      </c>
      <c r="I928" t="e">
        <f t="shared" ca="1" si="99"/>
        <v>#N/A</v>
      </c>
      <c r="J928" t="e">
        <f ca="1"/>
        <v>#N/A</v>
      </c>
      <c r="K928" t="e">
        <f ca="1"/>
        <v>#N/A</v>
      </c>
      <c r="L928" t="e">
        <f ca="1"/>
        <v>#N/A</v>
      </c>
      <c r="M928" t="e">
        <f ca="1"/>
        <v>#N/A</v>
      </c>
      <c r="N928" t="e">
        <f ca="1"/>
        <v>#N/A</v>
      </c>
      <c r="O928" t="e">
        <f ca="1"/>
        <v>#N/A</v>
      </c>
      <c r="P928" t="e">
        <f ca="1"/>
        <v>#N/A</v>
      </c>
      <c r="Q928" t="e">
        <f ca="1"/>
        <v>#N/A</v>
      </c>
      <c r="R928" t="e">
        <f ca="1"/>
        <v>#N/A</v>
      </c>
      <c r="S928" t="e">
        <f ca="1"/>
        <v>#N/A</v>
      </c>
      <c r="T928" t="e">
        <f ca="1"/>
        <v>#N/A</v>
      </c>
      <c r="U928" t="e">
        <f ca="1"/>
        <v>#N/A</v>
      </c>
      <c r="V928" t="e">
        <f ca="1"/>
        <v>#N/A</v>
      </c>
      <c r="X928" s="2">
        <f t="shared" ca="1" si="100"/>
        <v>0</v>
      </c>
      <c r="Y928">
        <f t="shared" ca="1" si="101"/>
        <v>0</v>
      </c>
      <c r="AA928" s="63" t="e">
        <f t="shared" ca="1" si="102"/>
        <v>#N/A</v>
      </c>
      <c r="AB928" s="63" t="e">
        <f t="shared" ca="1" si="103"/>
        <v>#N/A</v>
      </c>
      <c r="AC928" s="3" t="e">
        <f t="shared" ca="1" si="104"/>
        <v>#N/A</v>
      </c>
    </row>
    <row r="929" spans="8:29">
      <c r="H929" t="e">
        <f t="shared" ca="1" si="98"/>
        <v>#N/A</v>
      </c>
      <c r="I929" t="e">
        <f t="shared" ca="1" si="99"/>
        <v>#N/A</v>
      </c>
      <c r="J929" t="e">
        <f ca="1"/>
        <v>#N/A</v>
      </c>
      <c r="K929" t="e">
        <f ca="1"/>
        <v>#N/A</v>
      </c>
      <c r="L929" t="e">
        <f ca="1"/>
        <v>#N/A</v>
      </c>
      <c r="M929" t="e">
        <f ca="1"/>
        <v>#N/A</v>
      </c>
      <c r="N929" t="e">
        <f ca="1"/>
        <v>#N/A</v>
      </c>
      <c r="O929" t="e">
        <f ca="1"/>
        <v>#N/A</v>
      </c>
      <c r="P929" t="e">
        <f ca="1"/>
        <v>#N/A</v>
      </c>
      <c r="Q929" t="e">
        <f ca="1"/>
        <v>#N/A</v>
      </c>
      <c r="R929" t="e">
        <f ca="1"/>
        <v>#N/A</v>
      </c>
      <c r="S929" t="e">
        <f ca="1"/>
        <v>#N/A</v>
      </c>
      <c r="T929" t="e">
        <f ca="1"/>
        <v>#N/A</v>
      </c>
      <c r="U929" t="e">
        <f ca="1"/>
        <v>#N/A</v>
      </c>
      <c r="V929" t="e">
        <f ca="1"/>
        <v>#N/A</v>
      </c>
      <c r="X929" s="2">
        <f t="shared" ca="1" si="100"/>
        <v>0</v>
      </c>
      <c r="Y929">
        <f t="shared" ca="1" si="101"/>
        <v>0</v>
      </c>
      <c r="AA929" s="63" t="e">
        <f t="shared" ca="1" si="102"/>
        <v>#N/A</v>
      </c>
      <c r="AB929" s="63" t="e">
        <f t="shared" ca="1" si="103"/>
        <v>#N/A</v>
      </c>
      <c r="AC929" s="3" t="e">
        <f t="shared" ca="1" si="104"/>
        <v>#N/A</v>
      </c>
    </row>
    <row r="930" spans="8:29">
      <c r="H930" t="e">
        <f t="shared" ca="1" si="98"/>
        <v>#N/A</v>
      </c>
      <c r="I930" t="e">
        <f t="shared" ca="1" si="99"/>
        <v>#N/A</v>
      </c>
      <c r="J930" t="e">
        <f ca="1"/>
        <v>#N/A</v>
      </c>
      <c r="K930" t="e">
        <f ca="1"/>
        <v>#N/A</v>
      </c>
      <c r="L930" t="e">
        <f ca="1"/>
        <v>#N/A</v>
      </c>
      <c r="M930" t="e">
        <f ca="1"/>
        <v>#N/A</v>
      </c>
      <c r="N930" t="e">
        <f ca="1"/>
        <v>#N/A</v>
      </c>
      <c r="O930" t="e">
        <f ca="1"/>
        <v>#N/A</v>
      </c>
      <c r="P930" t="e">
        <f ca="1"/>
        <v>#N/A</v>
      </c>
      <c r="Q930" t="e">
        <f ca="1"/>
        <v>#N/A</v>
      </c>
      <c r="R930" t="e">
        <f ca="1"/>
        <v>#N/A</v>
      </c>
      <c r="S930" t="e">
        <f ca="1"/>
        <v>#N/A</v>
      </c>
      <c r="T930" t="e">
        <f ca="1"/>
        <v>#N/A</v>
      </c>
      <c r="U930" t="e">
        <f ca="1"/>
        <v>#N/A</v>
      </c>
      <c r="V930" t="e">
        <f ca="1"/>
        <v>#N/A</v>
      </c>
      <c r="X930" s="2">
        <f t="shared" ca="1" si="100"/>
        <v>0</v>
      </c>
      <c r="Y930">
        <f t="shared" ca="1" si="101"/>
        <v>0</v>
      </c>
      <c r="AA930" s="63" t="e">
        <f t="shared" ca="1" si="102"/>
        <v>#N/A</v>
      </c>
      <c r="AB930" s="63" t="e">
        <f t="shared" ca="1" si="103"/>
        <v>#N/A</v>
      </c>
      <c r="AC930" s="3" t="e">
        <f t="shared" ca="1" si="104"/>
        <v>#N/A</v>
      </c>
    </row>
    <row r="931" spans="8:29">
      <c r="H931" t="e">
        <f t="shared" ca="1" si="98"/>
        <v>#N/A</v>
      </c>
      <c r="I931" t="e">
        <f t="shared" ca="1" si="99"/>
        <v>#N/A</v>
      </c>
      <c r="J931" t="e">
        <f ca="1"/>
        <v>#N/A</v>
      </c>
      <c r="K931" t="e">
        <f ca="1"/>
        <v>#N/A</v>
      </c>
      <c r="L931" t="e">
        <f ca="1"/>
        <v>#N/A</v>
      </c>
      <c r="M931" t="e">
        <f ca="1"/>
        <v>#N/A</v>
      </c>
      <c r="N931" t="e">
        <f ca="1"/>
        <v>#N/A</v>
      </c>
      <c r="O931" t="e">
        <f ca="1"/>
        <v>#N/A</v>
      </c>
      <c r="P931" t="e">
        <f ca="1"/>
        <v>#N/A</v>
      </c>
      <c r="Q931" t="e">
        <f ca="1"/>
        <v>#N/A</v>
      </c>
      <c r="R931" t="e">
        <f ca="1"/>
        <v>#N/A</v>
      </c>
      <c r="S931" t="e">
        <f ca="1"/>
        <v>#N/A</v>
      </c>
      <c r="T931" t="e">
        <f ca="1"/>
        <v>#N/A</v>
      </c>
      <c r="U931" t="e">
        <f ca="1"/>
        <v>#N/A</v>
      </c>
      <c r="V931" t="e">
        <f ca="1"/>
        <v>#N/A</v>
      </c>
      <c r="X931" s="2">
        <f t="shared" ca="1" si="100"/>
        <v>0</v>
      </c>
      <c r="Y931">
        <f t="shared" ca="1" si="101"/>
        <v>0</v>
      </c>
      <c r="AA931" s="63" t="e">
        <f t="shared" ca="1" si="102"/>
        <v>#N/A</v>
      </c>
      <c r="AB931" s="63" t="e">
        <f t="shared" ca="1" si="103"/>
        <v>#N/A</v>
      </c>
      <c r="AC931" s="3" t="e">
        <f t="shared" ca="1" si="104"/>
        <v>#N/A</v>
      </c>
    </row>
    <row r="932" spans="8:29">
      <c r="H932" t="e">
        <f t="shared" ca="1" si="98"/>
        <v>#N/A</v>
      </c>
      <c r="I932" t="e">
        <f t="shared" ca="1" si="99"/>
        <v>#N/A</v>
      </c>
      <c r="J932" t="e">
        <f ca="1"/>
        <v>#N/A</v>
      </c>
      <c r="K932" t="e">
        <f ca="1"/>
        <v>#N/A</v>
      </c>
      <c r="L932" t="e">
        <f ca="1"/>
        <v>#N/A</v>
      </c>
      <c r="M932" t="e">
        <f ca="1"/>
        <v>#N/A</v>
      </c>
      <c r="N932" t="e">
        <f ca="1"/>
        <v>#N/A</v>
      </c>
      <c r="O932" t="e">
        <f ca="1"/>
        <v>#N/A</v>
      </c>
      <c r="P932" t="e">
        <f ca="1"/>
        <v>#N/A</v>
      </c>
      <c r="Q932" t="e">
        <f ca="1"/>
        <v>#N/A</v>
      </c>
      <c r="R932" t="e">
        <f ca="1"/>
        <v>#N/A</v>
      </c>
      <c r="S932" t="e">
        <f ca="1"/>
        <v>#N/A</v>
      </c>
      <c r="T932" t="e">
        <f ca="1"/>
        <v>#N/A</v>
      </c>
      <c r="U932" t="e">
        <f ca="1"/>
        <v>#N/A</v>
      </c>
      <c r="V932" t="e">
        <f ca="1"/>
        <v>#N/A</v>
      </c>
      <c r="X932" s="2">
        <f t="shared" ca="1" si="100"/>
        <v>0</v>
      </c>
      <c r="Y932">
        <f t="shared" ca="1" si="101"/>
        <v>0</v>
      </c>
      <c r="AA932" s="63" t="e">
        <f t="shared" ca="1" si="102"/>
        <v>#N/A</v>
      </c>
      <c r="AB932" s="63" t="e">
        <f t="shared" ca="1" si="103"/>
        <v>#N/A</v>
      </c>
      <c r="AC932" s="3" t="e">
        <f t="shared" ca="1" si="104"/>
        <v>#N/A</v>
      </c>
    </row>
    <row r="933" spans="8:29">
      <c r="H933" t="e">
        <f t="shared" ca="1" si="98"/>
        <v>#N/A</v>
      </c>
      <c r="I933" t="e">
        <f t="shared" ca="1" si="99"/>
        <v>#N/A</v>
      </c>
      <c r="J933" t="e">
        <f ca="1"/>
        <v>#N/A</v>
      </c>
      <c r="K933" t="e">
        <f ca="1"/>
        <v>#N/A</v>
      </c>
      <c r="L933" t="e">
        <f ca="1"/>
        <v>#N/A</v>
      </c>
      <c r="M933" t="e">
        <f ca="1"/>
        <v>#N/A</v>
      </c>
      <c r="N933" t="e">
        <f ca="1"/>
        <v>#N/A</v>
      </c>
      <c r="O933" t="e">
        <f ca="1"/>
        <v>#N/A</v>
      </c>
      <c r="P933" t="e">
        <f ca="1"/>
        <v>#N/A</v>
      </c>
      <c r="Q933" t="e">
        <f ca="1"/>
        <v>#N/A</v>
      </c>
      <c r="R933" t="e">
        <f ca="1"/>
        <v>#N/A</v>
      </c>
      <c r="S933" t="e">
        <f ca="1"/>
        <v>#N/A</v>
      </c>
      <c r="T933" t="e">
        <f ca="1"/>
        <v>#N/A</v>
      </c>
      <c r="U933" t="e">
        <f ca="1"/>
        <v>#N/A</v>
      </c>
      <c r="V933" t="e">
        <f ca="1"/>
        <v>#N/A</v>
      </c>
      <c r="X933" s="2">
        <f t="shared" ca="1" si="100"/>
        <v>0</v>
      </c>
      <c r="Y933">
        <f t="shared" ca="1" si="101"/>
        <v>0</v>
      </c>
      <c r="AA933" s="63" t="e">
        <f t="shared" ca="1" si="102"/>
        <v>#N/A</v>
      </c>
      <c r="AB933" s="63" t="e">
        <f t="shared" ca="1" si="103"/>
        <v>#N/A</v>
      </c>
      <c r="AC933" s="3" t="e">
        <f t="shared" ca="1" si="104"/>
        <v>#N/A</v>
      </c>
    </row>
    <row r="934" spans="8:29">
      <c r="H934" t="e">
        <f t="shared" ca="1" si="98"/>
        <v>#N/A</v>
      </c>
      <c r="I934" t="e">
        <f t="shared" ca="1" si="99"/>
        <v>#N/A</v>
      </c>
      <c r="J934" t="e">
        <f ca="1"/>
        <v>#N/A</v>
      </c>
      <c r="K934" t="e">
        <f ca="1"/>
        <v>#N/A</v>
      </c>
      <c r="L934" t="e">
        <f ca="1"/>
        <v>#N/A</v>
      </c>
      <c r="M934" t="e">
        <f ca="1"/>
        <v>#N/A</v>
      </c>
      <c r="N934" t="e">
        <f ca="1"/>
        <v>#N/A</v>
      </c>
      <c r="O934" t="e">
        <f ca="1"/>
        <v>#N/A</v>
      </c>
      <c r="P934" t="e">
        <f ca="1"/>
        <v>#N/A</v>
      </c>
      <c r="Q934" t="e">
        <f ca="1"/>
        <v>#N/A</v>
      </c>
      <c r="R934" t="e">
        <f ca="1"/>
        <v>#N/A</v>
      </c>
      <c r="S934" t="e">
        <f ca="1"/>
        <v>#N/A</v>
      </c>
      <c r="T934" t="e">
        <f ca="1"/>
        <v>#N/A</v>
      </c>
      <c r="U934" t="e">
        <f ca="1"/>
        <v>#N/A</v>
      </c>
      <c r="V934" t="e">
        <f ca="1"/>
        <v>#N/A</v>
      </c>
      <c r="X934" s="2">
        <f t="shared" ca="1" si="100"/>
        <v>0</v>
      </c>
      <c r="Y934">
        <f t="shared" ca="1" si="101"/>
        <v>0</v>
      </c>
      <c r="AA934" s="63" t="e">
        <f t="shared" ca="1" si="102"/>
        <v>#N/A</v>
      </c>
      <c r="AB934" s="63" t="e">
        <f t="shared" ca="1" si="103"/>
        <v>#N/A</v>
      </c>
      <c r="AC934" s="3" t="e">
        <f t="shared" ca="1" si="104"/>
        <v>#N/A</v>
      </c>
    </row>
    <row r="935" spans="8:29">
      <c r="H935" t="e">
        <f t="shared" ca="1" si="98"/>
        <v>#N/A</v>
      </c>
      <c r="I935" t="e">
        <f t="shared" ca="1" si="99"/>
        <v>#N/A</v>
      </c>
      <c r="J935" t="e">
        <f ca="1"/>
        <v>#N/A</v>
      </c>
      <c r="K935" t="e">
        <f ca="1"/>
        <v>#N/A</v>
      </c>
      <c r="L935" t="e">
        <f ca="1"/>
        <v>#N/A</v>
      </c>
      <c r="M935" t="e">
        <f ca="1"/>
        <v>#N/A</v>
      </c>
      <c r="N935" t="e">
        <f ca="1"/>
        <v>#N/A</v>
      </c>
      <c r="O935" t="e">
        <f ca="1"/>
        <v>#N/A</v>
      </c>
      <c r="P935" t="e">
        <f ca="1"/>
        <v>#N/A</v>
      </c>
      <c r="Q935" t="e">
        <f ca="1"/>
        <v>#N/A</v>
      </c>
      <c r="R935" t="e">
        <f ca="1"/>
        <v>#N/A</v>
      </c>
      <c r="S935" t="e">
        <f ca="1"/>
        <v>#N/A</v>
      </c>
      <c r="T935" t="e">
        <f ca="1"/>
        <v>#N/A</v>
      </c>
      <c r="U935" t="e">
        <f ca="1"/>
        <v>#N/A</v>
      </c>
      <c r="V935" t="e">
        <f ca="1"/>
        <v>#N/A</v>
      </c>
      <c r="X935" s="2">
        <f t="shared" ca="1" si="100"/>
        <v>0</v>
      </c>
      <c r="Y935">
        <f t="shared" ca="1" si="101"/>
        <v>0</v>
      </c>
      <c r="AA935" s="63" t="e">
        <f t="shared" ca="1" si="102"/>
        <v>#N/A</v>
      </c>
      <c r="AB935" s="63" t="e">
        <f t="shared" ca="1" si="103"/>
        <v>#N/A</v>
      </c>
      <c r="AC935" s="3" t="e">
        <f t="shared" ca="1" si="104"/>
        <v>#N/A</v>
      </c>
    </row>
    <row r="936" spans="8:29">
      <c r="H936" t="e">
        <f t="shared" ca="1" si="98"/>
        <v>#N/A</v>
      </c>
      <c r="I936" t="e">
        <f t="shared" ca="1" si="99"/>
        <v>#N/A</v>
      </c>
      <c r="J936" t="e">
        <f ca="1"/>
        <v>#N/A</v>
      </c>
      <c r="K936" t="e">
        <f ca="1"/>
        <v>#N/A</v>
      </c>
      <c r="L936" t="e">
        <f ca="1"/>
        <v>#N/A</v>
      </c>
      <c r="M936" t="e">
        <f ca="1"/>
        <v>#N/A</v>
      </c>
      <c r="N936" t="e">
        <f ca="1"/>
        <v>#N/A</v>
      </c>
      <c r="O936" t="e">
        <f ca="1"/>
        <v>#N/A</v>
      </c>
      <c r="P936" t="e">
        <f ca="1"/>
        <v>#N/A</v>
      </c>
      <c r="Q936" t="e">
        <f ca="1"/>
        <v>#N/A</v>
      </c>
      <c r="R936" t="e">
        <f ca="1"/>
        <v>#N/A</v>
      </c>
      <c r="S936" t="e">
        <f ca="1"/>
        <v>#N/A</v>
      </c>
      <c r="T936" t="e">
        <f ca="1"/>
        <v>#N/A</v>
      </c>
      <c r="U936" t="e">
        <f ca="1"/>
        <v>#N/A</v>
      </c>
      <c r="V936" t="e">
        <f ca="1"/>
        <v>#N/A</v>
      </c>
      <c r="X936" s="2">
        <f t="shared" ca="1" si="100"/>
        <v>0</v>
      </c>
      <c r="Y936">
        <f t="shared" ca="1" si="101"/>
        <v>0</v>
      </c>
      <c r="AA936" s="63" t="e">
        <f t="shared" ca="1" si="102"/>
        <v>#N/A</v>
      </c>
      <c r="AB936" s="63" t="e">
        <f t="shared" ca="1" si="103"/>
        <v>#N/A</v>
      </c>
      <c r="AC936" s="3" t="e">
        <f t="shared" ca="1" si="104"/>
        <v>#N/A</v>
      </c>
    </row>
    <row r="937" spans="8:29">
      <c r="H937" t="e">
        <f t="shared" ca="1" si="98"/>
        <v>#N/A</v>
      </c>
      <c r="I937" t="e">
        <f t="shared" ca="1" si="99"/>
        <v>#N/A</v>
      </c>
      <c r="J937" t="e">
        <f ca="1"/>
        <v>#N/A</v>
      </c>
      <c r="K937" t="e">
        <f ca="1"/>
        <v>#N/A</v>
      </c>
      <c r="L937" t="e">
        <f ca="1"/>
        <v>#N/A</v>
      </c>
      <c r="M937" t="e">
        <f ca="1"/>
        <v>#N/A</v>
      </c>
      <c r="N937" t="e">
        <f ca="1"/>
        <v>#N/A</v>
      </c>
      <c r="O937" t="e">
        <f ca="1"/>
        <v>#N/A</v>
      </c>
      <c r="P937" t="e">
        <f ca="1"/>
        <v>#N/A</v>
      </c>
      <c r="Q937" t="e">
        <f ca="1"/>
        <v>#N/A</v>
      </c>
      <c r="R937" t="e">
        <f ca="1"/>
        <v>#N/A</v>
      </c>
      <c r="S937" t="e">
        <f ca="1"/>
        <v>#N/A</v>
      </c>
      <c r="T937" t="e">
        <f ca="1"/>
        <v>#N/A</v>
      </c>
      <c r="U937" t="e">
        <f ca="1"/>
        <v>#N/A</v>
      </c>
      <c r="V937" t="e">
        <f ca="1"/>
        <v>#N/A</v>
      </c>
      <c r="X937" s="2">
        <f t="shared" ca="1" si="100"/>
        <v>0</v>
      </c>
      <c r="Y937">
        <f t="shared" ca="1" si="101"/>
        <v>0</v>
      </c>
      <c r="AA937" s="63" t="e">
        <f t="shared" ca="1" si="102"/>
        <v>#N/A</v>
      </c>
      <c r="AB937" s="63" t="e">
        <f t="shared" ca="1" si="103"/>
        <v>#N/A</v>
      </c>
      <c r="AC937" s="3" t="e">
        <f t="shared" ca="1" si="104"/>
        <v>#N/A</v>
      </c>
    </row>
    <row r="938" spans="8:29">
      <c r="H938" t="e">
        <f t="shared" ca="1" si="98"/>
        <v>#N/A</v>
      </c>
      <c r="I938" t="e">
        <f t="shared" ca="1" si="99"/>
        <v>#N/A</v>
      </c>
      <c r="J938" t="e">
        <f ca="1"/>
        <v>#N/A</v>
      </c>
      <c r="K938" t="e">
        <f ca="1"/>
        <v>#N/A</v>
      </c>
      <c r="L938" t="e">
        <f ca="1"/>
        <v>#N/A</v>
      </c>
      <c r="M938" t="e">
        <f ca="1"/>
        <v>#N/A</v>
      </c>
      <c r="N938" t="e">
        <f ca="1"/>
        <v>#N/A</v>
      </c>
      <c r="O938" t="e">
        <f ca="1"/>
        <v>#N/A</v>
      </c>
      <c r="P938" t="e">
        <f ca="1"/>
        <v>#N/A</v>
      </c>
      <c r="Q938" t="e">
        <f ca="1"/>
        <v>#N/A</v>
      </c>
      <c r="R938" t="e">
        <f ca="1"/>
        <v>#N/A</v>
      </c>
      <c r="S938" t="e">
        <f ca="1"/>
        <v>#N/A</v>
      </c>
      <c r="T938" t="e">
        <f ca="1"/>
        <v>#N/A</v>
      </c>
      <c r="U938" t="e">
        <f ca="1"/>
        <v>#N/A</v>
      </c>
      <c r="V938" t="e">
        <f ca="1"/>
        <v>#N/A</v>
      </c>
      <c r="X938" s="2">
        <f t="shared" ca="1" si="100"/>
        <v>0</v>
      </c>
      <c r="Y938">
        <f t="shared" ca="1" si="101"/>
        <v>0</v>
      </c>
      <c r="AA938" s="63" t="e">
        <f t="shared" ca="1" si="102"/>
        <v>#N/A</v>
      </c>
      <c r="AB938" s="63" t="e">
        <f t="shared" ca="1" si="103"/>
        <v>#N/A</v>
      </c>
      <c r="AC938" s="3" t="e">
        <f t="shared" ca="1" si="104"/>
        <v>#N/A</v>
      </c>
    </row>
    <row r="939" spans="8:29">
      <c r="H939" t="e">
        <f t="shared" ca="1" si="98"/>
        <v>#N/A</v>
      </c>
      <c r="I939" t="e">
        <f t="shared" ca="1" si="99"/>
        <v>#N/A</v>
      </c>
      <c r="J939" t="e">
        <f ca="1"/>
        <v>#N/A</v>
      </c>
      <c r="K939" t="e">
        <f ca="1"/>
        <v>#N/A</v>
      </c>
      <c r="L939" t="e">
        <f ca="1"/>
        <v>#N/A</v>
      </c>
      <c r="M939" t="e">
        <f ca="1"/>
        <v>#N/A</v>
      </c>
      <c r="N939" t="e">
        <f ca="1"/>
        <v>#N/A</v>
      </c>
      <c r="O939" t="e">
        <f ca="1"/>
        <v>#N/A</v>
      </c>
      <c r="P939" t="e">
        <f ca="1"/>
        <v>#N/A</v>
      </c>
      <c r="Q939" t="e">
        <f ca="1"/>
        <v>#N/A</v>
      </c>
      <c r="R939" t="e">
        <f ca="1"/>
        <v>#N/A</v>
      </c>
      <c r="S939" t="e">
        <f ca="1"/>
        <v>#N/A</v>
      </c>
      <c r="T939" t="e">
        <f ca="1"/>
        <v>#N/A</v>
      </c>
      <c r="U939" t="e">
        <f ca="1"/>
        <v>#N/A</v>
      </c>
      <c r="V939" t="e">
        <f ca="1"/>
        <v>#N/A</v>
      </c>
      <c r="X939" s="2">
        <f t="shared" ca="1" si="100"/>
        <v>0</v>
      </c>
      <c r="Y939">
        <f t="shared" ca="1" si="101"/>
        <v>0</v>
      </c>
      <c r="AA939" s="63" t="e">
        <f t="shared" ca="1" si="102"/>
        <v>#N/A</v>
      </c>
      <c r="AB939" s="63" t="e">
        <f t="shared" ca="1" si="103"/>
        <v>#N/A</v>
      </c>
      <c r="AC939" s="3" t="e">
        <f t="shared" ca="1" si="104"/>
        <v>#N/A</v>
      </c>
    </row>
    <row r="940" spans="8:29">
      <c r="H940" t="e">
        <f t="shared" ca="1" si="98"/>
        <v>#N/A</v>
      </c>
      <c r="I940" t="e">
        <f t="shared" ca="1" si="99"/>
        <v>#N/A</v>
      </c>
      <c r="J940" t="e">
        <f ca="1"/>
        <v>#N/A</v>
      </c>
      <c r="K940" t="e">
        <f ca="1"/>
        <v>#N/A</v>
      </c>
      <c r="L940" t="e">
        <f ca="1"/>
        <v>#N/A</v>
      </c>
      <c r="M940" t="e">
        <f ca="1"/>
        <v>#N/A</v>
      </c>
      <c r="N940" t="e">
        <f ca="1"/>
        <v>#N/A</v>
      </c>
      <c r="O940" t="e">
        <f ca="1"/>
        <v>#N/A</v>
      </c>
      <c r="P940" t="e">
        <f ca="1"/>
        <v>#N/A</v>
      </c>
      <c r="Q940" t="e">
        <f ca="1"/>
        <v>#N/A</v>
      </c>
      <c r="R940" t="e">
        <f ca="1"/>
        <v>#N/A</v>
      </c>
      <c r="S940" t="e">
        <f ca="1"/>
        <v>#N/A</v>
      </c>
      <c r="T940" t="e">
        <f ca="1"/>
        <v>#N/A</v>
      </c>
      <c r="U940" t="e">
        <f ca="1"/>
        <v>#N/A</v>
      </c>
      <c r="V940" t="e">
        <f ca="1"/>
        <v>#N/A</v>
      </c>
      <c r="X940" s="2">
        <f t="shared" ca="1" si="100"/>
        <v>0</v>
      </c>
      <c r="Y940">
        <f t="shared" ca="1" si="101"/>
        <v>0</v>
      </c>
      <c r="AA940" s="63" t="e">
        <f t="shared" ca="1" si="102"/>
        <v>#N/A</v>
      </c>
      <c r="AB940" s="63" t="e">
        <f t="shared" ca="1" si="103"/>
        <v>#N/A</v>
      </c>
      <c r="AC940" s="3" t="e">
        <f t="shared" ca="1" si="104"/>
        <v>#N/A</v>
      </c>
    </row>
    <row r="941" spans="8:29">
      <c r="H941" t="e">
        <f t="shared" ca="1" si="98"/>
        <v>#N/A</v>
      </c>
      <c r="I941" t="e">
        <f t="shared" ca="1" si="99"/>
        <v>#N/A</v>
      </c>
      <c r="J941" t="e">
        <f ca="1"/>
        <v>#N/A</v>
      </c>
      <c r="K941" t="e">
        <f ca="1"/>
        <v>#N/A</v>
      </c>
      <c r="L941" t="e">
        <f ca="1"/>
        <v>#N/A</v>
      </c>
      <c r="M941" t="e">
        <f ca="1"/>
        <v>#N/A</v>
      </c>
      <c r="N941" t="e">
        <f ca="1"/>
        <v>#N/A</v>
      </c>
      <c r="O941" t="e">
        <f ca="1"/>
        <v>#N/A</v>
      </c>
      <c r="P941" t="e">
        <f ca="1"/>
        <v>#N/A</v>
      </c>
      <c r="Q941" t="e">
        <f ca="1"/>
        <v>#N/A</v>
      </c>
      <c r="R941" t="e">
        <f ca="1"/>
        <v>#N/A</v>
      </c>
      <c r="S941" t="e">
        <f ca="1"/>
        <v>#N/A</v>
      </c>
      <c r="T941" t="e">
        <f ca="1"/>
        <v>#N/A</v>
      </c>
      <c r="U941" t="e">
        <f ca="1"/>
        <v>#N/A</v>
      </c>
      <c r="V941" t="e">
        <f ca="1"/>
        <v>#N/A</v>
      </c>
      <c r="X941" s="2">
        <f t="shared" ca="1" si="100"/>
        <v>0</v>
      </c>
      <c r="Y941">
        <f t="shared" ca="1" si="101"/>
        <v>0</v>
      </c>
      <c r="AA941" s="63" t="e">
        <f t="shared" ca="1" si="102"/>
        <v>#N/A</v>
      </c>
      <c r="AB941" s="63" t="e">
        <f t="shared" ca="1" si="103"/>
        <v>#N/A</v>
      </c>
      <c r="AC941" s="3" t="e">
        <f t="shared" ca="1" si="104"/>
        <v>#N/A</v>
      </c>
    </row>
    <row r="942" spans="8:29">
      <c r="H942" t="e">
        <f t="shared" ca="1" si="98"/>
        <v>#N/A</v>
      </c>
      <c r="I942" t="e">
        <f t="shared" ca="1" si="99"/>
        <v>#N/A</v>
      </c>
      <c r="J942" t="e">
        <f ca="1"/>
        <v>#N/A</v>
      </c>
      <c r="K942" t="e">
        <f ca="1"/>
        <v>#N/A</v>
      </c>
      <c r="L942" t="e">
        <f ca="1"/>
        <v>#N/A</v>
      </c>
      <c r="M942" t="e">
        <f ca="1"/>
        <v>#N/A</v>
      </c>
      <c r="N942" t="e">
        <f ca="1"/>
        <v>#N/A</v>
      </c>
      <c r="O942" t="e">
        <f ca="1"/>
        <v>#N/A</v>
      </c>
      <c r="P942" t="e">
        <f ca="1"/>
        <v>#N/A</v>
      </c>
      <c r="Q942" t="e">
        <f ca="1"/>
        <v>#N/A</v>
      </c>
      <c r="R942" t="e">
        <f ca="1"/>
        <v>#N/A</v>
      </c>
      <c r="S942" t="e">
        <f ca="1"/>
        <v>#N/A</v>
      </c>
      <c r="T942" t="e">
        <f ca="1"/>
        <v>#N/A</v>
      </c>
      <c r="U942" t="e">
        <f ca="1"/>
        <v>#N/A</v>
      </c>
      <c r="V942" t="e">
        <f ca="1"/>
        <v>#N/A</v>
      </c>
      <c r="X942" s="2">
        <f t="shared" ca="1" si="100"/>
        <v>0</v>
      </c>
      <c r="Y942">
        <f t="shared" ca="1" si="101"/>
        <v>0</v>
      </c>
      <c r="AA942" s="63" t="e">
        <f t="shared" ca="1" si="102"/>
        <v>#N/A</v>
      </c>
      <c r="AB942" s="63" t="e">
        <f t="shared" ca="1" si="103"/>
        <v>#N/A</v>
      </c>
      <c r="AC942" s="3" t="e">
        <f t="shared" ca="1" si="104"/>
        <v>#N/A</v>
      </c>
    </row>
    <row r="943" spans="8:29">
      <c r="H943" t="e">
        <f t="shared" ca="1" si="98"/>
        <v>#N/A</v>
      </c>
      <c r="I943" t="e">
        <f t="shared" ca="1" si="99"/>
        <v>#N/A</v>
      </c>
      <c r="J943" t="e">
        <f ca="1"/>
        <v>#N/A</v>
      </c>
      <c r="K943" t="e">
        <f ca="1"/>
        <v>#N/A</v>
      </c>
      <c r="L943" t="e">
        <f ca="1"/>
        <v>#N/A</v>
      </c>
      <c r="M943" t="e">
        <f ca="1"/>
        <v>#N/A</v>
      </c>
      <c r="N943" t="e">
        <f ca="1"/>
        <v>#N/A</v>
      </c>
      <c r="O943" t="e">
        <f ca="1"/>
        <v>#N/A</v>
      </c>
      <c r="P943" t="e">
        <f ca="1"/>
        <v>#N/A</v>
      </c>
      <c r="Q943" t="e">
        <f ca="1"/>
        <v>#N/A</v>
      </c>
      <c r="R943" t="e">
        <f ca="1"/>
        <v>#N/A</v>
      </c>
      <c r="S943" t="e">
        <f ca="1"/>
        <v>#N/A</v>
      </c>
      <c r="T943" t="e">
        <f ca="1"/>
        <v>#N/A</v>
      </c>
      <c r="U943" t="e">
        <f ca="1"/>
        <v>#N/A</v>
      </c>
      <c r="V943" t="e">
        <f ca="1"/>
        <v>#N/A</v>
      </c>
      <c r="X943" s="2">
        <f t="shared" ca="1" si="100"/>
        <v>0</v>
      </c>
      <c r="Y943">
        <f t="shared" ca="1" si="101"/>
        <v>0</v>
      </c>
      <c r="AA943" s="63" t="e">
        <f t="shared" ca="1" si="102"/>
        <v>#N/A</v>
      </c>
      <c r="AB943" s="63" t="e">
        <f t="shared" ca="1" si="103"/>
        <v>#N/A</v>
      </c>
      <c r="AC943" s="3" t="e">
        <f t="shared" ca="1" si="104"/>
        <v>#N/A</v>
      </c>
    </row>
    <row r="944" spans="8:29">
      <c r="H944" t="e">
        <f t="shared" ca="1" si="98"/>
        <v>#N/A</v>
      </c>
      <c r="I944" t="e">
        <f t="shared" ca="1" si="99"/>
        <v>#N/A</v>
      </c>
      <c r="J944" t="e">
        <f ca="1"/>
        <v>#N/A</v>
      </c>
      <c r="K944" t="e">
        <f ca="1"/>
        <v>#N/A</v>
      </c>
      <c r="L944" t="e">
        <f ca="1"/>
        <v>#N/A</v>
      </c>
      <c r="M944" t="e">
        <f ca="1"/>
        <v>#N/A</v>
      </c>
      <c r="N944" t="e">
        <f ca="1"/>
        <v>#N/A</v>
      </c>
      <c r="O944" t="e">
        <f ca="1"/>
        <v>#N/A</v>
      </c>
      <c r="P944" t="e">
        <f ca="1"/>
        <v>#N/A</v>
      </c>
      <c r="Q944" t="e">
        <f ca="1"/>
        <v>#N/A</v>
      </c>
      <c r="R944" t="e">
        <f ca="1"/>
        <v>#N/A</v>
      </c>
      <c r="S944" t="e">
        <f ca="1"/>
        <v>#N/A</v>
      </c>
      <c r="T944" t="e">
        <f ca="1"/>
        <v>#N/A</v>
      </c>
      <c r="U944" t="e">
        <f ca="1"/>
        <v>#N/A</v>
      </c>
      <c r="V944" t="e">
        <f ca="1"/>
        <v>#N/A</v>
      </c>
      <c r="X944" s="2">
        <f t="shared" ca="1" si="100"/>
        <v>0</v>
      </c>
      <c r="Y944">
        <f t="shared" ca="1" si="101"/>
        <v>0</v>
      </c>
      <c r="AA944" s="63" t="e">
        <f t="shared" ca="1" si="102"/>
        <v>#N/A</v>
      </c>
      <c r="AB944" s="63" t="e">
        <f t="shared" ca="1" si="103"/>
        <v>#N/A</v>
      </c>
      <c r="AC944" s="3" t="e">
        <f t="shared" ca="1" si="104"/>
        <v>#N/A</v>
      </c>
    </row>
    <row r="945" spans="8:29">
      <c r="H945" t="e">
        <f t="shared" ref="H945:H1000" ca="1" si="105">IF(J945&lt;$J$4,TRUE,FALSE)</f>
        <v>#N/A</v>
      </c>
      <c r="I945" t="e">
        <f t="shared" ref="I945:I1000" ca="1" si="106">AND(IF(J945&gt;($J$3-1),TRUE,FALSE),IF(J945&lt;($J$4+1),TRUE,FALSE))</f>
        <v>#N/A</v>
      </c>
      <c r="J945" t="e">
        <f ca="1"/>
        <v>#N/A</v>
      </c>
      <c r="K945" t="e">
        <f ca="1"/>
        <v>#N/A</v>
      </c>
      <c r="L945" t="e">
        <f ca="1"/>
        <v>#N/A</v>
      </c>
      <c r="M945" t="e">
        <f ca="1"/>
        <v>#N/A</v>
      </c>
      <c r="N945" t="e">
        <f ca="1"/>
        <v>#N/A</v>
      </c>
      <c r="O945" t="e">
        <f ca="1"/>
        <v>#N/A</v>
      </c>
      <c r="P945" t="e">
        <f ca="1"/>
        <v>#N/A</v>
      </c>
      <c r="Q945" t="e">
        <f ca="1"/>
        <v>#N/A</v>
      </c>
      <c r="R945" t="e">
        <f ca="1"/>
        <v>#N/A</v>
      </c>
      <c r="S945" t="e">
        <f ca="1"/>
        <v>#N/A</v>
      </c>
      <c r="T945" t="e">
        <f ca="1"/>
        <v>#N/A</v>
      </c>
      <c r="U945" t="e">
        <f ca="1"/>
        <v>#N/A</v>
      </c>
      <c r="V945" t="e">
        <f ca="1"/>
        <v>#N/A</v>
      </c>
      <c r="X945" s="2">
        <f t="shared" ref="X945:X1000" ca="1" si="107">IFERROR(J945,$X$5)</f>
        <v>0</v>
      </c>
      <c r="Y945">
        <f t="shared" ref="Y945:Y1000" ca="1" si="108">IFERROR(O945,0)</f>
        <v>0</v>
      </c>
      <c r="AA945" s="63" t="e">
        <f t="shared" ref="AA945:AA1000" ca="1" si="109">K944+M945+N945+O945</f>
        <v>#N/A</v>
      </c>
      <c r="AB945" s="63" t="e">
        <f t="shared" ref="AB945:AB1000" ca="1" si="110">K945+L945+R945</f>
        <v>#N/A</v>
      </c>
      <c r="AC945" s="3" t="e">
        <f t="shared" ref="AC945:AC1000" ca="1" si="111">AB945-AA945</f>
        <v>#N/A</v>
      </c>
    </row>
    <row r="946" spans="8:29">
      <c r="H946" t="e">
        <f t="shared" ca="1" si="105"/>
        <v>#N/A</v>
      </c>
      <c r="I946" t="e">
        <f t="shared" ca="1" si="106"/>
        <v>#N/A</v>
      </c>
      <c r="J946" t="e">
        <f ca="1"/>
        <v>#N/A</v>
      </c>
      <c r="K946" t="e">
        <f ca="1"/>
        <v>#N/A</v>
      </c>
      <c r="L946" t="e">
        <f ca="1"/>
        <v>#N/A</v>
      </c>
      <c r="M946" t="e">
        <f ca="1"/>
        <v>#N/A</v>
      </c>
      <c r="N946" t="e">
        <f ca="1"/>
        <v>#N/A</v>
      </c>
      <c r="O946" t="e">
        <f ca="1"/>
        <v>#N/A</v>
      </c>
      <c r="P946" t="e">
        <f ca="1"/>
        <v>#N/A</v>
      </c>
      <c r="Q946" t="e">
        <f ca="1"/>
        <v>#N/A</v>
      </c>
      <c r="R946" t="e">
        <f ca="1"/>
        <v>#N/A</v>
      </c>
      <c r="S946" t="e">
        <f ca="1"/>
        <v>#N/A</v>
      </c>
      <c r="T946" t="e">
        <f ca="1"/>
        <v>#N/A</v>
      </c>
      <c r="U946" t="e">
        <f ca="1"/>
        <v>#N/A</v>
      </c>
      <c r="V946" t="e">
        <f ca="1"/>
        <v>#N/A</v>
      </c>
      <c r="X946" s="2">
        <f t="shared" ca="1" si="107"/>
        <v>0</v>
      </c>
      <c r="Y946">
        <f t="shared" ca="1" si="108"/>
        <v>0</v>
      </c>
      <c r="AA946" s="63" t="e">
        <f t="shared" ca="1" si="109"/>
        <v>#N/A</v>
      </c>
      <c r="AB946" s="63" t="e">
        <f t="shared" ca="1" si="110"/>
        <v>#N/A</v>
      </c>
      <c r="AC946" s="3" t="e">
        <f t="shared" ca="1" si="111"/>
        <v>#N/A</v>
      </c>
    </row>
    <row r="947" spans="8:29">
      <c r="H947" t="e">
        <f t="shared" ca="1" si="105"/>
        <v>#N/A</v>
      </c>
      <c r="I947" t="e">
        <f t="shared" ca="1" si="106"/>
        <v>#N/A</v>
      </c>
      <c r="J947" t="e">
        <f ca="1"/>
        <v>#N/A</v>
      </c>
      <c r="K947" t="e">
        <f ca="1"/>
        <v>#N/A</v>
      </c>
      <c r="L947" t="e">
        <f ca="1"/>
        <v>#N/A</v>
      </c>
      <c r="M947" t="e">
        <f ca="1"/>
        <v>#N/A</v>
      </c>
      <c r="N947" t="e">
        <f ca="1"/>
        <v>#N/A</v>
      </c>
      <c r="O947" t="e">
        <f ca="1"/>
        <v>#N/A</v>
      </c>
      <c r="P947" t="e">
        <f ca="1"/>
        <v>#N/A</v>
      </c>
      <c r="Q947" t="e">
        <f ca="1"/>
        <v>#N/A</v>
      </c>
      <c r="R947" t="e">
        <f ca="1"/>
        <v>#N/A</v>
      </c>
      <c r="S947" t="e">
        <f ca="1"/>
        <v>#N/A</v>
      </c>
      <c r="T947" t="e">
        <f ca="1"/>
        <v>#N/A</v>
      </c>
      <c r="U947" t="e">
        <f ca="1"/>
        <v>#N/A</v>
      </c>
      <c r="V947" t="e">
        <f ca="1"/>
        <v>#N/A</v>
      </c>
      <c r="X947" s="2">
        <f t="shared" ca="1" si="107"/>
        <v>0</v>
      </c>
      <c r="Y947">
        <f t="shared" ca="1" si="108"/>
        <v>0</v>
      </c>
      <c r="AA947" s="63" t="e">
        <f t="shared" ca="1" si="109"/>
        <v>#N/A</v>
      </c>
      <c r="AB947" s="63" t="e">
        <f t="shared" ca="1" si="110"/>
        <v>#N/A</v>
      </c>
      <c r="AC947" s="3" t="e">
        <f t="shared" ca="1" si="111"/>
        <v>#N/A</v>
      </c>
    </row>
    <row r="948" spans="8:29">
      <c r="H948" t="e">
        <f t="shared" ca="1" si="105"/>
        <v>#N/A</v>
      </c>
      <c r="I948" t="e">
        <f t="shared" ca="1" si="106"/>
        <v>#N/A</v>
      </c>
      <c r="J948" t="e">
        <f ca="1"/>
        <v>#N/A</v>
      </c>
      <c r="K948" t="e">
        <f ca="1"/>
        <v>#N/A</v>
      </c>
      <c r="L948" t="e">
        <f ca="1"/>
        <v>#N/A</v>
      </c>
      <c r="M948" t="e">
        <f ca="1"/>
        <v>#N/A</v>
      </c>
      <c r="N948" t="e">
        <f ca="1"/>
        <v>#N/A</v>
      </c>
      <c r="O948" t="e">
        <f ca="1"/>
        <v>#N/A</v>
      </c>
      <c r="P948" t="e">
        <f ca="1"/>
        <v>#N/A</v>
      </c>
      <c r="Q948" t="e">
        <f ca="1"/>
        <v>#N/A</v>
      </c>
      <c r="R948" t="e">
        <f ca="1"/>
        <v>#N/A</v>
      </c>
      <c r="S948" t="e">
        <f ca="1"/>
        <v>#N/A</v>
      </c>
      <c r="T948" t="e">
        <f ca="1"/>
        <v>#N/A</v>
      </c>
      <c r="U948" t="e">
        <f ca="1"/>
        <v>#N/A</v>
      </c>
      <c r="V948" t="e">
        <f ca="1"/>
        <v>#N/A</v>
      </c>
      <c r="X948" s="2">
        <f t="shared" ca="1" si="107"/>
        <v>0</v>
      </c>
      <c r="Y948">
        <f t="shared" ca="1" si="108"/>
        <v>0</v>
      </c>
      <c r="AA948" s="63" t="e">
        <f t="shared" ca="1" si="109"/>
        <v>#N/A</v>
      </c>
      <c r="AB948" s="63" t="e">
        <f t="shared" ca="1" si="110"/>
        <v>#N/A</v>
      </c>
      <c r="AC948" s="3" t="e">
        <f t="shared" ca="1" si="111"/>
        <v>#N/A</v>
      </c>
    </row>
    <row r="949" spans="8:29">
      <c r="H949" t="e">
        <f t="shared" ca="1" si="105"/>
        <v>#N/A</v>
      </c>
      <c r="I949" t="e">
        <f t="shared" ca="1" si="106"/>
        <v>#N/A</v>
      </c>
      <c r="J949" t="e">
        <f ca="1"/>
        <v>#N/A</v>
      </c>
      <c r="K949" t="e">
        <f ca="1"/>
        <v>#N/A</v>
      </c>
      <c r="L949" t="e">
        <f ca="1"/>
        <v>#N/A</v>
      </c>
      <c r="M949" t="e">
        <f ca="1"/>
        <v>#N/A</v>
      </c>
      <c r="N949" t="e">
        <f ca="1"/>
        <v>#N/A</v>
      </c>
      <c r="O949" t="e">
        <f ca="1"/>
        <v>#N/A</v>
      </c>
      <c r="P949" t="e">
        <f ca="1"/>
        <v>#N/A</v>
      </c>
      <c r="Q949" t="e">
        <f ca="1"/>
        <v>#N/A</v>
      </c>
      <c r="R949" t="e">
        <f ca="1"/>
        <v>#N/A</v>
      </c>
      <c r="S949" t="e">
        <f ca="1"/>
        <v>#N/A</v>
      </c>
      <c r="T949" t="e">
        <f ca="1"/>
        <v>#N/A</v>
      </c>
      <c r="U949" t="e">
        <f ca="1"/>
        <v>#N/A</v>
      </c>
      <c r="V949" t="e">
        <f ca="1"/>
        <v>#N/A</v>
      </c>
      <c r="X949" s="2">
        <f t="shared" ca="1" si="107"/>
        <v>0</v>
      </c>
      <c r="Y949">
        <f t="shared" ca="1" si="108"/>
        <v>0</v>
      </c>
      <c r="AA949" s="63" t="e">
        <f t="shared" ca="1" si="109"/>
        <v>#N/A</v>
      </c>
      <c r="AB949" s="63" t="e">
        <f t="shared" ca="1" si="110"/>
        <v>#N/A</v>
      </c>
      <c r="AC949" s="3" t="e">
        <f t="shared" ca="1" si="111"/>
        <v>#N/A</v>
      </c>
    </row>
    <row r="950" spans="8:29">
      <c r="H950" t="e">
        <f t="shared" ca="1" si="105"/>
        <v>#N/A</v>
      </c>
      <c r="I950" t="e">
        <f t="shared" ca="1" si="106"/>
        <v>#N/A</v>
      </c>
      <c r="J950" t="e">
        <f ca="1"/>
        <v>#N/A</v>
      </c>
      <c r="K950" t="e">
        <f ca="1"/>
        <v>#N/A</v>
      </c>
      <c r="L950" t="e">
        <f ca="1"/>
        <v>#N/A</v>
      </c>
      <c r="M950" t="e">
        <f ca="1"/>
        <v>#N/A</v>
      </c>
      <c r="N950" t="e">
        <f ca="1"/>
        <v>#N/A</v>
      </c>
      <c r="O950" t="e">
        <f ca="1"/>
        <v>#N/A</v>
      </c>
      <c r="P950" t="e">
        <f ca="1"/>
        <v>#N/A</v>
      </c>
      <c r="Q950" t="e">
        <f ca="1"/>
        <v>#N/A</v>
      </c>
      <c r="R950" t="e">
        <f ca="1"/>
        <v>#N/A</v>
      </c>
      <c r="S950" t="e">
        <f ca="1"/>
        <v>#N/A</v>
      </c>
      <c r="T950" t="e">
        <f ca="1"/>
        <v>#N/A</v>
      </c>
      <c r="U950" t="e">
        <f ca="1"/>
        <v>#N/A</v>
      </c>
      <c r="V950" t="e">
        <f ca="1"/>
        <v>#N/A</v>
      </c>
      <c r="X950" s="2">
        <f t="shared" ca="1" si="107"/>
        <v>0</v>
      </c>
      <c r="Y950">
        <f t="shared" ca="1" si="108"/>
        <v>0</v>
      </c>
      <c r="AA950" s="63" t="e">
        <f t="shared" ca="1" si="109"/>
        <v>#N/A</v>
      </c>
      <c r="AB950" s="63" t="e">
        <f t="shared" ca="1" si="110"/>
        <v>#N/A</v>
      </c>
      <c r="AC950" s="3" t="e">
        <f t="shared" ca="1" si="111"/>
        <v>#N/A</v>
      </c>
    </row>
    <row r="951" spans="8:29">
      <c r="H951" t="e">
        <f t="shared" ca="1" si="105"/>
        <v>#N/A</v>
      </c>
      <c r="I951" t="e">
        <f t="shared" ca="1" si="106"/>
        <v>#N/A</v>
      </c>
      <c r="J951" t="e">
        <f ca="1"/>
        <v>#N/A</v>
      </c>
      <c r="K951" t="e">
        <f ca="1"/>
        <v>#N/A</v>
      </c>
      <c r="L951" t="e">
        <f ca="1"/>
        <v>#N/A</v>
      </c>
      <c r="M951" t="e">
        <f ca="1"/>
        <v>#N/A</v>
      </c>
      <c r="N951" t="e">
        <f ca="1"/>
        <v>#N/A</v>
      </c>
      <c r="O951" t="e">
        <f ca="1"/>
        <v>#N/A</v>
      </c>
      <c r="P951" t="e">
        <f ca="1"/>
        <v>#N/A</v>
      </c>
      <c r="Q951" t="e">
        <f ca="1"/>
        <v>#N/A</v>
      </c>
      <c r="R951" t="e">
        <f ca="1"/>
        <v>#N/A</v>
      </c>
      <c r="S951" t="e">
        <f ca="1"/>
        <v>#N/A</v>
      </c>
      <c r="T951" t="e">
        <f ca="1"/>
        <v>#N/A</v>
      </c>
      <c r="U951" t="e">
        <f ca="1"/>
        <v>#N/A</v>
      </c>
      <c r="V951" t="e">
        <f ca="1"/>
        <v>#N/A</v>
      </c>
      <c r="X951" s="2">
        <f t="shared" ca="1" si="107"/>
        <v>0</v>
      </c>
      <c r="Y951">
        <f t="shared" ca="1" si="108"/>
        <v>0</v>
      </c>
      <c r="AA951" s="63" t="e">
        <f t="shared" ca="1" si="109"/>
        <v>#N/A</v>
      </c>
      <c r="AB951" s="63" t="e">
        <f t="shared" ca="1" si="110"/>
        <v>#N/A</v>
      </c>
      <c r="AC951" s="3" t="e">
        <f t="shared" ca="1" si="111"/>
        <v>#N/A</v>
      </c>
    </row>
    <row r="952" spans="8:29">
      <c r="H952" t="e">
        <f t="shared" ca="1" si="105"/>
        <v>#N/A</v>
      </c>
      <c r="I952" t="e">
        <f t="shared" ca="1" si="106"/>
        <v>#N/A</v>
      </c>
      <c r="J952" t="e">
        <f ca="1"/>
        <v>#N/A</v>
      </c>
      <c r="K952" t="e">
        <f ca="1"/>
        <v>#N/A</v>
      </c>
      <c r="L952" t="e">
        <f ca="1"/>
        <v>#N/A</v>
      </c>
      <c r="M952" t="e">
        <f ca="1"/>
        <v>#N/A</v>
      </c>
      <c r="N952" t="e">
        <f ca="1"/>
        <v>#N/A</v>
      </c>
      <c r="O952" t="e">
        <f ca="1"/>
        <v>#N/A</v>
      </c>
      <c r="P952" t="e">
        <f ca="1"/>
        <v>#N/A</v>
      </c>
      <c r="Q952" t="e">
        <f ca="1"/>
        <v>#N/A</v>
      </c>
      <c r="R952" t="e">
        <f ca="1"/>
        <v>#N/A</v>
      </c>
      <c r="S952" t="e">
        <f ca="1"/>
        <v>#N/A</v>
      </c>
      <c r="T952" t="e">
        <f ca="1"/>
        <v>#N/A</v>
      </c>
      <c r="U952" t="e">
        <f ca="1"/>
        <v>#N/A</v>
      </c>
      <c r="V952" t="e">
        <f ca="1"/>
        <v>#N/A</v>
      </c>
      <c r="X952" s="2">
        <f t="shared" ca="1" si="107"/>
        <v>0</v>
      </c>
      <c r="Y952">
        <f t="shared" ca="1" si="108"/>
        <v>0</v>
      </c>
      <c r="AA952" s="63" t="e">
        <f t="shared" ca="1" si="109"/>
        <v>#N/A</v>
      </c>
      <c r="AB952" s="63" t="e">
        <f t="shared" ca="1" si="110"/>
        <v>#N/A</v>
      </c>
      <c r="AC952" s="3" t="e">
        <f t="shared" ca="1" si="111"/>
        <v>#N/A</v>
      </c>
    </row>
    <row r="953" spans="8:29">
      <c r="H953" t="e">
        <f t="shared" ca="1" si="105"/>
        <v>#N/A</v>
      </c>
      <c r="I953" t="e">
        <f t="shared" ca="1" si="106"/>
        <v>#N/A</v>
      </c>
      <c r="J953" t="e">
        <f ca="1"/>
        <v>#N/A</v>
      </c>
      <c r="K953" t="e">
        <f ca="1"/>
        <v>#N/A</v>
      </c>
      <c r="L953" t="e">
        <f ca="1"/>
        <v>#N/A</v>
      </c>
      <c r="M953" t="e">
        <f ca="1"/>
        <v>#N/A</v>
      </c>
      <c r="N953" t="e">
        <f ca="1"/>
        <v>#N/A</v>
      </c>
      <c r="O953" t="e">
        <f ca="1"/>
        <v>#N/A</v>
      </c>
      <c r="P953" t="e">
        <f ca="1"/>
        <v>#N/A</v>
      </c>
      <c r="Q953" t="e">
        <f ca="1"/>
        <v>#N/A</v>
      </c>
      <c r="R953" t="e">
        <f ca="1"/>
        <v>#N/A</v>
      </c>
      <c r="S953" t="e">
        <f ca="1"/>
        <v>#N/A</v>
      </c>
      <c r="T953" t="e">
        <f ca="1"/>
        <v>#N/A</v>
      </c>
      <c r="U953" t="e">
        <f ca="1"/>
        <v>#N/A</v>
      </c>
      <c r="V953" t="e">
        <f ca="1"/>
        <v>#N/A</v>
      </c>
      <c r="X953" s="2">
        <f t="shared" ca="1" si="107"/>
        <v>0</v>
      </c>
      <c r="Y953">
        <f t="shared" ca="1" si="108"/>
        <v>0</v>
      </c>
      <c r="AA953" s="63" t="e">
        <f t="shared" ca="1" si="109"/>
        <v>#N/A</v>
      </c>
      <c r="AB953" s="63" t="e">
        <f t="shared" ca="1" si="110"/>
        <v>#N/A</v>
      </c>
      <c r="AC953" s="3" t="e">
        <f t="shared" ca="1" si="111"/>
        <v>#N/A</v>
      </c>
    </row>
    <row r="954" spans="8:29">
      <c r="H954" t="e">
        <f t="shared" ca="1" si="105"/>
        <v>#N/A</v>
      </c>
      <c r="I954" t="e">
        <f t="shared" ca="1" si="106"/>
        <v>#N/A</v>
      </c>
      <c r="J954" t="e">
        <f ca="1"/>
        <v>#N/A</v>
      </c>
      <c r="K954" t="e">
        <f ca="1"/>
        <v>#N/A</v>
      </c>
      <c r="L954" t="e">
        <f ca="1"/>
        <v>#N/A</v>
      </c>
      <c r="M954" t="e">
        <f ca="1"/>
        <v>#N/A</v>
      </c>
      <c r="N954" t="e">
        <f ca="1"/>
        <v>#N/A</v>
      </c>
      <c r="O954" t="e">
        <f ca="1"/>
        <v>#N/A</v>
      </c>
      <c r="P954" t="e">
        <f ca="1"/>
        <v>#N/A</v>
      </c>
      <c r="Q954" t="e">
        <f ca="1"/>
        <v>#N/A</v>
      </c>
      <c r="R954" t="e">
        <f ca="1"/>
        <v>#N/A</v>
      </c>
      <c r="S954" t="e">
        <f ca="1"/>
        <v>#N/A</v>
      </c>
      <c r="T954" t="e">
        <f ca="1"/>
        <v>#N/A</v>
      </c>
      <c r="U954" t="e">
        <f ca="1"/>
        <v>#N/A</v>
      </c>
      <c r="V954" t="e">
        <f ca="1"/>
        <v>#N/A</v>
      </c>
      <c r="X954" s="2">
        <f t="shared" ca="1" si="107"/>
        <v>0</v>
      </c>
      <c r="Y954">
        <f t="shared" ca="1" si="108"/>
        <v>0</v>
      </c>
      <c r="AA954" s="63" t="e">
        <f t="shared" ca="1" si="109"/>
        <v>#N/A</v>
      </c>
      <c r="AB954" s="63" t="e">
        <f t="shared" ca="1" si="110"/>
        <v>#N/A</v>
      </c>
      <c r="AC954" s="3" t="e">
        <f t="shared" ca="1" si="111"/>
        <v>#N/A</v>
      </c>
    </row>
    <row r="955" spans="8:29">
      <c r="H955" t="e">
        <f t="shared" ca="1" si="105"/>
        <v>#N/A</v>
      </c>
      <c r="I955" t="e">
        <f t="shared" ca="1" si="106"/>
        <v>#N/A</v>
      </c>
      <c r="J955" t="e">
        <f ca="1"/>
        <v>#N/A</v>
      </c>
      <c r="K955" t="e">
        <f ca="1"/>
        <v>#N/A</v>
      </c>
      <c r="L955" t="e">
        <f ca="1"/>
        <v>#N/A</v>
      </c>
      <c r="M955" t="e">
        <f ca="1"/>
        <v>#N/A</v>
      </c>
      <c r="N955" t="e">
        <f ca="1"/>
        <v>#N/A</v>
      </c>
      <c r="O955" t="e">
        <f ca="1"/>
        <v>#N/A</v>
      </c>
      <c r="P955" t="e">
        <f ca="1"/>
        <v>#N/A</v>
      </c>
      <c r="Q955" t="e">
        <f ca="1"/>
        <v>#N/A</v>
      </c>
      <c r="R955" t="e">
        <f ca="1"/>
        <v>#N/A</v>
      </c>
      <c r="S955" t="e">
        <f ca="1"/>
        <v>#N/A</v>
      </c>
      <c r="T955" t="e">
        <f ca="1"/>
        <v>#N/A</v>
      </c>
      <c r="U955" t="e">
        <f ca="1"/>
        <v>#N/A</v>
      </c>
      <c r="V955" t="e">
        <f ca="1"/>
        <v>#N/A</v>
      </c>
      <c r="X955" s="2">
        <f t="shared" ca="1" si="107"/>
        <v>0</v>
      </c>
      <c r="Y955">
        <f t="shared" ca="1" si="108"/>
        <v>0</v>
      </c>
      <c r="AA955" s="63" t="e">
        <f t="shared" ca="1" si="109"/>
        <v>#N/A</v>
      </c>
      <c r="AB955" s="63" t="e">
        <f t="shared" ca="1" si="110"/>
        <v>#N/A</v>
      </c>
      <c r="AC955" s="3" t="e">
        <f t="shared" ca="1" si="111"/>
        <v>#N/A</v>
      </c>
    </row>
    <row r="956" spans="8:29">
      <c r="H956" t="e">
        <f t="shared" ca="1" si="105"/>
        <v>#N/A</v>
      </c>
      <c r="I956" t="e">
        <f t="shared" ca="1" si="106"/>
        <v>#N/A</v>
      </c>
      <c r="J956" t="e">
        <f ca="1"/>
        <v>#N/A</v>
      </c>
      <c r="K956" t="e">
        <f ca="1"/>
        <v>#N/A</v>
      </c>
      <c r="L956" t="e">
        <f ca="1"/>
        <v>#N/A</v>
      </c>
      <c r="M956" t="e">
        <f ca="1"/>
        <v>#N/A</v>
      </c>
      <c r="N956" t="e">
        <f ca="1"/>
        <v>#N/A</v>
      </c>
      <c r="O956" t="e">
        <f ca="1"/>
        <v>#N/A</v>
      </c>
      <c r="P956" t="e">
        <f ca="1"/>
        <v>#N/A</v>
      </c>
      <c r="Q956" t="e">
        <f ca="1"/>
        <v>#N/A</v>
      </c>
      <c r="R956" t="e">
        <f ca="1"/>
        <v>#N/A</v>
      </c>
      <c r="S956" t="e">
        <f ca="1"/>
        <v>#N/A</v>
      </c>
      <c r="T956" t="e">
        <f ca="1"/>
        <v>#N/A</v>
      </c>
      <c r="U956" t="e">
        <f ca="1"/>
        <v>#N/A</v>
      </c>
      <c r="V956" t="e">
        <f ca="1"/>
        <v>#N/A</v>
      </c>
      <c r="X956" s="2">
        <f t="shared" ca="1" si="107"/>
        <v>0</v>
      </c>
      <c r="Y956">
        <f t="shared" ca="1" si="108"/>
        <v>0</v>
      </c>
      <c r="AA956" s="63" t="e">
        <f t="shared" ca="1" si="109"/>
        <v>#N/A</v>
      </c>
      <c r="AB956" s="63" t="e">
        <f t="shared" ca="1" si="110"/>
        <v>#N/A</v>
      </c>
      <c r="AC956" s="3" t="e">
        <f t="shared" ca="1" si="111"/>
        <v>#N/A</v>
      </c>
    </row>
    <row r="957" spans="8:29">
      <c r="H957" t="e">
        <f t="shared" ca="1" si="105"/>
        <v>#N/A</v>
      </c>
      <c r="I957" t="e">
        <f t="shared" ca="1" si="106"/>
        <v>#N/A</v>
      </c>
      <c r="J957" t="e">
        <f ca="1"/>
        <v>#N/A</v>
      </c>
      <c r="K957" t="e">
        <f ca="1"/>
        <v>#N/A</v>
      </c>
      <c r="L957" t="e">
        <f ca="1"/>
        <v>#N/A</v>
      </c>
      <c r="M957" t="e">
        <f ca="1"/>
        <v>#N/A</v>
      </c>
      <c r="N957" t="e">
        <f ca="1"/>
        <v>#N/A</v>
      </c>
      <c r="O957" t="e">
        <f ca="1"/>
        <v>#N/A</v>
      </c>
      <c r="P957" t="e">
        <f ca="1"/>
        <v>#N/A</v>
      </c>
      <c r="Q957" t="e">
        <f ca="1"/>
        <v>#N/A</v>
      </c>
      <c r="R957" t="e">
        <f ca="1"/>
        <v>#N/A</v>
      </c>
      <c r="S957" t="e">
        <f ca="1"/>
        <v>#N/A</v>
      </c>
      <c r="T957" t="e">
        <f ca="1"/>
        <v>#N/A</v>
      </c>
      <c r="U957" t="e">
        <f ca="1"/>
        <v>#N/A</v>
      </c>
      <c r="V957" t="e">
        <f ca="1"/>
        <v>#N/A</v>
      </c>
      <c r="X957" s="2">
        <f t="shared" ca="1" si="107"/>
        <v>0</v>
      </c>
      <c r="Y957">
        <f t="shared" ca="1" si="108"/>
        <v>0</v>
      </c>
      <c r="AA957" s="63" t="e">
        <f t="shared" ca="1" si="109"/>
        <v>#N/A</v>
      </c>
      <c r="AB957" s="63" t="e">
        <f t="shared" ca="1" si="110"/>
        <v>#N/A</v>
      </c>
      <c r="AC957" s="3" t="e">
        <f t="shared" ca="1" si="111"/>
        <v>#N/A</v>
      </c>
    </row>
    <row r="958" spans="8:29">
      <c r="H958" t="e">
        <f t="shared" ca="1" si="105"/>
        <v>#N/A</v>
      </c>
      <c r="I958" t="e">
        <f t="shared" ca="1" si="106"/>
        <v>#N/A</v>
      </c>
      <c r="J958" t="e">
        <f ca="1"/>
        <v>#N/A</v>
      </c>
      <c r="K958" t="e">
        <f ca="1"/>
        <v>#N/A</v>
      </c>
      <c r="L958" t="e">
        <f ca="1"/>
        <v>#N/A</v>
      </c>
      <c r="M958" t="e">
        <f ca="1"/>
        <v>#N/A</v>
      </c>
      <c r="N958" t="e">
        <f ca="1"/>
        <v>#N/A</v>
      </c>
      <c r="O958" t="e">
        <f ca="1"/>
        <v>#N/A</v>
      </c>
      <c r="P958" t="e">
        <f ca="1"/>
        <v>#N/A</v>
      </c>
      <c r="Q958" t="e">
        <f ca="1"/>
        <v>#N/A</v>
      </c>
      <c r="R958" t="e">
        <f ca="1"/>
        <v>#N/A</v>
      </c>
      <c r="S958" t="e">
        <f ca="1"/>
        <v>#N/A</v>
      </c>
      <c r="T958" t="e">
        <f ca="1"/>
        <v>#N/A</v>
      </c>
      <c r="U958" t="e">
        <f ca="1"/>
        <v>#N/A</v>
      </c>
      <c r="V958" t="e">
        <f ca="1"/>
        <v>#N/A</v>
      </c>
      <c r="X958" s="2">
        <f t="shared" ca="1" si="107"/>
        <v>0</v>
      </c>
      <c r="Y958">
        <f t="shared" ca="1" si="108"/>
        <v>0</v>
      </c>
      <c r="AA958" s="63" t="e">
        <f t="shared" ca="1" si="109"/>
        <v>#N/A</v>
      </c>
      <c r="AB958" s="63" t="e">
        <f t="shared" ca="1" si="110"/>
        <v>#N/A</v>
      </c>
      <c r="AC958" s="3" t="e">
        <f t="shared" ca="1" si="111"/>
        <v>#N/A</v>
      </c>
    </row>
    <row r="959" spans="8:29">
      <c r="H959" t="e">
        <f t="shared" ca="1" si="105"/>
        <v>#N/A</v>
      </c>
      <c r="I959" t="e">
        <f t="shared" ca="1" si="106"/>
        <v>#N/A</v>
      </c>
      <c r="J959" t="e">
        <f ca="1"/>
        <v>#N/A</v>
      </c>
      <c r="K959" t="e">
        <f ca="1"/>
        <v>#N/A</v>
      </c>
      <c r="L959" t="e">
        <f ca="1"/>
        <v>#N/A</v>
      </c>
      <c r="M959" t="e">
        <f ca="1"/>
        <v>#N/A</v>
      </c>
      <c r="N959" t="e">
        <f ca="1"/>
        <v>#N/A</v>
      </c>
      <c r="O959" t="e">
        <f ca="1"/>
        <v>#N/A</v>
      </c>
      <c r="P959" t="e">
        <f ca="1"/>
        <v>#N/A</v>
      </c>
      <c r="Q959" t="e">
        <f ca="1"/>
        <v>#N/A</v>
      </c>
      <c r="R959" t="e">
        <f ca="1"/>
        <v>#N/A</v>
      </c>
      <c r="S959" t="e">
        <f ca="1"/>
        <v>#N/A</v>
      </c>
      <c r="T959" t="e">
        <f ca="1"/>
        <v>#N/A</v>
      </c>
      <c r="U959" t="e">
        <f ca="1"/>
        <v>#N/A</v>
      </c>
      <c r="V959" t="e">
        <f ca="1"/>
        <v>#N/A</v>
      </c>
      <c r="X959" s="2">
        <f t="shared" ca="1" si="107"/>
        <v>0</v>
      </c>
      <c r="Y959">
        <f t="shared" ca="1" si="108"/>
        <v>0</v>
      </c>
      <c r="AA959" s="63" t="e">
        <f t="shared" ca="1" si="109"/>
        <v>#N/A</v>
      </c>
      <c r="AB959" s="63" t="e">
        <f t="shared" ca="1" si="110"/>
        <v>#N/A</v>
      </c>
      <c r="AC959" s="3" t="e">
        <f t="shared" ca="1" si="111"/>
        <v>#N/A</v>
      </c>
    </row>
    <row r="960" spans="8:29">
      <c r="H960" t="e">
        <f t="shared" ca="1" si="105"/>
        <v>#N/A</v>
      </c>
      <c r="I960" t="e">
        <f t="shared" ca="1" si="106"/>
        <v>#N/A</v>
      </c>
      <c r="J960" t="e">
        <f ca="1"/>
        <v>#N/A</v>
      </c>
      <c r="K960" t="e">
        <f ca="1"/>
        <v>#N/A</v>
      </c>
      <c r="L960" t="e">
        <f ca="1"/>
        <v>#N/A</v>
      </c>
      <c r="M960" t="e">
        <f ca="1"/>
        <v>#N/A</v>
      </c>
      <c r="N960" t="e">
        <f ca="1"/>
        <v>#N/A</v>
      </c>
      <c r="O960" t="e">
        <f ca="1"/>
        <v>#N/A</v>
      </c>
      <c r="P960" t="e">
        <f ca="1"/>
        <v>#N/A</v>
      </c>
      <c r="Q960" t="e">
        <f ca="1"/>
        <v>#N/A</v>
      </c>
      <c r="R960" t="e">
        <f ca="1"/>
        <v>#N/A</v>
      </c>
      <c r="S960" t="e">
        <f ca="1"/>
        <v>#N/A</v>
      </c>
      <c r="T960" t="e">
        <f ca="1"/>
        <v>#N/A</v>
      </c>
      <c r="U960" t="e">
        <f ca="1"/>
        <v>#N/A</v>
      </c>
      <c r="V960" t="e">
        <f ca="1"/>
        <v>#N/A</v>
      </c>
      <c r="X960" s="2">
        <f t="shared" ca="1" si="107"/>
        <v>0</v>
      </c>
      <c r="Y960">
        <f t="shared" ca="1" si="108"/>
        <v>0</v>
      </c>
      <c r="AA960" s="63" t="e">
        <f t="shared" ca="1" si="109"/>
        <v>#N/A</v>
      </c>
      <c r="AB960" s="63" t="e">
        <f t="shared" ca="1" si="110"/>
        <v>#N/A</v>
      </c>
      <c r="AC960" s="3" t="e">
        <f t="shared" ca="1" si="111"/>
        <v>#N/A</v>
      </c>
    </row>
    <row r="961" spans="8:29">
      <c r="H961" t="e">
        <f t="shared" ca="1" si="105"/>
        <v>#N/A</v>
      </c>
      <c r="I961" t="e">
        <f t="shared" ca="1" si="106"/>
        <v>#N/A</v>
      </c>
      <c r="J961" t="e">
        <f ca="1"/>
        <v>#N/A</v>
      </c>
      <c r="K961" t="e">
        <f ca="1"/>
        <v>#N/A</v>
      </c>
      <c r="L961" t="e">
        <f ca="1"/>
        <v>#N/A</v>
      </c>
      <c r="M961" t="e">
        <f ca="1"/>
        <v>#N/A</v>
      </c>
      <c r="N961" t="e">
        <f ca="1"/>
        <v>#N/A</v>
      </c>
      <c r="O961" t="e">
        <f ca="1"/>
        <v>#N/A</v>
      </c>
      <c r="P961" t="e">
        <f ca="1"/>
        <v>#N/A</v>
      </c>
      <c r="Q961" t="e">
        <f ca="1"/>
        <v>#N/A</v>
      </c>
      <c r="R961" t="e">
        <f ca="1"/>
        <v>#N/A</v>
      </c>
      <c r="S961" t="e">
        <f ca="1"/>
        <v>#N/A</v>
      </c>
      <c r="T961" t="e">
        <f ca="1"/>
        <v>#N/A</v>
      </c>
      <c r="U961" t="e">
        <f ca="1"/>
        <v>#N/A</v>
      </c>
      <c r="V961" t="e">
        <f ca="1"/>
        <v>#N/A</v>
      </c>
      <c r="X961" s="2">
        <f t="shared" ca="1" si="107"/>
        <v>0</v>
      </c>
      <c r="Y961">
        <f t="shared" ca="1" si="108"/>
        <v>0</v>
      </c>
      <c r="AA961" s="63" t="e">
        <f t="shared" ca="1" si="109"/>
        <v>#N/A</v>
      </c>
      <c r="AB961" s="63" t="e">
        <f t="shared" ca="1" si="110"/>
        <v>#N/A</v>
      </c>
      <c r="AC961" s="3" t="e">
        <f t="shared" ca="1" si="111"/>
        <v>#N/A</v>
      </c>
    </row>
    <row r="962" spans="8:29">
      <c r="H962" t="e">
        <f t="shared" ca="1" si="105"/>
        <v>#N/A</v>
      </c>
      <c r="I962" t="e">
        <f t="shared" ca="1" si="106"/>
        <v>#N/A</v>
      </c>
      <c r="J962" t="e">
        <f ca="1"/>
        <v>#N/A</v>
      </c>
      <c r="K962" t="e">
        <f ca="1"/>
        <v>#N/A</v>
      </c>
      <c r="L962" t="e">
        <f ca="1"/>
        <v>#N/A</v>
      </c>
      <c r="M962" t="e">
        <f ca="1"/>
        <v>#N/A</v>
      </c>
      <c r="N962" t="e">
        <f ca="1"/>
        <v>#N/A</v>
      </c>
      <c r="O962" t="e">
        <f ca="1"/>
        <v>#N/A</v>
      </c>
      <c r="P962" t="e">
        <f ca="1"/>
        <v>#N/A</v>
      </c>
      <c r="Q962" t="e">
        <f ca="1"/>
        <v>#N/A</v>
      </c>
      <c r="R962" t="e">
        <f ca="1"/>
        <v>#N/A</v>
      </c>
      <c r="S962" t="e">
        <f ca="1"/>
        <v>#N/A</v>
      </c>
      <c r="T962" t="e">
        <f ca="1"/>
        <v>#N/A</v>
      </c>
      <c r="U962" t="e">
        <f ca="1"/>
        <v>#N/A</v>
      </c>
      <c r="V962" t="e">
        <f ca="1"/>
        <v>#N/A</v>
      </c>
      <c r="X962" s="2">
        <f t="shared" ca="1" si="107"/>
        <v>0</v>
      </c>
      <c r="Y962">
        <f t="shared" ca="1" si="108"/>
        <v>0</v>
      </c>
      <c r="AA962" s="63" t="e">
        <f t="shared" ca="1" si="109"/>
        <v>#N/A</v>
      </c>
      <c r="AB962" s="63" t="e">
        <f t="shared" ca="1" si="110"/>
        <v>#N/A</v>
      </c>
      <c r="AC962" s="3" t="e">
        <f t="shared" ca="1" si="111"/>
        <v>#N/A</v>
      </c>
    </row>
    <row r="963" spans="8:29">
      <c r="H963" t="e">
        <f t="shared" ca="1" si="105"/>
        <v>#N/A</v>
      </c>
      <c r="I963" t="e">
        <f t="shared" ca="1" si="106"/>
        <v>#N/A</v>
      </c>
      <c r="J963" t="e">
        <f ca="1"/>
        <v>#N/A</v>
      </c>
      <c r="K963" t="e">
        <f ca="1"/>
        <v>#N/A</v>
      </c>
      <c r="L963" t="e">
        <f ca="1"/>
        <v>#N/A</v>
      </c>
      <c r="M963" t="e">
        <f ca="1"/>
        <v>#N/A</v>
      </c>
      <c r="N963" t="e">
        <f ca="1"/>
        <v>#N/A</v>
      </c>
      <c r="O963" t="e">
        <f ca="1"/>
        <v>#N/A</v>
      </c>
      <c r="P963" t="e">
        <f ca="1"/>
        <v>#N/A</v>
      </c>
      <c r="Q963" t="e">
        <f ca="1"/>
        <v>#N/A</v>
      </c>
      <c r="R963" t="e">
        <f ca="1"/>
        <v>#N/A</v>
      </c>
      <c r="S963" t="e">
        <f ca="1"/>
        <v>#N/A</v>
      </c>
      <c r="T963" t="e">
        <f ca="1"/>
        <v>#N/A</v>
      </c>
      <c r="U963" t="e">
        <f ca="1"/>
        <v>#N/A</v>
      </c>
      <c r="V963" t="e">
        <f ca="1"/>
        <v>#N/A</v>
      </c>
      <c r="X963" s="2">
        <f t="shared" ca="1" si="107"/>
        <v>0</v>
      </c>
      <c r="Y963">
        <f t="shared" ca="1" si="108"/>
        <v>0</v>
      </c>
      <c r="AA963" s="63" t="e">
        <f t="shared" ca="1" si="109"/>
        <v>#N/A</v>
      </c>
      <c r="AB963" s="63" t="e">
        <f t="shared" ca="1" si="110"/>
        <v>#N/A</v>
      </c>
      <c r="AC963" s="3" t="e">
        <f t="shared" ca="1" si="111"/>
        <v>#N/A</v>
      </c>
    </row>
    <row r="964" spans="8:29">
      <c r="H964" t="e">
        <f t="shared" ca="1" si="105"/>
        <v>#N/A</v>
      </c>
      <c r="I964" t="e">
        <f t="shared" ca="1" si="106"/>
        <v>#N/A</v>
      </c>
      <c r="J964" t="e">
        <f ca="1"/>
        <v>#N/A</v>
      </c>
      <c r="K964" t="e">
        <f ca="1"/>
        <v>#N/A</v>
      </c>
      <c r="L964" t="e">
        <f ca="1"/>
        <v>#N/A</v>
      </c>
      <c r="M964" t="e">
        <f ca="1"/>
        <v>#N/A</v>
      </c>
      <c r="N964" t="e">
        <f ca="1"/>
        <v>#N/A</v>
      </c>
      <c r="O964" t="e">
        <f ca="1"/>
        <v>#N/A</v>
      </c>
      <c r="P964" t="e">
        <f ca="1"/>
        <v>#N/A</v>
      </c>
      <c r="Q964" t="e">
        <f ca="1"/>
        <v>#N/A</v>
      </c>
      <c r="R964" t="e">
        <f ca="1"/>
        <v>#N/A</v>
      </c>
      <c r="S964" t="e">
        <f ca="1"/>
        <v>#N/A</v>
      </c>
      <c r="T964" t="e">
        <f ca="1"/>
        <v>#N/A</v>
      </c>
      <c r="U964" t="e">
        <f ca="1"/>
        <v>#N/A</v>
      </c>
      <c r="V964" t="e">
        <f ca="1"/>
        <v>#N/A</v>
      </c>
      <c r="X964" s="2">
        <f t="shared" ca="1" si="107"/>
        <v>0</v>
      </c>
      <c r="Y964">
        <f t="shared" ca="1" si="108"/>
        <v>0</v>
      </c>
      <c r="AA964" s="63" t="e">
        <f t="shared" ca="1" si="109"/>
        <v>#N/A</v>
      </c>
      <c r="AB964" s="63" t="e">
        <f t="shared" ca="1" si="110"/>
        <v>#N/A</v>
      </c>
      <c r="AC964" s="3" t="e">
        <f t="shared" ca="1" si="111"/>
        <v>#N/A</v>
      </c>
    </row>
    <row r="965" spans="8:29">
      <c r="H965" t="e">
        <f t="shared" ca="1" si="105"/>
        <v>#N/A</v>
      </c>
      <c r="I965" t="e">
        <f t="shared" ca="1" si="106"/>
        <v>#N/A</v>
      </c>
      <c r="J965" t="e">
        <f ca="1"/>
        <v>#N/A</v>
      </c>
      <c r="K965" t="e">
        <f ca="1"/>
        <v>#N/A</v>
      </c>
      <c r="L965" t="e">
        <f ca="1"/>
        <v>#N/A</v>
      </c>
      <c r="M965" t="e">
        <f ca="1"/>
        <v>#N/A</v>
      </c>
      <c r="N965" t="e">
        <f ca="1"/>
        <v>#N/A</v>
      </c>
      <c r="O965" t="e">
        <f ca="1"/>
        <v>#N/A</v>
      </c>
      <c r="P965" t="e">
        <f ca="1"/>
        <v>#N/A</v>
      </c>
      <c r="Q965" t="e">
        <f ca="1"/>
        <v>#N/A</v>
      </c>
      <c r="R965" t="e">
        <f ca="1"/>
        <v>#N/A</v>
      </c>
      <c r="S965" t="e">
        <f ca="1"/>
        <v>#N/A</v>
      </c>
      <c r="T965" t="e">
        <f ca="1"/>
        <v>#N/A</v>
      </c>
      <c r="U965" t="e">
        <f ca="1"/>
        <v>#N/A</v>
      </c>
      <c r="V965" t="e">
        <f ca="1"/>
        <v>#N/A</v>
      </c>
      <c r="X965" s="2">
        <f t="shared" ca="1" si="107"/>
        <v>0</v>
      </c>
      <c r="Y965">
        <f t="shared" ca="1" si="108"/>
        <v>0</v>
      </c>
      <c r="AA965" s="63" t="e">
        <f t="shared" ca="1" si="109"/>
        <v>#N/A</v>
      </c>
      <c r="AB965" s="63" t="e">
        <f t="shared" ca="1" si="110"/>
        <v>#N/A</v>
      </c>
      <c r="AC965" s="3" t="e">
        <f t="shared" ca="1" si="111"/>
        <v>#N/A</v>
      </c>
    </row>
    <row r="966" spans="8:29">
      <c r="H966" t="e">
        <f t="shared" ca="1" si="105"/>
        <v>#N/A</v>
      </c>
      <c r="I966" t="e">
        <f t="shared" ca="1" si="106"/>
        <v>#N/A</v>
      </c>
      <c r="J966" t="e">
        <f ca="1"/>
        <v>#N/A</v>
      </c>
      <c r="K966" t="e">
        <f ca="1"/>
        <v>#N/A</v>
      </c>
      <c r="L966" t="e">
        <f ca="1"/>
        <v>#N/A</v>
      </c>
      <c r="M966" t="e">
        <f ca="1"/>
        <v>#N/A</v>
      </c>
      <c r="N966" t="e">
        <f ca="1"/>
        <v>#N/A</v>
      </c>
      <c r="O966" t="e">
        <f ca="1"/>
        <v>#N/A</v>
      </c>
      <c r="P966" t="e">
        <f ca="1"/>
        <v>#N/A</v>
      </c>
      <c r="Q966" t="e">
        <f ca="1"/>
        <v>#N/A</v>
      </c>
      <c r="R966" t="e">
        <f ca="1"/>
        <v>#N/A</v>
      </c>
      <c r="S966" t="e">
        <f ca="1"/>
        <v>#N/A</v>
      </c>
      <c r="T966" t="e">
        <f ca="1"/>
        <v>#N/A</v>
      </c>
      <c r="U966" t="e">
        <f ca="1"/>
        <v>#N/A</v>
      </c>
      <c r="V966" t="e">
        <f ca="1"/>
        <v>#N/A</v>
      </c>
      <c r="X966" s="2">
        <f t="shared" ca="1" si="107"/>
        <v>0</v>
      </c>
      <c r="Y966">
        <f t="shared" ca="1" si="108"/>
        <v>0</v>
      </c>
      <c r="AA966" s="63" t="e">
        <f t="shared" ca="1" si="109"/>
        <v>#N/A</v>
      </c>
      <c r="AB966" s="63" t="e">
        <f t="shared" ca="1" si="110"/>
        <v>#N/A</v>
      </c>
      <c r="AC966" s="3" t="e">
        <f t="shared" ca="1" si="111"/>
        <v>#N/A</v>
      </c>
    </row>
    <row r="967" spans="8:29">
      <c r="H967" t="e">
        <f t="shared" ca="1" si="105"/>
        <v>#N/A</v>
      </c>
      <c r="I967" t="e">
        <f t="shared" ca="1" si="106"/>
        <v>#N/A</v>
      </c>
      <c r="J967" t="e">
        <f ca="1"/>
        <v>#N/A</v>
      </c>
      <c r="K967" t="e">
        <f ca="1"/>
        <v>#N/A</v>
      </c>
      <c r="L967" t="e">
        <f ca="1"/>
        <v>#N/A</v>
      </c>
      <c r="M967" t="e">
        <f ca="1"/>
        <v>#N/A</v>
      </c>
      <c r="N967" t="e">
        <f ca="1"/>
        <v>#N/A</v>
      </c>
      <c r="O967" t="e">
        <f ca="1"/>
        <v>#N/A</v>
      </c>
      <c r="P967" t="e">
        <f ca="1"/>
        <v>#N/A</v>
      </c>
      <c r="Q967" t="e">
        <f ca="1"/>
        <v>#N/A</v>
      </c>
      <c r="R967" t="e">
        <f ca="1"/>
        <v>#N/A</v>
      </c>
      <c r="S967" t="e">
        <f ca="1"/>
        <v>#N/A</v>
      </c>
      <c r="T967" t="e">
        <f ca="1"/>
        <v>#N/A</v>
      </c>
      <c r="U967" t="e">
        <f ca="1"/>
        <v>#N/A</v>
      </c>
      <c r="V967" t="e">
        <f ca="1"/>
        <v>#N/A</v>
      </c>
      <c r="X967" s="2">
        <f t="shared" ca="1" si="107"/>
        <v>0</v>
      </c>
      <c r="Y967">
        <f t="shared" ca="1" si="108"/>
        <v>0</v>
      </c>
      <c r="AA967" s="63" t="e">
        <f t="shared" ca="1" si="109"/>
        <v>#N/A</v>
      </c>
      <c r="AB967" s="63" t="e">
        <f t="shared" ca="1" si="110"/>
        <v>#N/A</v>
      </c>
      <c r="AC967" s="3" t="e">
        <f t="shared" ca="1" si="111"/>
        <v>#N/A</v>
      </c>
    </row>
    <row r="968" spans="8:29">
      <c r="H968" t="e">
        <f t="shared" ca="1" si="105"/>
        <v>#N/A</v>
      </c>
      <c r="I968" t="e">
        <f t="shared" ca="1" si="106"/>
        <v>#N/A</v>
      </c>
      <c r="J968" t="e">
        <f ca="1"/>
        <v>#N/A</v>
      </c>
      <c r="K968" t="e">
        <f ca="1"/>
        <v>#N/A</v>
      </c>
      <c r="L968" t="e">
        <f ca="1"/>
        <v>#N/A</v>
      </c>
      <c r="M968" t="e">
        <f ca="1"/>
        <v>#N/A</v>
      </c>
      <c r="N968" t="e">
        <f ca="1"/>
        <v>#N/A</v>
      </c>
      <c r="O968" t="e">
        <f ca="1"/>
        <v>#N/A</v>
      </c>
      <c r="P968" t="e">
        <f ca="1"/>
        <v>#N/A</v>
      </c>
      <c r="Q968" t="e">
        <f ca="1"/>
        <v>#N/A</v>
      </c>
      <c r="R968" t="e">
        <f ca="1"/>
        <v>#N/A</v>
      </c>
      <c r="S968" t="e">
        <f ca="1"/>
        <v>#N/A</v>
      </c>
      <c r="T968" t="e">
        <f ca="1"/>
        <v>#N/A</v>
      </c>
      <c r="U968" t="e">
        <f ca="1"/>
        <v>#N/A</v>
      </c>
      <c r="V968" t="e">
        <f ca="1"/>
        <v>#N/A</v>
      </c>
      <c r="X968" s="2">
        <f t="shared" ca="1" si="107"/>
        <v>0</v>
      </c>
      <c r="Y968">
        <f t="shared" ca="1" si="108"/>
        <v>0</v>
      </c>
      <c r="AA968" s="63" t="e">
        <f t="shared" ca="1" si="109"/>
        <v>#N/A</v>
      </c>
      <c r="AB968" s="63" t="e">
        <f t="shared" ca="1" si="110"/>
        <v>#N/A</v>
      </c>
      <c r="AC968" s="3" t="e">
        <f t="shared" ca="1" si="111"/>
        <v>#N/A</v>
      </c>
    </row>
    <row r="969" spans="8:29">
      <c r="H969" t="e">
        <f t="shared" ca="1" si="105"/>
        <v>#N/A</v>
      </c>
      <c r="I969" t="e">
        <f t="shared" ca="1" si="106"/>
        <v>#N/A</v>
      </c>
      <c r="J969" t="e">
        <f ca="1"/>
        <v>#N/A</v>
      </c>
      <c r="K969" t="e">
        <f ca="1"/>
        <v>#N/A</v>
      </c>
      <c r="L969" t="e">
        <f ca="1"/>
        <v>#N/A</v>
      </c>
      <c r="M969" t="e">
        <f ca="1"/>
        <v>#N/A</v>
      </c>
      <c r="N969" t="e">
        <f ca="1"/>
        <v>#N/A</v>
      </c>
      <c r="O969" t="e">
        <f ca="1"/>
        <v>#N/A</v>
      </c>
      <c r="P969" t="e">
        <f ca="1"/>
        <v>#N/A</v>
      </c>
      <c r="Q969" t="e">
        <f ca="1"/>
        <v>#N/A</v>
      </c>
      <c r="R969" t="e">
        <f ca="1"/>
        <v>#N/A</v>
      </c>
      <c r="S969" t="e">
        <f ca="1"/>
        <v>#N/A</v>
      </c>
      <c r="T969" t="e">
        <f ca="1"/>
        <v>#N/A</v>
      </c>
      <c r="U969" t="e">
        <f ca="1"/>
        <v>#N/A</v>
      </c>
      <c r="V969" t="e">
        <f ca="1"/>
        <v>#N/A</v>
      </c>
      <c r="X969" s="2">
        <f t="shared" ca="1" si="107"/>
        <v>0</v>
      </c>
      <c r="Y969">
        <f t="shared" ca="1" si="108"/>
        <v>0</v>
      </c>
      <c r="AA969" s="63" t="e">
        <f t="shared" ca="1" si="109"/>
        <v>#N/A</v>
      </c>
      <c r="AB969" s="63" t="e">
        <f t="shared" ca="1" si="110"/>
        <v>#N/A</v>
      </c>
      <c r="AC969" s="3" t="e">
        <f t="shared" ca="1" si="111"/>
        <v>#N/A</v>
      </c>
    </row>
    <row r="970" spans="8:29">
      <c r="H970" t="e">
        <f t="shared" ca="1" si="105"/>
        <v>#N/A</v>
      </c>
      <c r="I970" t="e">
        <f t="shared" ca="1" si="106"/>
        <v>#N/A</v>
      </c>
      <c r="J970" t="e">
        <f ca="1"/>
        <v>#N/A</v>
      </c>
      <c r="K970" t="e">
        <f ca="1"/>
        <v>#N/A</v>
      </c>
      <c r="L970" t="e">
        <f ca="1"/>
        <v>#N/A</v>
      </c>
      <c r="M970" t="e">
        <f ca="1"/>
        <v>#N/A</v>
      </c>
      <c r="N970" t="e">
        <f ca="1"/>
        <v>#N/A</v>
      </c>
      <c r="O970" t="e">
        <f ca="1"/>
        <v>#N/A</v>
      </c>
      <c r="P970" t="e">
        <f ca="1"/>
        <v>#N/A</v>
      </c>
      <c r="Q970" t="e">
        <f ca="1"/>
        <v>#N/A</v>
      </c>
      <c r="R970" t="e">
        <f ca="1"/>
        <v>#N/A</v>
      </c>
      <c r="S970" t="e">
        <f ca="1"/>
        <v>#N/A</v>
      </c>
      <c r="T970" t="e">
        <f ca="1"/>
        <v>#N/A</v>
      </c>
      <c r="U970" t="e">
        <f ca="1"/>
        <v>#N/A</v>
      </c>
      <c r="V970" t="e">
        <f ca="1"/>
        <v>#N/A</v>
      </c>
      <c r="X970" s="2">
        <f t="shared" ca="1" si="107"/>
        <v>0</v>
      </c>
      <c r="Y970">
        <f t="shared" ca="1" si="108"/>
        <v>0</v>
      </c>
      <c r="AA970" s="63" t="e">
        <f t="shared" ca="1" si="109"/>
        <v>#N/A</v>
      </c>
      <c r="AB970" s="63" t="e">
        <f t="shared" ca="1" si="110"/>
        <v>#N/A</v>
      </c>
      <c r="AC970" s="3" t="e">
        <f t="shared" ca="1" si="111"/>
        <v>#N/A</v>
      </c>
    </row>
    <row r="971" spans="8:29">
      <c r="H971" t="e">
        <f t="shared" ca="1" si="105"/>
        <v>#N/A</v>
      </c>
      <c r="I971" t="e">
        <f t="shared" ca="1" si="106"/>
        <v>#N/A</v>
      </c>
      <c r="J971" t="e">
        <f ca="1"/>
        <v>#N/A</v>
      </c>
      <c r="K971" t="e">
        <f ca="1"/>
        <v>#N/A</v>
      </c>
      <c r="L971" t="e">
        <f ca="1"/>
        <v>#N/A</v>
      </c>
      <c r="M971" t="e">
        <f ca="1"/>
        <v>#N/A</v>
      </c>
      <c r="N971" t="e">
        <f ca="1"/>
        <v>#N/A</v>
      </c>
      <c r="O971" t="e">
        <f ca="1"/>
        <v>#N/A</v>
      </c>
      <c r="P971" t="e">
        <f ca="1"/>
        <v>#N/A</v>
      </c>
      <c r="Q971" t="e">
        <f ca="1"/>
        <v>#N/A</v>
      </c>
      <c r="R971" t="e">
        <f ca="1"/>
        <v>#N/A</v>
      </c>
      <c r="S971" t="e">
        <f ca="1"/>
        <v>#N/A</v>
      </c>
      <c r="T971" t="e">
        <f ca="1"/>
        <v>#N/A</v>
      </c>
      <c r="U971" t="e">
        <f ca="1"/>
        <v>#N/A</v>
      </c>
      <c r="V971" t="e">
        <f ca="1"/>
        <v>#N/A</v>
      </c>
      <c r="X971" s="2">
        <f t="shared" ca="1" si="107"/>
        <v>0</v>
      </c>
      <c r="Y971">
        <f t="shared" ca="1" si="108"/>
        <v>0</v>
      </c>
      <c r="AA971" s="63" t="e">
        <f t="shared" ca="1" si="109"/>
        <v>#N/A</v>
      </c>
      <c r="AB971" s="63" t="e">
        <f t="shared" ca="1" si="110"/>
        <v>#N/A</v>
      </c>
      <c r="AC971" s="3" t="e">
        <f t="shared" ca="1" si="111"/>
        <v>#N/A</v>
      </c>
    </row>
    <row r="972" spans="8:29">
      <c r="H972" t="e">
        <f t="shared" ca="1" si="105"/>
        <v>#N/A</v>
      </c>
      <c r="I972" t="e">
        <f t="shared" ca="1" si="106"/>
        <v>#N/A</v>
      </c>
      <c r="J972" t="e">
        <f ca="1"/>
        <v>#N/A</v>
      </c>
      <c r="K972" t="e">
        <f ca="1"/>
        <v>#N/A</v>
      </c>
      <c r="L972" t="e">
        <f ca="1"/>
        <v>#N/A</v>
      </c>
      <c r="M972" t="e">
        <f ca="1"/>
        <v>#N/A</v>
      </c>
      <c r="N972" t="e">
        <f ca="1"/>
        <v>#N/A</v>
      </c>
      <c r="O972" t="e">
        <f ca="1"/>
        <v>#N/A</v>
      </c>
      <c r="P972" t="e">
        <f ca="1"/>
        <v>#N/A</v>
      </c>
      <c r="Q972" t="e">
        <f ca="1"/>
        <v>#N/A</v>
      </c>
      <c r="R972" t="e">
        <f ca="1"/>
        <v>#N/A</v>
      </c>
      <c r="S972" t="e">
        <f ca="1"/>
        <v>#N/A</v>
      </c>
      <c r="T972" t="e">
        <f ca="1"/>
        <v>#N/A</v>
      </c>
      <c r="U972" t="e">
        <f ca="1"/>
        <v>#N/A</v>
      </c>
      <c r="V972" t="e">
        <f ca="1"/>
        <v>#N/A</v>
      </c>
      <c r="X972" s="2">
        <f t="shared" ca="1" si="107"/>
        <v>0</v>
      </c>
      <c r="Y972">
        <f t="shared" ca="1" si="108"/>
        <v>0</v>
      </c>
      <c r="AA972" s="63" t="e">
        <f t="shared" ca="1" si="109"/>
        <v>#N/A</v>
      </c>
      <c r="AB972" s="63" t="e">
        <f t="shared" ca="1" si="110"/>
        <v>#N/A</v>
      </c>
      <c r="AC972" s="3" t="e">
        <f t="shared" ca="1" si="111"/>
        <v>#N/A</v>
      </c>
    </row>
    <row r="973" spans="8:29">
      <c r="H973" t="e">
        <f t="shared" ca="1" si="105"/>
        <v>#N/A</v>
      </c>
      <c r="I973" t="e">
        <f t="shared" ca="1" si="106"/>
        <v>#N/A</v>
      </c>
      <c r="J973" t="e">
        <f ca="1"/>
        <v>#N/A</v>
      </c>
      <c r="K973" t="e">
        <f ca="1"/>
        <v>#N/A</v>
      </c>
      <c r="L973" t="e">
        <f ca="1"/>
        <v>#N/A</v>
      </c>
      <c r="M973" t="e">
        <f ca="1"/>
        <v>#N/A</v>
      </c>
      <c r="N973" t="e">
        <f ca="1"/>
        <v>#N/A</v>
      </c>
      <c r="O973" t="e">
        <f ca="1"/>
        <v>#N/A</v>
      </c>
      <c r="P973" t="e">
        <f ca="1"/>
        <v>#N/A</v>
      </c>
      <c r="Q973" t="e">
        <f ca="1"/>
        <v>#N/A</v>
      </c>
      <c r="R973" t="e">
        <f ca="1"/>
        <v>#N/A</v>
      </c>
      <c r="S973" t="e">
        <f ca="1"/>
        <v>#N/A</v>
      </c>
      <c r="T973" t="e">
        <f ca="1"/>
        <v>#N/A</v>
      </c>
      <c r="U973" t="e">
        <f ca="1"/>
        <v>#N/A</v>
      </c>
      <c r="V973" t="e">
        <f ca="1"/>
        <v>#N/A</v>
      </c>
      <c r="X973" s="2">
        <f t="shared" ca="1" si="107"/>
        <v>0</v>
      </c>
      <c r="Y973">
        <f t="shared" ca="1" si="108"/>
        <v>0</v>
      </c>
      <c r="AA973" s="63" t="e">
        <f t="shared" ca="1" si="109"/>
        <v>#N/A</v>
      </c>
      <c r="AB973" s="63" t="e">
        <f t="shared" ca="1" si="110"/>
        <v>#N/A</v>
      </c>
      <c r="AC973" s="3" t="e">
        <f t="shared" ca="1" si="111"/>
        <v>#N/A</v>
      </c>
    </row>
    <row r="974" spans="8:29">
      <c r="H974" t="e">
        <f t="shared" ca="1" si="105"/>
        <v>#N/A</v>
      </c>
      <c r="I974" t="e">
        <f t="shared" ca="1" si="106"/>
        <v>#N/A</v>
      </c>
      <c r="J974" t="e">
        <f ca="1"/>
        <v>#N/A</v>
      </c>
      <c r="K974" t="e">
        <f ca="1"/>
        <v>#N/A</v>
      </c>
      <c r="L974" t="e">
        <f ca="1"/>
        <v>#N/A</v>
      </c>
      <c r="M974" t="e">
        <f ca="1"/>
        <v>#N/A</v>
      </c>
      <c r="N974" t="e">
        <f ca="1"/>
        <v>#N/A</v>
      </c>
      <c r="O974" t="e">
        <f ca="1"/>
        <v>#N/A</v>
      </c>
      <c r="P974" t="e">
        <f ca="1"/>
        <v>#N/A</v>
      </c>
      <c r="Q974" t="e">
        <f ca="1"/>
        <v>#N/A</v>
      </c>
      <c r="R974" t="e">
        <f ca="1"/>
        <v>#N/A</v>
      </c>
      <c r="S974" t="e">
        <f ca="1"/>
        <v>#N/A</v>
      </c>
      <c r="T974" t="e">
        <f ca="1"/>
        <v>#N/A</v>
      </c>
      <c r="U974" t="e">
        <f ca="1"/>
        <v>#N/A</v>
      </c>
      <c r="V974" t="e">
        <f ca="1"/>
        <v>#N/A</v>
      </c>
      <c r="X974" s="2">
        <f t="shared" ca="1" si="107"/>
        <v>0</v>
      </c>
      <c r="Y974">
        <f t="shared" ca="1" si="108"/>
        <v>0</v>
      </c>
      <c r="AA974" s="63" t="e">
        <f t="shared" ca="1" si="109"/>
        <v>#N/A</v>
      </c>
      <c r="AB974" s="63" t="e">
        <f t="shared" ca="1" si="110"/>
        <v>#N/A</v>
      </c>
      <c r="AC974" s="3" t="e">
        <f t="shared" ca="1" si="111"/>
        <v>#N/A</v>
      </c>
    </row>
    <row r="975" spans="8:29">
      <c r="H975" t="e">
        <f t="shared" ca="1" si="105"/>
        <v>#N/A</v>
      </c>
      <c r="I975" t="e">
        <f t="shared" ca="1" si="106"/>
        <v>#N/A</v>
      </c>
      <c r="J975" t="e">
        <f ca="1"/>
        <v>#N/A</v>
      </c>
      <c r="K975" t="e">
        <f ca="1"/>
        <v>#N/A</v>
      </c>
      <c r="L975" t="e">
        <f ca="1"/>
        <v>#N/A</v>
      </c>
      <c r="M975" t="e">
        <f ca="1"/>
        <v>#N/A</v>
      </c>
      <c r="N975" t="e">
        <f ca="1"/>
        <v>#N/A</v>
      </c>
      <c r="O975" t="e">
        <f ca="1"/>
        <v>#N/A</v>
      </c>
      <c r="P975" t="e">
        <f ca="1"/>
        <v>#N/A</v>
      </c>
      <c r="Q975" t="e">
        <f ca="1"/>
        <v>#N/A</v>
      </c>
      <c r="R975" t="e">
        <f ca="1"/>
        <v>#N/A</v>
      </c>
      <c r="S975" t="e">
        <f ca="1"/>
        <v>#N/A</v>
      </c>
      <c r="T975" t="e">
        <f ca="1"/>
        <v>#N/A</v>
      </c>
      <c r="U975" t="e">
        <f ca="1"/>
        <v>#N/A</v>
      </c>
      <c r="V975" t="e">
        <f ca="1"/>
        <v>#N/A</v>
      </c>
      <c r="X975" s="2">
        <f t="shared" ca="1" si="107"/>
        <v>0</v>
      </c>
      <c r="Y975">
        <f t="shared" ca="1" si="108"/>
        <v>0</v>
      </c>
      <c r="AA975" s="63" t="e">
        <f t="shared" ca="1" si="109"/>
        <v>#N/A</v>
      </c>
      <c r="AB975" s="63" t="e">
        <f t="shared" ca="1" si="110"/>
        <v>#N/A</v>
      </c>
      <c r="AC975" s="3" t="e">
        <f t="shared" ca="1" si="111"/>
        <v>#N/A</v>
      </c>
    </row>
    <row r="976" spans="8:29">
      <c r="H976" t="e">
        <f t="shared" ca="1" si="105"/>
        <v>#N/A</v>
      </c>
      <c r="I976" t="e">
        <f t="shared" ca="1" si="106"/>
        <v>#N/A</v>
      </c>
      <c r="J976" t="e">
        <f ca="1"/>
        <v>#N/A</v>
      </c>
      <c r="K976" t="e">
        <f ca="1"/>
        <v>#N/A</v>
      </c>
      <c r="L976" t="e">
        <f ca="1"/>
        <v>#N/A</v>
      </c>
      <c r="M976" t="e">
        <f ca="1"/>
        <v>#N/A</v>
      </c>
      <c r="N976" t="e">
        <f ca="1"/>
        <v>#N/A</v>
      </c>
      <c r="O976" t="e">
        <f ca="1"/>
        <v>#N/A</v>
      </c>
      <c r="P976" t="e">
        <f ca="1"/>
        <v>#N/A</v>
      </c>
      <c r="Q976" t="e">
        <f ca="1"/>
        <v>#N/A</v>
      </c>
      <c r="R976" t="e">
        <f ca="1"/>
        <v>#N/A</v>
      </c>
      <c r="S976" t="e">
        <f ca="1"/>
        <v>#N/A</v>
      </c>
      <c r="T976" t="e">
        <f ca="1"/>
        <v>#N/A</v>
      </c>
      <c r="U976" t="e">
        <f ca="1"/>
        <v>#N/A</v>
      </c>
      <c r="V976" t="e">
        <f ca="1"/>
        <v>#N/A</v>
      </c>
      <c r="X976" s="2">
        <f t="shared" ca="1" si="107"/>
        <v>0</v>
      </c>
      <c r="Y976">
        <f t="shared" ca="1" si="108"/>
        <v>0</v>
      </c>
      <c r="AA976" s="63" t="e">
        <f t="shared" ca="1" si="109"/>
        <v>#N/A</v>
      </c>
      <c r="AB976" s="63" t="e">
        <f t="shared" ca="1" si="110"/>
        <v>#N/A</v>
      </c>
      <c r="AC976" s="3" t="e">
        <f t="shared" ca="1" si="111"/>
        <v>#N/A</v>
      </c>
    </row>
    <row r="977" spans="8:29">
      <c r="H977" t="e">
        <f t="shared" ca="1" si="105"/>
        <v>#N/A</v>
      </c>
      <c r="I977" t="e">
        <f t="shared" ca="1" si="106"/>
        <v>#N/A</v>
      </c>
      <c r="J977" t="e">
        <f ca="1"/>
        <v>#N/A</v>
      </c>
      <c r="K977" t="e">
        <f ca="1"/>
        <v>#N/A</v>
      </c>
      <c r="L977" t="e">
        <f ca="1"/>
        <v>#N/A</v>
      </c>
      <c r="M977" t="e">
        <f ca="1"/>
        <v>#N/A</v>
      </c>
      <c r="N977" t="e">
        <f ca="1"/>
        <v>#N/A</v>
      </c>
      <c r="O977" t="e">
        <f ca="1"/>
        <v>#N/A</v>
      </c>
      <c r="P977" t="e">
        <f ca="1"/>
        <v>#N/A</v>
      </c>
      <c r="Q977" t="e">
        <f ca="1"/>
        <v>#N/A</v>
      </c>
      <c r="R977" t="e">
        <f ca="1"/>
        <v>#N/A</v>
      </c>
      <c r="S977" t="e">
        <f ca="1"/>
        <v>#N/A</v>
      </c>
      <c r="T977" t="e">
        <f ca="1"/>
        <v>#N/A</v>
      </c>
      <c r="U977" t="e">
        <f ca="1"/>
        <v>#N/A</v>
      </c>
      <c r="V977" t="e">
        <f ca="1"/>
        <v>#N/A</v>
      </c>
      <c r="X977" s="2">
        <f t="shared" ca="1" si="107"/>
        <v>0</v>
      </c>
      <c r="Y977">
        <f t="shared" ca="1" si="108"/>
        <v>0</v>
      </c>
      <c r="AA977" s="63" t="e">
        <f t="shared" ca="1" si="109"/>
        <v>#N/A</v>
      </c>
      <c r="AB977" s="63" t="e">
        <f t="shared" ca="1" si="110"/>
        <v>#N/A</v>
      </c>
      <c r="AC977" s="3" t="e">
        <f t="shared" ca="1" si="111"/>
        <v>#N/A</v>
      </c>
    </row>
    <row r="978" spans="8:29">
      <c r="H978" t="e">
        <f t="shared" ca="1" si="105"/>
        <v>#N/A</v>
      </c>
      <c r="I978" t="e">
        <f t="shared" ca="1" si="106"/>
        <v>#N/A</v>
      </c>
      <c r="J978" t="e">
        <f ca="1"/>
        <v>#N/A</v>
      </c>
      <c r="K978" t="e">
        <f ca="1"/>
        <v>#N/A</v>
      </c>
      <c r="L978" t="e">
        <f ca="1"/>
        <v>#N/A</v>
      </c>
      <c r="M978" t="e">
        <f ca="1"/>
        <v>#N/A</v>
      </c>
      <c r="N978" t="e">
        <f ca="1"/>
        <v>#N/A</v>
      </c>
      <c r="O978" t="e">
        <f ca="1"/>
        <v>#N/A</v>
      </c>
      <c r="P978" t="e">
        <f ca="1"/>
        <v>#N/A</v>
      </c>
      <c r="Q978" t="e">
        <f ca="1"/>
        <v>#N/A</v>
      </c>
      <c r="R978" t="e">
        <f ca="1"/>
        <v>#N/A</v>
      </c>
      <c r="S978" t="e">
        <f ca="1"/>
        <v>#N/A</v>
      </c>
      <c r="T978" t="e">
        <f ca="1"/>
        <v>#N/A</v>
      </c>
      <c r="U978" t="e">
        <f ca="1"/>
        <v>#N/A</v>
      </c>
      <c r="V978" t="e">
        <f ca="1"/>
        <v>#N/A</v>
      </c>
      <c r="X978" s="2">
        <f t="shared" ca="1" si="107"/>
        <v>0</v>
      </c>
      <c r="Y978">
        <f t="shared" ca="1" si="108"/>
        <v>0</v>
      </c>
      <c r="AA978" s="63" t="e">
        <f t="shared" ca="1" si="109"/>
        <v>#N/A</v>
      </c>
      <c r="AB978" s="63" t="e">
        <f t="shared" ca="1" si="110"/>
        <v>#N/A</v>
      </c>
      <c r="AC978" s="3" t="e">
        <f t="shared" ca="1" si="111"/>
        <v>#N/A</v>
      </c>
    </row>
    <row r="979" spans="8:29">
      <c r="H979" t="e">
        <f t="shared" ca="1" si="105"/>
        <v>#N/A</v>
      </c>
      <c r="I979" t="e">
        <f t="shared" ca="1" si="106"/>
        <v>#N/A</v>
      </c>
      <c r="J979" t="e">
        <f ca="1"/>
        <v>#N/A</v>
      </c>
      <c r="K979" t="e">
        <f ca="1"/>
        <v>#N/A</v>
      </c>
      <c r="L979" t="e">
        <f ca="1"/>
        <v>#N/A</v>
      </c>
      <c r="M979" t="e">
        <f ca="1"/>
        <v>#N/A</v>
      </c>
      <c r="N979" t="e">
        <f ca="1"/>
        <v>#N/A</v>
      </c>
      <c r="O979" t="e">
        <f ca="1"/>
        <v>#N/A</v>
      </c>
      <c r="P979" t="e">
        <f ca="1"/>
        <v>#N/A</v>
      </c>
      <c r="Q979" t="e">
        <f ca="1"/>
        <v>#N/A</v>
      </c>
      <c r="R979" t="e">
        <f ca="1"/>
        <v>#N/A</v>
      </c>
      <c r="S979" t="e">
        <f ca="1"/>
        <v>#N/A</v>
      </c>
      <c r="T979" t="e">
        <f ca="1"/>
        <v>#N/A</v>
      </c>
      <c r="U979" t="e">
        <f ca="1"/>
        <v>#N/A</v>
      </c>
      <c r="V979" t="e">
        <f ca="1"/>
        <v>#N/A</v>
      </c>
      <c r="X979" s="2">
        <f t="shared" ca="1" si="107"/>
        <v>0</v>
      </c>
      <c r="Y979">
        <f t="shared" ca="1" si="108"/>
        <v>0</v>
      </c>
      <c r="AA979" s="63" t="e">
        <f t="shared" ca="1" si="109"/>
        <v>#N/A</v>
      </c>
      <c r="AB979" s="63" t="e">
        <f t="shared" ca="1" si="110"/>
        <v>#N/A</v>
      </c>
      <c r="AC979" s="3" t="e">
        <f t="shared" ca="1" si="111"/>
        <v>#N/A</v>
      </c>
    </row>
    <row r="980" spans="8:29">
      <c r="H980" t="e">
        <f t="shared" ca="1" si="105"/>
        <v>#N/A</v>
      </c>
      <c r="I980" t="e">
        <f t="shared" ca="1" si="106"/>
        <v>#N/A</v>
      </c>
      <c r="J980" t="e">
        <f ca="1"/>
        <v>#N/A</v>
      </c>
      <c r="K980" t="e">
        <f ca="1"/>
        <v>#N/A</v>
      </c>
      <c r="L980" t="e">
        <f ca="1"/>
        <v>#N/A</v>
      </c>
      <c r="M980" t="e">
        <f ca="1"/>
        <v>#N/A</v>
      </c>
      <c r="N980" t="e">
        <f ca="1"/>
        <v>#N/A</v>
      </c>
      <c r="O980" t="e">
        <f ca="1"/>
        <v>#N/A</v>
      </c>
      <c r="P980" t="e">
        <f ca="1"/>
        <v>#N/A</v>
      </c>
      <c r="Q980" t="e">
        <f ca="1"/>
        <v>#N/A</v>
      </c>
      <c r="R980" t="e">
        <f ca="1"/>
        <v>#N/A</v>
      </c>
      <c r="S980" t="e">
        <f ca="1"/>
        <v>#N/A</v>
      </c>
      <c r="T980" t="e">
        <f ca="1"/>
        <v>#N/A</v>
      </c>
      <c r="U980" t="e">
        <f ca="1"/>
        <v>#N/A</v>
      </c>
      <c r="V980" t="e">
        <f ca="1"/>
        <v>#N/A</v>
      </c>
      <c r="X980" s="2">
        <f t="shared" ca="1" si="107"/>
        <v>0</v>
      </c>
      <c r="Y980">
        <f t="shared" ca="1" si="108"/>
        <v>0</v>
      </c>
      <c r="AA980" s="63" t="e">
        <f t="shared" ca="1" si="109"/>
        <v>#N/A</v>
      </c>
      <c r="AB980" s="63" t="e">
        <f t="shared" ca="1" si="110"/>
        <v>#N/A</v>
      </c>
      <c r="AC980" s="3" t="e">
        <f t="shared" ca="1" si="111"/>
        <v>#N/A</v>
      </c>
    </row>
    <row r="981" spans="8:29">
      <c r="H981" t="e">
        <f t="shared" ca="1" si="105"/>
        <v>#N/A</v>
      </c>
      <c r="I981" t="e">
        <f t="shared" ca="1" si="106"/>
        <v>#N/A</v>
      </c>
      <c r="J981" t="e">
        <f ca="1"/>
        <v>#N/A</v>
      </c>
      <c r="K981" t="e">
        <f ca="1"/>
        <v>#N/A</v>
      </c>
      <c r="L981" t="e">
        <f ca="1"/>
        <v>#N/A</v>
      </c>
      <c r="M981" t="e">
        <f ca="1"/>
        <v>#N/A</v>
      </c>
      <c r="N981" t="e">
        <f ca="1"/>
        <v>#N/A</v>
      </c>
      <c r="O981" t="e">
        <f ca="1"/>
        <v>#N/A</v>
      </c>
      <c r="P981" t="e">
        <f ca="1"/>
        <v>#N/A</v>
      </c>
      <c r="Q981" t="e">
        <f ca="1"/>
        <v>#N/A</v>
      </c>
      <c r="R981" t="e">
        <f ca="1"/>
        <v>#N/A</v>
      </c>
      <c r="S981" t="e">
        <f ca="1"/>
        <v>#N/A</v>
      </c>
      <c r="T981" t="e">
        <f ca="1"/>
        <v>#N/A</v>
      </c>
      <c r="U981" t="e">
        <f ca="1"/>
        <v>#N/A</v>
      </c>
      <c r="V981" t="e">
        <f ca="1"/>
        <v>#N/A</v>
      </c>
      <c r="X981" s="2">
        <f t="shared" ca="1" si="107"/>
        <v>0</v>
      </c>
      <c r="Y981">
        <f t="shared" ca="1" si="108"/>
        <v>0</v>
      </c>
      <c r="AA981" s="63" t="e">
        <f t="shared" ca="1" si="109"/>
        <v>#N/A</v>
      </c>
      <c r="AB981" s="63" t="e">
        <f t="shared" ca="1" si="110"/>
        <v>#N/A</v>
      </c>
      <c r="AC981" s="3" t="e">
        <f t="shared" ca="1" si="111"/>
        <v>#N/A</v>
      </c>
    </row>
    <row r="982" spans="8:29">
      <c r="H982" t="e">
        <f t="shared" ca="1" si="105"/>
        <v>#N/A</v>
      </c>
      <c r="I982" t="e">
        <f t="shared" ca="1" si="106"/>
        <v>#N/A</v>
      </c>
      <c r="J982" t="e">
        <f ca="1"/>
        <v>#N/A</v>
      </c>
      <c r="K982" t="e">
        <f ca="1"/>
        <v>#N/A</v>
      </c>
      <c r="L982" t="e">
        <f ca="1"/>
        <v>#N/A</v>
      </c>
      <c r="M982" t="e">
        <f ca="1"/>
        <v>#N/A</v>
      </c>
      <c r="N982" t="e">
        <f ca="1"/>
        <v>#N/A</v>
      </c>
      <c r="O982" t="e">
        <f ca="1"/>
        <v>#N/A</v>
      </c>
      <c r="P982" t="e">
        <f ca="1"/>
        <v>#N/A</v>
      </c>
      <c r="Q982" t="e">
        <f ca="1"/>
        <v>#N/A</v>
      </c>
      <c r="R982" t="e">
        <f ca="1"/>
        <v>#N/A</v>
      </c>
      <c r="S982" t="e">
        <f ca="1"/>
        <v>#N/A</v>
      </c>
      <c r="T982" t="e">
        <f ca="1"/>
        <v>#N/A</v>
      </c>
      <c r="U982" t="e">
        <f ca="1"/>
        <v>#N/A</v>
      </c>
      <c r="V982" t="e">
        <f ca="1"/>
        <v>#N/A</v>
      </c>
      <c r="X982" s="2">
        <f t="shared" ca="1" si="107"/>
        <v>0</v>
      </c>
      <c r="Y982">
        <f t="shared" ca="1" si="108"/>
        <v>0</v>
      </c>
      <c r="AA982" s="63" t="e">
        <f t="shared" ca="1" si="109"/>
        <v>#N/A</v>
      </c>
      <c r="AB982" s="63" t="e">
        <f t="shared" ca="1" si="110"/>
        <v>#N/A</v>
      </c>
      <c r="AC982" s="3" t="e">
        <f t="shared" ca="1" si="111"/>
        <v>#N/A</v>
      </c>
    </row>
    <row r="983" spans="8:29">
      <c r="H983" t="e">
        <f t="shared" ca="1" si="105"/>
        <v>#N/A</v>
      </c>
      <c r="I983" t="e">
        <f t="shared" ca="1" si="106"/>
        <v>#N/A</v>
      </c>
      <c r="J983" t="e">
        <f ca="1"/>
        <v>#N/A</v>
      </c>
      <c r="K983" t="e">
        <f ca="1"/>
        <v>#N/A</v>
      </c>
      <c r="L983" t="e">
        <f ca="1"/>
        <v>#N/A</v>
      </c>
      <c r="M983" t="e">
        <f ca="1"/>
        <v>#N/A</v>
      </c>
      <c r="N983" t="e">
        <f ca="1"/>
        <v>#N/A</v>
      </c>
      <c r="O983" t="e">
        <f ca="1"/>
        <v>#N/A</v>
      </c>
      <c r="P983" t="e">
        <f ca="1"/>
        <v>#N/A</v>
      </c>
      <c r="Q983" t="e">
        <f ca="1"/>
        <v>#N/A</v>
      </c>
      <c r="R983" t="e">
        <f ca="1"/>
        <v>#N/A</v>
      </c>
      <c r="S983" t="e">
        <f ca="1"/>
        <v>#N/A</v>
      </c>
      <c r="T983" t="e">
        <f ca="1"/>
        <v>#N/A</v>
      </c>
      <c r="U983" t="e">
        <f ca="1"/>
        <v>#N/A</v>
      </c>
      <c r="V983" t="e">
        <f ca="1"/>
        <v>#N/A</v>
      </c>
      <c r="X983" s="2">
        <f t="shared" ca="1" si="107"/>
        <v>0</v>
      </c>
      <c r="Y983">
        <f t="shared" ca="1" si="108"/>
        <v>0</v>
      </c>
      <c r="AA983" s="63" t="e">
        <f t="shared" ca="1" si="109"/>
        <v>#N/A</v>
      </c>
      <c r="AB983" s="63" t="e">
        <f t="shared" ca="1" si="110"/>
        <v>#N/A</v>
      </c>
      <c r="AC983" s="3" t="e">
        <f t="shared" ca="1" si="111"/>
        <v>#N/A</v>
      </c>
    </row>
    <row r="984" spans="8:29">
      <c r="H984" t="e">
        <f t="shared" ca="1" si="105"/>
        <v>#N/A</v>
      </c>
      <c r="I984" t="e">
        <f t="shared" ca="1" si="106"/>
        <v>#N/A</v>
      </c>
      <c r="J984" t="e">
        <f ca="1"/>
        <v>#N/A</v>
      </c>
      <c r="K984" t="e">
        <f ca="1"/>
        <v>#N/A</v>
      </c>
      <c r="L984" t="e">
        <f ca="1"/>
        <v>#N/A</v>
      </c>
      <c r="M984" t="e">
        <f ca="1"/>
        <v>#N/A</v>
      </c>
      <c r="N984" t="e">
        <f ca="1"/>
        <v>#N/A</v>
      </c>
      <c r="O984" t="e">
        <f ca="1"/>
        <v>#N/A</v>
      </c>
      <c r="P984" t="e">
        <f ca="1"/>
        <v>#N/A</v>
      </c>
      <c r="Q984" t="e">
        <f ca="1"/>
        <v>#N/A</v>
      </c>
      <c r="R984" t="e">
        <f ca="1"/>
        <v>#N/A</v>
      </c>
      <c r="S984" t="e">
        <f ca="1"/>
        <v>#N/A</v>
      </c>
      <c r="T984" t="e">
        <f ca="1"/>
        <v>#N/A</v>
      </c>
      <c r="U984" t="e">
        <f ca="1"/>
        <v>#N/A</v>
      </c>
      <c r="V984" t="e">
        <f ca="1"/>
        <v>#N/A</v>
      </c>
      <c r="X984" s="2">
        <f t="shared" ca="1" si="107"/>
        <v>0</v>
      </c>
      <c r="Y984">
        <f t="shared" ca="1" si="108"/>
        <v>0</v>
      </c>
      <c r="AA984" s="63" t="e">
        <f t="shared" ca="1" si="109"/>
        <v>#N/A</v>
      </c>
      <c r="AB984" s="63" t="e">
        <f t="shared" ca="1" si="110"/>
        <v>#N/A</v>
      </c>
      <c r="AC984" s="3" t="e">
        <f t="shared" ca="1" si="111"/>
        <v>#N/A</v>
      </c>
    </row>
    <row r="985" spans="8:29">
      <c r="H985" t="e">
        <f t="shared" ca="1" si="105"/>
        <v>#N/A</v>
      </c>
      <c r="I985" t="e">
        <f t="shared" ca="1" si="106"/>
        <v>#N/A</v>
      </c>
      <c r="J985" t="e">
        <f ca="1"/>
        <v>#N/A</v>
      </c>
      <c r="K985" t="e">
        <f ca="1"/>
        <v>#N/A</v>
      </c>
      <c r="L985" t="e">
        <f ca="1"/>
        <v>#N/A</v>
      </c>
      <c r="M985" t="e">
        <f ca="1"/>
        <v>#N/A</v>
      </c>
      <c r="N985" t="e">
        <f ca="1"/>
        <v>#N/A</v>
      </c>
      <c r="O985" t="e">
        <f ca="1"/>
        <v>#N/A</v>
      </c>
      <c r="P985" t="e">
        <f ca="1"/>
        <v>#N/A</v>
      </c>
      <c r="Q985" t="e">
        <f ca="1"/>
        <v>#N/A</v>
      </c>
      <c r="R985" t="e">
        <f ca="1"/>
        <v>#N/A</v>
      </c>
      <c r="S985" t="e">
        <f ca="1"/>
        <v>#N/A</v>
      </c>
      <c r="T985" t="e">
        <f ca="1"/>
        <v>#N/A</v>
      </c>
      <c r="U985" t="e">
        <f ca="1"/>
        <v>#N/A</v>
      </c>
      <c r="V985" t="e">
        <f ca="1"/>
        <v>#N/A</v>
      </c>
      <c r="X985" s="2">
        <f t="shared" ca="1" si="107"/>
        <v>0</v>
      </c>
      <c r="Y985">
        <f t="shared" ca="1" si="108"/>
        <v>0</v>
      </c>
      <c r="AA985" s="63" t="e">
        <f t="shared" ca="1" si="109"/>
        <v>#N/A</v>
      </c>
      <c r="AB985" s="63" t="e">
        <f t="shared" ca="1" si="110"/>
        <v>#N/A</v>
      </c>
      <c r="AC985" s="3" t="e">
        <f t="shared" ca="1" si="111"/>
        <v>#N/A</v>
      </c>
    </row>
    <row r="986" spans="8:29">
      <c r="H986" t="e">
        <f t="shared" ca="1" si="105"/>
        <v>#N/A</v>
      </c>
      <c r="I986" t="e">
        <f t="shared" ca="1" si="106"/>
        <v>#N/A</v>
      </c>
      <c r="J986" t="e">
        <f ca="1"/>
        <v>#N/A</v>
      </c>
      <c r="K986" t="e">
        <f ca="1"/>
        <v>#N/A</v>
      </c>
      <c r="L986" t="e">
        <f ca="1"/>
        <v>#N/A</v>
      </c>
      <c r="M986" t="e">
        <f ca="1"/>
        <v>#N/A</v>
      </c>
      <c r="N986" t="e">
        <f ca="1"/>
        <v>#N/A</v>
      </c>
      <c r="O986" t="e">
        <f ca="1"/>
        <v>#N/A</v>
      </c>
      <c r="P986" t="e">
        <f ca="1"/>
        <v>#N/A</v>
      </c>
      <c r="Q986" t="e">
        <f ca="1"/>
        <v>#N/A</v>
      </c>
      <c r="R986" t="e">
        <f ca="1"/>
        <v>#N/A</v>
      </c>
      <c r="S986" t="e">
        <f ca="1"/>
        <v>#N/A</v>
      </c>
      <c r="T986" t="e">
        <f ca="1"/>
        <v>#N/A</v>
      </c>
      <c r="U986" t="e">
        <f ca="1"/>
        <v>#N/A</v>
      </c>
      <c r="V986" t="e">
        <f ca="1"/>
        <v>#N/A</v>
      </c>
      <c r="X986" s="2">
        <f t="shared" ca="1" si="107"/>
        <v>0</v>
      </c>
      <c r="Y986">
        <f t="shared" ca="1" si="108"/>
        <v>0</v>
      </c>
      <c r="AA986" s="63" t="e">
        <f t="shared" ca="1" si="109"/>
        <v>#N/A</v>
      </c>
      <c r="AB986" s="63" t="e">
        <f t="shared" ca="1" si="110"/>
        <v>#N/A</v>
      </c>
      <c r="AC986" s="3" t="e">
        <f t="shared" ca="1" si="111"/>
        <v>#N/A</v>
      </c>
    </row>
    <row r="987" spans="8:29">
      <c r="H987" t="e">
        <f t="shared" ca="1" si="105"/>
        <v>#N/A</v>
      </c>
      <c r="I987" t="e">
        <f t="shared" ca="1" si="106"/>
        <v>#N/A</v>
      </c>
      <c r="J987" t="e">
        <f ca="1"/>
        <v>#N/A</v>
      </c>
      <c r="K987" t="e">
        <f ca="1"/>
        <v>#N/A</v>
      </c>
      <c r="L987" t="e">
        <f ca="1"/>
        <v>#N/A</v>
      </c>
      <c r="M987" t="e">
        <f ca="1"/>
        <v>#N/A</v>
      </c>
      <c r="N987" t="e">
        <f ca="1"/>
        <v>#N/A</v>
      </c>
      <c r="O987" t="e">
        <f ca="1"/>
        <v>#N/A</v>
      </c>
      <c r="P987" t="e">
        <f ca="1"/>
        <v>#N/A</v>
      </c>
      <c r="Q987" t="e">
        <f ca="1"/>
        <v>#N/A</v>
      </c>
      <c r="R987" t="e">
        <f ca="1"/>
        <v>#N/A</v>
      </c>
      <c r="S987" t="e">
        <f ca="1"/>
        <v>#N/A</v>
      </c>
      <c r="T987" t="e">
        <f ca="1"/>
        <v>#N/A</v>
      </c>
      <c r="U987" t="e">
        <f ca="1"/>
        <v>#N/A</v>
      </c>
      <c r="V987" t="e">
        <f ca="1"/>
        <v>#N/A</v>
      </c>
      <c r="X987" s="2">
        <f t="shared" ca="1" si="107"/>
        <v>0</v>
      </c>
      <c r="Y987">
        <f t="shared" ca="1" si="108"/>
        <v>0</v>
      </c>
      <c r="AA987" s="63" t="e">
        <f t="shared" ca="1" si="109"/>
        <v>#N/A</v>
      </c>
      <c r="AB987" s="63" t="e">
        <f t="shared" ca="1" si="110"/>
        <v>#N/A</v>
      </c>
      <c r="AC987" s="3" t="e">
        <f t="shared" ca="1" si="111"/>
        <v>#N/A</v>
      </c>
    </row>
    <row r="988" spans="8:29">
      <c r="H988" t="e">
        <f t="shared" ca="1" si="105"/>
        <v>#N/A</v>
      </c>
      <c r="I988" t="e">
        <f t="shared" ca="1" si="106"/>
        <v>#N/A</v>
      </c>
      <c r="J988" t="e">
        <f ca="1"/>
        <v>#N/A</v>
      </c>
      <c r="K988" t="e">
        <f ca="1"/>
        <v>#N/A</v>
      </c>
      <c r="L988" t="e">
        <f ca="1"/>
        <v>#N/A</v>
      </c>
      <c r="M988" t="e">
        <f ca="1"/>
        <v>#N/A</v>
      </c>
      <c r="N988" t="e">
        <f ca="1"/>
        <v>#N/A</v>
      </c>
      <c r="O988" t="e">
        <f ca="1"/>
        <v>#N/A</v>
      </c>
      <c r="P988" t="e">
        <f ca="1"/>
        <v>#N/A</v>
      </c>
      <c r="Q988" t="e">
        <f ca="1"/>
        <v>#N/A</v>
      </c>
      <c r="R988" t="e">
        <f ca="1"/>
        <v>#N/A</v>
      </c>
      <c r="S988" t="e">
        <f ca="1"/>
        <v>#N/A</v>
      </c>
      <c r="T988" t="e">
        <f ca="1"/>
        <v>#N/A</v>
      </c>
      <c r="U988" t="e">
        <f ca="1"/>
        <v>#N/A</v>
      </c>
      <c r="V988" t="e">
        <f ca="1"/>
        <v>#N/A</v>
      </c>
      <c r="X988" s="2">
        <f t="shared" ca="1" si="107"/>
        <v>0</v>
      </c>
      <c r="Y988">
        <f t="shared" ca="1" si="108"/>
        <v>0</v>
      </c>
      <c r="AA988" s="63" t="e">
        <f t="shared" ca="1" si="109"/>
        <v>#N/A</v>
      </c>
      <c r="AB988" s="63" t="e">
        <f t="shared" ca="1" si="110"/>
        <v>#N/A</v>
      </c>
      <c r="AC988" s="3" t="e">
        <f t="shared" ca="1" si="111"/>
        <v>#N/A</v>
      </c>
    </row>
    <row r="989" spans="8:29">
      <c r="H989" t="e">
        <f t="shared" ca="1" si="105"/>
        <v>#N/A</v>
      </c>
      <c r="I989" t="e">
        <f t="shared" ca="1" si="106"/>
        <v>#N/A</v>
      </c>
      <c r="J989" t="e">
        <f ca="1"/>
        <v>#N/A</v>
      </c>
      <c r="K989" t="e">
        <f ca="1"/>
        <v>#N/A</v>
      </c>
      <c r="L989" t="e">
        <f ca="1"/>
        <v>#N/A</v>
      </c>
      <c r="M989" t="e">
        <f ca="1"/>
        <v>#N/A</v>
      </c>
      <c r="N989" t="e">
        <f ca="1"/>
        <v>#N/A</v>
      </c>
      <c r="O989" t="e">
        <f ca="1"/>
        <v>#N/A</v>
      </c>
      <c r="P989" t="e">
        <f ca="1"/>
        <v>#N/A</v>
      </c>
      <c r="Q989" t="e">
        <f ca="1"/>
        <v>#N/A</v>
      </c>
      <c r="R989" t="e">
        <f ca="1"/>
        <v>#N/A</v>
      </c>
      <c r="S989" t="e">
        <f ca="1"/>
        <v>#N/A</v>
      </c>
      <c r="T989" t="e">
        <f ca="1"/>
        <v>#N/A</v>
      </c>
      <c r="U989" t="e">
        <f ca="1"/>
        <v>#N/A</v>
      </c>
      <c r="V989" t="e">
        <f ca="1"/>
        <v>#N/A</v>
      </c>
      <c r="X989" s="2">
        <f t="shared" ca="1" si="107"/>
        <v>0</v>
      </c>
      <c r="Y989">
        <f t="shared" ca="1" si="108"/>
        <v>0</v>
      </c>
      <c r="AA989" s="63" t="e">
        <f t="shared" ca="1" si="109"/>
        <v>#N/A</v>
      </c>
      <c r="AB989" s="63" t="e">
        <f t="shared" ca="1" si="110"/>
        <v>#N/A</v>
      </c>
      <c r="AC989" s="3" t="e">
        <f t="shared" ca="1" si="111"/>
        <v>#N/A</v>
      </c>
    </row>
    <row r="990" spans="8:29">
      <c r="H990" t="e">
        <f t="shared" ca="1" si="105"/>
        <v>#N/A</v>
      </c>
      <c r="I990" t="e">
        <f t="shared" ca="1" si="106"/>
        <v>#N/A</v>
      </c>
      <c r="J990" t="e">
        <f ca="1"/>
        <v>#N/A</v>
      </c>
      <c r="K990" t="e">
        <f ca="1"/>
        <v>#N/A</v>
      </c>
      <c r="L990" t="e">
        <f ca="1"/>
        <v>#N/A</v>
      </c>
      <c r="M990" t="e">
        <f ca="1"/>
        <v>#N/A</v>
      </c>
      <c r="N990" t="e">
        <f ca="1"/>
        <v>#N/A</v>
      </c>
      <c r="O990" t="e">
        <f ca="1"/>
        <v>#N/A</v>
      </c>
      <c r="P990" t="e">
        <f ca="1"/>
        <v>#N/A</v>
      </c>
      <c r="Q990" t="e">
        <f ca="1"/>
        <v>#N/A</v>
      </c>
      <c r="R990" t="e">
        <f ca="1"/>
        <v>#N/A</v>
      </c>
      <c r="S990" t="e">
        <f ca="1"/>
        <v>#N/A</v>
      </c>
      <c r="T990" t="e">
        <f ca="1"/>
        <v>#N/A</v>
      </c>
      <c r="U990" t="e">
        <f ca="1"/>
        <v>#N/A</v>
      </c>
      <c r="V990" t="e">
        <f ca="1"/>
        <v>#N/A</v>
      </c>
      <c r="X990" s="2">
        <f t="shared" ca="1" si="107"/>
        <v>0</v>
      </c>
      <c r="Y990">
        <f t="shared" ca="1" si="108"/>
        <v>0</v>
      </c>
      <c r="AA990" s="63" t="e">
        <f t="shared" ca="1" si="109"/>
        <v>#N/A</v>
      </c>
      <c r="AB990" s="63" t="e">
        <f t="shared" ca="1" si="110"/>
        <v>#N/A</v>
      </c>
      <c r="AC990" s="3" t="e">
        <f t="shared" ca="1" si="111"/>
        <v>#N/A</v>
      </c>
    </row>
    <row r="991" spans="8:29">
      <c r="H991" t="e">
        <f t="shared" ca="1" si="105"/>
        <v>#N/A</v>
      </c>
      <c r="I991" t="e">
        <f t="shared" ca="1" si="106"/>
        <v>#N/A</v>
      </c>
      <c r="J991" t="e">
        <f ca="1"/>
        <v>#N/A</v>
      </c>
      <c r="K991" t="e">
        <f ca="1"/>
        <v>#N/A</v>
      </c>
      <c r="L991" t="e">
        <f ca="1"/>
        <v>#N/A</v>
      </c>
      <c r="M991" t="e">
        <f ca="1"/>
        <v>#N/A</v>
      </c>
      <c r="N991" t="e">
        <f ca="1"/>
        <v>#N/A</v>
      </c>
      <c r="O991" t="e">
        <f ca="1"/>
        <v>#N/A</v>
      </c>
      <c r="P991" t="e">
        <f ca="1"/>
        <v>#N/A</v>
      </c>
      <c r="Q991" t="e">
        <f ca="1"/>
        <v>#N/A</v>
      </c>
      <c r="R991" t="e">
        <f ca="1"/>
        <v>#N/A</v>
      </c>
      <c r="S991" t="e">
        <f ca="1"/>
        <v>#N/A</v>
      </c>
      <c r="T991" t="e">
        <f ca="1"/>
        <v>#N/A</v>
      </c>
      <c r="U991" t="e">
        <f ca="1"/>
        <v>#N/A</v>
      </c>
      <c r="V991" t="e">
        <f ca="1"/>
        <v>#N/A</v>
      </c>
      <c r="X991" s="2">
        <f t="shared" ca="1" si="107"/>
        <v>0</v>
      </c>
      <c r="Y991">
        <f t="shared" ca="1" si="108"/>
        <v>0</v>
      </c>
      <c r="AA991" s="63" t="e">
        <f t="shared" ca="1" si="109"/>
        <v>#N/A</v>
      </c>
      <c r="AB991" s="63" t="e">
        <f t="shared" ca="1" si="110"/>
        <v>#N/A</v>
      </c>
      <c r="AC991" s="3" t="e">
        <f t="shared" ca="1" si="111"/>
        <v>#N/A</v>
      </c>
    </row>
    <row r="992" spans="8:29">
      <c r="H992" t="e">
        <f t="shared" ca="1" si="105"/>
        <v>#N/A</v>
      </c>
      <c r="I992" t="e">
        <f t="shared" ca="1" si="106"/>
        <v>#N/A</v>
      </c>
      <c r="J992" t="e">
        <f ca="1"/>
        <v>#N/A</v>
      </c>
      <c r="K992" t="e">
        <f ca="1"/>
        <v>#N/A</v>
      </c>
      <c r="L992" t="e">
        <f ca="1"/>
        <v>#N/A</v>
      </c>
      <c r="M992" t="e">
        <f ca="1"/>
        <v>#N/A</v>
      </c>
      <c r="N992" t="e">
        <f ca="1"/>
        <v>#N/A</v>
      </c>
      <c r="O992" t="e">
        <f ca="1"/>
        <v>#N/A</v>
      </c>
      <c r="P992" t="e">
        <f ca="1"/>
        <v>#N/A</v>
      </c>
      <c r="Q992" t="e">
        <f ca="1"/>
        <v>#N/A</v>
      </c>
      <c r="R992" t="e">
        <f ca="1"/>
        <v>#N/A</v>
      </c>
      <c r="S992" t="e">
        <f ca="1"/>
        <v>#N/A</v>
      </c>
      <c r="T992" t="e">
        <f ca="1"/>
        <v>#N/A</v>
      </c>
      <c r="U992" t="e">
        <f ca="1"/>
        <v>#N/A</v>
      </c>
      <c r="V992" t="e">
        <f ca="1"/>
        <v>#N/A</v>
      </c>
      <c r="X992" s="2">
        <f t="shared" ca="1" si="107"/>
        <v>0</v>
      </c>
      <c r="Y992">
        <f t="shared" ca="1" si="108"/>
        <v>0</v>
      </c>
      <c r="AA992" s="63" t="e">
        <f t="shared" ca="1" si="109"/>
        <v>#N/A</v>
      </c>
      <c r="AB992" s="63" t="e">
        <f t="shared" ca="1" si="110"/>
        <v>#N/A</v>
      </c>
      <c r="AC992" s="3" t="e">
        <f t="shared" ca="1" si="111"/>
        <v>#N/A</v>
      </c>
    </row>
    <row r="993" spans="8:29">
      <c r="H993" t="e">
        <f t="shared" ca="1" si="105"/>
        <v>#N/A</v>
      </c>
      <c r="I993" t="e">
        <f t="shared" ca="1" si="106"/>
        <v>#N/A</v>
      </c>
      <c r="J993" t="e">
        <f ca="1"/>
        <v>#N/A</v>
      </c>
      <c r="K993" t="e">
        <f ca="1"/>
        <v>#N/A</v>
      </c>
      <c r="L993" t="e">
        <f ca="1"/>
        <v>#N/A</v>
      </c>
      <c r="M993" t="e">
        <f ca="1"/>
        <v>#N/A</v>
      </c>
      <c r="N993" t="e">
        <f ca="1"/>
        <v>#N/A</v>
      </c>
      <c r="O993" t="e">
        <f ca="1"/>
        <v>#N/A</v>
      </c>
      <c r="P993" t="e">
        <f ca="1"/>
        <v>#N/A</v>
      </c>
      <c r="Q993" t="e">
        <f ca="1"/>
        <v>#N/A</v>
      </c>
      <c r="R993" t="e">
        <f ca="1"/>
        <v>#N/A</v>
      </c>
      <c r="S993" t="e">
        <f ca="1"/>
        <v>#N/A</v>
      </c>
      <c r="T993" t="e">
        <f ca="1"/>
        <v>#N/A</v>
      </c>
      <c r="U993" t="e">
        <f ca="1"/>
        <v>#N/A</v>
      </c>
      <c r="V993" t="e">
        <f ca="1"/>
        <v>#N/A</v>
      </c>
      <c r="X993" s="2">
        <f t="shared" ca="1" si="107"/>
        <v>0</v>
      </c>
      <c r="Y993">
        <f t="shared" ca="1" si="108"/>
        <v>0</v>
      </c>
      <c r="AA993" s="63" t="e">
        <f t="shared" ca="1" si="109"/>
        <v>#N/A</v>
      </c>
      <c r="AB993" s="63" t="e">
        <f t="shared" ca="1" si="110"/>
        <v>#N/A</v>
      </c>
      <c r="AC993" s="3" t="e">
        <f t="shared" ca="1" si="111"/>
        <v>#N/A</v>
      </c>
    </row>
    <row r="994" spans="8:29">
      <c r="H994" t="e">
        <f t="shared" ca="1" si="105"/>
        <v>#N/A</v>
      </c>
      <c r="I994" t="e">
        <f t="shared" ca="1" si="106"/>
        <v>#N/A</v>
      </c>
      <c r="J994" t="e">
        <f ca="1"/>
        <v>#N/A</v>
      </c>
      <c r="K994" t="e">
        <f ca="1"/>
        <v>#N/A</v>
      </c>
      <c r="L994" t="e">
        <f ca="1"/>
        <v>#N/A</v>
      </c>
      <c r="M994" t="e">
        <f ca="1"/>
        <v>#N/A</v>
      </c>
      <c r="N994" t="e">
        <f ca="1"/>
        <v>#N/A</v>
      </c>
      <c r="O994" t="e">
        <f ca="1"/>
        <v>#N/A</v>
      </c>
      <c r="P994" t="e">
        <f ca="1"/>
        <v>#N/A</v>
      </c>
      <c r="Q994" t="e">
        <f ca="1"/>
        <v>#N/A</v>
      </c>
      <c r="R994" t="e">
        <f ca="1"/>
        <v>#N/A</v>
      </c>
      <c r="S994" t="e">
        <f ca="1"/>
        <v>#N/A</v>
      </c>
      <c r="T994" t="e">
        <f ca="1"/>
        <v>#N/A</v>
      </c>
      <c r="U994" t="e">
        <f ca="1"/>
        <v>#N/A</v>
      </c>
      <c r="V994" t="e">
        <f ca="1"/>
        <v>#N/A</v>
      </c>
      <c r="X994" s="2">
        <f t="shared" ca="1" si="107"/>
        <v>0</v>
      </c>
      <c r="Y994">
        <f t="shared" ca="1" si="108"/>
        <v>0</v>
      </c>
      <c r="AA994" s="63" t="e">
        <f t="shared" ca="1" si="109"/>
        <v>#N/A</v>
      </c>
      <c r="AB994" s="63" t="e">
        <f t="shared" ca="1" si="110"/>
        <v>#N/A</v>
      </c>
      <c r="AC994" s="3" t="e">
        <f t="shared" ca="1" si="111"/>
        <v>#N/A</v>
      </c>
    </row>
    <row r="995" spans="8:29">
      <c r="H995" t="e">
        <f t="shared" ca="1" si="105"/>
        <v>#N/A</v>
      </c>
      <c r="I995" t="e">
        <f t="shared" ca="1" si="106"/>
        <v>#N/A</v>
      </c>
      <c r="J995" t="e">
        <f ca="1"/>
        <v>#N/A</v>
      </c>
      <c r="K995" t="e">
        <f ca="1"/>
        <v>#N/A</v>
      </c>
      <c r="L995" t="e">
        <f ca="1"/>
        <v>#N/A</v>
      </c>
      <c r="M995" t="e">
        <f ca="1"/>
        <v>#N/A</v>
      </c>
      <c r="N995" t="e">
        <f ca="1"/>
        <v>#N/A</v>
      </c>
      <c r="O995" t="e">
        <f ca="1"/>
        <v>#N/A</v>
      </c>
      <c r="P995" t="e">
        <f ca="1"/>
        <v>#N/A</v>
      </c>
      <c r="Q995" t="e">
        <f ca="1"/>
        <v>#N/A</v>
      </c>
      <c r="R995" t="e">
        <f ca="1"/>
        <v>#N/A</v>
      </c>
      <c r="S995" t="e">
        <f ca="1"/>
        <v>#N/A</v>
      </c>
      <c r="T995" t="e">
        <f ca="1"/>
        <v>#N/A</v>
      </c>
      <c r="U995" t="e">
        <f ca="1"/>
        <v>#N/A</v>
      </c>
      <c r="V995" t="e">
        <f ca="1"/>
        <v>#N/A</v>
      </c>
      <c r="X995" s="2">
        <f t="shared" ca="1" si="107"/>
        <v>0</v>
      </c>
      <c r="Y995">
        <f t="shared" ca="1" si="108"/>
        <v>0</v>
      </c>
      <c r="AA995" s="63" t="e">
        <f t="shared" ca="1" si="109"/>
        <v>#N/A</v>
      </c>
      <c r="AB995" s="63" t="e">
        <f t="shared" ca="1" si="110"/>
        <v>#N/A</v>
      </c>
      <c r="AC995" s="3" t="e">
        <f t="shared" ca="1" si="111"/>
        <v>#N/A</v>
      </c>
    </row>
    <row r="996" spans="8:29">
      <c r="H996" t="e">
        <f t="shared" ca="1" si="105"/>
        <v>#N/A</v>
      </c>
      <c r="I996" t="e">
        <f t="shared" ca="1" si="106"/>
        <v>#N/A</v>
      </c>
      <c r="J996" t="e">
        <f ca="1"/>
        <v>#N/A</v>
      </c>
      <c r="K996" t="e">
        <f ca="1"/>
        <v>#N/A</v>
      </c>
      <c r="L996" t="e">
        <f ca="1"/>
        <v>#N/A</v>
      </c>
      <c r="M996" t="e">
        <f ca="1"/>
        <v>#N/A</v>
      </c>
      <c r="N996" t="e">
        <f ca="1"/>
        <v>#N/A</v>
      </c>
      <c r="O996" t="e">
        <f ca="1"/>
        <v>#N/A</v>
      </c>
      <c r="P996" t="e">
        <f ca="1"/>
        <v>#N/A</v>
      </c>
      <c r="Q996" t="e">
        <f ca="1"/>
        <v>#N/A</v>
      </c>
      <c r="R996" t="e">
        <f ca="1"/>
        <v>#N/A</v>
      </c>
      <c r="S996" t="e">
        <f ca="1"/>
        <v>#N/A</v>
      </c>
      <c r="T996" t="e">
        <f ca="1"/>
        <v>#N/A</v>
      </c>
      <c r="U996" t="e">
        <f ca="1"/>
        <v>#N/A</v>
      </c>
      <c r="V996" t="e">
        <f ca="1"/>
        <v>#N/A</v>
      </c>
      <c r="X996" s="2">
        <f t="shared" ca="1" si="107"/>
        <v>0</v>
      </c>
      <c r="Y996">
        <f t="shared" ca="1" si="108"/>
        <v>0</v>
      </c>
      <c r="AA996" s="63" t="e">
        <f t="shared" ca="1" si="109"/>
        <v>#N/A</v>
      </c>
      <c r="AB996" s="63" t="e">
        <f t="shared" ca="1" si="110"/>
        <v>#N/A</v>
      </c>
      <c r="AC996" s="3" t="e">
        <f t="shared" ca="1" si="111"/>
        <v>#N/A</v>
      </c>
    </row>
    <row r="997" spans="8:29">
      <c r="H997" t="e">
        <f t="shared" ca="1" si="105"/>
        <v>#N/A</v>
      </c>
      <c r="I997" t="e">
        <f t="shared" ca="1" si="106"/>
        <v>#N/A</v>
      </c>
      <c r="J997" t="e">
        <f ca="1"/>
        <v>#N/A</v>
      </c>
      <c r="K997" t="e">
        <f ca="1"/>
        <v>#N/A</v>
      </c>
      <c r="L997" t="e">
        <f ca="1"/>
        <v>#N/A</v>
      </c>
      <c r="M997" t="e">
        <f ca="1"/>
        <v>#N/A</v>
      </c>
      <c r="N997" t="e">
        <f ca="1"/>
        <v>#N/A</v>
      </c>
      <c r="O997" t="e">
        <f ca="1"/>
        <v>#N/A</v>
      </c>
      <c r="P997" t="e">
        <f ca="1"/>
        <v>#N/A</v>
      </c>
      <c r="Q997" t="e">
        <f ca="1"/>
        <v>#N/A</v>
      </c>
      <c r="R997" t="e">
        <f ca="1"/>
        <v>#N/A</v>
      </c>
      <c r="S997" t="e">
        <f ca="1"/>
        <v>#N/A</v>
      </c>
      <c r="T997" t="e">
        <f ca="1"/>
        <v>#N/A</v>
      </c>
      <c r="U997" t="e">
        <f ca="1"/>
        <v>#N/A</v>
      </c>
      <c r="V997" t="e">
        <f ca="1"/>
        <v>#N/A</v>
      </c>
      <c r="X997" s="2">
        <f t="shared" ca="1" si="107"/>
        <v>0</v>
      </c>
      <c r="Y997">
        <f t="shared" ca="1" si="108"/>
        <v>0</v>
      </c>
      <c r="AA997" s="63" t="e">
        <f t="shared" ca="1" si="109"/>
        <v>#N/A</v>
      </c>
      <c r="AB997" s="63" t="e">
        <f t="shared" ca="1" si="110"/>
        <v>#N/A</v>
      </c>
      <c r="AC997" s="3" t="e">
        <f t="shared" ca="1" si="111"/>
        <v>#N/A</v>
      </c>
    </row>
    <row r="998" spans="8:29">
      <c r="H998" t="e">
        <f t="shared" ca="1" si="105"/>
        <v>#N/A</v>
      </c>
      <c r="I998" t="e">
        <f t="shared" ca="1" si="106"/>
        <v>#N/A</v>
      </c>
      <c r="J998" t="e">
        <f ca="1"/>
        <v>#N/A</v>
      </c>
      <c r="K998" t="e">
        <f ca="1"/>
        <v>#N/A</v>
      </c>
      <c r="L998" t="e">
        <f ca="1"/>
        <v>#N/A</v>
      </c>
      <c r="M998" t="e">
        <f ca="1"/>
        <v>#N/A</v>
      </c>
      <c r="N998" t="e">
        <f ca="1"/>
        <v>#N/A</v>
      </c>
      <c r="O998" t="e">
        <f ca="1"/>
        <v>#N/A</v>
      </c>
      <c r="P998" t="e">
        <f ca="1"/>
        <v>#N/A</v>
      </c>
      <c r="Q998" t="e">
        <f ca="1"/>
        <v>#N/A</v>
      </c>
      <c r="R998" t="e">
        <f ca="1"/>
        <v>#N/A</v>
      </c>
      <c r="S998" t="e">
        <f ca="1"/>
        <v>#N/A</v>
      </c>
      <c r="T998" t="e">
        <f ca="1"/>
        <v>#N/A</v>
      </c>
      <c r="U998" t="e">
        <f ca="1"/>
        <v>#N/A</v>
      </c>
      <c r="V998" t="e">
        <f ca="1"/>
        <v>#N/A</v>
      </c>
      <c r="X998" s="2">
        <f t="shared" ca="1" si="107"/>
        <v>0</v>
      </c>
      <c r="Y998">
        <f t="shared" ca="1" si="108"/>
        <v>0</v>
      </c>
      <c r="AA998" s="63" t="e">
        <f t="shared" ca="1" si="109"/>
        <v>#N/A</v>
      </c>
      <c r="AB998" s="63" t="e">
        <f t="shared" ca="1" si="110"/>
        <v>#N/A</v>
      </c>
      <c r="AC998" s="3" t="e">
        <f t="shared" ca="1" si="111"/>
        <v>#N/A</v>
      </c>
    </row>
    <row r="999" spans="8:29">
      <c r="H999" t="e">
        <f t="shared" ca="1" si="105"/>
        <v>#N/A</v>
      </c>
      <c r="I999" t="e">
        <f t="shared" ca="1" si="106"/>
        <v>#N/A</v>
      </c>
      <c r="J999" t="e">
        <f ca="1"/>
        <v>#N/A</v>
      </c>
      <c r="K999" t="e">
        <f ca="1"/>
        <v>#N/A</v>
      </c>
      <c r="L999" t="e">
        <f ca="1"/>
        <v>#N/A</v>
      </c>
      <c r="M999" t="e">
        <f ca="1"/>
        <v>#N/A</v>
      </c>
      <c r="N999" t="e">
        <f ca="1"/>
        <v>#N/A</v>
      </c>
      <c r="O999" t="e">
        <f ca="1"/>
        <v>#N/A</v>
      </c>
      <c r="P999" t="e">
        <f ca="1"/>
        <v>#N/A</v>
      </c>
      <c r="Q999" t="e">
        <f ca="1"/>
        <v>#N/A</v>
      </c>
      <c r="R999" t="e">
        <f ca="1"/>
        <v>#N/A</v>
      </c>
      <c r="S999" t="e">
        <f ca="1"/>
        <v>#N/A</v>
      </c>
      <c r="T999" t="e">
        <f ca="1"/>
        <v>#N/A</v>
      </c>
      <c r="U999" t="e">
        <f ca="1"/>
        <v>#N/A</v>
      </c>
      <c r="V999" t="e">
        <f ca="1"/>
        <v>#N/A</v>
      </c>
      <c r="X999" s="2">
        <f t="shared" ca="1" si="107"/>
        <v>0</v>
      </c>
      <c r="Y999">
        <f t="shared" ca="1" si="108"/>
        <v>0</v>
      </c>
      <c r="AA999" s="63" t="e">
        <f t="shared" ca="1" si="109"/>
        <v>#N/A</v>
      </c>
      <c r="AB999" s="63" t="e">
        <f t="shared" ca="1" si="110"/>
        <v>#N/A</v>
      </c>
      <c r="AC999" s="3" t="e">
        <f t="shared" ca="1" si="111"/>
        <v>#N/A</v>
      </c>
    </row>
    <row r="1000" spans="8:29">
      <c r="H1000" t="e">
        <f t="shared" ca="1" si="105"/>
        <v>#N/A</v>
      </c>
      <c r="I1000" t="e">
        <f t="shared" ca="1" si="106"/>
        <v>#N/A</v>
      </c>
      <c r="J1000" t="e">
        <f ca="1"/>
        <v>#N/A</v>
      </c>
      <c r="K1000" t="e">
        <f ca="1"/>
        <v>#N/A</v>
      </c>
      <c r="L1000" t="e">
        <f ca="1"/>
        <v>#N/A</v>
      </c>
      <c r="M1000" t="e">
        <f ca="1"/>
        <v>#N/A</v>
      </c>
      <c r="N1000" t="e">
        <f ca="1"/>
        <v>#N/A</v>
      </c>
      <c r="O1000" t="e">
        <f ca="1"/>
        <v>#N/A</v>
      </c>
      <c r="P1000" t="e">
        <f ca="1"/>
        <v>#N/A</v>
      </c>
      <c r="Q1000" t="e">
        <f ca="1"/>
        <v>#N/A</v>
      </c>
      <c r="R1000" t="e">
        <f ca="1"/>
        <v>#N/A</v>
      </c>
      <c r="S1000" t="e">
        <f ca="1"/>
        <v>#N/A</v>
      </c>
      <c r="T1000" t="e">
        <f ca="1"/>
        <v>#N/A</v>
      </c>
      <c r="U1000" t="e">
        <f ca="1"/>
        <v>#N/A</v>
      </c>
      <c r="V1000" t="e">
        <f ca="1"/>
        <v>#N/A</v>
      </c>
      <c r="X1000" s="2">
        <f t="shared" ca="1" si="107"/>
        <v>0</v>
      </c>
      <c r="Y1000">
        <f t="shared" ca="1" si="108"/>
        <v>0</v>
      </c>
      <c r="AA1000" s="63" t="e">
        <f t="shared" ca="1" si="109"/>
        <v>#N/A</v>
      </c>
      <c r="AB1000" s="63" t="e">
        <f t="shared" ca="1" si="110"/>
        <v>#N/A</v>
      </c>
      <c r="AC1000" s="3" t="e">
        <f t="shared" ca="1" si="111"/>
        <v>#N/A</v>
      </c>
    </row>
  </sheetData>
  <mergeCells count="2">
    <mergeCell ref="D12:E12"/>
    <mergeCell ref="A1:B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1431F-E1EC-4DD2-8B94-BF609778D009}">
  <sheetPr codeName="Sheet3"/>
  <dimension ref="A1:CU38"/>
  <sheetViews>
    <sheetView topLeftCell="AA1" workbookViewId="0">
      <selection activeCell="AR12" sqref="AR12"/>
    </sheetView>
  </sheetViews>
  <sheetFormatPr defaultRowHeight="14.4"/>
  <cols>
    <col min="1" max="1" width="15.109375" bestFit="1" customWidth="1"/>
    <col min="2" max="2" width="18.88671875" bestFit="1" customWidth="1"/>
    <col min="3" max="3" width="16.33203125" bestFit="1" customWidth="1"/>
    <col min="4" max="4" width="5.5546875" bestFit="1" customWidth="1"/>
    <col min="5" max="5" width="7.33203125" bestFit="1" customWidth="1"/>
    <col min="6" max="6" width="5.88671875" bestFit="1" customWidth="1"/>
    <col min="7" max="7" width="14" bestFit="1" customWidth="1"/>
    <col min="8" max="8" width="5.44140625" bestFit="1" customWidth="1"/>
    <col min="9" max="9" width="10.109375" bestFit="1" customWidth="1"/>
    <col min="10" max="10" width="7.33203125" bestFit="1" customWidth="1"/>
    <col min="11" max="11" width="11.33203125" bestFit="1" customWidth="1"/>
    <col min="12" max="12" width="15.5546875" bestFit="1" customWidth="1"/>
    <col min="20" max="20" width="13.88671875" bestFit="1" customWidth="1"/>
  </cols>
  <sheetData>
    <row r="1" spans="1:99">
      <c r="AS1" s="30" t="s">
        <v>41</v>
      </c>
      <c r="AT1" s="52" t="s">
        <v>40</v>
      </c>
      <c r="AU1" s="52" t="s">
        <v>52</v>
      </c>
      <c r="AV1" s="52" t="s">
        <v>93</v>
      </c>
      <c r="AW1" s="52" t="s">
        <v>76</v>
      </c>
      <c r="AX1" s="52" t="s">
        <v>75</v>
      </c>
      <c r="AY1" s="52" t="s">
        <v>74</v>
      </c>
      <c r="AZ1" s="52" t="s">
        <v>47</v>
      </c>
      <c r="BA1" s="52" t="s">
        <v>60</v>
      </c>
      <c r="BB1" s="52" t="s">
        <v>11</v>
      </c>
      <c r="BC1" s="52" t="s">
        <v>72</v>
      </c>
      <c r="BD1" s="52" t="s">
        <v>48</v>
      </c>
      <c r="BE1" s="52" t="s">
        <v>79</v>
      </c>
      <c r="BF1" s="52" t="s">
        <v>59</v>
      </c>
      <c r="BG1" s="52" t="s">
        <v>81</v>
      </c>
      <c r="BH1" s="52" t="s">
        <v>34</v>
      </c>
      <c r="BI1" s="52" t="s">
        <v>71</v>
      </c>
      <c r="BJ1" s="52" t="s">
        <v>31</v>
      </c>
      <c r="BK1" s="52" t="s">
        <v>37</v>
      </c>
      <c r="BL1" s="52" t="s">
        <v>87</v>
      </c>
      <c r="BM1" s="52" t="s">
        <v>66</v>
      </c>
      <c r="BN1" s="52" t="s">
        <v>50</v>
      </c>
      <c r="BO1" s="52" t="s">
        <v>6</v>
      </c>
      <c r="BP1" s="52" t="s">
        <v>51</v>
      </c>
      <c r="BQ1" s="52" t="s">
        <v>54</v>
      </c>
      <c r="BR1" s="52" t="s">
        <v>45</v>
      </c>
      <c r="BS1" s="52" t="s">
        <v>56</v>
      </c>
      <c r="BT1" s="52" t="s">
        <v>33</v>
      </c>
      <c r="BU1" s="52" t="s">
        <v>7</v>
      </c>
      <c r="BV1" s="52" t="s">
        <v>58</v>
      </c>
      <c r="BW1" s="52" t="s">
        <v>90</v>
      </c>
      <c r="BX1" s="52" t="s">
        <v>53</v>
      </c>
      <c r="BY1" s="52" t="s">
        <v>55</v>
      </c>
      <c r="BZ1" s="52" t="s">
        <v>85</v>
      </c>
      <c r="CA1" s="52" t="s">
        <v>62</v>
      </c>
      <c r="CB1" s="52" t="s">
        <v>36</v>
      </c>
      <c r="CC1" s="52" t="s">
        <v>57</v>
      </c>
      <c r="CD1" s="52" t="s">
        <v>83</v>
      </c>
      <c r="CE1" s="52" t="s">
        <v>42</v>
      </c>
      <c r="CF1" s="52" t="s">
        <v>61</v>
      </c>
      <c r="CG1" s="52" t="s">
        <v>73</v>
      </c>
      <c r="CH1" s="52" t="s">
        <v>92</v>
      </c>
      <c r="CI1" s="52" t="s">
        <v>70</v>
      </c>
      <c r="CJ1" s="52" t="s">
        <v>84</v>
      </c>
      <c r="CK1" s="52" t="s">
        <v>49</v>
      </c>
      <c r="CL1" s="52" t="s">
        <v>35</v>
      </c>
      <c r="CM1" s="52" t="s">
        <v>94</v>
      </c>
      <c r="CN1" s="52" t="s">
        <v>91</v>
      </c>
      <c r="CO1" s="52" t="s">
        <v>44</v>
      </c>
      <c r="CP1" s="52" t="s">
        <v>28</v>
      </c>
      <c r="CQ1" s="53" t="s">
        <v>38</v>
      </c>
      <c r="CR1" s="1" t="s">
        <v>43</v>
      </c>
      <c r="CS1" t="s">
        <v>257</v>
      </c>
      <c r="CT1" t="s">
        <v>258</v>
      </c>
      <c r="CU1" t="s">
        <v>259</v>
      </c>
    </row>
    <row r="2" spans="1:99">
      <c r="AS2" s="12" t="s">
        <v>29</v>
      </c>
      <c r="AT2" t="s">
        <v>29</v>
      </c>
      <c r="AU2" t="s">
        <v>29</v>
      </c>
      <c r="AV2" t="s">
        <v>29</v>
      </c>
      <c r="AW2" t="s">
        <v>77</v>
      </c>
      <c r="AX2" t="s">
        <v>29</v>
      </c>
      <c r="AY2" t="s">
        <v>29</v>
      </c>
      <c r="AZ2" t="s">
        <v>29</v>
      </c>
      <c r="BA2" t="s">
        <v>264</v>
      </c>
      <c r="BB2" t="s">
        <v>29</v>
      </c>
      <c r="BC2" t="s">
        <v>29</v>
      </c>
      <c r="BD2" t="s">
        <v>29</v>
      </c>
      <c r="BE2" t="s">
        <v>29</v>
      </c>
      <c r="BF2" t="s">
        <v>29</v>
      </c>
      <c r="BG2" t="s">
        <v>29</v>
      </c>
      <c r="BH2" t="s">
        <v>29</v>
      </c>
      <c r="BI2" t="s">
        <v>29</v>
      </c>
      <c r="BJ2" t="s">
        <v>29</v>
      </c>
      <c r="BK2" t="s">
        <v>29</v>
      </c>
      <c r="BL2" t="s">
        <v>29</v>
      </c>
      <c r="BM2" t="s">
        <v>29</v>
      </c>
      <c r="BN2" t="s">
        <v>29</v>
      </c>
      <c r="BO2" t="s">
        <v>88</v>
      </c>
      <c r="BP2" t="s">
        <v>29</v>
      </c>
      <c r="BQ2" t="s">
        <v>29</v>
      </c>
      <c r="BR2" t="s">
        <v>29</v>
      </c>
      <c r="BS2" t="s">
        <v>29</v>
      </c>
      <c r="BT2" t="s">
        <v>29</v>
      </c>
      <c r="BU2" t="s">
        <v>67</v>
      </c>
      <c r="BV2" t="s">
        <v>29</v>
      </c>
      <c r="BW2" t="s">
        <v>29</v>
      </c>
      <c r="BX2" t="s">
        <v>29</v>
      </c>
      <c r="BY2" t="s">
        <v>29</v>
      </c>
      <c r="BZ2" t="s">
        <v>29</v>
      </c>
      <c r="CA2" t="s">
        <v>63</v>
      </c>
      <c r="CB2" t="s">
        <v>29</v>
      </c>
      <c r="CC2" t="s">
        <v>29</v>
      </c>
      <c r="CD2" t="s">
        <v>29</v>
      </c>
      <c r="CE2" t="s">
        <v>29</v>
      </c>
      <c r="CF2" t="s">
        <v>29</v>
      </c>
      <c r="CG2" t="s">
        <v>29</v>
      </c>
      <c r="CH2" t="s">
        <v>29</v>
      </c>
      <c r="CI2" t="s">
        <v>29</v>
      </c>
      <c r="CJ2" t="s">
        <v>29</v>
      </c>
      <c r="CK2" t="s">
        <v>29</v>
      </c>
      <c r="CL2" t="s">
        <v>29</v>
      </c>
      <c r="CM2" t="s">
        <v>29</v>
      </c>
      <c r="CN2" t="s">
        <v>29</v>
      </c>
      <c r="CO2" t="s">
        <v>29</v>
      </c>
      <c r="CP2" t="s">
        <v>29</v>
      </c>
      <c r="CQ2" s="13" t="s">
        <v>27</v>
      </c>
      <c r="CR2" t="s">
        <v>263</v>
      </c>
      <c r="CS2" t="s">
        <v>256</v>
      </c>
      <c r="CT2" t="s">
        <v>256</v>
      </c>
      <c r="CU2" t="s">
        <v>256</v>
      </c>
    </row>
    <row r="3" spans="1:99">
      <c r="AS3" s="12"/>
      <c r="AW3" t="s">
        <v>78</v>
      </c>
      <c r="BA3" t="s">
        <v>260</v>
      </c>
      <c r="BO3" t="s">
        <v>89</v>
      </c>
      <c r="BU3" t="s">
        <v>68</v>
      </c>
      <c r="CQ3" s="13" t="s">
        <v>39</v>
      </c>
      <c r="CR3" t="s">
        <v>262</v>
      </c>
      <c r="CS3" t="s">
        <v>248</v>
      </c>
      <c r="CT3" t="s">
        <v>248</v>
      </c>
      <c r="CU3" t="s">
        <v>248</v>
      </c>
    </row>
    <row r="4" spans="1:99">
      <c r="AS4" s="12"/>
      <c r="BA4" t="s">
        <v>261</v>
      </c>
      <c r="BU4" t="s">
        <v>69</v>
      </c>
      <c r="CQ4" s="13"/>
      <c r="CR4" t="s">
        <v>29</v>
      </c>
      <c r="CS4" t="s">
        <v>249</v>
      </c>
      <c r="CT4" t="s">
        <v>249</v>
      </c>
      <c r="CU4" t="s">
        <v>249</v>
      </c>
    </row>
    <row r="5" spans="1:99" ht="15" thickBot="1">
      <c r="A5" s="14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AY5" s="25"/>
      <c r="AZ5" s="15"/>
      <c r="CS5" t="s">
        <v>250</v>
      </c>
      <c r="CT5" t="s">
        <v>250</v>
      </c>
      <c r="CU5" t="s">
        <v>250</v>
      </c>
    </row>
    <row r="6" spans="1:99" ht="15" thickBot="1">
      <c r="AI6" t="s">
        <v>217</v>
      </c>
      <c r="AJ6" t="s">
        <v>219</v>
      </c>
      <c r="AM6" s="116" t="s">
        <v>269</v>
      </c>
      <c r="AN6">
        <v>5</v>
      </c>
      <c r="CS6" t="s">
        <v>251</v>
      </c>
      <c r="CT6" t="s">
        <v>251</v>
      </c>
      <c r="CU6" t="s">
        <v>251</v>
      </c>
    </row>
    <row r="7" spans="1:99">
      <c r="A7" s="45" t="s">
        <v>27</v>
      </c>
      <c r="B7" s="46" t="s">
        <v>30</v>
      </c>
      <c r="C7" s="46" t="s">
        <v>32</v>
      </c>
      <c r="D7" s="46" t="s">
        <v>46</v>
      </c>
      <c r="E7" s="46" t="s">
        <v>222</v>
      </c>
      <c r="F7" s="46" t="s">
        <v>18</v>
      </c>
      <c r="G7" s="47" t="s">
        <v>65</v>
      </c>
      <c r="H7" s="119" t="s">
        <v>8</v>
      </c>
      <c r="J7" s="30" t="s">
        <v>102</v>
      </c>
      <c r="L7" s="44" t="s">
        <v>103</v>
      </c>
      <c r="N7" s="41" t="s">
        <v>161</v>
      </c>
      <c r="P7" s="41" t="s">
        <v>162</v>
      </c>
      <c r="R7" s="41" t="s">
        <v>1</v>
      </c>
      <c r="U7" s="41" t="s">
        <v>3</v>
      </c>
      <c r="X7" s="111" t="s">
        <v>188</v>
      </c>
      <c r="Z7" s="111" t="s">
        <v>204</v>
      </c>
      <c r="AA7">
        <v>1.7</v>
      </c>
      <c r="AC7" t="s">
        <v>207</v>
      </c>
      <c r="AE7" t="s">
        <v>265</v>
      </c>
      <c r="AF7">
        <v>2</v>
      </c>
      <c r="AH7" t="s">
        <v>212</v>
      </c>
      <c r="AI7">
        <v>0.7</v>
      </c>
      <c r="AJ7">
        <v>0.76</v>
      </c>
      <c r="AM7" s="114" t="s">
        <v>270</v>
      </c>
      <c r="AN7">
        <v>15</v>
      </c>
      <c r="AP7" t="s">
        <v>246</v>
      </c>
      <c r="AR7" t="s">
        <v>277</v>
      </c>
      <c r="CS7" t="s">
        <v>252</v>
      </c>
      <c r="CT7" t="s">
        <v>252</v>
      </c>
      <c r="CU7" t="s">
        <v>252</v>
      </c>
    </row>
    <row r="8" spans="1:99">
      <c r="A8" s="48" t="s">
        <v>28</v>
      </c>
      <c r="B8" s="49" t="s">
        <v>31</v>
      </c>
      <c r="C8" s="49" t="s">
        <v>41</v>
      </c>
      <c r="D8" s="49" t="s">
        <v>40</v>
      </c>
      <c r="E8" s="49" t="s">
        <v>54</v>
      </c>
      <c r="F8" s="49" t="s">
        <v>60</v>
      </c>
      <c r="G8" s="50" t="s">
        <v>52</v>
      </c>
      <c r="H8" t="s">
        <v>257</v>
      </c>
      <c r="J8" s="12" t="s">
        <v>18</v>
      </c>
      <c r="L8" s="42" t="s">
        <v>19</v>
      </c>
      <c r="N8" s="42" t="s">
        <v>160</v>
      </c>
      <c r="P8" s="42" t="s">
        <v>169</v>
      </c>
      <c r="R8" s="42" t="s">
        <v>2</v>
      </c>
      <c r="S8">
        <v>1000</v>
      </c>
      <c r="U8" s="42" t="s">
        <v>181</v>
      </c>
      <c r="V8">
        <v>1</v>
      </c>
      <c r="X8" s="42" t="s">
        <v>189</v>
      </c>
      <c r="Z8" s="42" t="s">
        <v>195</v>
      </c>
      <c r="AA8">
        <v>1.35</v>
      </c>
      <c r="AC8" t="s">
        <v>211</v>
      </c>
      <c r="AE8" t="s">
        <v>266</v>
      </c>
      <c r="AF8">
        <v>3</v>
      </c>
      <c r="AH8" t="s">
        <v>67</v>
      </c>
      <c r="AI8">
        <v>1.1499999999999999</v>
      </c>
      <c r="AJ8">
        <v>1.22</v>
      </c>
      <c r="AM8" s="114" t="s">
        <v>271</v>
      </c>
      <c r="AN8">
        <v>17</v>
      </c>
      <c r="AP8" t="s">
        <v>229</v>
      </c>
      <c r="AR8" t="s">
        <v>278</v>
      </c>
      <c r="CS8" t="s">
        <v>253</v>
      </c>
      <c r="CT8" t="s">
        <v>253</v>
      </c>
      <c r="CU8" t="s">
        <v>253</v>
      </c>
    </row>
    <row r="9" spans="1:99" ht="15" thickBot="1">
      <c r="A9" s="12"/>
      <c r="C9" s="49" t="s">
        <v>40</v>
      </c>
      <c r="D9" s="49" t="s">
        <v>52</v>
      </c>
      <c r="E9" s="49" t="s">
        <v>56</v>
      </c>
      <c r="F9" s="49" t="s">
        <v>59</v>
      </c>
      <c r="G9" s="50" t="s">
        <v>93</v>
      </c>
      <c r="H9" t="s">
        <v>258</v>
      </c>
      <c r="J9" s="14" t="s">
        <v>20</v>
      </c>
      <c r="L9" s="42" t="s">
        <v>21</v>
      </c>
      <c r="N9" s="42" t="s">
        <v>104</v>
      </c>
      <c r="P9" s="42" t="s">
        <v>171</v>
      </c>
      <c r="R9" s="42" t="s">
        <v>105</v>
      </c>
      <c r="S9">
        <v>1</v>
      </c>
      <c r="U9" s="42" t="s">
        <v>182</v>
      </c>
      <c r="V9">
        <v>2</v>
      </c>
      <c r="X9" s="42" t="s">
        <v>191</v>
      </c>
      <c r="Z9" s="42" t="s">
        <v>194</v>
      </c>
      <c r="AA9">
        <v>1</v>
      </c>
      <c r="AE9" t="s">
        <v>267</v>
      </c>
      <c r="AH9" t="s">
        <v>213</v>
      </c>
      <c r="AI9">
        <v>1.1499999999999999</v>
      </c>
      <c r="AJ9">
        <v>1.2</v>
      </c>
      <c r="AM9" s="114" t="s">
        <v>272</v>
      </c>
      <c r="AN9">
        <v>20</v>
      </c>
      <c r="AR9" t="s">
        <v>279</v>
      </c>
      <c r="CS9" t="s">
        <v>254</v>
      </c>
      <c r="CT9" t="s">
        <v>254</v>
      </c>
      <c r="CU9" t="s">
        <v>254</v>
      </c>
    </row>
    <row r="10" spans="1:99" ht="15" thickBot="1">
      <c r="A10" s="12"/>
      <c r="C10" s="49" t="s">
        <v>34</v>
      </c>
      <c r="D10" s="49" t="s">
        <v>47</v>
      </c>
      <c r="E10" s="49" t="s">
        <v>55</v>
      </c>
      <c r="F10" s="49" t="s">
        <v>58</v>
      </c>
      <c r="G10" s="50" t="s">
        <v>76</v>
      </c>
      <c r="H10" t="s">
        <v>259</v>
      </c>
      <c r="L10" s="42" t="s">
        <v>22</v>
      </c>
      <c r="N10" s="42" t="s">
        <v>106</v>
      </c>
      <c r="P10" s="43" t="s">
        <v>170</v>
      </c>
      <c r="R10" s="43" t="s">
        <v>16</v>
      </c>
      <c r="S10">
        <v>1</v>
      </c>
      <c r="U10" s="43" t="s">
        <v>183</v>
      </c>
      <c r="V10">
        <v>3</v>
      </c>
      <c r="X10" s="43" t="s">
        <v>190</v>
      </c>
      <c r="Z10" s="42" t="s">
        <v>196</v>
      </c>
      <c r="AA10">
        <v>0.65</v>
      </c>
      <c r="AE10" t="s">
        <v>268</v>
      </c>
      <c r="AH10" t="s">
        <v>214</v>
      </c>
      <c r="AI10">
        <v>0.8</v>
      </c>
      <c r="AJ10">
        <v>0.83</v>
      </c>
      <c r="AM10" s="114" t="s">
        <v>240</v>
      </c>
      <c r="AN10">
        <v>16</v>
      </c>
      <c r="AR10" t="s">
        <v>280</v>
      </c>
      <c r="CS10" t="s">
        <v>255</v>
      </c>
      <c r="CT10" t="s">
        <v>255</v>
      </c>
      <c r="CU10" t="s">
        <v>255</v>
      </c>
    </row>
    <row r="11" spans="1:99" ht="15" thickBot="1">
      <c r="A11" s="12"/>
      <c r="C11" s="49" t="s">
        <v>37</v>
      </c>
      <c r="D11" s="49" t="s">
        <v>48</v>
      </c>
      <c r="E11" s="49" t="s">
        <v>36</v>
      </c>
      <c r="F11" s="49" t="s">
        <v>62</v>
      </c>
      <c r="G11" s="50" t="s">
        <v>75</v>
      </c>
      <c r="L11" s="42" t="s">
        <v>23</v>
      </c>
      <c r="N11" s="42" t="s">
        <v>107</v>
      </c>
      <c r="Z11" s="43" t="s">
        <v>205</v>
      </c>
      <c r="AA11">
        <v>0.3</v>
      </c>
      <c r="AH11" t="s">
        <v>215</v>
      </c>
      <c r="AI11">
        <v>1.17</v>
      </c>
      <c r="AJ11">
        <v>1.24</v>
      </c>
      <c r="AM11" s="114" t="s">
        <v>241</v>
      </c>
      <c r="AN11">
        <v>32</v>
      </c>
      <c r="AR11" t="s">
        <v>281</v>
      </c>
    </row>
    <row r="12" spans="1:99">
      <c r="A12" s="12"/>
      <c r="C12" s="49" t="s">
        <v>45</v>
      </c>
      <c r="D12" s="49" t="s">
        <v>31</v>
      </c>
      <c r="E12" s="49" t="s">
        <v>38</v>
      </c>
      <c r="F12" s="49" t="s">
        <v>36</v>
      </c>
      <c r="G12" s="50" t="s">
        <v>74</v>
      </c>
      <c r="L12" s="42" t="s">
        <v>24</v>
      </c>
      <c r="N12" s="42" t="s">
        <v>148</v>
      </c>
      <c r="AH12" t="s">
        <v>216</v>
      </c>
      <c r="AI12">
        <v>1.1599999999999999</v>
      </c>
      <c r="AJ12">
        <v>1.19</v>
      </c>
      <c r="AM12" s="114" t="s">
        <v>273</v>
      </c>
      <c r="AN12">
        <v>35</v>
      </c>
    </row>
    <row r="13" spans="1:99" ht="15" thickBot="1">
      <c r="A13" s="12"/>
      <c r="C13" s="49" t="s">
        <v>33</v>
      </c>
      <c r="D13" s="49" t="s">
        <v>50</v>
      </c>
      <c r="F13" s="49" t="s">
        <v>57</v>
      </c>
      <c r="G13" s="50" t="s">
        <v>60</v>
      </c>
      <c r="L13" s="43" t="s">
        <v>108</v>
      </c>
      <c r="N13" s="43"/>
      <c r="AH13" t="s">
        <v>220</v>
      </c>
      <c r="AM13" s="114" t="s">
        <v>274</v>
      </c>
      <c r="AN13">
        <v>20</v>
      </c>
    </row>
    <row r="14" spans="1:99">
      <c r="A14" s="12"/>
      <c r="C14" s="49" t="s">
        <v>36</v>
      </c>
      <c r="D14" s="49" t="s">
        <v>51</v>
      </c>
      <c r="F14" s="49" t="s">
        <v>61</v>
      </c>
      <c r="G14" s="50" t="s">
        <v>11</v>
      </c>
      <c r="AM14" s="114" t="s">
        <v>275</v>
      </c>
      <c r="AN14">
        <v>18</v>
      </c>
    </row>
    <row r="15" spans="1:99">
      <c r="A15" s="12"/>
      <c r="C15" s="49" t="s">
        <v>42</v>
      </c>
      <c r="D15" s="49" t="s">
        <v>45</v>
      </c>
      <c r="F15" s="49" t="s">
        <v>64</v>
      </c>
      <c r="G15" s="50" t="s">
        <v>72</v>
      </c>
      <c r="AM15" s="114" t="s">
        <v>276</v>
      </c>
      <c r="AN15">
        <v>22</v>
      </c>
    </row>
    <row r="16" spans="1:99">
      <c r="A16" s="12"/>
      <c r="C16" s="49" t="s">
        <v>35</v>
      </c>
      <c r="D16" s="49" t="s">
        <v>33</v>
      </c>
      <c r="G16" s="50" t="s">
        <v>79</v>
      </c>
      <c r="AM16" s="114" t="s">
        <v>242</v>
      </c>
      <c r="AN16">
        <v>20</v>
      </c>
    </row>
    <row r="17" spans="1:40">
      <c r="A17" s="12"/>
      <c r="C17" s="49" t="s">
        <v>44</v>
      </c>
      <c r="D17" s="49" t="s">
        <v>53</v>
      </c>
      <c r="G17" s="50" t="s">
        <v>81</v>
      </c>
      <c r="AM17" s="114" t="s">
        <v>243</v>
      </c>
      <c r="AN17">
        <v>50</v>
      </c>
    </row>
    <row r="18" spans="1:40">
      <c r="A18" s="12"/>
      <c r="C18" s="49" t="s">
        <v>38</v>
      </c>
      <c r="D18" s="49" t="s">
        <v>49</v>
      </c>
      <c r="G18" s="50" t="s">
        <v>71</v>
      </c>
    </row>
    <row r="19" spans="1:40">
      <c r="A19" s="12"/>
      <c r="C19" s="49" t="s">
        <v>43</v>
      </c>
      <c r="D19" s="49" t="s">
        <v>43</v>
      </c>
      <c r="G19" s="50" t="s">
        <v>87</v>
      </c>
    </row>
    <row r="20" spans="1:40">
      <c r="A20" s="12"/>
      <c r="G20" s="50" t="s">
        <v>66</v>
      </c>
    </row>
    <row r="21" spans="1:40">
      <c r="A21" s="12"/>
      <c r="G21" s="50" t="s">
        <v>6</v>
      </c>
    </row>
    <row r="22" spans="1:40">
      <c r="A22" s="12"/>
      <c r="G22" s="50" t="s">
        <v>7</v>
      </c>
    </row>
    <row r="23" spans="1:40">
      <c r="A23" s="12"/>
      <c r="G23" s="50" t="s">
        <v>58</v>
      </c>
    </row>
    <row r="24" spans="1:40">
      <c r="A24" s="12"/>
      <c r="G24" s="50" t="s">
        <v>90</v>
      </c>
    </row>
    <row r="25" spans="1:40">
      <c r="A25" s="12"/>
      <c r="G25" s="50" t="s">
        <v>53</v>
      </c>
    </row>
    <row r="26" spans="1:40">
      <c r="A26" s="12"/>
      <c r="G26" s="50" t="s">
        <v>85</v>
      </c>
    </row>
    <row r="27" spans="1:40">
      <c r="A27" s="12"/>
      <c r="G27" s="50" t="s">
        <v>57</v>
      </c>
    </row>
    <row r="28" spans="1:40">
      <c r="A28" s="12"/>
      <c r="G28" s="50" t="s">
        <v>83</v>
      </c>
    </row>
    <row r="29" spans="1:40">
      <c r="A29" s="12"/>
      <c r="G29" s="50" t="s">
        <v>73</v>
      </c>
    </row>
    <row r="30" spans="1:40">
      <c r="A30" s="12"/>
      <c r="G30" s="50" t="s">
        <v>92</v>
      </c>
    </row>
    <row r="31" spans="1:40">
      <c r="A31" s="12"/>
      <c r="G31" s="50" t="s">
        <v>70</v>
      </c>
    </row>
    <row r="32" spans="1:40">
      <c r="A32" s="12"/>
      <c r="G32" s="50" t="s">
        <v>84</v>
      </c>
    </row>
    <row r="33" spans="1:7">
      <c r="A33" s="12"/>
      <c r="G33" s="50" t="s">
        <v>94</v>
      </c>
    </row>
    <row r="34" spans="1:7">
      <c r="A34" s="12"/>
      <c r="G34" s="50" t="s">
        <v>91</v>
      </c>
    </row>
    <row r="35" spans="1:7">
      <c r="A35" s="12"/>
      <c r="G35" s="50" t="s">
        <v>82</v>
      </c>
    </row>
    <row r="36" spans="1:7">
      <c r="A36" s="12"/>
      <c r="G36" s="50" t="s">
        <v>80</v>
      </c>
    </row>
    <row r="37" spans="1:7" ht="15" thickBot="1">
      <c r="A37" s="12"/>
      <c r="G37" s="51" t="s">
        <v>86</v>
      </c>
    </row>
    <row r="38" spans="1:7" ht="15" thickBot="1">
      <c r="A38" s="14"/>
      <c r="B38" s="25"/>
      <c r="C38" s="25"/>
      <c r="D38" s="25"/>
      <c r="E38" s="25"/>
      <c r="F38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97D6-ED1D-48D1-831B-D2769340664D}">
  <sheetPr codeName="Sheet4"/>
  <dimension ref="A1:AG141"/>
  <sheetViews>
    <sheetView workbookViewId="0">
      <pane xSplit="6" ySplit="1" topLeftCell="O44" activePane="bottomRight" state="frozen"/>
      <selection pane="topRight" activeCell="G1" sqref="G1"/>
      <selection pane="bottomLeft" activeCell="A2" sqref="A2"/>
      <selection pane="bottomRight" activeCell="F57" sqref="F1:F57"/>
    </sheetView>
  </sheetViews>
  <sheetFormatPr defaultRowHeight="14.4"/>
  <cols>
    <col min="1" max="1" width="31.6640625" bestFit="1" customWidth="1"/>
    <col min="11" max="11" width="16.33203125" customWidth="1"/>
    <col min="13" max="13" width="21" bestFit="1" customWidth="1"/>
    <col min="20" max="20" width="23.44140625" customWidth="1"/>
  </cols>
  <sheetData>
    <row r="1" spans="1:33">
      <c r="A1" t="str">
        <f t="array" ref="A1:AG141">_xll.GetCropCoefficients()</f>
        <v>UniqueName</v>
      </c>
      <c r="B1" t="str">
        <v>Index</v>
      </c>
      <c r="C1" t="str">
        <v>EndUse</v>
      </c>
      <c r="D1" t="str">
        <v>Group</v>
      </c>
      <c r="E1" t="str">
        <v>Colloquial Name</v>
      </c>
      <c r="F1" t="str">
        <v>Type</v>
      </c>
      <c r="G1" t="str">
        <v>Family</v>
      </c>
      <c r="H1" t="str">
        <v>Genus</v>
      </c>
      <c r="I1" t="str">
        <v>Specific epithet</v>
      </c>
      <c r="J1" t="str">
        <v>Sub species</v>
      </c>
      <c r="K1" t="str">
        <v>Species name</v>
      </c>
      <c r="L1" t="str">
        <v>Epithet and sub species</v>
      </c>
      <c r="M1" t="str">
        <v>Typical Establish Stage</v>
      </c>
      <c r="N1" t="str">
        <v>Typical Establish month</v>
      </c>
      <c r="O1" t="str">
        <v>Typical Harvest Stage</v>
      </c>
      <c r="P1" t="str">
        <v>Typical Harvest month</v>
      </c>
      <c r="Q1" t="str">
        <v>Typical Yield</v>
      </c>
      <c r="R1" t="str">
        <v>Typical Yield Units</v>
      </c>
      <c r="S1" t="str">
        <v>Yield type</v>
      </c>
      <c r="T1" t="str">
        <v>Typical Population (/ha)</v>
      </c>
      <c r="U1" t="str">
        <v>TotalOrDry</v>
      </c>
      <c r="V1" t="str">
        <v>Typical Dressing Loss %</v>
      </c>
      <c r="W1" t="str">
        <v>Typical Field Loss %</v>
      </c>
      <c r="X1" t="str">
        <v>Typical HI</v>
      </c>
      <c r="Y1" t="str">
        <v>HI Range</v>
      </c>
      <c r="Z1" t="str">
        <v>Moisture %</v>
      </c>
      <c r="AA1" t="str">
        <v>P Root</v>
      </c>
      <c r="AB1" t="str">
        <v>Max RD</v>
      </c>
      <c r="AC1" t="str">
        <v>A cover</v>
      </c>
      <c r="AD1" t="str">
        <v>rCover</v>
      </c>
      <c r="AE1" t="str">
        <v>Root [N]</v>
      </c>
      <c r="AF1" t="str">
        <v>Stover [N]</v>
      </c>
      <c r="AG1" t="str">
        <v>Product [N]</v>
      </c>
    </row>
    <row r="2" spans="1:33">
      <c r="A2">
        <v>0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</row>
    <row r="3" spans="1:33">
      <c r="A3" t="str">
        <v>Fodder beet Fodder General</v>
      </c>
      <c r="B3">
        <v>1</v>
      </c>
      <c r="C3" t="str">
        <v>Fodder</v>
      </c>
      <c r="D3" t="str">
        <v>Bulb</v>
      </c>
      <c r="E3" t="str">
        <v>Fodder beet</v>
      </c>
      <c r="F3" t="str">
        <v>General</v>
      </c>
      <c r="G3" t="str">
        <v>Amaranthaceae</v>
      </c>
      <c r="H3" t="str">
        <v>Beta</v>
      </c>
      <c r="I3" t="str">
        <v>vulgaris</v>
      </c>
      <c r="J3" t="str">
        <v>crassa</v>
      </c>
      <c r="K3" t="str">
        <v>Beta vulgaris crassa</v>
      </c>
      <c r="L3" t="str">
        <v>vulgaris crassa</v>
      </c>
      <c r="M3" t="str">
        <v>Seed</v>
      </c>
      <c r="N3" t="str">
        <v>Nov</v>
      </c>
      <c r="O3" t="str">
        <v>EarlyReproductive</v>
      </c>
      <c r="P3" t="str">
        <v>Jul</v>
      </c>
      <c r="Q3">
        <v>20</v>
      </c>
      <c r="R3" t="str">
        <v>t/ha</v>
      </c>
      <c r="S3" t="str">
        <v>Standing DM</v>
      </c>
      <c r="T3">
        <v>1</v>
      </c>
      <c r="U3" t="str">
        <v>Dry</v>
      </c>
      <c r="V3">
        <v>0</v>
      </c>
      <c r="W3">
        <v>0</v>
      </c>
      <c r="X3">
        <v>0.88950002193450928</v>
      </c>
      <c r="Y3">
        <v>-0.11050000041723251</v>
      </c>
      <c r="Z3">
        <v>0</v>
      </c>
      <c r="AA3">
        <v>0.10000000149011612</v>
      </c>
      <c r="AB3">
        <v>1.5</v>
      </c>
      <c r="AC3">
        <v>1</v>
      </c>
      <c r="AD3">
        <v>1</v>
      </c>
      <c r="AE3">
        <v>0.80000001192092896</v>
      </c>
      <c r="AF3">
        <v>1.5</v>
      </c>
      <c r="AG3">
        <v>1</v>
      </c>
    </row>
    <row r="4" spans="1:33">
      <c r="A4" t="str">
        <v>Swede Fodder General</v>
      </c>
      <c r="B4">
        <v>2</v>
      </c>
      <c r="C4" t="str">
        <v>Fodder</v>
      </c>
      <c r="D4" t="str">
        <v>Bulb</v>
      </c>
      <c r="E4" t="str">
        <v>Swede</v>
      </c>
      <c r="F4" t="str">
        <v>General</v>
      </c>
      <c r="G4" t="str">
        <v>Brassicaceae</v>
      </c>
      <c r="H4" t="str">
        <v>Brassica</v>
      </c>
      <c r="I4" t="str">
        <v>napus</v>
      </c>
      <c r="J4" t="str">
        <v>napobrassica</v>
      </c>
      <c r="K4" t="str">
        <v>Brassica napus napobrassica</v>
      </c>
      <c r="L4" t="str">
        <v>napus napobrassica</v>
      </c>
      <c r="M4" t="str">
        <v>Seed</v>
      </c>
      <c r="N4" t="str">
        <v>Nov</v>
      </c>
      <c r="O4" t="str">
        <v>LateReproductive</v>
      </c>
      <c r="P4" t="str">
        <v>Jul</v>
      </c>
      <c r="Q4">
        <v>12</v>
      </c>
      <c r="R4" t="str">
        <v>t/ha</v>
      </c>
      <c r="S4" t="str">
        <v>Standing DM</v>
      </c>
      <c r="T4">
        <v>1</v>
      </c>
      <c r="U4" t="str">
        <v>Dry</v>
      </c>
      <c r="V4">
        <v>0</v>
      </c>
      <c r="W4">
        <v>0</v>
      </c>
      <c r="X4">
        <v>0.83399999141693115</v>
      </c>
      <c r="Y4">
        <v>-0.15600000321865082</v>
      </c>
      <c r="Z4">
        <v>0</v>
      </c>
      <c r="AA4">
        <v>0.10000000149011612</v>
      </c>
      <c r="AB4">
        <v>1.2000000476837158</v>
      </c>
      <c r="AC4">
        <v>1</v>
      </c>
      <c r="AD4">
        <v>2</v>
      </c>
      <c r="AE4">
        <v>0.80000001192092896</v>
      </c>
      <c r="AF4">
        <v>0.60000002384185791</v>
      </c>
      <c r="AG4">
        <v>2.5</v>
      </c>
    </row>
    <row r="5" spans="1:33">
      <c r="A5" t="str">
        <v>Turnip Fodder Bulb</v>
      </c>
      <c r="B5">
        <v>5</v>
      </c>
      <c r="C5" t="str">
        <v>Fodder</v>
      </c>
      <c r="D5" t="str">
        <v>Bulb</v>
      </c>
      <c r="E5" t="str">
        <v>Turnip</v>
      </c>
      <c r="F5" t="str">
        <v>Bulb</v>
      </c>
      <c r="G5" t="str">
        <v>Brassicaceae</v>
      </c>
      <c r="H5" t="str">
        <v>Brassica</v>
      </c>
      <c r="I5" t="str">
        <v>rapa</v>
      </c>
      <c r="J5" t="str">
        <v>rapa</v>
      </c>
      <c r="K5" t="str">
        <v>Brassica rapa rapa</v>
      </c>
      <c r="L5" t="str">
        <v>rapa rapa</v>
      </c>
      <c r="M5" t="str">
        <v>Seed</v>
      </c>
      <c r="N5" t="str">
        <v>Dec</v>
      </c>
      <c r="O5" t="str">
        <v>EarlyReproductive</v>
      </c>
      <c r="P5" t="str">
        <v>Jul</v>
      </c>
      <c r="Q5">
        <v>8</v>
      </c>
      <c r="R5" t="str">
        <v>t/ha</v>
      </c>
      <c r="S5" t="str">
        <v>Standing DM</v>
      </c>
      <c r="T5">
        <v>1</v>
      </c>
      <c r="U5" t="str">
        <v>Dry</v>
      </c>
      <c r="V5">
        <v>0</v>
      </c>
      <c r="W5">
        <v>0</v>
      </c>
      <c r="X5">
        <v>0.87199997901916504</v>
      </c>
      <c r="Y5">
        <v>-0.12800000607967377</v>
      </c>
      <c r="Z5">
        <v>0</v>
      </c>
      <c r="AA5">
        <v>0.10000000149011612</v>
      </c>
      <c r="AB5">
        <v>1.2000000476837158</v>
      </c>
      <c r="AC5">
        <v>1</v>
      </c>
      <c r="AD5">
        <v>2</v>
      </c>
      <c r="AE5">
        <v>0.80000001192092896</v>
      </c>
      <c r="AF5">
        <v>0.60000002384185791</v>
      </c>
      <c r="AG5">
        <v>2.5</v>
      </c>
    </row>
    <row r="6" spans="1:33">
      <c r="A6" t="str">
        <v>Oat Fodder General</v>
      </c>
      <c r="B6">
        <v>0</v>
      </c>
      <c r="C6" t="str">
        <v>Fodder</v>
      </c>
      <c r="D6" t="str">
        <v>Cereal</v>
      </c>
      <c r="E6" t="str">
        <v>Oat</v>
      </c>
      <c r="F6" t="str">
        <v>General</v>
      </c>
      <c r="G6" t="str">
        <v>Poaceae</v>
      </c>
      <c r="H6" t="str">
        <v>Avena</v>
      </c>
      <c r="I6" t="str">
        <v>sativa</v>
      </c>
      <c r="J6" t="str">
        <v/>
      </c>
      <c r="K6" t="str">
        <v>Avena sativa</v>
      </c>
      <c r="L6" t="str">
        <v>sativa</v>
      </c>
      <c r="M6" t="str">
        <v>Seed</v>
      </c>
      <c r="N6" t="str">
        <v>Jul</v>
      </c>
      <c r="O6" t="str">
        <v>EarlyReproductive</v>
      </c>
      <c r="P6" t="str">
        <v>Nov</v>
      </c>
      <c r="Q6">
        <v>10</v>
      </c>
      <c r="R6" t="str">
        <v>t/ha</v>
      </c>
      <c r="S6" t="str">
        <v>Standing DM</v>
      </c>
      <c r="T6">
        <v>1</v>
      </c>
      <c r="U6" t="str">
        <v>Dry</v>
      </c>
      <c r="V6">
        <v>0</v>
      </c>
      <c r="W6">
        <v>0</v>
      </c>
      <c r="X6">
        <v>0.94999998807907104</v>
      </c>
      <c r="Y6">
        <v>0</v>
      </c>
      <c r="Z6">
        <v>0</v>
      </c>
      <c r="AA6">
        <v>0.10000000149011612</v>
      </c>
      <c r="AB6">
        <v>1.5</v>
      </c>
      <c r="AC6">
        <v>1</v>
      </c>
      <c r="AD6">
        <v>1</v>
      </c>
      <c r="AE6">
        <v>0.89999997615814209</v>
      </c>
      <c r="AF6">
        <v>0.5</v>
      </c>
      <c r="AG6">
        <v>1.2999999523162842</v>
      </c>
    </row>
    <row r="7" spans="1:33">
      <c r="A7" t="str">
        <v>Barley Fodder General</v>
      </c>
      <c r="B7">
        <v>7</v>
      </c>
      <c r="C7" t="str">
        <v>Fodder</v>
      </c>
      <c r="D7" t="str">
        <v>Cereal</v>
      </c>
      <c r="E7" t="str">
        <v>Barley</v>
      </c>
      <c r="F7" t="str">
        <v>General</v>
      </c>
      <c r="G7" t="str">
        <v>Poaceae</v>
      </c>
      <c r="H7" t="str">
        <v>Hordeum</v>
      </c>
      <c r="I7" t="str">
        <v>vulgure</v>
      </c>
      <c r="J7" t="str">
        <v/>
      </c>
      <c r="K7" t="str">
        <v>Hordeum vulgure</v>
      </c>
      <c r="L7" t="str">
        <v>vulgure</v>
      </c>
      <c r="M7" t="str">
        <v>Seed</v>
      </c>
      <c r="N7" t="str">
        <v>Jul</v>
      </c>
      <c r="O7" t="str">
        <v>EarlyReproductive</v>
      </c>
      <c r="P7" t="str">
        <v>Nov</v>
      </c>
      <c r="Q7">
        <v>8</v>
      </c>
      <c r="R7" t="str">
        <v>t/ha</v>
      </c>
      <c r="S7" t="str">
        <v>Standing DM</v>
      </c>
      <c r="T7">
        <v>1</v>
      </c>
      <c r="U7" t="str">
        <v>Dry</v>
      </c>
      <c r="V7">
        <v>0</v>
      </c>
      <c r="W7">
        <v>0</v>
      </c>
      <c r="X7">
        <v>0.94999998807907104</v>
      </c>
      <c r="Y7">
        <v>0</v>
      </c>
      <c r="Z7">
        <v>0</v>
      </c>
      <c r="AA7">
        <v>0.10000000149011612</v>
      </c>
      <c r="AB7">
        <v>1.2000000476837158</v>
      </c>
      <c r="AC7">
        <v>1</v>
      </c>
      <c r="AD7">
        <v>1</v>
      </c>
      <c r="AE7">
        <v>0.89999997615814209</v>
      </c>
      <c r="AF7">
        <v>0.5</v>
      </c>
      <c r="AG7">
        <v>1.2999999523162842</v>
      </c>
    </row>
    <row r="8" spans="1:33">
      <c r="A8" t="str">
        <v>Rye corn Fodder General</v>
      </c>
      <c r="B8">
        <v>9</v>
      </c>
      <c r="C8" t="str">
        <v>Fodder</v>
      </c>
      <c r="D8" t="str">
        <v>Cereal</v>
      </c>
      <c r="E8" t="str">
        <v>Rye corn</v>
      </c>
      <c r="F8" t="str">
        <v>General</v>
      </c>
      <c r="G8" t="str">
        <v>Poaceae</v>
      </c>
      <c r="H8" t="str">
        <v>Secale</v>
      </c>
      <c r="I8" t="str">
        <v>cereale</v>
      </c>
      <c r="J8" t="str">
        <v/>
      </c>
      <c r="K8" t="str">
        <v>Secale cereale</v>
      </c>
      <c r="L8" t="str">
        <v>cereale</v>
      </c>
      <c r="M8" t="str">
        <v>Seed</v>
      </c>
      <c r="N8" t="str">
        <v>Feb</v>
      </c>
      <c r="O8" t="str">
        <v>EarlyReproductive</v>
      </c>
      <c r="P8" t="str">
        <v>Sep</v>
      </c>
      <c r="Q8">
        <v>8</v>
      </c>
      <c r="R8" t="str">
        <v>t/ha</v>
      </c>
      <c r="S8" t="str">
        <v>Standing DM</v>
      </c>
      <c r="T8">
        <v>1</v>
      </c>
      <c r="U8" t="str">
        <v>Dry</v>
      </c>
      <c r="V8">
        <v>0</v>
      </c>
      <c r="W8">
        <v>0</v>
      </c>
      <c r="X8">
        <v>0.94999998807907104</v>
      </c>
      <c r="Y8">
        <v>0</v>
      </c>
      <c r="Z8">
        <v>0</v>
      </c>
      <c r="AA8">
        <v>0.10000000149011612</v>
      </c>
      <c r="AB8">
        <v>1.5</v>
      </c>
      <c r="AC8">
        <v>1</v>
      </c>
      <c r="AD8">
        <v>1</v>
      </c>
      <c r="AE8">
        <v>0.89999997615814209</v>
      </c>
      <c r="AF8">
        <v>0.5</v>
      </c>
      <c r="AG8">
        <v>1.2999999523162842</v>
      </c>
    </row>
    <row r="9" spans="1:33">
      <c r="A9" t="str">
        <v>Wheat Fodder General</v>
      </c>
      <c r="B9">
        <v>10</v>
      </c>
      <c r="C9" t="str">
        <v>Fodder</v>
      </c>
      <c r="D9" t="str">
        <v>Cereal</v>
      </c>
      <c r="E9" t="str">
        <v>Wheat</v>
      </c>
      <c r="F9" t="str">
        <v>General</v>
      </c>
      <c r="G9" t="str">
        <v>Poaceae</v>
      </c>
      <c r="H9" t="str">
        <v>Triticum</v>
      </c>
      <c r="I9" t="str">
        <v>astevium</v>
      </c>
      <c r="J9" t="str">
        <v/>
      </c>
      <c r="K9" t="str">
        <v>Triticum astevium</v>
      </c>
      <c r="L9" t="str">
        <v>astevium</v>
      </c>
      <c r="M9" t="str">
        <v>Seed</v>
      </c>
      <c r="N9" t="str">
        <v>Jul</v>
      </c>
      <c r="O9" t="str">
        <v>EarlyReproductive</v>
      </c>
      <c r="P9" t="str">
        <v>Nov</v>
      </c>
      <c r="Q9">
        <v>8</v>
      </c>
      <c r="R9" t="str">
        <v>t/ha</v>
      </c>
      <c r="S9" t="str">
        <v>Standing DM</v>
      </c>
      <c r="T9">
        <v>1</v>
      </c>
      <c r="U9" t="str">
        <v>Dry</v>
      </c>
      <c r="V9">
        <v>0</v>
      </c>
      <c r="W9">
        <v>0</v>
      </c>
      <c r="X9">
        <v>0.94999998807907104</v>
      </c>
      <c r="Y9">
        <v>0</v>
      </c>
      <c r="Z9">
        <v>0</v>
      </c>
      <c r="AA9">
        <v>0.10000000149011612</v>
      </c>
      <c r="AB9">
        <v>1.5</v>
      </c>
      <c r="AC9">
        <v>1</v>
      </c>
      <c r="AD9">
        <v>1</v>
      </c>
      <c r="AE9">
        <v>0.89999997615814209</v>
      </c>
      <c r="AF9">
        <v>0.5</v>
      </c>
      <c r="AG9">
        <v>1.2999999523162842</v>
      </c>
    </row>
    <row r="10" spans="1:33">
      <c r="A10" t="str">
        <v>Triticale Fodder General</v>
      </c>
      <c r="B10">
        <v>11</v>
      </c>
      <c r="C10" t="str">
        <v>Fodder</v>
      </c>
      <c r="D10" t="str">
        <v>Cereal</v>
      </c>
      <c r="E10" t="str">
        <v>Triticale</v>
      </c>
      <c r="F10" t="str">
        <v>General</v>
      </c>
      <c r="G10" t="str">
        <v>Poaceae</v>
      </c>
      <c r="H10" t="str">
        <v>Triticum x Secale</v>
      </c>
      <c r="I10" t="str">
        <v/>
      </c>
      <c r="J10" t="str">
        <v/>
      </c>
      <c r="K10" t="str">
        <v>Triticum x Secale</v>
      </c>
      <c r="L10" t="str">
        <v/>
      </c>
      <c r="M10" t="str">
        <v>Seed</v>
      </c>
      <c r="N10" t="str">
        <v>Jul</v>
      </c>
      <c r="O10" t="str">
        <v>EarlyReproductive</v>
      </c>
      <c r="P10" t="str">
        <v>Nov</v>
      </c>
      <c r="Q10">
        <v>12</v>
      </c>
      <c r="R10" t="str">
        <v>t/ha</v>
      </c>
      <c r="S10" t="str">
        <v>Standing DM</v>
      </c>
      <c r="T10">
        <v>1</v>
      </c>
      <c r="U10" t="str">
        <v>Dry</v>
      </c>
      <c r="V10">
        <v>0</v>
      </c>
      <c r="W10">
        <v>0</v>
      </c>
      <c r="X10">
        <v>0.94999998807907104</v>
      </c>
      <c r="Y10">
        <v>0</v>
      </c>
      <c r="Z10">
        <v>0</v>
      </c>
      <c r="AA10">
        <v>0.10000000149011612</v>
      </c>
      <c r="AB10">
        <v>1.5</v>
      </c>
      <c r="AC10">
        <v>1</v>
      </c>
      <c r="AD10">
        <v>1</v>
      </c>
      <c r="AE10">
        <v>0.89999997615814209</v>
      </c>
      <c r="AF10">
        <v>0.5</v>
      </c>
      <c r="AG10">
        <v>1.2999999523162842</v>
      </c>
    </row>
    <row r="11" spans="1:33">
      <c r="A11" t="str">
        <v>Maize Fodder General</v>
      </c>
      <c r="B11">
        <v>12</v>
      </c>
      <c r="C11" t="str">
        <v>Fodder</v>
      </c>
      <c r="D11" t="str">
        <v>Cereal</v>
      </c>
      <c r="E11" t="str">
        <v>Maize</v>
      </c>
      <c r="F11" t="str">
        <v>General</v>
      </c>
      <c r="G11" t="str">
        <v>Poaceae</v>
      </c>
      <c r="H11" t="str">
        <v>Zea</v>
      </c>
      <c r="I11" t="str">
        <v>mays</v>
      </c>
      <c r="J11" t="str">
        <v/>
      </c>
      <c r="K11" t="str">
        <v>Zea mays</v>
      </c>
      <c r="L11" t="str">
        <v>mays</v>
      </c>
      <c r="M11" t="str">
        <v>Seed</v>
      </c>
      <c r="N11" t="str">
        <v>Nov</v>
      </c>
      <c r="O11" t="str">
        <v>EarlyReproductive</v>
      </c>
      <c r="P11" t="str">
        <v>Feb</v>
      </c>
      <c r="Q11">
        <v>17.5</v>
      </c>
      <c r="R11" t="str">
        <v>t/ha</v>
      </c>
      <c r="S11" t="str">
        <v>Standing DM</v>
      </c>
      <c r="T11">
        <v>1</v>
      </c>
      <c r="U11" t="str">
        <v>Dry</v>
      </c>
      <c r="V11">
        <v>0</v>
      </c>
      <c r="W11">
        <v>0</v>
      </c>
      <c r="X11">
        <v>0.94999998807907104</v>
      </c>
      <c r="Y11">
        <v>0</v>
      </c>
      <c r="Z11">
        <v>0</v>
      </c>
      <c r="AA11">
        <v>0.10000000149011612</v>
      </c>
      <c r="AB11">
        <v>1.5</v>
      </c>
      <c r="AC11">
        <v>0.85000002384185791</v>
      </c>
      <c r="AD11">
        <v>1</v>
      </c>
      <c r="AE11">
        <v>0.89999997615814209</v>
      </c>
      <c r="AF11">
        <v>0.69999998807907104</v>
      </c>
      <c r="AG11">
        <v>1.3999999761581421</v>
      </c>
    </row>
    <row r="12" spans="1:33">
      <c r="A12" t="str">
        <v>Annual ryegrass Fodder General</v>
      </c>
      <c r="B12">
        <v>8</v>
      </c>
      <c r="C12" t="str">
        <v>Fodder</v>
      </c>
      <c r="D12" t="str">
        <v>Grass</v>
      </c>
      <c r="E12" t="str">
        <v>Annual ryegrass</v>
      </c>
      <c r="F12" t="str">
        <v>General</v>
      </c>
      <c r="G12" t="str">
        <v>Poaceae</v>
      </c>
      <c r="H12" t="str">
        <v>Lolium</v>
      </c>
      <c r="I12" t="str">
        <v>multiflorum</v>
      </c>
      <c r="J12" t="str">
        <v/>
      </c>
      <c r="K12" t="str">
        <v>Lolium multiflorum</v>
      </c>
      <c r="L12" t="str">
        <v>multiflorum</v>
      </c>
      <c r="M12" t="str">
        <v>Seed</v>
      </c>
      <c r="N12" t="str">
        <v>Apr</v>
      </c>
      <c r="O12" t="str">
        <v>EarlyReproductive</v>
      </c>
      <c r="P12" t="str">
        <v>Dec</v>
      </c>
      <c r="Q12">
        <v>5</v>
      </c>
      <c r="R12" t="str">
        <v>t/ha</v>
      </c>
      <c r="S12" t="str">
        <v>Standing DM</v>
      </c>
      <c r="T12">
        <v>1</v>
      </c>
      <c r="U12" t="str">
        <v>Dry</v>
      </c>
      <c r="V12">
        <v>0</v>
      </c>
      <c r="W12">
        <v>0</v>
      </c>
      <c r="X12">
        <v>0.94999998807907104</v>
      </c>
      <c r="Y12">
        <v>0</v>
      </c>
      <c r="Z12">
        <v>0</v>
      </c>
      <c r="AA12">
        <v>0.10000000149011612</v>
      </c>
      <c r="AB12">
        <v>0.89999997615814209</v>
      </c>
      <c r="AC12">
        <v>1</v>
      </c>
      <c r="AD12">
        <v>1.5</v>
      </c>
      <c r="AE12">
        <v>0.89999997615814209</v>
      </c>
      <c r="AF12">
        <v>1.8999999761581421</v>
      </c>
      <c r="AG12">
        <v>2.5</v>
      </c>
    </row>
    <row r="13" spans="1:33">
      <c r="A13" t="str">
        <v>Rape Fodder General</v>
      </c>
      <c r="B13">
        <v>3</v>
      </c>
      <c r="C13" t="str">
        <v>Fodder</v>
      </c>
      <c r="D13" t="str">
        <v>Leafy brassica</v>
      </c>
      <c r="E13" t="str">
        <v>Rape</v>
      </c>
      <c r="F13" t="str">
        <v>General</v>
      </c>
      <c r="G13" t="str">
        <v>Brassicaceae</v>
      </c>
      <c r="H13" t="str">
        <v>Brassica</v>
      </c>
      <c r="I13" t="str">
        <v>napus</v>
      </c>
      <c r="J13" t="str">
        <v>napus</v>
      </c>
      <c r="K13" t="str">
        <v>Brassica napus napus</v>
      </c>
      <c r="L13" t="str">
        <v>napus napus</v>
      </c>
      <c r="M13" t="str">
        <v>Seed</v>
      </c>
      <c r="N13" t="str">
        <v>Oct</v>
      </c>
      <c r="O13" t="str">
        <v>EarlyReproductive</v>
      </c>
      <c r="P13" t="str">
        <v>Jan</v>
      </c>
      <c r="Q13">
        <v>6</v>
      </c>
      <c r="R13" t="str">
        <v>t/ha</v>
      </c>
      <c r="S13" t="str">
        <v>Standing DM</v>
      </c>
      <c r="T13">
        <v>1</v>
      </c>
      <c r="U13" t="str">
        <v>Dry</v>
      </c>
      <c r="V13">
        <v>0</v>
      </c>
      <c r="W13">
        <v>0</v>
      </c>
      <c r="X13">
        <v>0.77799999713897705</v>
      </c>
      <c r="Y13">
        <v>-0.12200000137090683</v>
      </c>
      <c r="Z13">
        <v>0</v>
      </c>
      <c r="AA13">
        <v>0.10000000149011612</v>
      </c>
      <c r="AB13">
        <v>1.2000000476837158</v>
      </c>
      <c r="AC13">
        <v>1</v>
      </c>
      <c r="AD13">
        <v>2</v>
      </c>
      <c r="AE13">
        <v>0.80000001192092896</v>
      </c>
      <c r="AF13">
        <v>1</v>
      </c>
      <c r="AG13">
        <v>2.5</v>
      </c>
    </row>
    <row r="14" spans="1:33">
      <c r="A14" t="str">
        <v>Kale Fodder General</v>
      </c>
      <c r="B14">
        <v>4</v>
      </c>
      <c r="C14" t="str">
        <v>Fodder</v>
      </c>
      <c r="D14" t="str">
        <v>Leafy brassica</v>
      </c>
      <c r="E14" t="str">
        <v>Kale</v>
      </c>
      <c r="F14" t="str">
        <v>General</v>
      </c>
      <c r="G14" t="str">
        <v>Brassicaceae</v>
      </c>
      <c r="H14" t="str">
        <v>Brassica</v>
      </c>
      <c r="I14" t="str">
        <v>oleracea</v>
      </c>
      <c r="J14" t="str">
        <v>acephala</v>
      </c>
      <c r="K14" t="str">
        <v>Brassica oleracea acephala</v>
      </c>
      <c r="L14" t="str">
        <v>oleracea acephala</v>
      </c>
      <c r="M14" t="str">
        <v>Seed</v>
      </c>
      <c r="N14" t="str">
        <v>Oct</v>
      </c>
      <c r="O14" t="str">
        <v>LateReproductive</v>
      </c>
      <c r="P14" t="str">
        <v>Jul</v>
      </c>
      <c r="Q14">
        <v>16</v>
      </c>
      <c r="R14" t="str">
        <v>t/ha</v>
      </c>
      <c r="S14" t="str">
        <v>Standing DM</v>
      </c>
      <c r="T14">
        <v>1</v>
      </c>
      <c r="U14" t="str">
        <v>Dry</v>
      </c>
      <c r="V14">
        <v>0</v>
      </c>
      <c r="W14">
        <v>0</v>
      </c>
      <c r="X14">
        <v>0.57999998331069946</v>
      </c>
      <c r="Y14">
        <v>-0.2199999988079071</v>
      </c>
      <c r="Z14">
        <v>0</v>
      </c>
      <c r="AA14">
        <v>0.10000000149011612</v>
      </c>
      <c r="AB14">
        <v>1.2000000476837158</v>
      </c>
      <c r="AC14">
        <v>1</v>
      </c>
      <c r="AD14">
        <v>2</v>
      </c>
      <c r="AE14">
        <v>0.80000001192092896</v>
      </c>
      <c r="AF14">
        <v>1</v>
      </c>
      <c r="AG14">
        <v>2.5</v>
      </c>
    </row>
    <row r="15" spans="1:33">
      <c r="A15" t="str">
        <v>Turnip Fodder Leafy</v>
      </c>
      <c r="B15">
        <v>6</v>
      </c>
      <c r="C15" t="str">
        <v>Fodder</v>
      </c>
      <c r="D15" t="str">
        <v>Leafy brassica</v>
      </c>
      <c r="E15" t="str">
        <v>Turnip</v>
      </c>
      <c r="F15" t="str">
        <v>Leafy</v>
      </c>
      <c r="G15" t="str">
        <v>Brassicaceae</v>
      </c>
      <c r="H15" t="str">
        <v>Brassica</v>
      </c>
      <c r="I15" t="str">
        <v>rapa x napus</v>
      </c>
      <c r="J15" t="str">
        <v/>
      </c>
      <c r="K15" t="str">
        <v>Brassica rapa x napus</v>
      </c>
      <c r="L15" t="str">
        <v>rapa x napus</v>
      </c>
      <c r="M15" t="str">
        <v>Seed</v>
      </c>
      <c r="N15" t="str">
        <v>Oct</v>
      </c>
      <c r="O15" t="str">
        <v>Vegetative</v>
      </c>
      <c r="P15" t="str">
        <v>Mar</v>
      </c>
      <c r="Q15">
        <v>6</v>
      </c>
      <c r="R15" t="str">
        <v>t/ha</v>
      </c>
      <c r="S15" t="str">
        <v>Standing DM</v>
      </c>
      <c r="T15">
        <v>1</v>
      </c>
      <c r="U15" t="str">
        <v>Dry</v>
      </c>
      <c r="V15">
        <v>0</v>
      </c>
      <c r="W15">
        <v>0</v>
      </c>
      <c r="X15">
        <v>0.49000000953674316</v>
      </c>
      <c r="Y15">
        <v>-0.20999999344348907</v>
      </c>
      <c r="Z15">
        <v>0</v>
      </c>
      <c r="AA15">
        <v>0.10000000149011612</v>
      </c>
      <c r="AB15">
        <v>1.2000000476837158</v>
      </c>
      <c r="AC15">
        <v>1</v>
      </c>
      <c r="AD15">
        <v>2</v>
      </c>
      <c r="AE15">
        <v>0.80000001192092896</v>
      </c>
      <c r="AF15">
        <v>1.5</v>
      </c>
      <c r="AG15">
        <v>3.5</v>
      </c>
    </row>
    <row r="16" spans="1:33">
      <c r="A16" t="str">
        <v>Oat Grain General</v>
      </c>
      <c r="B16">
        <v>13</v>
      </c>
      <c r="C16" t="str">
        <v>Grain</v>
      </c>
      <c r="D16" t="str">
        <v>Cereal</v>
      </c>
      <c r="E16" t="str">
        <v>Oat</v>
      </c>
      <c r="F16" t="str">
        <v>General</v>
      </c>
      <c r="G16" t="str">
        <v>Poaceae</v>
      </c>
      <c r="H16" t="str">
        <v>Avena</v>
      </c>
      <c r="I16" t="str">
        <v>sativa</v>
      </c>
      <c r="J16" t="str">
        <v/>
      </c>
      <c r="K16" t="str">
        <v>Avena sativa</v>
      </c>
      <c r="L16" t="str">
        <v>sativa</v>
      </c>
      <c r="M16" t="str">
        <v>Seed</v>
      </c>
      <c r="N16" t="str">
        <v>May</v>
      </c>
      <c r="O16" t="str">
        <v>Maturity</v>
      </c>
      <c r="P16" t="str">
        <v>Feb</v>
      </c>
      <c r="Q16">
        <v>8</v>
      </c>
      <c r="R16" t="str">
        <v>t/ha</v>
      </c>
      <c r="S16" t="str">
        <v>Saleable grain</v>
      </c>
      <c r="T16">
        <v>1</v>
      </c>
      <c r="U16" t="str">
        <v>Total</v>
      </c>
      <c r="V16">
        <v>0</v>
      </c>
      <c r="W16">
        <v>0</v>
      </c>
      <c r="X16">
        <v>0.40000000596046448</v>
      </c>
      <c r="Y16">
        <v>0.10000000149011612</v>
      </c>
      <c r="Z16">
        <v>13</v>
      </c>
      <c r="AA16">
        <v>0.10000000149011612</v>
      </c>
      <c r="AB16">
        <v>1.5</v>
      </c>
      <c r="AC16">
        <v>1</v>
      </c>
      <c r="AD16">
        <v>1</v>
      </c>
      <c r="AE16">
        <v>0.89999997615814209</v>
      </c>
      <c r="AF16">
        <v>0.5</v>
      </c>
      <c r="AG16">
        <v>1.2999999523162842</v>
      </c>
    </row>
    <row r="17" spans="1:33">
      <c r="A17" t="str">
        <v>Sunflower Grain General</v>
      </c>
      <c r="B17">
        <v>17</v>
      </c>
      <c r="C17" t="str">
        <v>Grain</v>
      </c>
      <c r="D17" t="str">
        <v>Cereal</v>
      </c>
      <c r="E17" t="str">
        <v>Sunflower</v>
      </c>
      <c r="F17" t="str">
        <v>General</v>
      </c>
      <c r="G17" t="str">
        <v>Asteraceae</v>
      </c>
      <c r="H17" t="str">
        <v>Helianthus</v>
      </c>
      <c r="I17" t="str">
        <v>annus</v>
      </c>
      <c r="J17" t="str">
        <v/>
      </c>
      <c r="K17" t="str">
        <v>Helianthus annus</v>
      </c>
      <c r="L17" t="str">
        <v>annus</v>
      </c>
      <c r="M17" t="str">
        <v>Seed</v>
      </c>
      <c r="N17" t="str">
        <v>Oct</v>
      </c>
      <c r="O17" t="str">
        <v>Maturity</v>
      </c>
      <c r="P17" t="str">
        <v>Mar</v>
      </c>
      <c r="Q17">
        <v>3</v>
      </c>
      <c r="R17" t="str">
        <v>t/ha</v>
      </c>
      <c r="S17" t="str">
        <v>Saleable grain</v>
      </c>
      <c r="T17">
        <v>1</v>
      </c>
      <c r="U17" t="str">
        <v>Total</v>
      </c>
      <c r="V17">
        <v>0</v>
      </c>
      <c r="W17">
        <v>0</v>
      </c>
      <c r="X17">
        <v>0.30000001192092896</v>
      </c>
      <c r="Y17">
        <v>0.10000000149011612</v>
      </c>
      <c r="Z17">
        <v>8</v>
      </c>
      <c r="AA17">
        <v>0.10000000149011612</v>
      </c>
      <c r="AB17">
        <v>1.5</v>
      </c>
      <c r="AC17">
        <v>1</v>
      </c>
      <c r="AD17">
        <v>1</v>
      </c>
      <c r="AE17">
        <v>0.89999997615814209</v>
      </c>
      <c r="AF17">
        <v>1.2999999523162842</v>
      </c>
      <c r="AG17">
        <v>2.4000000953674316</v>
      </c>
    </row>
    <row r="18" spans="1:33">
      <c r="A18" t="str">
        <v>Barley Grain General</v>
      </c>
      <c r="B18">
        <v>18</v>
      </c>
      <c r="C18" t="str">
        <v>Grain</v>
      </c>
      <c r="D18" t="str">
        <v>Cereal</v>
      </c>
      <c r="E18" t="str">
        <v>Barley</v>
      </c>
      <c r="F18" t="str">
        <v>General</v>
      </c>
      <c r="G18" t="str">
        <v>Poaceae</v>
      </c>
      <c r="H18" t="str">
        <v>Hordeum</v>
      </c>
      <c r="I18" t="str">
        <v>vulgure</v>
      </c>
      <c r="J18" t="str">
        <v/>
      </c>
      <c r="K18" t="str">
        <v>Hordeum vulgure</v>
      </c>
      <c r="L18" t="str">
        <v>vulgure</v>
      </c>
      <c r="M18" t="str">
        <v>Seed</v>
      </c>
      <c r="N18" t="str">
        <v>Sep</v>
      </c>
      <c r="O18" t="str">
        <v>Maturity</v>
      </c>
      <c r="P18" t="str">
        <v>Feb</v>
      </c>
      <c r="Q18">
        <v>10</v>
      </c>
      <c r="R18" t="str">
        <v>t/ha</v>
      </c>
      <c r="S18" t="str">
        <v>Saleable grain</v>
      </c>
      <c r="T18">
        <v>1</v>
      </c>
      <c r="U18" t="str">
        <v>Total</v>
      </c>
      <c r="V18">
        <v>0</v>
      </c>
      <c r="W18">
        <v>0</v>
      </c>
      <c r="X18">
        <v>0.46299999952316284</v>
      </c>
      <c r="Y18">
        <v>0.10000000149011612</v>
      </c>
      <c r="Z18">
        <v>13</v>
      </c>
      <c r="AA18">
        <v>0.10000000149011612</v>
      </c>
      <c r="AB18">
        <v>1.2000000476837158</v>
      </c>
      <c r="AC18">
        <v>1</v>
      </c>
      <c r="AD18">
        <v>1</v>
      </c>
      <c r="AE18">
        <v>0.89999997615814209</v>
      </c>
      <c r="AF18">
        <v>0.5</v>
      </c>
      <c r="AG18">
        <v>1.2000000476837158</v>
      </c>
    </row>
    <row r="19" spans="1:33">
      <c r="A19" t="str">
        <v>Wheat Grain Breed</v>
      </c>
      <c r="B19">
        <v>23</v>
      </c>
      <c r="C19" t="str">
        <v>Grain</v>
      </c>
      <c r="D19" t="str">
        <v>Cereal</v>
      </c>
      <c r="E19" t="str">
        <v>Wheat</v>
      </c>
      <c r="F19" t="str">
        <v>Bread</v>
      </c>
      <c r="G19" t="str">
        <v>Poaceae</v>
      </c>
      <c r="H19" t="str">
        <v>Triticum</v>
      </c>
      <c r="I19" t="str">
        <v>astevium</v>
      </c>
      <c r="J19" t="str">
        <v/>
      </c>
      <c r="K19" t="str">
        <v>Triticum astevium</v>
      </c>
      <c r="L19" t="str">
        <v>astevium</v>
      </c>
      <c r="M19" t="str">
        <v>Seed</v>
      </c>
      <c r="N19" t="str">
        <v>Apr</v>
      </c>
      <c r="O19" t="str">
        <v>Maturity</v>
      </c>
      <c r="P19" t="str">
        <v>Feb</v>
      </c>
      <c r="Q19">
        <v>10</v>
      </c>
      <c r="R19" t="str">
        <v>t/ha</v>
      </c>
      <c r="S19" t="str">
        <v>Saleable grain</v>
      </c>
      <c r="T19">
        <v>1</v>
      </c>
      <c r="U19" t="str">
        <v>Total</v>
      </c>
      <c r="V19">
        <v>0</v>
      </c>
      <c r="W19">
        <v>0</v>
      </c>
      <c r="X19">
        <v>0.41170001029968262</v>
      </c>
      <c r="Y19">
        <v>0.10000000149011612</v>
      </c>
      <c r="Z19">
        <v>13</v>
      </c>
      <c r="AA19">
        <v>0.10000000149011612</v>
      </c>
      <c r="AB19">
        <v>1.5</v>
      </c>
      <c r="AC19">
        <v>1</v>
      </c>
      <c r="AD19">
        <v>1</v>
      </c>
      <c r="AE19">
        <v>0.89999997615814209</v>
      </c>
      <c r="AF19">
        <v>0.5</v>
      </c>
      <c r="AG19">
        <v>1.5</v>
      </c>
    </row>
    <row r="20" spans="1:33">
      <c r="A20" t="str">
        <v>Wheat Grain Feed</v>
      </c>
      <c r="B20">
        <v>24</v>
      </c>
      <c r="C20" t="str">
        <v>Grain</v>
      </c>
      <c r="D20" t="str">
        <v>Cereal</v>
      </c>
      <c r="E20" t="str">
        <v>Wheat</v>
      </c>
      <c r="F20" t="str">
        <v>Feed</v>
      </c>
      <c r="G20" t="str">
        <v>Poaceae</v>
      </c>
      <c r="H20" t="str">
        <v>Triticum</v>
      </c>
      <c r="I20" t="str">
        <v>astevium</v>
      </c>
      <c r="J20" t="str">
        <v/>
      </c>
      <c r="K20" t="str">
        <v>Triticum astevium</v>
      </c>
      <c r="L20" t="str">
        <v>astevium</v>
      </c>
      <c r="M20" t="str">
        <v>Seed</v>
      </c>
      <c r="N20" t="str">
        <v>Apr</v>
      </c>
      <c r="O20" t="str">
        <v>Maturity</v>
      </c>
      <c r="P20" t="str">
        <v>Feb</v>
      </c>
      <c r="Q20">
        <v>12</v>
      </c>
      <c r="R20" t="str">
        <v>t/ha</v>
      </c>
      <c r="S20" t="str">
        <v>Saleable grain</v>
      </c>
      <c r="T20">
        <v>1</v>
      </c>
      <c r="U20" t="str">
        <v>Total</v>
      </c>
      <c r="V20">
        <v>0</v>
      </c>
      <c r="W20">
        <v>0</v>
      </c>
      <c r="X20">
        <v>0.41170001029968262</v>
      </c>
      <c r="Y20">
        <v>0.10000000149011612</v>
      </c>
      <c r="Z20">
        <v>13</v>
      </c>
      <c r="AA20">
        <v>0.10000000149011612</v>
      </c>
      <c r="AB20">
        <v>1.5</v>
      </c>
      <c r="AC20">
        <v>1</v>
      </c>
      <c r="AD20">
        <v>1</v>
      </c>
      <c r="AE20">
        <v>0.89999997615814209</v>
      </c>
      <c r="AF20">
        <v>0.5</v>
      </c>
      <c r="AG20">
        <v>1.2000000476837158</v>
      </c>
    </row>
    <row r="21" spans="1:33">
      <c r="A21" t="str">
        <v>Maize Grain General</v>
      </c>
      <c r="B21">
        <v>25</v>
      </c>
      <c r="C21" t="str">
        <v>Grain</v>
      </c>
      <c r="D21" t="str">
        <v>Cereal</v>
      </c>
      <c r="E21" t="str">
        <v>Maize</v>
      </c>
      <c r="F21" t="str">
        <v>General</v>
      </c>
      <c r="G21" t="str">
        <v>Poaceae</v>
      </c>
      <c r="H21" t="str">
        <v>Zea</v>
      </c>
      <c r="I21" t="str">
        <v>mays</v>
      </c>
      <c r="J21" t="str">
        <v/>
      </c>
      <c r="K21" t="str">
        <v>Zea mays</v>
      </c>
      <c r="L21" t="str">
        <v>mays</v>
      </c>
      <c r="M21" t="str">
        <v>Seed</v>
      </c>
      <c r="N21" t="str">
        <v>Oct</v>
      </c>
      <c r="O21" t="str">
        <v>Maturity</v>
      </c>
      <c r="P21" t="str">
        <v>Apr</v>
      </c>
      <c r="Q21">
        <v>13.300000190734863</v>
      </c>
      <c r="R21" t="str">
        <v>t/ha</v>
      </c>
      <c r="S21" t="str">
        <v>Saleable grain</v>
      </c>
      <c r="T21">
        <v>1</v>
      </c>
      <c r="U21" t="str">
        <v>Total</v>
      </c>
      <c r="V21">
        <v>0</v>
      </c>
      <c r="W21">
        <v>0</v>
      </c>
      <c r="X21">
        <v>0.5</v>
      </c>
      <c r="Y21">
        <v>0</v>
      </c>
      <c r="Z21">
        <v>13</v>
      </c>
      <c r="AA21">
        <v>0.10000000149011612</v>
      </c>
      <c r="AB21">
        <v>1.5</v>
      </c>
      <c r="AC21">
        <v>0.85000002384185791</v>
      </c>
      <c r="AD21">
        <v>1</v>
      </c>
      <c r="AE21">
        <v>0.89999997615814209</v>
      </c>
      <c r="AF21">
        <v>0.69999998807907104</v>
      </c>
      <c r="AG21">
        <v>1.3999999761581421</v>
      </c>
    </row>
    <row r="22" spans="1:33">
      <c r="A22" t="str">
        <v>Canola Grain General</v>
      </c>
      <c r="B22">
        <v>14</v>
      </c>
      <c r="C22" t="str">
        <v>Grain</v>
      </c>
      <c r="D22" t="str">
        <v>Oilseed</v>
      </c>
      <c r="E22" t="str">
        <v>Canola</v>
      </c>
      <c r="F22" t="str">
        <v>General</v>
      </c>
      <c r="G22" t="str">
        <v>Brassicaceae</v>
      </c>
      <c r="H22" t="str">
        <v>Brassica</v>
      </c>
      <c r="I22" t="str">
        <v>napus</v>
      </c>
      <c r="J22" t="str">
        <v>napus</v>
      </c>
      <c r="K22" t="str">
        <v>Brassica napus napus</v>
      </c>
      <c r="L22" t="str">
        <v>napus napus</v>
      </c>
      <c r="M22" t="str">
        <v>Seed</v>
      </c>
      <c r="N22" t="str">
        <v>Apr</v>
      </c>
      <c r="O22" t="str">
        <v>LateReproductive</v>
      </c>
      <c r="P22" t="str">
        <v>Jan</v>
      </c>
      <c r="Q22">
        <v>4</v>
      </c>
      <c r="R22" t="str">
        <v>t/ha</v>
      </c>
      <c r="S22" t="str">
        <v>Saleable grain</v>
      </c>
      <c r="T22">
        <v>1</v>
      </c>
      <c r="U22" t="str">
        <v>Total</v>
      </c>
      <c r="V22">
        <v>0</v>
      </c>
      <c r="W22">
        <v>0</v>
      </c>
      <c r="X22">
        <v>0.27000001072883606</v>
      </c>
      <c r="Y22">
        <v>1.3000000268220901E-2</v>
      </c>
      <c r="Z22">
        <v>9</v>
      </c>
      <c r="AA22">
        <v>0.10000000149011612</v>
      </c>
      <c r="AB22">
        <v>1.2000000476837158</v>
      </c>
      <c r="AC22">
        <v>1</v>
      </c>
      <c r="AD22">
        <v>2</v>
      </c>
      <c r="AE22">
        <v>0.80000001192092896</v>
      </c>
      <c r="AF22">
        <v>1.1499999761581421</v>
      </c>
      <c r="AG22">
        <v>3.2200000286102295</v>
      </c>
    </row>
    <row r="23" spans="1:33">
      <c r="A23" t="str">
        <v>Hemp Grain General</v>
      </c>
      <c r="B23">
        <v>15</v>
      </c>
      <c r="C23" t="str">
        <v>Grain</v>
      </c>
      <c r="D23" t="str">
        <v>Oilseed</v>
      </c>
      <c r="E23" t="str">
        <v>Hemp</v>
      </c>
      <c r="F23" t="str">
        <v>General</v>
      </c>
      <c r="G23" t="str">
        <v>Cannabaceae</v>
      </c>
      <c r="H23" t="str">
        <v>Cannabis</v>
      </c>
      <c r="I23" t="str">
        <v>x</v>
      </c>
      <c r="J23" t="str">
        <v/>
      </c>
      <c r="K23" t="str">
        <v>Cannabis x</v>
      </c>
      <c r="L23" t="str">
        <v>x</v>
      </c>
      <c r="M23" t="str">
        <v>Seed</v>
      </c>
      <c r="N23" t="str">
        <v>Nov</v>
      </c>
      <c r="O23" t="str">
        <v>Maturity</v>
      </c>
      <c r="P23" t="str">
        <v>Mar</v>
      </c>
      <c r="Q23">
        <v>1.1499999761581421</v>
      </c>
      <c r="R23" t="str">
        <v>t/ha</v>
      </c>
      <c r="S23" t="str">
        <v>Saleable grain</v>
      </c>
      <c r="T23">
        <v>1</v>
      </c>
      <c r="U23" t="str">
        <v>Total</v>
      </c>
      <c r="V23">
        <v>0</v>
      </c>
      <c r="W23">
        <v>0</v>
      </c>
      <c r="X23">
        <v>0.10000000149011612</v>
      </c>
      <c r="Y23">
        <v>5.000000074505806E-2</v>
      </c>
      <c r="Z23">
        <v>9</v>
      </c>
      <c r="AA23">
        <v>0.10000000149011612</v>
      </c>
      <c r="AB23">
        <v>1.5</v>
      </c>
      <c r="AC23">
        <v>1</v>
      </c>
      <c r="AD23">
        <v>1</v>
      </c>
      <c r="AE23">
        <v>1</v>
      </c>
      <c r="AF23">
        <v>1</v>
      </c>
      <c r="AG23">
        <v>4</v>
      </c>
    </row>
    <row r="24" spans="1:33">
      <c r="A24" t="str">
        <v>Linseed Grain General</v>
      </c>
      <c r="B24">
        <v>20</v>
      </c>
      <c r="C24" t="str">
        <v>Grain</v>
      </c>
      <c r="D24" t="str">
        <v>Oilseed</v>
      </c>
      <c r="E24" t="str">
        <v>Linseed</v>
      </c>
      <c r="F24" t="str">
        <v>General</v>
      </c>
      <c r="G24" t="str">
        <v>Linaceae</v>
      </c>
      <c r="H24" t="str">
        <v>Linum</v>
      </c>
      <c r="I24" t="str">
        <v>usitatissimum</v>
      </c>
      <c r="J24" t="str">
        <v/>
      </c>
      <c r="K24" t="str">
        <v>Linum usitatissimum</v>
      </c>
      <c r="L24" t="str">
        <v>usitatissimum</v>
      </c>
      <c r="M24" t="str">
        <v>Seed</v>
      </c>
      <c r="N24" t="str">
        <v>Sep</v>
      </c>
      <c r="O24" t="str">
        <v>LateReproductive</v>
      </c>
      <c r="P24" t="str">
        <v>Mar</v>
      </c>
      <c r="Q24">
        <v>2.5</v>
      </c>
      <c r="R24" t="str">
        <v>t/ha</v>
      </c>
      <c r="S24" t="str">
        <v>Saleable grain</v>
      </c>
      <c r="T24">
        <v>1</v>
      </c>
      <c r="U24" t="str">
        <v>Total</v>
      </c>
      <c r="V24">
        <v>0</v>
      </c>
      <c r="W24">
        <v>0</v>
      </c>
      <c r="X24">
        <v>0.2083333283662796</v>
      </c>
      <c r="Y24">
        <v>0</v>
      </c>
      <c r="Z24">
        <v>9</v>
      </c>
      <c r="AA24">
        <v>0.10000000149011612</v>
      </c>
      <c r="AB24">
        <v>1</v>
      </c>
      <c r="AC24">
        <v>1</v>
      </c>
      <c r="AD24">
        <v>1</v>
      </c>
      <c r="AE24">
        <v>1</v>
      </c>
      <c r="AF24">
        <v>1</v>
      </c>
      <c r="AG24">
        <v>4.3000001907348633</v>
      </c>
    </row>
    <row r="25" spans="1:33">
      <c r="A25" t="str">
        <v>Chickpea Grain General</v>
      </c>
      <c r="B25">
        <v>16</v>
      </c>
      <c r="C25" t="str">
        <v>Grain</v>
      </c>
      <c r="D25" t="str">
        <v>Pulse</v>
      </c>
      <c r="E25" t="str">
        <v>Chickpea</v>
      </c>
      <c r="F25" t="str">
        <v>General</v>
      </c>
      <c r="G25" t="str">
        <v>Fabaceae</v>
      </c>
      <c r="H25" t="str">
        <v>Cicer</v>
      </c>
      <c r="I25" t="str">
        <v>arietinum</v>
      </c>
      <c r="J25" t="str">
        <v/>
      </c>
      <c r="K25" t="str">
        <v>Cicer arietinum</v>
      </c>
      <c r="L25" t="str">
        <v>arietinum</v>
      </c>
      <c r="M25" t="str">
        <v>Seed</v>
      </c>
      <c r="N25" t="str">
        <v>Oct</v>
      </c>
      <c r="O25" t="str">
        <v>LateReproductive</v>
      </c>
      <c r="P25" t="str">
        <v>Mar</v>
      </c>
      <c r="Q25">
        <v>4</v>
      </c>
      <c r="R25" t="str">
        <v>t/ha</v>
      </c>
      <c r="S25" t="str">
        <v>Saleable grain</v>
      </c>
      <c r="T25">
        <v>1</v>
      </c>
      <c r="U25" t="str">
        <v>Total</v>
      </c>
      <c r="V25">
        <v>0</v>
      </c>
      <c r="W25">
        <v>0</v>
      </c>
      <c r="X25">
        <v>0.30000001192092896</v>
      </c>
      <c r="Y25">
        <v>0</v>
      </c>
      <c r="Z25">
        <v>15</v>
      </c>
      <c r="AA25">
        <v>0.10000000149011612</v>
      </c>
      <c r="AB25">
        <v>1</v>
      </c>
      <c r="AC25">
        <v>1</v>
      </c>
      <c r="AD25">
        <v>1</v>
      </c>
      <c r="AE25">
        <v>1.5</v>
      </c>
      <c r="AF25">
        <v>1.6000000238418579</v>
      </c>
      <c r="AG25">
        <v>4.6999998092651367</v>
      </c>
    </row>
    <row r="26" spans="1:33">
      <c r="A26" t="str">
        <v>Lentil Grain General</v>
      </c>
      <c r="B26">
        <v>19</v>
      </c>
      <c r="C26" t="str">
        <v>Grain</v>
      </c>
      <c r="D26" t="str">
        <v>Pulse</v>
      </c>
      <c r="E26" t="str">
        <v>Lentil</v>
      </c>
      <c r="F26" t="str">
        <v>General</v>
      </c>
      <c r="G26" t="str">
        <v>Fabaceae</v>
      </c>
      <c r="H26" t="str">
        <v>Lens</v>
      </c>
      <c r="I26" t="str">
        <v>culinaris</v>
      </c>
      <c r="J26" t="str">
        <v/>
      </c>
      <c r="K26" t="str">
        <v>Lens culinaris</v>
      </c>
      <c r="L26" t="str">
        <v>culinaris</v>
      </c>
      <c r="M26" t="str">
        <v>Seed</v>
      </c>
      <c r="N26" t="str">
        <v>Oct</v>
      </c>
      <c r="O26" t="str">
        <v>Maturity</v>
      </c>
      <c r="P26" t="str">
        <v>Mar</v>
      </c>
      <c r="Q26">
        <v>3.5</v>
      </c>
      <c r="R26" t="str">
        <v>t/ha</v>
      </c>
      <c r="S26" t="str">
        <v>Saleable grain</v>
      </c>
      <c r="T26">
        <v>1</v>
      </c>
      <c r="U26" t="str">
        <v>Total</v>
      </c>
      <c r="V26">
        <v>0</v>
      </c>
      <c r="W26">
        <v>0</v>
      </c>
      <c r="X26">
        <v>0.30000001192092896</v>
      </c>
      <c r="Y26">
        <v>0</v>
      </c>
      <c r="Z26">
        <v>14</v>
      </c>
      <c r="AA26">
        <v>0.10000000149011612</v>
      </c>
      <c r="AB26">
        <v>1</v>
      </c>
      <c r="AC26">
        <v>1</v>
      </c>
      <c r="AD26">
        <v>1</v>
      </c>
      <c r="AE26">
        <v>1.5</v>
      </c>
      <c r="AF26">
        <v>1.6000000238418579</v>
      </c>
      <c r="AG26">
        <v>3.5</v>
      </c>
    </row>
    <row r="27" spans="1:33">
      <c r="A27" t="str">
        <v>Bean Grain General</v>
      </c>
      <c r="B27">
        <v>21</v>
      </c>
      <c r="C27" t="str">
        <v>Grain</v>
      </c>
      <c r="D27" t="str">
        <v>Pulse</v>
      </c>
      <c r="E27" t="str">
        <v>Bean</v>
      </c>
      <c r="F27" t="str">
        <v>General</v>
      </c>
      <c r="G27" t="str">
        <v>Fabaceae</v>
      </c>
      <c r="H27" t="str">
        <v>Phaseolus</v>
      </c>
      <c r="I27" t="str">
        <v>vulgaris</v>
      </c>
      <c r="J27" t="str">
        <v/>
      </c>
      <c r="K27" t="str">
        <v>Phaseolus vulgaris</v>
      </c>
      <c r="L27" t="str">
        <v>vulgaris</v>
      </c>
      <c r="M27" t="str">
        <v>Seed</v>
      </c>
      <c r="N27" t="str">
        <v>Oct</v>
      </c>
      <c r="O27" t="str">
        <v>Maturity</v>
      </c>
      <c r="P27" t="str">
        <v>Mar</v>
      </c>
      <c r="Q27">
        <v>3.5</v>
      </c>
      <c r="R27" t="str">
        <v>t/ha</v>
      </c>
      <c r="S27" t="str">
        <v>Saleable grain</v>
      </c>
      <c r="T27">
        <v>1</v>
      </c>
      <c r="U27" t="str">
        <v>Total</v>
      </c>
      <c r="V27">
        <v>0</v>
      </c>
      <c r="W27">
        <v>0</v>
      </c>
      <c r="X27">
        <v>0.30000001192092896</v>
      </c>
      <c r="Y27">
        <v>0</v>
      </c>
      <c r="Z27">
        <v>14</v>
      </c>
      <c r="AA27">
        <v>0.10000000149011612</v>
      </c>
      <c r="AB27">
        <v>1</v>
      </c>
      <c r="AC27">
        <v>1</v>
      </c>
      <c r="AD27">
        <v>1</v>
      </c>
      <c r="AE27">
        <v>1.5</v>
      </c>
      <c r="AF27">
        <v>1.6000000238418579</v>
      </c>
      <c r="AG27">
        <v>3.5</v>
      </c>
    </row>
    <row r="28" spans="1:33">
      <c r="A28" t="str">
        <v>Pea Grain General</v>
      </c>
      <c r="B28">
        <v>22</v>
      </c>
      <c r="C28" t="str">
        <v>Grain</v>
      </c>
      <c r="D28" t="str">
        <v>Pulse</v>
      </c>
      <c r="E28" t="str">
        <v>Pea</v>
      </c>
      <c r="F28" t="str">
        <v>General</v>
      </c>
      <c r="G28" t="str">
        <v>Fabaceae</v>
      </c>
      <c r="H28" t="str">
        <v>Pisum</v>
      </c>
      <c r="I28" t="str">
        <v>sativum</v>
      </c>
      <c r="J28" t="str">
        <v/>
      </c>
      <c r="K28" t="str">
        <v>Pisum sativum</v>
      </c>
      <c r="L28" t="str">
        <v>sativum</v>
      </c>
      <c r="M28" t="str">
        <v>Seed</v>
      </c>
      <c r="N28" t="str">
        <v>Oct</v>
      </c>
      <c r="O28" t="str">
        <v>Maturity</v>
      </c>
      <c r="P28" t="str">
        <v>Mar</v>
      </c>
      <c r="Q28">
        <v>5.5</v>
      </c>
      <c r="R28" t="str">
        <v>t/ha</v>
      </c>
      <c r="S28" t="str">
        <v>Saleable grain</v>
      </c>
      <c r="T28">
        <v>1</v>
      </c>
      <c r="U28" t="str">
        <v>Total</v>
      </c>
      <c r="V28">
        <v>0</v>
      </c>
      <c r="W28">
        <v>0</v>
      </c>
      <c r="X28">
        <v>0.30000001192092896</v>
      </c>
      <c r="Y28">
        <v>0</v>
      </c>
      <c r="Z28">
        <v>14</v>
      </c>
      <c r="AA28">
        <v>0.10000000149011612</v>
      </c>
      <c r="AB28">
        <v>0.69999998807907104</v>
      </c>
      <c r="AC28">
        <v>1</v>
      </c>
      <c r="AD28">
        <v>1</v>
      </c>
      <c r="AE28">
        <v>1.5</v>
      </c>
      <c r="AF28">
        <v>1.6000000238418579</v>
      </c>
      <c r="AG28">
        <v>3.5</v>
      </c>
    </row>
    <row r="29" spans="1:33">
      <c r="A29" t="str">
        <v>Oat Green manure General</v>
      </c>
      <c r="B29">
        <v>71</v>
      </c>
      <c r="C29" t="str">
        <v>Green manure</v>
      </c>
      <c r="D29" t="str">
        <v>Green manure</v>
      </c>
      <c r="E29" t="str">
        <v>Oat</v>
      </c>
      <c r="F29" t="str">
        <v>General</v>
      </c>
      <c r="G29" t="str">
        <v>Poaceae</v>
      </c>
      <c r="H29" t="str">
        <v>Avena</v>
      </c>
      <c r="I29" t="str">
        <v>sativa</v>
      </c>
      <c r="J29" t="str">
        <v/>
      </c>
      <c r="K29" t="str">
        <v>Avena sativa</v>
      </c>
      <c r="L29" t="str">
        <v>sativa</v>
      </c>
      <c r="M29" t="str">
        <v>Seed</v>
      </c>
      <c r="N29" t="str">
        <v>Apr</v>
      </c>
      <c r="O29" t="str">
        <v>Maturity</v>
      </c>
      <c r="P29" t="str">
        <v>Sep</v>
      </c>
      <c r="Q29">
        <v>6</v>
      </c>
      <c r="R29" t="str">
        <v>t/ha</v>
      </c>
      <c r="S29" t="str">
        <v>Standing DM</v>
      </c>
      <c r="T29">
        <v>1</v>
      </c>
      <c r="U29" t="str">
        <v>Dry</v>
      </c>
      <c r="V29">
        <v>0</v>
      </c>
      <c r="W29">
        <v>1</v>
      </c>
      <c r="X29">
        <v>1</v>
      </c>
      <c r="Y29">
        <v>0</v>
      </c>
      <c r="Z29">
        <v>0</v>
      </c>
      <c r="AA29">
        <v>0.10000000149011612</v>
      </c>
      <c r="AB29">
        <v>1.5</v>
      </c>
      <c r="AC29">
        <v>1</v>
      </c>
      <c r="AD29">
        <v>1</v>
      </c>
      <c r="AE29">
        <v>0.89999997615814209</v>
      </c>
      <c r="AF29">
        <v>1.5</v>
      </c>
      <c r="AG29">
        <v>1.5</v>
      </c>
    </row>
    <row r="30" spans="1:33">
      <c r="A30" t="str">
        <v>Rape Green manure General</v>
      </c>
      <c r="B30">
        <v>72</v>
      </c>
      <c r="C30" t="str">
        <v>Green manure</v>
      </c>
      <c r="D30" t="str">
        <v>Green manure</v>
      </c>
      <c r="E30" t="str">
        <v>Rape</v>
      </c>
      <c r="F30" t="str">
        <v>General</v>
      </c>
      <c r="G30" t="str">
        <v>Brassicaceae</v>
      </c>
      <c r="H30" t="str">
        <v>Brassica</v>
      </c>
      <c r="I30" t="str">
        <v>napus</v>
      </c>
      <c r="J30" t="str">
        <v>napus</v>
      </c>
      <c r="K30" t="str">
        <v>Brassica napus napus</v>
      </c>
      <c r="L30" t="str">
        <v>napus napus</v>
      </c>
      <c r="M30" t="str">
        <v>Seed</v>
      </c>
      <c r="N30" t="str">
        <v>Apr</v>
      </c>
      <c r="O30" t="str">
        <v>LateReproductive</v>
      </c>
      <c r="P30" t="str">
        <v>Sep</v>
      </c>
      <c r="Q30">
        <v>4</v>
      </c>
      <c r="R30" t="str">
        <v>t/ha</v>
      </c>
      <c r="S30" t="str">
        <v>Standing DM</v>
      </c>
      <c r="T30">
        <v>1</v>
      </c>
      <c r="U30" t="str">
        <v>Dry</v>
      </c>
      <c r="V30">
        <v>0</v>
      </c>
      <c r="W30">
        <v>1</v>
      </c>
      <c r="X30">
        <v>1</v>
      </c>
      <c r="Y30">
        <v>0</v>
      </c>
      <c r="Z30">
        <v>0</v>
      </c>
      <c r="AA30">
        <v>0.10000000149011612</v>
      </c>
      <c r="AB30">
        <v>1.2000000476837158</v>
      </c>
      <c r="AC30">
        <v>1</v>
      </c>
      <c r="AD30">
        <v>1.6000000238418579</v>
      </c>
      <c r="AE30">
        <v>0.80000001192092896</v>
      </c>
      <c r="AF30">
        <v>2.5</v>
      </c>
      <c r="AG30">
        <v>2.5</v>
      </c>
    </row>
    <row r="31" spans="1:33">
      <c r="A31" t="str">
        <v>Turnip Green manure General</v>
      </c>
      <c r="B31">
        <v>73</v>
      </c>
      <c r="C31" t="str">
        <v>Green manure</v>
      </c>
      <c r="D31" t="str">
        <v>Green manure</v>
      </c>
      <c r="E31" t="str">
        <v>Turnip</v>
      </c>
      <c r="F31" t="str">
        <v>General</v>
      </c>
      <c r="G31" t="str">
        <v>Brassicaceae</v>
      </c>
      <c r="H31" t="str">
        <v>Brassica</v>
      </c>
      <c r="I31" t="str">
        <v>rapa</v>
      </c>
      <c r="J31" t="str">
        <v>rapa</v>
      </c>
      <c r="K31" t="str">
        <v>Brassica rapa rapa</v>
      </c>
      <c r="L31" t="str">
        <v>rapa rapa</v>
      </c>
      <c r="M31" t="str">
        <v>Seed</v>
      </c>
      <c r="N31" t="str">
        <v>Apr</v>
      </c>
      <c r="O31" t="str">
        <v>EarlyReproductive</v>
      </c>
      <c r="P31" t="str">
        <v>Sep</v>
      </c>
      <c r="Q31">
        <v>8</v>
      </c>
      <c r="R31" t="str">
        <v>t/ha</v>
      </c>
      <c r="S31" t="str">
        <v>Standing DM</v>
      </c>
      <c r="T31">
        <v>1</v>
      </c>
      <c r="U31" t="str">
        <v>Dry</v>
      </c>
      <c r="V31">
        <v>0</v>
      </c>
      <c r="W31">
        <v>1</v>
      </c>
      <c r="X31">
        <v>1</v>
      </c>
      <c r="Y31">
        <v>0</v>
      </c>
      <c r="Z31">
        <v>0</v>
      </c>
      <c r="AA31">
        <v>0.10000000149011612</v>
      </c>
      <c r="AB31">
        <v>1.2000000476837158</v>
      </c>
      <c r="AC31">
        <v>1</v>
      </c>
      <c r="AD31">
        <v>2</v>
      </c>
      <c r="AE31">
        <v>0.80000001192092896</v>
      </c>
      <c r="AF31">
        <v>2</v>
      </c>
      <c r="AG31">
        <v>2</v>
      </c>
    </row>
    <row r="32" spans="1:33">
      <c r="A32" t="str">
        <v>Lupin Green manure General</v>
      </c>
      <c r="B32">
        <v>74</v>
      </c>
      <c r="C32" t="str">
        <v>Green manure</v>
      </c>
      <c r="D32" t="str">
        <v>Green manure</v>
      </c>
      <c r="E32" t="str">
        <v>Lupin</v>
      </c>
      <c r="F32" t="str">
        <v>General</v>
      </c>
      <c r="G32" t="str">
        <v>Fabaceae</v>
      </c>
      <c r="H32" t="str">
        <v>Lupinus</v>
      </c>
      <c r="I32" t="str">
        <v>angustifolius</v>
      </c>
      <c r="J32" t="str">
        <v/>
      </c>
      <c r="K32" t="str">
        <v>Lupinus angustifolius</v>
      </c>
      <c r="L32" t="str">
        <v>angustifolius</v>
      </c>
      <c r="M32" t="str">
        <v>Seed</v>
      </c>
      <c r="N32" t="str">
        <v>Apr</v>
      </c>
      <c r="O32" t="str">
        <v>EarlyReproductive</v>
      </c>
      <c r="P32" t="str">
        <v>Sep</v>
      </c>
      <c r="Q32">
        <v>12</v>
      </c>
      <c r="R32" t="str">
        <v>t/ha</v>
      </c>
      <c r="S32" t="str">
        <v>Standing DM</v>
      </c>
      <c r="T32">
        <v>1</v>
      </c>
      <c r="U32" t="str">
        <v>Dry</v>
      </c>
      <c r="V32">
        <v>0</v>
      </c>
      <c r="W32">
        <v>1</v>
      </c>
      <c r="X32">
        <v>1</v>
      </c>
      <c r="Y32">
        <v>0</v>
      </c>
      <c r="Z32">
        <v>0</v>
      </c>
      <c r="AA32">
        <v>0.10000000149011612</v>
      </c>
      <c r="AB32">
        <v>1.5</v>
      </c>
      <c r="AC32">
        <v>1</v>
      </c>
      <c r="AD32">
        <v>1</v>
      </c>
      <c r="AE32">
        <v>1.5</v>
      </c>
      <c r="AF32">
        <v>1.6000000238418579</v>
      </c>
      <c r="AG32">
        <v>1.6000000238418579</v>
      </c>
    </row>
    <row r="33" spans="1:33">
      <c r="A33" t="str">
        <v>Phacelia Green manure General</v>
      </c>
      <c r="B33">
        <v>75</v>
      </c>
      <c r="C33" t="str">
        <v>Green manure</v>
      </c>
      <c r="D33" t="str">
        <v>Green manure</v>
      </c>
      <c r="E33" t="str">
        <v>Phacelia</v>
      </c>
      <c r="F33" t="str">
        <v>General</v>
      </c>
      <c r="G33" t="str">
        <v>Boraginaceae</v>
      </c>
      <c r="H33" t="str">
        <v>Phacelia</v>
      </c>
      <c r="I33" t="str">
        <v>tanacetifolia</v>
      </c>
      <c r="J33" t="str">
        <v/>
      </c>
      <c r="K33" t="str">
        <v>Phacelia tanacetifolia</v>
      </c>
      <c r="L33" t="str">
        <v>tanacetifolia</v>
      </c>
      <c r="M33" t="str">
        <v>Seed</v>
      </c>
      <c r="N33" t="str">
        <v>Apr</v>
      </c>
      <c r="O33" t="str">
        <v>Vegetative</v>
      </c>
      <c r="P33" t="str">
        <v>Sep</v>
      </c>
      <c r="Q33">
        <v>5</v>
      </c>
      <c r="R33" t="str">
        <v>t/ha</v>
      </c>
      <c r="S33" t="str">
        <v>Standing DM</v>
      </c>
      <c r="T33">
        <v>1</v>
      </c>
      <c r="U33" t="str">
        <v>Dry</v>
      </c>
      <c r="V33">
        <v>0</v>
      </c>
      <c r="W33">
        <v>1</v>
      </c>
      <c r="X33">
        <v>1</v>
      </c>
      <c r="Y33">
        <v>0</v>
      </c>
      <c r="Z33">
        <v>0</v>
      </c>
      <c r="AA33">
        <v>0.10000000149011612</v>
      </c>
      <c r="AB33">
        <v>1</v>
      </c>
      <c r="AC33">
        <v>1</v>
      </c>
      <c r="AD33">
        <v>1</v>
      </c>
      <c r="AE33">
        <v>0.89999997615814209</v>
      </c>
      <c r="AF33">
        <v>2</v>
      </c>
      <c r="AG33">
        <v>2</v>
      </c>
    </row>
    <row r="34" spans="1:33">
      <c r="A34" t="str">
        <v>Rye corn Green manure General</v>
      </c>
      <c r="B34">
        <v>76</v>
      </c>
      <c r="C34" t="str">
        <v>Green manure</v>
      </c>
      <c r="D34" t="str">
        <v>Green manure</v>
      </c>
      <c r="E34" t="str">
        <v>Rye corn</v>
      </c>
      <c r="F34" t="str">
        <v>General</v>
      </c>
      <c r="G34" t="str">
        <v>Poaceae</v>
      </c>
      <c r="H34" t="str">
        <v>Secale</v>
      </c>
      <c r="I34" t="str">
        <v>cereale</v>
      </c>
      <c r="J34" t="str">
        <v/>
      </c>
      <c r="K34" t="str">
        <v>Secale cereale</v>
      </c>
      <c r="L34" t="str">
        <v>cereale</v>
      </c>
      <c r="M34" t="str">
        <v>Seed</v>
      </c>
      <c r="N34" t="str">
        <v>Apr</v>
      </c>
      <c r="O34" t="str">
        <v>EarlyReproductive</v>
      </c>
      <c r="P34" t="str">
        <v>Sep</v>
      </c>
      <c r="Q34">
        <v>8</v>
      </c>
      <c r="R34" t="str">
        <v>t/ha</v>
      </c>
      <c r="S34" t="str">
        <v>Standing DM</v>
      </c>
      <c r="T34">
        <v>1</v>
      </c>
      <c r="U34" t="str">
        <v>Dry</v>
      </c>
      <c r="V34">
        <v>0</v>
      </c>
      <c r="W34">
        <v>1</v>
      </c>
      <c r="X34">
        <v>1</v>
      </c>
      <c r="Y34">
        <v>0</v>
      </c>
      <c r="Z34">
        <v>0</v>
      </c>
      <c r="AA34">
        <v>0.10000000149011612</v>
      </c>
      <c r="AB34">
        <v>1.5</v>
      </c>
      <c r="AC34">
        <v>1</v>
      </c>
      <c r="AD34">
        <v>1</v>
      </c>
      <c r="AE34">
        <v>0.89999997615814209</v>
      </c>
      <c r="AF34">
        <v>1.3999999761581421</v>
      </c>
      <c r="AG34">
        <v>1.3999999761581421</v>
      </c>
    </row>
    <row r="35" spans="1:33">
      <c r="A35" t="str">
        <v>Mustard Green manure General</v>
      </c>
      <c r="B35">
        <v>77</v>
      </c>
      <c r="C35" t="str">
        <v>Green manure</v>
      </c>
      <c r="D35" t="str">
        <v>Green manure</v>
      </c>
      <c r="E35" t="str">
        <v>Mustard</v>
      </c>
      <c r="F35" t="str">
        <v>General</v>
      </c>
      <c r="G35" t="str">
        <v>Brassicaceae</v>
      </c>
      <c r="H35" t="str">
        <v>Sinapis</v>
      </c>
      <c r="I35" t="str">
        <v>alba</v>
      </c>
      <c r="J35" t="str">
        <v/>
      </c>
      <c r="K35" t="str">
        <v>Sinapis alba</v>
      </c>
      <c r="L35" t="str">
        <v>alba</v>
      </c>
      <c r="M35" t="str">
        <v>Seed</v>
      </c>
      <c r="N35" t="str">
        <v>Apr</v>
      </c>
      <c r="O35" t="str">
        <v>EarlyReproductive</v>
      </c>
      <c r="P35" t="str">
        <v>Sep</v>
      </c>
      <c r="Q35">
        <v>7</v>
      </c>
      <c r="R35" t="str">
        <v>t/ha</v>
      </c>
      <c r="S35" t="str">
        <v>Standing DM</v>
      </c>
      <c r="T35">
        <v>1</v>
      </c>
      <c r="U35" t="str">
        <v>Dry</v>
      </c>
      <c r="V35">
        <v>0</v>
      </c>
      <c r="W35">
        <v>1</v>
      </c>
      <c r="X35">
        <v>1</v>
      </c>
      <c r="Y35">
        <v>0</v>
      </c>
      <c r="Z35">
        <v>0</v>
      </c>
      <c r="AA35">
        <v>0.10000000149011612</v>
      </c>
      <c r="AB35">
        <v>1.2000000476837158</v>
      </c>
      <c r="AC35">
        <v>1</v>
      </c>
      <c r="AD35">
        <v>1.1000000238418579</v>
      </c>
      <c r="AE35">
        <v>0.80000001192092896</v>
      </c>
      <c r="AF35">
        <v>2</v>
      </c>
      <c r="AG35">
        <v>2</v>
      </c>
    </row>
    <row r="36" spans="1:33">
      <c r="A36" t="str">
        <v>Early harvest Potato Agria</v>
      </c>
      <c r="B36">
        <v>86</v>
      </c>
      <c r="C36" t="str">
        <v>Potato</v>
      </c>
      <c r="D36" t="str">
        <v>Potato</v>
      </c>
      <c r="E36" t="str">
        <v>Early harvest</v>
      </c>
      <c r="F36" t="str">
        <v>Agria</v>
      </c>
      <c r="G36" t="str">
        <v>Solanaceae</v>
      </c>
      <c r="H36" t="str">
        <v>Solanum</v>
      </c>
      <c r="I36" t="str">
        <v>tuberosum</v>
      </c>
      <c r="J36" t="str">
        <v/>
      </c>
      <c r="K36" t="str">
        <v>Solanum  tuberosum</v>
      </c>
      <c r="L36" t="str">
        <v>tuberosum</v>
      </c>
      <c r="M36" t="str">
        <v>Seed</v>
      </c>
      <c r="N36" t="str">
        <v>Aug</v>
      </c>
      <c r="O36" t="str">
        <v>MidReproductive</v>
      </c>
      <c r="P36" t="str">
        <v>Jan</v>
      </c>
      <c r="Q36">
        <v>60</v>
      </c>
      <c r="R36" t="str">
        <v>t/ha</v>
      </c>
      <c r="S36" t="str">
        <v>Saleable product</v>
      </c>
      <c r="T36">
        <v>1</v>
      </c>
      <c r="U36" t="str">
        <v>Total</v>
      </c>
      <c r="V36">
        <v>0</v>
      </c>
      <c r="W36">
        <v>0</v>
      </c>
      <c r="X36">
        <v>0.85000002384185791</v>
      </c>
      <c r="Y36">
        <v>0</v>
      </c>
      <c r="Z36">
        <v>76</v>
      </c>
      <c r="AA36">
        <v>0.10000000149011612</v>
      </c>
      <c r="AB36">
        <v>0.69999998807907104</v>
      </c>
      <c r="AC36">
        <v>1</v>
      </c>
      <c r="AD36">
        <v>1.2000000476837158</v>
      </c>
      <c r="AE36">
        <v>0.89999997615814209</v>
      </c>
      <c r="AF36">
        <v>1.1499999761581421</v>
      </c>
      <c r="AG36">
        <v>1.5</v>
      </c>
    </row>
    <row r="37" spans="1:33">
      <c r="A37" t="str">
        <v>Maturity harvest Potato Agria</v>
      </c>
      <c r="B37">
        <v>87</v>
      </c>
      <c r="C37" t="str">
        <v>Potato</v>
      </c>
      <c r="D37" t="str">
        <v>Potato</v>
      </c>
      <c r="E37" t="str">
        <v>Maturity harvest</v>
      </c>
      <c r="F37" t="str">
        <v>Agria</v>
      </c>
      <c r="G37" t="str">
        <v>Solanaceae</v>
      </c>
      <c r="H37" t="str">
        <v>Solanum</v>
      </c>
      <c r="I37" t="str">
        <v>tuberosum</v>
      </c>
      <c r="J37" t="str">
        <v/>
      </c>
      <c r="K37" t="str">
        <v>Solanum  tuberosum</v>
      </c>
      <c r="L37" t="str">
        <v>tuberosum</v>
      </c>
      <c r="M37" t="str">
        <v>Seed</v>
      </c>
      <c r="N37" t="str">
        <v>Oct</v>
      </c>
      <c r="O37" t="str">
        <v>Maturity</v>
      </c>
      <c r="P37" t="str">
        <v>Apr</v>
      </c>
      <c r="Q37">
        <v>80</v>
      </c>
      <c r="R37" t="str">
        <v>t/ha</v>
      </c>
      <c r="S37" t="str">
        <v>Saleable product</v>
      </c>
      <c r="T37">
        <v>1</v>
      </c>
      <c r="U37" t="str">
        <v>Total</v>
      </c>
      <c r="V37">
        <v>0</v>
      </c>
      <c r="W37">
        <v>0</v>
      </c>
      <c r="X37">
        <v>0.92000001668930054</v>
      </c>
      <c r="Y37">
        <v>0</v>
      </c>
      <c r="Z37">
        <v>79</v>
      </c>
      <c r="AA37">
        <v>0.10000000149011612</v>
      </c>
      <c r="AB37">
        <v>0.80000001192092896</v>
      </c>
      <c r="AC37">
        <v>1</v>
      </c>
      <c r="AD37">
        <v>1.2000000476837158</v>
      </c>
      <c r="AE37">
        <v>0.89999997615814209</v>
      </c>
      <c r="AF37">
        <v>1.1499999761581421</v>
      </c>
      <c r="AG37">
        <v>1.5</v>
      </c>
    </row>
    <row r="38" spans="1:33">
      <c r="A38" t="str">
        <v>GroundStore Potato Agria</v>
      </c>
      <c r="B38">
        <v>88</v>
      </c>
      <c r="C38" t="str">
        <v>Potato</v>
      </c>
      <c r="D38" t="str">
        <v>Potato</v>
      </c>
      <c r="E38" t="str">
        <v>GroundStore</v>
      </c>
      <c r="F38" t="str">
        <v>Agria</v>
      </c>
      <c r="G38" t="str">
        <v>Solanaceae</v>
      </c>
      <c r="H38" t="str">
        <v>Solanum</v>
      </c>
      <c r="I38" t="str">
        <v>tuberosum</v>
      </c>
      <c r="J38" t="str">
        <v/>
      </c>
      <c r="K38" t="str">
        <v>Solanum  tuberosum</v>
      </c>
      <c r="L38" t="str">
        <v>tuberosum</v>
      </c>
      <c r="M38" t="str">
        <v>Seed</v>
      </c>
      <c r="N38" t="str">
        <v>Oct</v>
      </c>
      <c r="O38" t="str">
        <v>Late</v>
      </c>
      <c r="P38" t="str">
        <v>June</v>
      </c>
      <c r="Q38">
        <v>80</v>
      </c>
      <c r="R38" t="str">
        <v>t/ha</v>
      </c>
      <c r="S38" t="str">
        <v>Saleable product</v>
      </c>
      <c r="T38">
        <v>1</v>
      </c>
      <c r="U38" t="str">
        <v>Total</v>
      </c>
      <c r="V38">
        <v>0</v>
      </c>
      <c r="W38">
        <v>0</v>
      </c>
      <c r="X38">
        <v>0.92000001668930054</v>
      </c>
      <c r="Y38">
        <v>0</v>
      </c>
      <c r="Z38">
        <v>79</v>
      </c>
      <c r="AA38">
        <v>0.10000000149011612</v>
      </c>
      <c r="AB38">
        <v>0.80000001192092896</v>
      </c>
      <c r="AC38">
        <v>1</v>
      </c>
      <c r="AD38">
        <v>1.2000000476837158</v>
      </c>
      <c r="AE38">
        <v>0.89999997615814209</v>
      </c>
      <c r="AF38">
        <v>1.1499999761581421</v>
      </c>
      <c r="AG38">
        <v>1.5</v>
      </c>
    </row>
    <row r="39" spans="1:33">
      <c r="A39" t="str">
        <v>Early harvest Potato Innovator</v>
      </c>
      <c r="B39">
        <v>89</v>
      </c>
      <c r="C39" t="str">
        <v>Potato</v>
      </c>
      <c r="D39" t="str">
        <v>Potato</v>
      </c>
      <c r="E39" t="str">
        <v>Early harvest</v>
      </c>
      <c r="F39" t="str">
        <v>Innovator</v>
      </c>
      <c r="G39" t="str">
        <v>Solanaceae</v>
      </c>
      <c r="H39" t="str">
        <v>Solanum</v>
      </c>
      <c r="I39" t="str">
        <v>tuberosum</v>
      </c>
      <c r="J39" t="str">
        <v/>
      </c>
      <c r="K39" t="str">
        <v>Solanum  tuberosum</v>
      </c>
      <c r="L39" t="str">
        <v>tuberosum</v>
      </c>
      <c r="M39" t="str">
        <v>Seed</v>
      </c>
      <c r="N39" t="str">
        <v>Aug</v>
      </c>
      <c r="O39" t="str">
        <v>MidReproductive</v>
      </c>
      <c r="P39" t="str">
        <v>Jan</v>
      </c>
      <c r="Q39">
        <v>60</v>
      </c>
      <c r="R39" t="str">
        <v>t/ha</v>
      </c>
      <c r="S39" t="str">
        <v>Saleable product</v>
      </c>
      <c r="T39">
        <v>1</v>
      </c>
      <c r="U39" t="str">
        <v>Total</v>
      </c>
      <c r="V39">
        <v>0</v>
      </c>
      <c r="W39">
        <v>0</v>
      </c>
      <c r="X39">
        <v>0.85000002384185791</v>
      </c>
      <c r="Y39">
        <v>0</v>
      </c>
      <c r="Z39">
        <v>76</v>
      </c>
      <c r="AA39">
        <v>0.10000000149011612</v>
      </c>
      <c r="AB39">
        <v>0.5</v>
      </c>
      <c r="AC39">
        <v>1</v>
      </c>
      <c r="AD39">
        <v>1.2000000476837158</v>
      </c>
      <c r="AE39">
        <v>0.89999997615814209</v>
      </c>
      <c r="AF39">
        <v>1.1499999761581421</v>
      </c>
      <c r="AG39">
        <v>1.5</v>
      </c>
    </row>
    <row r="40" spans="1:33">
      <c r="A40" t="str">
        <v>Maturity harvest Potato Innovator</v>
      </c>
      <c r="B40">
        <v>90</v>
      </c>
      <c r="C40" t="str">
        <v>Potato</v>
      </c>
      <c r="D40" t="str">
        <v>Potato</v>
      </c>
      <c r="E40" t="str">
        <v>Maturity harvest</v>
      </c>
      <c r="F40" t="str">
        <v>Innovator</v>
      </c>
      <c r="G40" t="str">
        <v>Solanaceae</v>
      </c>
      <c r="H40" t="str">
        <v>Solanum</v>
      </c>
      <c r="I40" t="str">
        <v>tuberosum</v>
      </c>
      <c r="J40" t="str">
        <v/>
      </c>
      <c r="K40" t="str">
        <v>Solanum  tuberosum</v>
      </c>
      <c r="L40" t="str">
        <v>tuberosum</v>
      </c>
      <c r="M40" t="str">
        <v>Seed</v>
      </c>
      <c r="N40" t="str">
        <v>Oct</v>
      </c>
      <c r="O40" t="str">
        <v>Maturity</v>
      </c>
      <c r="P40" t="str">
        <v>Apr</v>
      </c>
      <c r="Q40">
        <v>80</v>
      </c>
      <c r="R40" t="str">
        <v>t/ha</v>
      </c>
      <c r="S40" t="str">
        <v>Saleable product</v>
      </c>
      <c r="T40">
        <v>1</v>
      </c>
      <c r="U40" t="str">
        <v>Total</v>
      </c>
      <c r="V40">
        <v>0</v>
      </c>
      <c r="W40">
        <v>0</v>
      </c>
      <c r="X40">
        <v>0.92000001668930054</v>
      </c>
      <c r="Y40">
        <v>0</v>
      </c>
      <c r="Z40">
        <v>79</v>
      </c>
      <c r="AA40">
        <v>0.10000000149011612</v>
      </c>
      <c r="AB40">
        <v>0.60000002384185791</v>
      </c>
      <c r="AC40">
        <v>1</v>
      </c>
      <c r="AD40">
        <v>1.2000000476837158</v>
      </c>
      <c r="AE40">
        <v>0.89999997615814209</v>
      </c>
      <c r="AF40">
        <v>1.1499999761581421</v>
      </c>
      <c r="AG40">
        <v>1.5</v>
      </c>
    </row>
    <row r="41" spans="1:33">
      <c r="A41" t="str">
        <v>GroundStore Potato Innovator</v>
      </c>
      <c r="B41">
        <v>91</v>
      </c>
      <c r="C41" t="str">
        <v>Potato</v>
      </c>
      <c r="D41" t="str">
        <v>Potato</v>
      </c>
      <c r="E41" t="str">
        <v>GroundStore</v>
      </c>
      <c r="F41" t="str">
        <v>Innovator</v>
      </c>
      <c r="G41" t="str">
        <v>Solanaceae</v>
      </c>
      <c r="H41" t="str">
        <v>Solanum</v>
      </c>
      <c r="I41" t="str">
        <v>tuberosum</v>
      </c>
      <c r="J41" t="str">
        <v/>
      </c>
      <c r="K41" t="str">
        <v>Solanum  tuberosum</v>
      </c>
      <c r="L41" t="str">
        <v>tuberosum</v>
      </c>
      <c r="M41" t="str">
        <v>Seed</v>
      </c>
      <c r="N41" t="str">
        <v>Oct</v>
      </c>
      <c r="O41" t="str">
        <v>Late</v>
      </c>
      <c r="P41" t="str">
        <v>June</v>
      </c>
      <c r="Q41">
        <v>80</v>
      </c>
      <c r="R41" t="str">
        <v>t/ha</v>
      </c>
      <c r="S41" t="str">
        <v>Saleable product</v>
      </c>
      <c r="T41">
        <v>1</v>
      </c>
      <c r="U41" t="str">
        <v>Total</v>
      </c>
      <c r="V41">
        <v>0</v>
      </c>
      <c r="W41">
        <v>0</v>
      </c>
      <c r="X41">
        <v>0.92000001668930054</v>
      </c>
      <c r="Y41">
        <v>0</v>
      </c>
      <c r="Z41">
        <v>79</v>
      </c>
      <c r="AA41">
        <v>0.10000000149011612</v>
      </c>
      <c r="AB41">
        <v>0.60000002384185791</v>
      </c>
      <c r="AC41">
        <v>1</v>
      </c>
      <c r="AD41">
        <v>1.2000000476837158</v>
      </c>
      <c r="AE41">
        <v>0.89999997615814209</v>
      </c>
      <c r="AF41">
        <v>1.1499999761581421</v>
      </c>
      <c r="AG41">
        <v>1.5</v>
      </c>
    </row>
    <row r="42" spans="1:33">
      <c r="A42" t="str">
        <v>Early harvest Potato Moonlight</v>
      </c>
      <c r="B42">
        <v>92</v>
      </c>
      <c r="C42" t="str">
        <v>Potato</v>
      </c>
      <c r="D42" t="str">
        <v>Potato</v>
      </c>
      <c r="E42" t="str">
        <v>Early harvest</v>
      </c>
      <c r="F42" t="str">
        <v>Moonlight</v>
      </c>
      <c r="G42" t="str">
        <v>Solanaceae</v>
      </c>
      <c r="H42" t="str">
        <v>Solanum</v>
      </c>
      <c r="I42" t="str">
        <v>tuberosum</v>
      </c>
      <c r="J42" t="str">
        <v/>
      </c>
      <c r="K42" t="str">
        <v>Solanum  tuberosum</v>
      </c>
      <c r="L42" t="str">
        <v>tuberosum</v>
      </c>
      <c r="M42" t="str">
        <v>Seed</v>
      </c>
      <c r="N42" t="str">
        <v>Aug</v>
      </c>
      <c r="O42" t="str">
        <v>MidReproductive</v>
      </c>
      <c r="P42" t="str">
        <v>Jan</v>
      </c>
      <c r="Q42">
        <v>60</v>
      </c>
      <c r="R42" t="str">
        <v>t/ha</v>
      </c>
      <c r="S42" t="str">
        <v>Saleable product</v>
      </c>
      <c r="T42">
        <v>1</v>
      </c>
      <c r="U42" t="str">
        <v>Total</v>
      </c>
      <c r="V42">
        <v>0</v>
      </c>
      <c r="W42">
        <v>0</v>
      </c>
      <c r="X42">
        <v>0.85000002384185791</v>
      </c>
      <c r="Y42">
        <v>0</v>
      </c>
      <c r="Z42">
        <v>76</v>
      </c>
      <c r="AA42">
        <v>0.10000000149011612</v>
      </c>
      <c r="AB42">
        <v>0.69999998807907104</v>
      </c>
      <c r="AC42">
        <v>1</v>
      </c>
      <c r="AD42">
        <v>1.2000000476837158</v>
      </c>
      <c r="AE42">
        <v>0.89999997615814209</v>
      </c>
      <c r="AF42">
        <v>1.1499999761581421</v>
      </c>
      <c r="AG42">
        <v>1.5</v>
      </c>
    </row>
    <row r="43" spans="1:33">
      <c r="A43" t="str">
        <v>Maturity harvest Potato Moonlight</v>
      </c>
      <c r="B43">
        <v>93</v>
      </c>
      <c r="C43" t="str">
        <v>Potato</v>
      </c>
      <c r="D43" t="str">
        <v>Potato</v>
      </c>
      <c r="E43" t="str">
        <v>Maturity harvest</v>
      </c>
      <c r="F43" t="str">
        <v>Moonlight</v>
      </c>
      <c r="G43" t="str">
        <v>Solanaceae</v>
      </c>
      <c r="H43" t="str">
        <v>Solanum</v>
      </c>
      <c r="I43" t="str">
        <v>tuberosum</v>
      </c>
      <c r="J43" t="str">
        <v/>
      </c>
      <c r="K43" t="str">
        <v>Solanum  tuberosum</v>
      </c>
      <c r="L43" t="str">
        <v>tuberosum</v>
      </c>
      <c r="M43" t="str">
        <v>Seed</v>
      </c>
      <c r="N43" t="str">
        <v>Oct</v>
      </c>
      <c r="O43" t="str">
        <v>Maturity</v>
      </c>
      <c r="P43" t="str">
        <v>Apr</v>
      </c>
      <c r="Q43">
        <v>80</v>
      </c>
      <c r="R43" t="str">
        <v>t/ha</v>
      </c>
      <c r="S43" t="str">
        <v>Saleable product</v>
      </c>
      <c r="T43">
        <v>1</v>
      </c>
      <c r="U43" t="str">
        <v>Total</v>
      </c>
      <c r="V43">
        <v>0</v>
      </c>
      <c r="W43">
        <v>0</v>
      </c>
      <c r="X43">
        <v>0.92000001668930054</v>
      </c>
      <c r="Y43">
        <v>0</v>
      </c>
      <c r="Z43">
        <v>79</v>
      </c>
      <c r="AA43">
        <v>0.10000000149011612</v>
      </c>
      <c r="AB43">
        <v>0.80000001192092896</v>
      </c>
      <c r="AC43">
        <v>1</v>
      </c>
      <c r="AD43">
        <v>1.2000000476837158</v>
      </c>
      <c r="AE43">
        <v>0.89999997615814209</v>
      </c>
      <c r="AF43">
        <v>1.1499999761581421</v>
      </c>
      <c r="AG43">
        <v>1.5</v>
      </c>
    </row>
    <row r="44" spans="1:33">
      <c r="A44" t="str">
        <v>GroundStore Potato Moonlight</v>
      </c>
      <c r="B44">
        <v>94</v>
      </c>
      <c r="C44" t="str">
        <v>Potato</v>
      </c>
      <c r="D44" t="str">
        <v>Potato</v>
      </c>
      <c r="E44" t="str">
        <v>GroundStore</v>
      </c>
      <c r="F44" t="str">
        <v>Moonlight</v>
      </c>
      <c r="G44" t="str">
        <v>Solanaceae</v>
      </c>
      <c r="H44" t="str">
        <v>Solanum</v>
      </c>
      <c r="I44" t="str">
        <v>tuberosum</v>
      </c>
      <c r="J44" t="str">
        <v/>
      </c>
      <c r="K44" t="str">
        <v>Solanum  tuberosum</v>
      </c>
      <c r="L44" t="str">
        <v>tuberosum</v>
      </c>
      <c r="M44" t="str">
        <v>Seed</v>
      </c>
      <c r="N44" t="str">
        <v>Oct</v>
      </c>
      <c r="O44" t="str">
        <v>Late</v>
      </c>
      <c r="P44" t="str">
        <v>June</v>
      </c>
      <c r="Q44">
        <v>80</v>
      </c>
      <c r="R44" t="str">
        <v>t/ha</v>
      </c>
      <c r="S44" t="str">
        <v>Saleable product</v>
      </c>
      <c r="T44">
        <v>1</v>
      </c>
      <c r="U44" t="str">
        <v>Total</v>
      </c>
      <c r="V44">
        <v>0</v>
      </c>
      <c r="W44">
        <v>0</v>
      </c>
      <c r="X44">
        <v>0.92000001668930054</v>
      </c>
      <c r="Y44">
        <v>0</v>
      </c>
      <c r="Z44">
        <v>79</v>
      </c>
      <c r="AA44">
        <v>0.10000000149011612</v>
      </c>
      <c r="AB44">
        <v>0.80000001192092896</v>
      </c>
      <c r="AC44">
        <v>1</v>
      </c>
      <c r="AD44">
        <v>1.2000000476837158</v>
      </c>
      <c r="AE44">
        <v>0.89999997615814209</v>
      </c>
      <c r="AF44">
        <v>1.1499999761581421</v>
      </c>
      <c r="AG44">
        <v>1.5</v>
      </c>
    </row>
    <row r="45" spans="1:33">
      <c r="A45" t="str">
        <v>Early harvest Potato Nadine</v>
      </c>
      <c r="B45">
        <v>95</v>
      </c>
      <c r="C45" t="str">
        <v>Potato</v>
      </c>
      <c r="D45" t="str">
        <v>Potato</v>
      </c>
      <c r="E45" t="str">
        <v>Early harvest</v>
      </c>
      <c r="F45" t="str">
        <v>Nadine</v>
      </c>
      <c r="G45" t="str">
        <v>Solanaceae</v>
      </c>
      <c r="H45" t="str">
        <v>Solanum</v>
      </c>
      <c r="I45" t="str">
        <v>tuberosum</v>
      </c>
      <c r="J45" t="str">
        <v/>
      </c>
      <c r="K45" t="str">
        <v>Solanum  tuberosum</v>
      </c>
      <c r="L45" t="str">
        <v>tuberosum</v>
      </c>
      <c r="M45" t="str">
        <v>Seed</v>
      </c>
      <c r="N45" t="str">
        <v>Aug</v>
      </c>
      <c r="O45" t="str">
        <v>MidReproductive</v>
      </c>
      <c r="P45" t="str">
        <v>Jan</v>
      </c>
      <c r="Q45">
        <v>60</v>
      </c>
      <c r="R45" t="str">
        <v>t/ha</v>
      </c>
      <c r="S45" t="str">
        <v>Saleable product</v>
      </c>
      <c r="T45">
        <v>1</v>
      </c>
      <c r="U45" t="str">
        <v>Total</v>
      </c>
      <c r="V45">
        <v>0</v>
      </c>
      <c r="W45">
        <v>0</v>
      </c>
      <c r="X45">
        <v>0.85000002384185791</v>
      </c>
      <c r="Y45">
        <v>0</v>
      </c>
      <c r="Z45">
        <v>76</v>
      </c>
      <c r="AA45">
        <v>0.10000000149011612</v>
      </c>
      <c r="AB45">
        <v>0.60000002384185791</v>
      </c>
      <c r="AC45">
        <v>1</v>
      </c>
      <c r="AD45">
        <v>1.2000000476837158</v>
      </c>
      <c r="AE45">
        <v>0.89999997615814209</v>
      </c>
      <c r="AF45">
        <v>1.1499999761581421</v>
      </c>
      <c r="AG45">
        <v>1.5</v>
      </c>
    </row>
    <row r="46" spans="1:33">
      <c r="A46" t="str">
        <v>Maturity harvest Potato Nadine</v>
      </c>
      <c r="B46">
        <v>96</v>
      </c>
      <c r="C46" t="str">
        <v>Potato</v>
      </c>
      <c r="D46" t="str">
        <v>Potato</v>
      </c>
      <c r="E46" t="str">
        <v>Maturity harvest</v>
      </c>
      <c r="F46" t="str">
        <v>Nadine</v>
      </c>
      <c r="G46" t="str">
        <v>Solanaceae</v>
      </c>
      <c r="H46" t="str">
        <v>Solanum</v>
      </c>
      <c r="I46" t="str">
        <v>tuberosum</v>
      </c>
      <c r="J46" t="str">
        <v/>
      </c>
      <c r="K46" t="str">
        <v>Solanum  tuberosum</v>
      </c>
      <c r="L46" t="str">
        <v>tuberosum</v>
      </c>
      <c r="M46" t="str">
        <v>Seed</v>
      </c>
      <c r="N46" t="str">
        <v>Oct</v>
      </c>
      <c r="O46" t="str">
        <v>Maturity</v>
      </c>
      <c r="P46" t="str">
        <v>Apr</v>
      </c>
      <c r="Q46">
        <v>80</v>
      </c>
      <c r="R46" t="str">
        <v>t/ha</v>
      </c>
      <c r="S46" t="str">
        <v>Saleable product</v>
      </c>
      <c r="T46">
        <v>1</v>
      </c>
      <c r="U46" t="str">
        <v>Total</v>
      </c>
      <c r="V46">
        <v>0</v>
      </c>
      <c r="W46">
        <v>0</v>
      </c>
      <c r="X46">
        <v>0.92000001668930054</v>
      </c>
      <c r="Y46">
        <v>0</v>
      </c>
      <c r="Z46">
        <v>79</v>
      </c>
      <c r="AA46">
        <v>0.10000000149011612</v>
      </c>
      <c r="AB46">
        <v>0.69999998807907104</v>
      </c>
      <c r="AC46">
        <v>1</v>
      </c>
      <c r="AD46">
        <v>1.2000000476837158</v>
      </c>
      <c r="AE46">
        <v>0.89999997615814209</v>
      </c>
      <c r="AF46">
        <v>1.1499999761581421</v>
      </c>
      <c r="AG46">
        <v>1.5</v>
      </c>
    </row>
    <row r="47" spans="1:33">
      <c r="A47" t="str">
        <v>GroundStore Potato Nadine</v>
      </c>
      <c r="B47">
        <v>97</v>
      </c>
      <c r="C47" t="str">
        <v>Potato</v>
      </c>
      <c r="D47" t="str">
        <v>Potato</v>
      </c>
      <c r="E47" t="str">
        <v>GroundStore</v>
      </c>
      <c r="F47" t="str">
        <v>Nadine</v>
      </c>
      <c r="G47" t="str">
        <v>Solanaceae</v>
      </c>
      <c r="H47" t="str">
        <v>Solanum</v>
      </c>
      <c r="I47" t="str">
        <v>tuberosum</v>
      </c>
      <c r="J47" t="str">
        <v/>
      </c>
      <c r="K47" t="str">
        <v>Solanum  tuberosum</v>
      </c>
      <c r="L47" t="str">
        <v>tuberosum</v>
      </c>
      <c r="M47" t="str">
        <v>Seed</v>
      </c>
      <c r="N47" t="str">
        <v>Oct</v>
      </c>
      <c r="O47" t="str">
        <v>Late</v>
      </c>
      <c r="P47" t="str">
        <v>June</v>
      </c>
      <c r="Q47">
        <v>80</v>
      </c>
      <c r="R47" t="str">
        <v>t/ha</v>
      </c>
      <c r="S47" t="str">
        <v>Saleable product</v>
      </c>
      <c r="T47">
        <v>1</v>
      </c>
      <c r="U47" t="str">
        <v>Total</v>
      </c>
      <c r="V47">
        <v>0</v>
      </c>
      <c r="W47">
        <v>0</v>
      </c>
      <c r="X47">
        <v>0.92000001668930054</v>
      </c>
      <c r="Y47">
        <v>0</v>
      </c>
      <c r="Z47">
        <v>79</v>
      </c>
      <c r="AA47">
        <v>0.10000000149011612</v>
      </c>
      <c r="AB47">
        <v>0.69999998807907104</v>
      </c>
      <c r="AC47">
        <v>1</v>
      </c>
      <c r="AD47">
        <v>1.2000000476837158</v>
      </c>
      <c r="AE47">
        <v>0.89999997615814209</v>
      </c>
      <c r="AF47">
        <v>1.1499999761581421</v>
      </c>
      <c r="AG47">
        <v>1.5</v>
      </c>
    </row>
    <row r="48" spans="1:33">
      <c r="A48" t="str">
        <v>Early harvest Potato RussetBurbank</v>
      </c>
      <c r="B48">
        <v>98</v>
      </c>
      <c r="C48" t="str">
        <v>Potato</v>
      </c>
      <c r="D48" t="str">
        <v>Potato</v>
      </c>
      <c r="E48" t="str">
        <v>Early harvest</v>
      </c>
      <c r="F48" t="str">
        <v>RussetBurbank</v>
      </c>
      <c r="G48" t="str">
        <v>Solanaceae</v>
      </c>
      <c r="H48" t="str">
        <v>Solanum</v>
      </c>
      <c r="I48" t="str">
        <v>tuberosum</v>
      </c>
      <c r="J48" t="str">
        <v/>
      </c>
      <c r="K48" t="str">
        <v>Solanum  tuberosum</v>
      </c>
      <c r="L48" t="str">
        <v>tuberosum</v>
      </c>
      <c r="M48" t="str">
        <v>Seed</v>
      </c>
      <c r="N48" t="str">
        <v>Aug</v>
      </c>
      <c r="O48" t="str">
        <v>MidReproductive</v>
      </c>
      <c r="P48" t="str">
        <v>Jan</v>
      </c>
      <c r="Q48">
        <v>60</v>
      </c>
      <c r="R48" t="str">
        <v>t/ha</v>
      </c>
      <c r="S48" t="str">
        <v>Saleable product</v>
      </c>
      <c r="T48">
        <v>1</v>
      </c>
      <c r="U48" t="str">
        <v>Total</v>
      </c>
      <c r="V48">
        <v>0</v>
      </c>
      <c r="W48">
        <v>0</v>
      </c>
      <c r="X48">
        <v>0.85000002384185791</v>
      </c>
      <c r="Y48">
        <v>0</v>
      </c>
      <c r="Z48">
        <v>76</v>
      </c>
      <c r="AA48">
        <v>0.10000000149011612</v>
      </c>
      <c r="AB48">
        <v>0.69999998807907104</v>
      </c>
      <c r="AC48">
        <v>1</v>
      </c>
      <c r="AD48">
        <v>1.2000000476837158</v>
      </c>
      <c r="AE48">
        <v>0.89999997615814209</v>
      </c>
      <c r="AF48">
        <v>1.1499999761581421</v>
      </c>
      <c r="AG48">
        <v>1.5</v>
      </c>
    </row>
    <row r="49" spans="1:33">
      <c r="A49" t="str">
        <v>Maturity harvest Potato RussetBurbank</v>
      </c>
      <c r="B49">
        <v>99</v>
      </c>
      <c r="C49" t="str">
        <v>Potato</v>
      </c>
      <c r="D49" t="str">
        <v>Potato</v>
      </c>
      <c r="E49" t="str">
        <v>Maturity harvest</v>
      </c>
      <c r="F49" t="str">
        <v>RussetBurbank</v>
      </c>
      <c r="G49" t="str">
        <v>Solanaceae</v>
      </c>
      <c r="H49" t="str">
        <v>Solanum</v>
      </c>
      <c r="I49" t="str">
        <v>tuberosum</v>
      </c>
      <c r="J49" t="str">
        <v/>
      </c>
      <c r="K49" t="str">
        <v>Solanum  tuberosum</v>
      </c>
      <c r="L49" t="str">
        <v>tuberosum</v>
      </c>
      <c r="M49" t="str">
        <v>Seed</v>
      </c>
      <c r="N49" t="str">
        <v>Oct</v>
      </c>
      <c r="O49" t="str">
        <v>Maturity</v>
      </c>
      <c r="P49" t="str">
        <v>Apr</v>
      </c>
      <c r="Q49">
        <v>80</v>
      </c>
      <c r="R49" t="str">
        <v>t/ha</v>
      </c>
      <c r="S49" t="str">
        <v>Saleable product</v>
      </c>
      <c r="T49">
        <v>1</v>
      </c>
      <c r="U49" t="str">
        <v>Total</v>
      </c>
      <c r="V49">
        <v>0</v>
      </c>
      <c r="W49">
        <v>0</v>
      </c>
      <c r="X49">
        <v>0.92000001668930054</v>
      </c>
      <c r="Y49">
        <v>0</v>
      </c>
      <c r="Z49">
        <v>79</v>
      </c>
      <c r="AA49">
        <v>0.10000000149011612</v>
      </c>
      <c r="AB49">
        <v>0.80000001192092896</v>
      </c>
      <c r="AC49">
        <v>1</v>
      </c>
      <c r="AD49">
        <v>1.2000000476837158</v>
      </c>
      <c r="AE49">
        <v>0.89999997615814209</v>
      </c>
      <c r="AF49">
        <v>1.1499999761581421</v>
      </c>
      <c r="AG49">
        <v>1.5</v>
      </c>
    </row>
    <row r="50" spans="1:33">
      <c r="A50" t="str">
        <v>GroundStore Potato RussetBurbank</v>
      </c>
      <c r="B50">
        <v>100</v>
      </c>
      <c r="C50" t="str">
        <v>Potato</v>
      </c>
      <c r="D50" t="str">
        <v>Potato</v>
      </c>
      <c r="E50" t="str">
        <v>GroundStore</v>
      </c>
      <c r="F50" t="str">
        <v>RussetBurbank</v>
      </c>
      <c r="G50" t="str">
        <v>Solanaceae</v>
      </c>
      <c r="H50" t="str">
        <v>Solanum</v>
      </c>
      <c r="I50" t="str">
        <v>tuberosum</v>
      </c>
      <c r="J50" t="str">
        <v/>
      </c>
      <c r="K50" t="str">
        <v>Solanum  tuberosum</v>
      </c>
      <c r="L50" t="str">
        <v>tuberosum</v>
      </c>
      <c r="M50" t="str">
        <v>Seed</v>
      </c>
      <c r="N50" t="str">
        <v>Oct</v>
      </c>
      <c r="O50" t="str">
        <v>Late</v>
      </c>
      <c r="P50" t="str">
        <v>June</v>
      </c>
      <c r="Q50">
        <v>80</v>
      </c>
      <c r="R50" t="str">
        <v>t/ha</v>
      </c>
      <c r="S50" t="str">
        <v>Saleable product</v>
      </c>
      <c r="T50">
        <v>1</v>
      </c>
      <c r="U50" t="str">
        <v>Total</v>
      </c>
      <c r="V50">
        <v>0</v>
      </c>
      <c r="W50">
        <v>0</v>
      </c>
      <c r="X50">
        <v>0.92000001668930054</v>
      </c>
      <c r="Y50">
        <v>0</v>
      </c>
      <c r="Z50">
        <v>79</v>
      </c>
      <c r="AA50">
        <v>0.10000000149011612</v>
      </c>
      <c r="AB50">
        <v>0.80000001192092896</v>
      </c>
      <c r="AC50">
        <v>1</v>
      </c>
      <c r="AD50">
        <v>1.2000000476837158</v>
      </c>
      <c r="AE50">
        <v>0.89999997615814209</v>
      </c>
      <c r="AF50">
        <v>1.1499999761581421</v>
      </c>
      <c r="AG50">
        <v>1.5</v>
      </c>
    </row>
    <row r="51" spans="1:33">
      <c r="A51" t="str">
        <v>Early harvest Potato Short (Group1)</v>
      </c>
      <c r="B51">
        <v>101</v>
      </c>
      <c r="C51" t="str">
        <v>Potato</v>
      </c>
      <c r="D51" t="str">
        <v>Potato</v>
      </c>
      <c r="E51" t="str">
        <v>Early harvest</v>
      </c>
      <c r="F51" t="str">
        <v>Short (Group1)</v>
      </c>
      <c r="G51" t="str">
        <v>Solanaceae</v>
      </c>
      <c r="H51" t="str">
        <v>Solanum</v>
      </c>
      <c r="I51" t="str">
        <v>tuberosum</v>
      </c>
      <c r="J51" t="str">
        <v/>
      </c>
      <c r="K51" t="str">
        <v>Solanum  tuberosum</v>
      </c>
      <c r="L51" t="str">
        <v>tuberosum</v>
      </c>
      <c r="M51" t="str">
        <v>Seed</v>
      </c>
      <c r="N51" t="str">
        <v>Aug</v>
      </c>
      <c r="O51" t="str">
        <v>MidReproductive</v>
      </c>
      <c r="P51" t="str">
        <v>Jan</v>
      </c>
      <c r="Q51">
        <v>60</v>
      </c>
      <c r="R51" t="str">
        <v>t/ha</v>
      </c>
      <c r="S51" t="str">
        <v>Saleable product</v>
      </c>
      <c r="T51">
        <v>1</v>
      </c>
      <c r="U51" t="str">
        <v>Total</v>
      </c>
      <c r="V51">
        <v>0</v>
      </c>
      <c r="W51">
        <v>0</v>
      </c>
      <c r="X51">
        <v>0.85000002384185791</v>
      </c>
      <c r="Y51">
        <v>0</v>
      </c>
      <c r="Z51">
        <v>76</v>
      </c>
      <c r="AA51">
        <v>0.10000000149011612</v>
      </c>
      <c r="AB51">
        <v>0.5</v>
      </c>
      <c r="AC51">
        <v>1</v>
      </c>
      <c r="AD51">
        <v>1.2000000476837158</v>
      </c>
      <c r="AE51">
        <v>0.89999997615814209</v>
      </c>
      <c r="AF51">
        <v>1.1499999761581421</v>
      </c>
      <c r="AG51">
        <v>1.5</v>
      </c>
    </row>
    <row r="52" spans="1:33">
      <c r="A52" t="str">
        <v>Maturity harvest Potato Short (Group1)</v>
      </c>
      <c r="B52">
        <v>102</v>
      </c>
      <c r="C52" t="str">
        <v>Potato</v>
      </c>
      <c r="D52" t="str">
        <v>Potato</v>
      </c>
      <c r="E52" t="str">
        <v>Maturity harvest</v>
      </c>
      <c r="F52" t="str">
        <v>Short (Group1)</v>
      </c>
      <c r="G52" t="str">
        <v>Solanaceae</v>
      </c>
      <c r="H52" t="str">
        <v>Solanum</v>
      </c>
      <c r="I52" t="str">
        <v>tuberosum</v>
      </c>
      <c r="J52" t="str">
        <v/>
      </c>
      <c r="K52" t="str">
        <v>Solanum  tuberosum</v>
      </c>
      <c r="L52" t="str">
        <v>tuberosum</v>
      </c>
      <c r="M52" t="str">
        <v>Seed</v>
      </c>
      <c r="N52" t="str">
        <v>Oct</v>
      </c>
      <c r="O52" t="str">
        <v>Maturity</v>
      </c>
      <c r="P52" t="str">
        <v>Apr</v>
      </c>
      <c r="Q52">
        <v>80</v>
      </c>
      <c r="R52" t="str">
        <v>t/ha</v>
      </c>
      <c r="S52" t="str">
        <v>Saleable product</v>
      </c>
      <c r="T52">
        <v>1</v>
      </c>
      <c r="U52" t="str">
        <v>Total</v>
      </c>
      <c r="V52">
        <v>0</v>
      </c>
      <c r="W52">
        <v>0</v>
      </c>
      <c r="X52">
        <v>0.92000001668930054</v>
      </c>
      <c r="Y52">
        <v>0</v>
      </c>
      <c r="Z52">
        <v>79</v>
      </c>
      <c r="AA52">
        <v>0.10000000149011612</v>
      </c>
      <c r="AB52">
        <v>0.60000002384185791</v>
      </c>
      <c r="AC52">
        <v>1</v>
      </c>
      <c r="AD52">
        <v>1.2000000476837158</v>
      </c>
      <c r="AE52">
        <v>0.89999997615814209</v>
      </c>
      <c r="AF52">
        <v>1.1499999761581421</v>
      </c>
      <c r="AG52">
        <v>1.5</v>
      </c>
    </row>
    <row r="53" spans="1:33">
      <c r="A53" t="str">
        <v>GroundStore Potato Short (Group1)</v>
      </c>
      <c r="B53">
        <v>103</v>
      </c>
      <c r="C53" t="str">
        <v>Potato</v>
      </c>
      <c r="D53" t="str">
        <v>Potato</v>
      </c>
      <c r="E53" t="str">
        <v>GroundStore</v>
      </c>
      <c r="F53" t="str">
        <v>Short (Group1)</v>
      </c>
      <c r="G53" t="str">
        <v>Solanaceae</v>
      </c>
      <c r="H53" t="str">
        <v>Solanum</v>
      </c>
      <c r="I53" t="str">
        <v>tuberosum</v>
      </c>
      <c r="J53" t="str">
        <v/>
      </c>
      <c r="K53" t="str">
        <v>Solanum  tuberosum</v>
      </c>
      <c r="L53" t="str">
        <v>tuberosum</v>
      </c>
      <c r="M53" t="str">
        <v>Seed</v>
      </c>
      <c r="N53" t="str">
        <v>Oct</v>
      </c>
      <c r="O53" t="str">
        <v>Late</v>
      </c>
      <c r="P53" t="str">
        <v>June</v>
      </c>
      <c r="Q53">
        <v>80</v>
      </c>
      <c r="R53" t="str">
        <v>t/ha</v>
      </c>
      <c r="S53" t="str">
        <v>Saleable product</v>
      </c>
      <c r="T53">
        <v>1</v>
      </c>
      <c r="U53" t="str">
        <v>Total</v>
      </c>
      <c r="V53">
        <v>0</v>
      </c>
      <c r="W53">
        <v>0</v>
      </c>
      <c r="X53">
        <v>0.92000001668930054</v>
      </c>
      <c r="Y53">
        <v>0</v>
      </c>
      <c r="Z53">
        <v>79</v>
      </c>
      <c r="AA53">
        <v>0.10000000149011612</v>
      </c>
      <c r="AB53">
        <v>0.60000002384185791</v>
      </c>
      <c r="AC53">
        <v>1</v>
      </c>
      <c r="AD53">
        <v>1.2000000476837158</v>
      </c>
      <c r="AE53">
        <v>0.89999997615814209</v>
      </c>
      <c r="AF53">
        <v>1.1499999761581421</v>
      </c>
      <c r="AG53">
        <v>1.5</v>
      </c>
    </row>
    <row r="54" spans="1:33">
      <c r="A54" t="str">
        <v>Early harvest Potato Medium (Group2)</v>
      </c>
      <c r="B54">
        <v>104</v>
      </c>
      <c r="C54" t="str">
        <v>Potato</v>
      </c>
      <c r="D54" t="str">
        <v>Potato</v>
      </c>
      <c r="E54" t="str">
        <v>Early harvest</v>
      </c>
      <c r="F54" t="str">
        <v>Medium (Group2)</v>
      </c>
      <c r="G54" t="str">
        <v>Solanaceae</v>
      </c>
      <c r="H54" t="str">
        <v>Solanum</v>
      </c>
      <c r="I54" t="str">
        <v>tuberosum</v>
      </c>
      <c r="J54" t="str">
        <v/>
      </c>
      <c r="K54" t="str">
        <v>Solanum  tuberosum</v>
      </c>
      <c r="L54" t="str">
        <v>tuberosum</v>
      </c>
      <c r="M54" t="str">
        <v>Seed</v>
      </c>
      <c r="N54" t="str">
        <v>Aug</v>
      </c>
      <c r="O54" t="str">
        <v>MidReproductive</v>
      </c>
      <c r="P54" t="str">
        <v>Jan</v>
      </c>
      <c r="Q54">
        <v>60</v>
      </c>
      <c r="R54" t="str">
        <v>t/ha</v>
      </c>
      <c r="S54" t="str">
        <v>Saleable product</v>
      </c>
      <c r="T54">
        <v>1</v>
      </c>
      <c r="U54" t="str">
        <v>Total</v>
      </c>
      <c r="V54">
        <v>0</v>
      </c>
      <c r="W54">
        <v>0</v>
      </c>
      <c r="X54">
        <v>0.85000002384185791</v>
      </c>
      <c r="Y54">
        <v>0</v>
      </c>
      <c r="Z54">
        <v>76</v>
      </c>
      <c r="AA54">
        <v>0.10000000149011612</v>
      </c>
      <c r="AB54">
        <v>0.60000002384185791</v>
      </c>
      <c r="AC54">
        <v>1</v>
      </c>
      <c r="AD54">
        <v>1.2000000476837158</v>
      </c>
      <c r="AE54">
        <v>0.89999997615814209</v>
      </c>
      <c r="AF54">
        <v>1.1499999761581421</v>
      </c>
      <c r="AG54">
        <v>1.5</v>
      </c>
    </row>
    <row r="55" spans="1:33">
      <c r="A55" t="str">
        <v>Maturity harvest Potato Medium (Group2)</v>
      </c>
      <c r="B55">
        <v>105</v>
      </c>
      <c r="C55" t="str">
        <v>Potato</v>
      </c>
      <c r="D55" t="str">
        <v>Potato</v>
      </c>
      <c r="E55" t="str">
        <v>Maturity harvest</v>
      </c>
      <c r="F55" t="str">
        <v>Medium (Group2)</v>
      </c>
      <c r="G55" t="str">
        <v>Solanaceae</v>
      </c>
      <c r="H55" t="str">
        <v>Solanum</v>
      </c>
      <c r="I55" t="str">
        <v>tuberosum</v>
      </c>
      <c r="J55" t="str">
        <v/>
      </c>
      <c r="K55" t="str">
        <v>Solanum  tuberosum</v>
      </c>
      <c r="L55" t="str">
        <v>tuberosum</v>
      </c>
      <c r="M55" t="str">
        <v>Seed</v>
      </c>
      <c r="N55" t="str">
        <v>Oct</v>
      </c>
      <c r="O55" t="str">
        <v>Maturity</v>
      </c>
      <c r="P55" t="str">
        <v>Apr</v>
      </c>
      <c r="Q55">
        <v>80</v>
      </c>
      <c r="R55" t="str">
        <v>t/ha</v>
      </c>
      <c r="S55" t="str">
        <v>Saleable product</v>
      </c>
      <c r="T55">
        <v>1</v>
      </c>
      <c r="U55" t="str">
        <v>Total</v>
      </c>
      <c r="V55">
        <v>0</v>
      </c>
      <c r="W55">
        <v>0</v>
      </c>
      <c r="X55">
        <v>0.92000001668930054</v>
      </c>
      <c r="Y55">
        <v>0</v>
      </c>
      <c r="Z55">
        <v>79</v>
      </c>
      <c r="AA55">
        <v>0.10000000149011612</v>
      </c>
      <c r="AB55">
        <v>0.69999998807907104</v>
      </c>
      <c r="AC55">
        <v>1</v>
      </c>
      <c r="AD55">
        <v>1.2000000476837158</v>
      </c>
      <c r="AE55">
        <v>0.89999997615814209</v>
      </c>
      <c r="AF55">
        <v>1.1499999761581421</v>
      </c>
      <c r="AG55">
        <v>1.5</v>
      </c>
    </row>
    <row r="56" spans="1:33">
      <c r="A56" t="str">
        <v>GroundStore Potato Medium (Group2)</v>
      </c>
      <c r="B56">
        <v>106</v>
      </c>
      <c r="C56" t="str">
        <v>Potato</v>
      </c>
      <c r="D56" t="str">
        <v>Potato</v>
      </c>
      <c r="E56" t="str">
        <v>GroundStore</v>
      </c>
      <c r="F56" t="str">
        <v>Medium (Group2)</v>
      </c>
      <c r="G56" t="str">
        <v>Solanaceae</v>
      </c>
      <c r="H56" t="str">
        <v>Solanum</v>
      </c>
      <c r="I56" t="str">
        <v>tuberosum</v>
      </c>
      <c r="J56" t="str">
        <v/>
      </c>
      <c r="K56" t="str">
        <v>Solanum  tuberosum</v>
      </c>
      <c r="L56" t="str">
        <v>tuberosum</v>
      </c>
      <c r="M56" t="str">
        <v>Seed</v>
      </c>
      <c r="N56" t="str">
        <v>Oct</v>
      </c>
      <c r="O56" t="str">
        <v>Late</v>
      </c>
      <c r="P56" t="str">
        <v>June</v>
      </c>
      <c r="Q56">
        <v>80</v>
      </c>
      <c r="R56" t="str">
        <v>t/ha</v>
      </c>
      <c r="S56" t="str">
        <v>Saleable product</v>
      </c>
      <c r="T56">
        <v>1</v>
      </c>
      <c r="U56" t="str">
        <v>Total</v>
      </c>
      <c r="V56">
        <v>0</v>
      </c>
      <c r="W56">
        <v>0</v>
      </c>
      <c r="X56">
        <v>0.92000001668930054</v>
      </c>
      <c r="Y56">
        <v>0</v>
      </c>
      <c r="Z56">
        <v>79</v>
      </c>
      <c r="AA56">
        <v>0.10000000149011612</v>
      </c>
      <c r="AB56">
        <v>0.69999998807907104</v>
      </c>
      <c r="AC56">
        <v>1</v>
      </c>
      <c r="AD56">
        <v>1.2000000476837158</v>
      </c>
      <c r="AE56">
        <v>0.89999997615814209</v>
      </c>
      <c r="AF56">
        <v>1.1499999761581421</v>
      </c>
      <c r="AG56">
        <v>1.5</v>
      </c>
    </row>
    <row r="57" spans="1:33">
      <c r="A57" t="str">
        <v>Early harvest Potato Long (Group3)</v>
      </c>
      <c r="B57">
        <v>107</v>
      </c>
      <c r="C57" t="str">
        <v>Potato</v>
      </c>
      <c r="D57" t="str">
        <v>Potato</v>
      </c>
      <c r="E57" t="str">
        <v>Early harvest</v>
      </c>
      <c r="F57" t="str">
        <v>Long (Group3)</v>
      </c>
      <c r="G57" t="str">
        <v>Solanaceae</v>
      </c>
      <c r="H57" t="str">
        <v>Solanum</v>
      </c>
      <c r="I57" t="str">
        <v>tuberosum</v>
      </c>
      <c r="J57" t="str">
        <v/>
      </c>
      <c r="K57" t="str">
        <v>Solanum  tuberosum</v>
      </c>
      <c r="L57" t="str">
        <v>tuberosum</v>
      </c>
      <c r="M57" t="str">
        <v>Seed</v>
      </c>
      <c r="N57" t="str">
        <v>Aug</v>
      </c>
      <c r="O57" t="str">
        <v>MidReproductive</v>
      </c>
      <c r="P57" t="str">
        <v>Jan</v>
      </c>
      <c r="Q57">
        <v>60</v>
      </c>
      <c r="R57" t="str">
        <v>t/ha</v>
      </c>
      <c r="S57" t="str">
        <v>Saleable product</v>
      </c>
      <c r="T57">
        <v>1</v>
      </c>
      <c r="U57" t="str">
        <v>Total</v>
      </c>
      <c r="V57">
        <v>0</v>
      </c>
      <c r="W57">
        <v>0</v>
      </c>
      <c r="X57">
        <v>0.85000002384185791</v>
      </c>
      <c r="Y57">
        <v>0</v>
      </c>
      <c r="Z57">
        <v>76</v>
      </c>
      <c r="AA57">
        <v>0.10000000149011612</v>
      </c>
      <c r="AB57">
        <v>0.69999998807907104</v>
      </c>
      <c r="AC57">
        <v>1</v>
      </c>
      <c r="AD57">
        <v>1.2000000476837158</v>
      </c>
      <c r="AE57">
        <v>0.89999997615814209</v>
      </c>
      <c r="AF57">
        <v>1.1499999761581421</v>
      </c>
      <c r="AG57">
        <v>1.5</v>
      </c>
    </row>
    <row r="58" spans="1:33">
      <c r="A58" t="str">
        <v>Maturity harvest Potato Long (Group3)</v>
      </c>
      <c r="B58">
        <v>108</v>
      </c>
      <c r="C58" t="str">
        <v>Potato</v>
      </c>
      <c r="D58" t="str">
        <v>Potato</v>
      </c>
      <c r="E58" t="str">
        <v>Maturity harvest</v>
      </c>
      <c r="F58" t="str">
        <v>Long (Group3)</v>
      </c>
      <c r="G58" t="str">
        <v>Solanaceae</v>
      </c>
      <c r="H58" t="str">
        <v>Solanum</v>
      </c>
      <c r="I58" t="str">
        <v>tuberosum</v>
      </c>
      <c r="J58" t="str">
        <v/>
      </c>
      <c r="K58" t="str">
        <v>Solanum  tuberosum</v>
      </c>
      <c r="L58" t="str">
        <v>tuberosum</v>
      </c>
      <c r="M58" t="str">
        <v>Seed</v>
      </c>
      <c r="N58" t="str">
        <v>Oct</v>
      </c>
      <c r="O58" t="str">
        <v>Maturity</v>
      </c>
      <c r="P58" t="str">
        <v>Apr</v>
      </c>
      <c r="Q58">
        <v>80</v>
      </c>
      <c r="R58" t="str">
        <v>t/ha</v>
      </c>
      <c r="S58" t="str">
        <v>Saleable product</v>
      </c>
      <c r="T58">
        <v>1</v>
      </c>
      <c r="U58" t="str">
        <v>Total</v>
      </c>
      <c r="V58">
        <v>0</v>
      </c>
      <c r="W58">
        <v>0</v>
      </c>
      <c r="X58">
        <v>0.92000001668930054</v>
      </c>
      <c r="Y58">
        <v>0</v>
      </c>
      <c r="Z58">
        <v>79</v>
      </c>
      <c r="AA58">
        <v>0.10000000149011612</v>
      </c>
      <c r="AB58">
        <v>0.80000001192092896</v>
      </c>
      <c r="AC58">
        <v>1</v>
      </c>
      <c r="AD58">
        <v>1.2000000476837158</v>
      </c>
      <c r="AE58">
        <v>0.89999997615814209</v>
      </c>
      <c r="AF58">
        <v>1.1499999761581421</v>
      </c>
      <c r="AG58">
        <v>1.5</v>
      </c>
    </row>
    <row r="59" spans="1:33">
      <c r="A59" t="str">
        <v>GroundStore Potato Long (Group3)</v>
      </c>
      <c r="B59">
        <v>109</v>
      </c>
      <c r="C59" t="str">
        <v>Potato</v>
      </c>
      <c r="D59" t="str">
        <v>Potato</v>
      </c>
      <c r="E59" t="str">
        <v>GroundStore</v>
      </c>
      <c r="F59" t="str">
        <v>Long (Group3)</v>
      </c>
      <c r="G59" t="str">
        <v>Solanaceae</v>
      </c>
      <c r="H59" t="str">
        <v>Solanum</v>
      </c>
      <c r="I59" t="str">
        <v>tuberosum</v>
      </c>
      <c r="J59" t="str">
        <v/>
      </c>
      <c r="K59" t="str">
        <v>Solanum  tuberosum</v>
      </c>
      <c r="L59" t="str">
        <v>tuberosum</v>
      </c>
      <c r="M59" t="str">
        <v>Seed</v>
      </c>
      <c r="N59" t="str">
        <v>Oct</v>
      </c>
      <c r="O59" t="str">
        <v>Late</v>
      </c>
      <c r="P59" t="str">
        <v>June</v>
      </c>
      <c r="Q59">
        <v>80</v>
      </c>
      <c r="R59" t="str">
        <v>t/ha</v>
      </c>
      <c r="S59" t="str">
        <v>Saleable product</v>
      </c>
      <c r="T59">
        <v>1</v>
      </c>
      <c r="U59" t="str">
        <v>Total</v>
      </c>
      <c r="V59">
        <v>0</v>
      </c>
      <c r="W59">
        <v>0</v>
      </c>
      <c r="X59">
        <v>0.92000001668930054</v>
      </c>
      <c r="Y59">
        <v>0</v>
      </c>
      <c r="Z59">
        <v>79</v>
      </c>
      <c r="AA59">
        <v>0.10000000149011612</v>
      </c>
      <c r="AB59">
        <v>0.80000001192092896</v>
      </c>
      <c r="AC59">
        <v>1</v>
      </c>
      <c r="AD59">
        <v>1.2000000476837158</v>
      </c>
      <c r="AE59">
        <v>0.89999997615814209</v>
      </c>
      <c r="AF59">
        <v>1.1499999761581421</v>
      </c>
      <c r="AG59">
        <v>1.5</v>
      </c>
    </row>
    <row r="60" spans="1:33">
      <c r="A60" t="str">
        <v>Early harvest Potato Very Long (Group4)</v>
      </c>
      <c r="B60">
        <v>110</v>
      </c>
      <c r="C60" t="str">
        <v>Potato</v>
      </c>
      <c r="D60" t="str">
        <v>Potato</v>
      </c>
      <c r="E60" t="str">
        <v>Early harvest</v>
      </c>
      <c r="F60" t="str">
        <v>Very Long (Group4)</v>
      </c>
      <c r="G60" t="str">
        <v>Solanaceae</v>
      </c>
      <c r="H60" t="str">
        <v>Solanum</v>
      </c>
      <c r="I60" t="str">
        <v>tuberosum</v>
      </c>
      <c r="J60" t="str">
        <v/>
      </c>
      <c r="K60" t="str">
        <v>Solanum  tuberosum</v>
      </c>
      <c r="L60" t="str">
        <v>tuberosum</v>
      </c>
      <c r="M60" t="str">
        <v>Seed</v>
      </c>
      <c r="N60" t="str">
        <v>Aug</v>
      </c>
      <c r="O60" t="str">
        <v>MidReproductive</v>
      </c>
      <c r="P60" t="str">
        <v>Jan</v>
      </c>
      <c r="Q60">
        <v>60</v>
      </c>
      <c r="R60" t="str">
        <v>t/ha</v>
      </c>
      <c r="S60" t="str">
        <v>Saleable product</v>
      </c>
      <c r="T60">
        <v>1</v>
      </c>
      <c r="U60" t="str">
        <v>Total</v>
      </c>
      <c r="V60">
        <v>0</v>
      </c>
      <c r="W60">
        <v>0</v>
      </c>
      <c r="X60">
        <v>0.85000002384185791</v>
      </c>
      <c r="Y60">
        <v>0</v>
      </c>
      <c r="Z60">
        <v>76</v>
      </c>
      <c r="AA60">
        <v>0.10000000149011612</v>
      </c>
      <c r="AB60">
        <v>0.80000001192092896</v>
      </c>
      <c r="AC60">
        <v>1</v>
      </c>
      <c r="AD60">
        <v>1.2000000476837158</v>
      </c>
      <c r="AE60">
        <v>0.89999997615814209</v>
      </c>
      <c r="AF60">
        <v>1.1499999761581421</v>
      </c>
      <c r="AG60">
        <v>1.5</v>
      </c>
    </row>
    <row r="61" spans="1:33">
      <c r="A61" t="str">
        <v>Maturity harvest Potato Very Long (Group4)</v>
      </c>
      <c r="B61">
        <v>111</v>
      </c>
      <c r="C61" t="str">
        <v>Potato</v>
      </c>
      <c r="D61" t="str">
        <v>Potato</v>
      </c>
      <c r="E61" t="str">
        <v>Maturity harvest</v>
      </c>
      <c r="F61" t="str">
        <v>Very Long (Group4)</v>
      </c>
      <c r="G61" t="str">
        <v>Solanaceae</v>
      </c>
      <c r="H61" t="str">
        <v>Solanum</v>
      </c>
      <c r="I61" t="str">
        <v>tuberosum</v>
      </c>
      <c r="J61" t="str">
        <v/>
      </c>
      <c r="K61" t="str">
        <v>Solanum  tuberosum</v>
      </c>
      <c r="L61" t="str">
        <v>tuberosum</v>
      </c>
      <c r="M61" t="str">
        <v>Seed</v>
      </c>
      <c r="N61" t="str">
        <v>Oct</v>
      </c>
      <c r="O61" t="str">
        <v>Maturity</v>
      </c>
      <c r="P61" t="str">
        <v>Apr</v>
      </c>
      <c r="Q61">
        <v>80</v>
      </c>
      <c r="R61" t="str">
        <v>t/ha</v>
      </c>
      <c r="S61" t="str">
        <v>Saleable product</v>
      </c>
      <c r="T61">
        <v>1</v>
      </c>
      <c r="U61" t="str">
        <v>Total</v>
      </c>
      <c r="V61">
        <v>0</v>
      </c>
      <c r="W61">
        <v>0</v>
      </c>
      <c r="X61">
        <v>0.92000001668930054</v>
      </c>
      <c r="Y61">
        <v>0</v>
      </c>
      <c r="Z61">
        <v>79</v>
      </c>
      <c r="AA61">
        <v>0.10000000149011612</v>
      </c>
      <c r="AB61">
        <v>0.89999997615814209</v>
      </c>
      <c r="AC61">
        <v>1</v>
      </c>
      <c r="AD61">
        <v>1.2000000476837158</v>
      </c>
      <c r="AE61">
        <v>0.89999997615814209</v>
      </c>
      <c r="AF61">
        <v>1.1499999761581421</v>
      </c>
      <c r="AG61">
        <v>1.5</v>
      </c>
    </row>
    <row r="62" spans="1:33">
      <c r="A62" t="str">
        <v>GroundStore Potato Very Long (Group4)</v>
      </c>
      <c r="B62">
        <v>112</v>
      </c>
      <c r="C62" t="str">
        <v>Potato</v>
      </c>
      <c r="D62" t="str">
        <v>Potato</v>
      </c>
      <c r="E62" t="str">
        <v>GroundStore</v>
      </c>
      <c r="F62" t="str">
        <v>Very Long (Group4)</v>
      </c>
      <c r="G62" t="str">
        <v>Solanaceae</v>
      </c>
      <c r="H62" t="str">
        <v>Solanum</v>
      </c>
      <c r="I62" t="str">
        <v>tuberosum</v>
      </c>
      <c r="J62" t="str">
        <v/>
      </c>
      <c r="K62" t="str">
        <v>Solanum  tuberosum</v>
      </c>
      <c r="L62" t="str">
        <v>tuberosum</v>
      </c>
      <c r="M62" t="str">
        <v>Seed</v>
      </c>
      <c r="N62" t="str">
        <v>Oct</v>
      </c>
      <c r="O62" t="str">
        <v>Late</v>
      </c>
      <c r="P62" t="str">
        <v>June</v>
      </c>
      <c r="Q62">
        <v>80</v>
      </c>
      <c r="R62" t="str">
        <v>t/ha</v>
      </c>
      <c r="S62" t="str">
        <v>Saleable product</v>
      </c>
      <c r="T62">
        <v>1</v>
      </c>
      <c r="U62" t="str">
        <v>Total</v>
      </c>
      <c r="V62">
        <v>0</v>
      </c>
      <c r="W62">
        <v>0</v>
      </c>
      <c r="X62">
        <v>0.92000001668930054</v>
      </c>
      <c r="Y62">
        <v>0</v>
      </c>
      <c r="Z62">
        <v>79</v>
      </c>
      <c r="AA62">
        <v>0.10000000149011612</v>
      </c>
      <c r="AB62">
        <v>0.89999997615814209</v>
      </c>
      <c r="AC62">
        <v>1</v>
      </c>
      <c r="AD62">
        <v>1.2000000476837158</v>
      </c>
      <c r="AE62">
        <v>0.89999997615814209</v>
      </c>
      <c r="AF62">
        <v>1.1499999761581421</v>
      </c>
      <c r="AG62">
        <v>1.5</v>
      </c>
    </row>
    <row r="63" spans="1:33">
      <c r="A63" t="str">
        <v>Rape Seed General</v>
      </c>
      <c r="B63">
        <v>27</v>
      </c>
      <c r="C63" t="str">
        <v>Seed</v>
      </c>
      <c r="D63" t="str">
        <v>Fodder</v>
      </c>
      <c r="E63" t="str">
        <v>Rape</v>
      </c>
      <c r="F63" t="str">
        <v>General</v>
      </c>
      <c r="G63" t="str">
        <v>Brassicaceae</v>
      </c>
      <c r="H63" t="str">
        <v>Brassica</v>
      </c>
      <c r="I63" t="str">
        <v>napus</v>
      </c>
      <c r="J63" t="str">
        <v>napus</v>
      </c>
      <c r="K63" t="str">
        <v>Brassica napus napus</v>
      </c>
      <c r="L63" t="str">
        <v>napus napus</v>
      </c>
      <c r="M63" t="str">
        <v>Seed</v>
      </c>
      <c r="N63" t="str">
        <v>Apr</v>
      </c>
      <c r="O63" t="str">
        <v>LateReproductive</v>
      </c>
      <c r="P63" t="str">
        <v>Feb</v>
      </c>
      <c r="Q63">
        <v>4</v>
      </c>
      <c r="R63" t="str">
        <v>t/ha</v>
      </c>
      <c r="S63" t="str">
        <v>Saleable seed</v>
      </c>
      <c r="T63">
        <v>1</v>
      </c>
      <c r="U63" t="str">
        <v>Total</v>
      </c>
      <c r="V63">
        <v>3</v>
      </c>
      <c r="W63">
        <v>0</v>
      </c>
      <c r="X63">
        <v>0.33000001311302185</v>
      </c>
      <c r="Y63">
        <v>7.9999998211860657E-2</v>
      </c>
      <c r="Z63">
        <v>10</v>
      </c>
      <c r="AA63">
        <v>0.10000000149011612</v>
      </c>
      <c r="AB63">
        <v>1.2000000476837158</v>
      </c>
      <c r="AC63">
        <v>1</v>
      </c>
      <c r="AD63">
        <v>1.6000000238418579</v>
      </c>
      <c r="AE63">
        <v>0.80000001192092896</v>
      </c>
      <c r="AF63">
        <v>1.7999999523162842</v>
      </c>
      <c r="AG63">
        <v>5</v>
      </c>
    </row>
    <row r="64" spans="1:33">
      <c r="A64" t="str">
        <v>Cocksfoot Seed General</v>
      </c>
      <c r="B64">
        <v>29</v>
      </c>
      <c r="C64" t="str">
        <v>Seed</v>
      </c>
      <c r="D64" t="str">
        <v>Forage</v>
      </c>
      <c r="E64" t="str">
        <v>Cocksfoot</v>
      </c>
      <c r="F64" t="str">
        <v>General</v>
      </c>
      <c r="G64" t="str">
        <v>Poaceae</v>
      </c>
      <c r="H64" t="str">
        <v>Dactylus</v>
      </c>
      <c r="I64" t="str">
        <v>glomerata</v>
      </c>
      <c r="J64" t="str">
        <v/>
      </c>
      <c r="K64" t="str">
        <v>Dactylus glomerata</v>
      </c>
      <c r="L64" t="str">
        <v>glomerata</v>
      </c>
      <c r="M64" t="str">
        <v>Seed</v>
      </c>
      <c r="N64" t="str">
        <v>Feb</v>
      </c>
      <c r="O64" t="str">
        <v>LateReproductive</v>
      </c>
      <c r="P64" t="str">
        <v>Jan</v>
      </c>
      <c r="Q64">
        <v>1</v>
      </c>
      <c r="R64" t="str">
        <v>t/ha</v>
      </c>
      <c r="S64" t="str">
        <v>Saleable seed</v>
      </c>
      <c r="T64">
        <v>1</v>
      </c>
      <c r="U64" t="str">
        <v>Total</v>
      </c>
      <c r="V64">
        <v>10</v>
      </c>
      <c r="W64">
        <v>0</v>
      </c>
      <c r="X64">
        <v>9.0000003576278687E-2</v>
      </c>
      <c r="Y64">
        <v>2.9999999329447746E-2</v>
      </c>
      <c r="Z64">
        <v>15</v>
      </c>
      <c r="AA64">
        <v>0.10000000149011612</v>
      </c>
      <c r="AB64">
        <v>1</v>
      </c>
      <c r="AC64">
        <v>1</v>
      </c>
      <c r="AD64">
        <v>0.80000001192092896</v>
      </c>
      <c r="AE64">
        <v>0.89999997615814209</v>
      </c>
      <c r="AF64">
        <v>1.2000000476837158</v>
      </c>
      <c r="AG64">
        <v>2</v>
      </c>
    </row>
    <row r="65" spans="1:33">
      <c r="A65" t="str">
        <v>Ryegrass Seed General</v>
      </c>
      <c r="B65">
        <v>31</v>
      </c>
      <c r="C65" t="str">
        <v>Seed</v>
      </c>
      <c r="D65" t="str">
        <v>Forage</v>
      </c>
      <c r="E65" t="str">
        <v>Ryegrass</v>
      </c>
      <c r="F65" t="str">
        <v>General</v>
      </c>
      <c r="G65" t="str">
        <v>Poaceae</v>
      </c>
      <c r="H65" t="str">
        <v>Lolium</v>
      </c>
      <c r="I65" t="str">
        <v>perenne</v>
      </c>
      <c r="J65" t="str">
        <v/>
      </c>
      <c r="K65" t="str">
        <v>Lolium perenne</v>
      </c>
      <c r="L65" t="str">
        <v>perenne</v>
      </c>
      <c r="M65" t="str">
        <v>Seed</v>
      </c>
      <c r="N65" t="str">
        <v>Apr</v>
      </c>
      <c r="O65" t="str">
        <v>LateReproductive</v>
      </c>
      <c r="P65" t="str">
        <v>Jan</v>
      </c>
      <c r="Q65">
        <v>2.0699999332427979</v>
      </c>
      <c r="R65" t="str">
        <v>t/ha</v>
      </c>
      <c r="S65" t="str">
        <v>Saleable seed</v>
      </c>
      <c r="T65">
        <v>1</v>
      </c>
      <c r="U65" t="str">
        <v>Total</v>
      </c>
      <c r="V65">
        <v>15</v>
      </c>
      <c r="W65">
        <v>0</v>
      </c>
      <c r="X65">
        <v>0.20350000262260437</v>
      </c>
      <c r="Y65">
        <v>0.10350000113248825</v>
      </c>
      <c r="Z65">
        <v>14</v>
      </c>
      <c r="AA65">
        <v>0.10000000149011612</v>
      </c>
      <c r="AB65">
        <v>0.89999997615814209</v>
      </c>
      <c r="AC65">
        <v>1</v>
      </c>
      <c r="AD65">
        <v>1.5</v>
      </c>
      <c r="AE65">
        <v>0.89999997615814209</v>
      </c>
      <c r="AF65">
        <v>1.5</v>
      </c>
      <c r="AG65">
        <v>2.5</v>
      </c>
    </row>
    <row r="66" spans="1:33">
      <c r="A66" t="str">
        <v>White clover Seed General</v>
      </c>
      <c r="B66">
        <v>33</v>
      </c>
      <c r="C66" t="str">
        <v>Seed</v>
      </c>
      <c r="D66" t="str">
        <v>Forage</v>
      </c>
      <c r="E66" t="str">
        <v>White clover</v>
      </c>
      <c r="F66" t="str">
        <v>General</v>
      </c>
      <c r="G66" t="str">
        <v>Fabaceae</v>
      </c>
      <c r="H66" t="str">
        <v>Trifolium</v>
      </c>
      <c r="I66" t="str">
        <v>repens</v>
      </c>
      <c r="J66" t="str">
        <v/>
      </c>
      <c r="K66" t="str">
        <v>Trifolium repens</v>
      </c>
      <c r="L66" t="str">
        <v>repens</v>
      </c>
      <c r="M66" t="str">
        <v>Seed</v>
      </c>
      <c r="N66" t="str">
        <v>Mar</v>
      </c>
      <c r="O66" t="str">
        <v>LateReproductive</v>
      </c>
      <c r="P66" t="str">
        <v>Feb</v>
      </c>
      <c r="Q66">
        <v>0.60000002384185791</v>
      </c>
      <c r="R66" t="str">
        <v>t/ha</v>
      </c>
      <c r="S66" t="str">
        <v>Saleable seed</v>
      </c>
      <c r="T66">
        <v>1</v>
      </c>
      <c r="U66" t="str">
        <v>Total</v>
      </c>
      <c r="V66">
        <v>20</v>
      </c>
      <c r="W66">
        <v>0</v>
      </c>
      <c r="X66">
        <v>0.15000000596046448</v>
      </c>
      <c r="Y66">
        <v>9.0000003576278687E-2</v>
      </c>
      <c r="Z66">
        <v>14</v>
      </c>
      <c r="AA66">
        <v>0.10000000149011612</v>
      </c>
      <c r="AB66">
        <v>0.89999997615814209</v>
      </c>
      <c r="AC66">
        <v>1</v>
      </c>
      <c r="AD66">
        <v>0.60000002384185791</v>
      </c>
      <c r="AE66">
        <v>1.5</v>
      </c>
      <c r="AF66">
        <v>4</v>
      </c>
      <c r="AG66">
        <v>3</v>
      </c>
    </row>
    <row r="67" spans="1:33">
      <c r="A67" t="str">
        <v>Tall fescue Seed Turf</v>
      </c>
      <c r="B67">
        <v>85</v>
      </c>
      <c r="C67" t="str">
        <v>Seed</v>
      </c>
      <c r="D67" t="str">
        <v>Forage</v>
      </c>
      <c r="E67" t="str">
        <v>Tall fescue</v>
      </c>
      <c r="F67" t="str">
        <v>Turf</v>
      </c>
      <c r="G67" t="str">
        <v>Tall fescue Seed Turf</v>
      </c>
      <c r="H67" t="str">
        <v>Poaceae</v>
      </c>
      <c r="I67" t="str">
        <v>Festuca</v>
      </c>
      <c r="J67" t="str">
        <v>arundinacea</v>
      </c>
      <c r="K67" t="str">
        <v>x</v>
      </c>
      <c r="L67" t="str">
        <v>Festuca arundinacea</v>
      </c>
      <c r="M67" t="str">
        <v>Seed</v>
      </c>
      <c r="N67" t="str">
        <v>May</v>
      </c>
      <c r="O67" t="str">
        <v>LateReproductive</v>
      </c>
      <c r="P67" t="str">
        <v>Jan</v>
      </c>
      <c r="Q67">
        <v>1.7999999523162842</v>
      </c>
      <c r="R67" t="str">
        <v>t/ha</v>
      </c>
      <c r="S67" t="str">
        <v>Saleable seed</v>
      </c>
      <c r="T67">
        <v>1</v>
      </c>
      <c r="U67" t="str">
        <v>Total</v>
      </c>
      <c r="V67">
        <v>15</v>
      </c>
      <c r="W67">
        <v>5</v>
      </c>
      <c r="X67">
        <v>0.15000000596046448</v>
      </c>
      <c r="Y67">
        <v>0.10000000149011612</v>
      </c>
      <c r="Z67">
        <v>15</v>
      </c>
      <c r="AA67">
        <v>0.10000000149011612</v>
      </c>
      <c r="AB67">
        <v>0.60000002384185791</v>
      </c>
      <c r="AC67">
        <v>1</v>
      </c>
      <c r="AD67">
        <v>0.69999998807907104</v>
      </c>
      <c r="AE67">
        <v>0.89999997615814209</v>
      </c>
      <c r="AF67">
        <v>1.5</v>
      </c>
      <c r="AG67">
        <v>2.5</v>
      </c>
    </row>
    <row r="68" spans="1:33">
      <c r="A68" t="str">
        <v>Pumpkin Seed General</v>
      </c>
      <c r="B68">
        <v>84</v>
      </c>
      <c r="C68" t="str">
        <v>Seed</v>
      </c>
      <c r="D68" t="str">
        <v>Fruit</v>
      </c>
      <c r="E68" t="str">
        <v>Pumpkin</v>
      </c>
      <c r="F68" t="str">
        <v>General</v>
      </c>
      <c r="G68" t="str">
        <v>Cucurbitaceae</v>
      </c>
      <c r="H68" t="str">
        <v>Cucurbita</v>
      </c>
      <c r="I68" t="str">
        <v>pepo</v>
      </c>
      <c r="J68" t="str">
        <v/>
      </c>
      <c r="K68" t="str">
        <v>Cucurbita pepo</v>
      </c>
      <c r="L68" t="str">
        <v>pepo</v>
      </c>
      <c r="M68" t="str">
        <v>Seed</v>
      </c>
      <c r="N68" t="str">
        <v>Oct</v>
      </c>
      <c r="O68" t="str">
        <v>LateReproductive</v>
      </c>
      <c r="P68" t="str">
        <v>Mar</v>
      </c>
      <c r="Q68">
        <v>0.80000001192092896</v>
      </c>
      <c r="R68" t="str">
        <v>t/ha</v>
      </c>
      <c r="S68" t="str">
        <v>Saleable product</v>
      </c>
      <c r="T68">
        <v>1</v>
      </c>
      <c r="U68" t="str">
        <v>Total</v>
      </c>
      <c r="V68">
        <v>0</v>
      </c>
      <c r="W68">
        <v>0</v>
      </c>
      <c r="X68">
        <v>0.10000000149011612</v>
      </c>
      <c r="Y68">
        <v>0</v>
      </c>
      <c r="Z68">
        <v>14</v>
      </c>
      <c r="AA68">
        <v>0.10000000149011612</v>
      </c>
      <c r="AB68">
        <v>0.80000001192092896</v>
      </c>
      <c r="AC68">
        <v>1</v>
      </c>
      <c r="AD68">
        <v>1</v>
      </c>
      <c r="AE68">
        <v>1</v>
      </c>
      <c r="AF68">
        <v>1.3999999761581421</v>
      </c>
      <c r="AG68">
        <v>2</v>
      </c>
    </row>
    <row r="69" spans="1:33">
      <c r="A69" t="str">
        <v>Pak choi Seed General</v>
      </c>
      <c r="B69">
        <v>28</v>
      </c>
      <c r="C69" t="str">
        <v>Seed</v>
      </c>
      <c r="D69" t="str">
        <v>Vegetable</v>
      </c>
      <c r="E69" t="str">
        <v>Pak choi</v>
      </c>
      <c r="F69" t="str">
        <v>General</v>
      </c>
      <c r="G69" t="str">
        <v>Brassicaceae</v>
      </c>
      <c r="H69" t="str">
        <v>Brassica</v>
      </c>
      <c r="I69" t="str">
        <v>rapa</v>
      </c>
      <c r="J69" t="str">
        <v>chinensis</v>
      </c>
      <c r="K69" t="str">
        <v>Brassica rapa chinensis</v>
      </c>
      <c r="L69" t="str">
        <v>rapa chinensis</v>
      </c>
      <c r="M69" t="str">
        <v>Seed</v>
      </c>
      <c r="N69" t="str">
        <v>Sep</v>
      </c>
      <c r="O69" t="str">
        <v>LateReproductive</v>
      </c>
      <c r="P69" t="str">
        <v>Feb</v>
      </c>
      <c r="Q69">
        <v>1.2999999523162842</v>
      </c>
      <c r="R69" t="str">
        <v>t/ha</v>
      </c>
      <c r="S69" t="str">
        <v>Saleable seed</v>
      </c>
      <c r="T69">
        <v>1</v>
      </c>
      <c r="U69" t="str">
        <v>Total</v>
      </c>
      <c r="V69">
        <v>0</v>
      </c>
      <c r="W69">
        <v>0</v>
      </c>
      <c r="X69">
        <v>0.24500000476837158</v>
      </c>
      <c r="Y69">
        <v>0.14000000059604645</v>
      </c>
      <c r="Z69">
        <v>8</v>
      </c>
      <c r="AA69">
        <v>0.10000000149011612</v>
      </c>
      <c r="AB69">
        <v>1.2000000476837158</v>
      </c>
      <c r="AC69">
        <v>0.85000002384185791</v>
      </c>
      <c r="AD69">
        <v>1.5</v>
      </c>
      <c r="AE69">
        <v>0.80000001192092896</v>
      </c>
      <c r="AF69">
        <v>1.1000000238418579</v>
      </c>
      <c r="AG69">
        <v>3.2000000476837158</v>
      </c>
    </row>
    <row r="70" spans="1:33">
      <c r="A70" t="str">
        <v>Red beet Seed General</v>
      </c>
      <c r="B70">
        <v>26</v>
      </c>
      <c r="C70" t="str">
        <v>Seed</v>
      </c>
      <c r="D70" t="str">
        <v>Vegetable</v>
      </c>
      <c r="E70" t="str">
        <v>Red beet</v>
      </c>
      <c r="F70" t="str">
        <v>General</v>
      </c>
      <c r="G70" t="str">
        <v>Amaranthaceae</v>
      </c>
      <c r="H70" t="str">
        <v>Beta</v>
      </c>
      <c r="I70" t="str">
        <v>vulgaris</v>
      </c>
      <c r="J70" t="str">
        <v>conditiva</v>
      </c>
      <c r="K70" t="str">
        <v>Beta vulgaris conditiva</v>
      </c>
      <c r="L70" t="str">
        <v>vulgaris conditiva</v>
      </c>
      <c r="M70" t="str">
        <v>Seed</v>
      </c>
      <c r="N70" t="str">
        <v>Apr</v>
      </c>
      <c r="O70" t="str">
        <v>LateReproductive</v>
      </c>
      <c r="P70" t="str">
        <v>Mar</v>
      </c>
      <c r="Q70">
        <v>1.2000000476837158</v>
      </c>
      <c r="R70" t="str">
        <v>t/ha</v>
      </c>
      <c r="S70" t="str">
        <v>Saleable seed</v>
      </c>
      <c r="T70">
        <v>1</v>
      </c>
      <c r="U70" t="str">
        <v>Total</v>
      </c>
      <c r="V70">
        <v>15</v>
      </c>
      <c r="W70">
        <v>0</v>
      </c>
      <c r="X70">
        <v>0.17000000178813934</v>
      </c>
      <c r="Y70">
        <v>7.0000000298023224E-2</v>
      </c>
      <c r="Z70">
        <v>15</v>
      </c>
      <c r="AA70">
        <v>0.10000000149011612</v>
      </c>
      <c r="AB70">
        <v>1.5</v>
      </c>
      <c r="AC70">
        <v>0.85000002384185791</v>
      </c>
      <c r="AD70">
        <v>0.80000001192092896</v>
      </c>
      <c r="AE70">
        <v>0.80000001192092896</v>
      </c>
      <c r="AF70">
        <v>1.7999999523162842</v>
      </c>
      <c r="AG70">
        <v>2.0999999046325684</v>
      </c>
    </row>
    <row r="71" spans="1:33">
      <c r="A71" t="str">
        <v>Carrot Seed General</v>
      </c>
      <c r="B71">
        <v>30</v>
      </c>
      <c r="C71" t="str">
        <v>Seed</v>
      </c>
      <c r="D71" t="str">
        <v>Vegetable</v>
      </c>
      <c r="E71" t="str">
        <v>Carrot</v>
      </c>
      <c r="F71" t="str">
        <v>General</v>
      </c>
      <c r="G71" t="str">
        <v>Apiaceae</v>
      </c>
      <c r="H71" t="str">
        <v>Daucus</v>
      </c>
      <c r="I71" t="str">
        <v>carota</v>
      </c>
      <c r="J71" t="str">
        <v/>
      </c>
      <c r="K71" t="str">
        <v>Daucus carota</v>
      </c>
      <c r="L71" t="str">
        <v>carota</v>
      </c>
      <c r="M71" t="str">
        <v>Seed</v>
      </c>
      <c r="N71" t="str">
        <v>Feb</v>
      </c>
      <c r="O71" t="str">
        <v>LateReproductive</v>
      </c>
      <c r="P71" t="str">
        <v>Feb</v>
      </c>
      <c r="Q71">
        <v>0.69999998807907104</v>
      </c>
      <c r="R71" t="str">
        <v>t/ha</v>
      </c>
      <c r="S71" t="str">
        <v>Saleable seed</v>
      </c>
      <c r="T71">
        <v>1</v>
      </c>
      <c r="U71" t="str">
        <v>Total</v>
      </c>
      <c r="V71">
        <v>0</v>
      </c>
      <c r="W71">
        <v>0</v>
      </c>
      <c r="X71">
        <v>0.11999999731779099</v>
      </c>
      <c r="Y71">
        <v>7.9999998211860657E-2</v>
      </c>
      <c r="Z71">
        <v>15</v>
      </c>
      <c r="AA71">
        <v>0.10000000149011612</v>
      </c>
      <c r="AB71">
        <v>1.2000000476837158</v>
      </c>
      <c r="AC71">
        <v>0.85000002384185791</v>
      </c>
      <c r="AD71">
        <v>0.69999998807907104</v>
      </c>
      <c r="AE71">
        <v>0.89999997615814209</v>
      </c>
      <c r="AF71">
        <v>1.2000000476837158</v>
      </c>
      <c r="AG71">
        <v>3.4000000953674316</v>
      </c>
    </row>
    <row r="72" spans="1:33">
      <c r="A72" t="str">
        <v>Radish Seed Open pollinated</v>
      </c>
      <c r="B72">
        <v>32</v>
      </c>
      <c r="C72" t="str">
        <v>Seed</v>
      </c>
      <c r="D72" t="str">
        <v>Vegetable</v>
      </c>
      <c r="E72" t="str">
        <v>Radish</v>
      </c>
      <c r="F72" t="str">
        <v>Open pollinated</v>
      </c>
      <c r="G72" t="str">
        <v>Brassicaceae</v>
      </c>
      <c r="H72" t="str">
        <v>Raphanus</v>
      </c>
      <c r="I72" t="str">
        <v>raphanistrum</v>
      </c>
      <c r="J72" t="str">
        <v>sativa</v>
      </c>
      <c r="K72" t="str">
        <v>Raphanus raphanistrum sativa</v>
      </c>
      <c r="L72" t="str">
        <v>raphanistrum sativa</v>
      </c>
      <c r="M72" t="str">
        <v>Seed</v>
      </c>
      <c r="N72" t="str">
        <v>Sep</v>
      </c>
      <c r="O72" t="str">
        <v>LateReproductive</v>
      </c>
      <c r="P72" t="str">
        <v>Feb</v>
      </c>
      <c r="Q72">
        <v>1.7999999523162842</v>
      </c>
      <c r="R72" t="str">
        <v>t/ha</v>
      </c>
      <c r="S72" t="str">
        <v>Saleable seed</v>
      </c>
      <c r="T72">
        <v>1</v>
      </c>
      <c r="U72" t="str">
        <v>Total</v>
      </c>
      <c r="V72">
        <v>30</v>
      </c>
      <c r="W72">
        <v>0</v>
      </c>
      <c r="X72">
        <v>0.17800000309944153</v>
      </c>
      <c r="Y72">
        <v>0.1080000028014183</v>
      </c>
      <c r="Z72">
        <v>10</v>
      </c>
      <c r="AA72">
        <v>0.10000000149011612</v>
      </c>
      <c r="AB72">
        <v>1.2000000476837158</v>
      </c>
      <c r="AC72">
        <v>0.85000002384185791</v>
      </c>
      <c r="AD72">
        <v>1.1000000238418579</v>
      </c>
      <c r="AE72">
        <v>0.80000001192092896</v>
      </c>
      <c r="AF72">
        <v>1.6000000238418579</v>
      </c>
      <c r="AG72">
        <v>4.5</v>
      </c>
    </row>
    <row r="73" spans="1:33">
      <c r="A73" t="str">
        <v>TestResidue05</v>
      </c>
      <c r="B73">
        <v>78</v>
      </c>
      <c r="C73" t="str">
        <v>Testing</v>
      </c>
      <c r="D73" t="str">
        <v/>
      </c>
      <c r="E73" t="str">
        <v/>
      </c>
      <c r="F73" t="str">
        <v/>
      </c>
      <c r="G73" t="str">
        <v/>
      </c>
      <c r="H73" t="str">
        <v/>
      </c>
      <c r="I73" t="str">
        <v/>
      </c>
      <c r="J73" t="str">
        <v/>
      </c>
      <c r="K73" t="str">
        <v/>
      </c>
      <c r="L73" t="str">
        <v/>
      </c>
      <c r="M73" t="str">
        <v>Seed</v>
      </c>
      <c r="N73" t="str">
        <v>Apr</v>
      </c>
      <c r="O73" t="str">
        <v>Maturity</v>
      </c>
      <c r="P73" t="str">
        <v>Feb</v>
      </c>
      <c r="Q73">
        <v>12</v>
      </c>
      <c r="R73" t="str">
        <v>t/ha</v>
      </c>
      <c r="S73" t="str">
        <v>Saleable grain</v>
      </c>
      <c r="T73">
        <v>1</v>
      </c>
      <c r="U73" t="str">
        <v>Total</v>
      </c>
      <c r="V73">
        <v>0</v>
      </c>
      <c r="W73">
        <v>0</v>
      </c>
      <c r="X73">
        <v>0.5</v>
      </c>
      <c r="Y73">
        <v>0</v>
      </c>
      <c r="Z73">
        <v>15</v>
      </c>
      <c r="AA73">
        <v>0.10000000149011612</v>
      </c>
      <c r="AB73">
        <v>1.5</v>
      </c>
      <c r="AC73">
        <v>1</v>
      </c>
      <c r="AD73">
        <v>1</v>
      </c>
      <c r="AE73">
        <v>0.5</v>
      </c>
      <c r="AF73">
        <v>0.5</v>
      </c>
      <c r="AG73">
        <v>0.5</v>
      </c>
    </row>
    <row r="74" spans="1:33">
      <c r="A74" t="str">
        <v>TestResidue10</v>
      </c>
      <c r="B74">
        <v>79</v>
      </c>
      <c r="C74" t="str">
        <v>Testing</v>
      </c>
      <c r="D74" t="str">
        <v/>
      </c>
      <c r="E74" t="str">
        <v/>
      </c>
      <c r="F74" t="str">
        <v/>
      </c>
      <c r="G74" t="str">
        <v/>
      </c>
      <c r="H74" t="str">
        <v/>
      </c>
      <c r="I74" t="str">
        <v/>
      </c>
      <c r="J74" t="str">
        <v/>
      </c>
      <c r="K74" t="str">
        <v/>
      </c>
      <c r="L74" t="str">
        <v/>
      </c>
      <c r="M74" t="str">
        <v>Seed</v>
      </c>
      <c r="N74" t="str">
        <v>Apr</v>
      </c>
      <c r="O74" t="str">
        <v>Maturity</v>
      </c>
      <c r="P74" t="str">
        <v>Feb</v>
      </c>
      <c r="Q74">
        <v>12</v>
      </c>
      <c r="R74" t="str">
        <v>t/ha</v>
      </c>
      <c r="S74" t="str">
        <v>Saleable grain</v>
      </c>
      <c r="T74">
        <v>1</v>
      </c>
      <c r="U74" t="str">
        <v>Total</v>
      </c>
      <c r="V74">
        <v>0</v>
      </c>
      <c r="W74">
        <v>0</v>
      </c>
      <c r="X74">
        <v>0.5</v>
      </c>
      <c r="Y74">
        <v>0</v>
      </c>
      <c r="Z74">
        <v>15</v>
      </c>
      <c r="AA74">
        <v>0.10000000149011612</v>
      </c>
      <c r="AB74">
        <v>1.5</v>
      </c>
      <c r="AC74">
        <v>1</v>
      </c>
      <c r="AD74">
        <v>1</v>
      </c>
      <c r="AE74">
        <v>1</v>
      </c>
      <c r="AF74">
        <v>1</v>
      </c>
      <c r="AG74">
        <v>1</v>
      </c>
    </row>
    <row r="75" spans="1:33">
      <c r="A75" t="str">
        <v>TestResidue15</v>
      </c>
      <c r="B75">
        <v>80</v>
      </c>
      <c r="C75" t="str">
        <v>Testing</v>
      </c>
      <c r="D75" t="str">
        <v/>
      </c>
      <c r="E75" t="str">
        <v/>
      </c>
      <c r="F75" t="str">
        <v/>
      </c>
      <c r="G75" t="str">
        <v/>
      </c>
      <c r="H75" t="str">
        <v/>
      </c>
      <c r="I75" t="str">
        <v/>
      </c>
      <c r="J75" t="str">
        <v/>
      </c>
      <c r="K75" t="str">
        <v/>
      </c>
      <c r="L75" t="str">
        <v/>
      </c>
      <c r="M75" t="str">
        <v>Seed</v>
      </c>
      <c r="N75" t="str">
        <v>Apr</v>
      </c>
      <c r="O75" t="str">
        <v>Maturity</v>
      </c>
      <c r="P75" t="str">
        <v>Feb</v>
      </c>
      <c r="Q75">
        <v>12</v>
      </c>
      <c r="R75" t="str">
        <v>t/ha</v>
      </c>
      <c r="S75" t="str">
        <v>Saleable grain</v>
      </c>
      <c r="T75">
        <v>1</v>
      </c>
      <c r="U75" t="str">
        <v>Total</v>
      </c>
      <c r="V75">
        <v>0</v>
      </c>
      <c r="W75">
        <v>0</v>
      </c>
      <c r="X75">
        <v>0.5</v>
      </c>
      <c r="Y75">
        <v>0</v>
      </c>
      <c r="Z75">
        <v>15</v>
      </c>
      <c r="AA75">
        <v>0.10000000149011612</v>
      </c>
      <c r="AB75">
        <v>1.5</v>
      </c>
      <c r="AC75">
        <v>1</v>
      </c>
      <c r="AD75">
        <v>1</v>
      </c>
      <c r="AE75">
        <v>1.5</v>
      </c>
      <c r="AF75">
        <v>1.5</v>
      </c>
      <c r="AG75">
        <v>1.5</v>
      </c>
    </row>
    <row r="76" spans="1:33">
      <c r="A76" t="str">
        <v>TestResidue30</v>
      </c>
      <c r="B76">
        <v>81</v>
      </c>
      <c r="C76" t="str">
        <v>Testing</v>
      </c>
      <c r="D76" t="str">
        <v/>
      </c>
      <c r="E76" t="str">
        <v/>
      </c>
      <c r="F76" t="str">
        <v/>
      </c>
      <c r="G76" t="str">
        <v/>
      </c>
      <c r="H76" t="str">
        <v/>
      </c>
      <c r="I76" t="str">
        <v/>
      </c>
      <c r="J76" t="str">
        <v/>
      </c>
      <c r="K76" t="str">
        <v/>
      </c>
      <c r="L76" t="str">
        <v/>
      </c>
      <c r="M76" t="str">
        <v>Seed</v>
      </c>
      <c r="N76" t="str">
        <v>Apr</v>
      </c>
      <c r="O76" t="str">
        <v>Maturity</v>
      </c>
      <c r="P76" t="str">
        <v>Feb</v>
      </c>
      <c r="Q76">
        <v>12</v>
      </c>
      <c r="R76" t="str">
        <v>t/ha</v>
      </c>
      <c r="S76" t="str">
        <v>Saleable grain</v>
      </c>
      <c r="T76">
        <v>1</v>
      </c>
      <c r="U76" t="str">
        <v>Total</v>
      </c>
      <c r="V76">
        <v>0</v>
      </c>
      <c r="W76">
        <v>0</v>
      </c>
      <c r="X76">
        <v>0.5</v>
      </c>
      <c r="Y76">
        <v>0</v>
      </c>
      <c r="Z76">
        <v>15</v>
      </c>
      <c r="AA76">
        <v>0.10000000149011612</v>
      </c>
      <c r="AB76">
        <v>1.5</v>
      </c>
      <c r="AC76">
        <v>1</v>
      </c>
      <c r="AD76">
        <v>1</v>
      </c>
      <c r="AE76">
        <v>3</v>
      </c>
      <c r="AF76">
        <v>3</v>
      </c>
      <c r="AG76">
        <v>3</v>
      </c>
    </row>
    <row r="77" spans="1:33">
      <c r="A77" t="str">
        <v>TestResidue45</v>
      </c>
      <c r="B77">
        <v>82</v>
      </c>
      <c r="C77" t="str">
        <v>Testing</v>
      </c>
      <c r="D77" t="str">
        <v/>
      </c>
      <c r="E77" t="str">
        <v/>
      </c>
      <c r="F77" t="str">
        <v/>
      </c>
      <c r="G77" t="str">
        <v/>
      </c>
      <c r="H77" t="str">
        <v/>
      </c>
      <c r="I77" t="str">
        <v/>
      </c>
      <c r="J77" t="str">
        <v/>
      </c>
      <c r="K77" t="str">
        <v/>
      </c>
      <c r="L77" t="str">
        <v/>
      </c>
      <c r="M77" t="str">
        <v>Seed</v>
      </c>
      <c r="N77" t="str">
        <v>Apr</v>
      </c>
      <c r="O77" t="str">
        <v>Maturity</v>
      </c>
      <c r="P77" t="str">
        <v>Feb</v>
      </c>
      <c r="Q77">
        <v>12</v>
      </c>
      <c r="R77" t="str">
        <v>t/ha</v>
      </c>
      <c r="S77" t="str">
        <v>Saleable grain</v>
      </c>
      <c r="T77">
        <v>1</v>
      </c>
      <c r="U77" t="str">
        <v>Total</v>
      </c>
      <c r="V77">
        <v>0</v>
      </c>
      <c r="W77">
        <v>0</v>
      </c>
      <c r="X77">
        <v>0.5</v>
      </c>
      <c r="Y77">
        <v>0</v>
      </c>
      <c r="Z77">
        <v>15</v>
      </c>
      <c r="AA77">
        <v>0.10000000149011612</v>
      </c>
      <c r="AB77">
        <v>1.5</v>
      </c>
      <c r="AC77">
        <v>1</v>
      </c>
      <c r="AD77">
        <v>1</v>
      </c>
      <c r="AE77">
        <v>4.5</v>
      </c>
      <c r="AF77">
        <v>4.5</v>
      </c>
      <c r="AG77">
        <v>4.5</v>
      </c>
    </row>
    <row r="78" spans="1:33">
      <c r="A78" t="str">
        <v>Water melon Vegetable General</v>
      </c>
      <c r="B78">
        <v>52</v>
      </c>
      <c r="C78" t="str">
        <v>Vegetable</v>
      </c>
      <c r="D78" t="str">
        <v>Fruit</v>
      </c>
      <c r="E78" t="str">
        <v>Water melon</v>
      </c>
      <c r="F78" t="str">
        <v>General</v>
      </c>
      <c r="G78" t="str">
        <v>Cucurbitaceae</v>
      </c>
      <c r="H78" t="str">
        <v>Cucumis</v>
      </c>
      <c r="I78" t="str">
        <v>lanatus</v>
      </c>
      <c r="J78" t="str">
        <v/>
      </c>
      <c r="K78" t="str">
        <v>Cucumis lanatus</v>
      </c>
      <c r="L78" t="str">
        <v>lanatus</v>
      </c>
      <c r="M78" t="str">
        <v>Seedling</v>
      </c>
      <c r="N78" t="str">
        <v>Oct</v>
      </c>
      <c r="O78" t="str">
        <v>LateReproductive</v>
      </c>
      <c r="P78" t="str">
        <v>Feb</v>
      </c>
      <c r="Q78">
        <v>180</v>
      </c>
      <c r="R78" t="str">
        <v>t/ha</v>
      </c>
      <c r="S78" t="str">
        <v>Saleable product</v>
      </c>
      <c r="T78">
        <v>1</v>
      </c>
      <c r="U78" t="str">
        <v>Total</v>
      </c>
      <c r="V78">
        <v>0</v>
      </c>
      <c r="W78">
        <v>0</v>
      </c>
      <c r="X78">
        <v>0.85000002384185791</v>
      </c>
      <c r="Y78">
        <v>0</v>
      </c>
      <c r="Z78">
        <v>95</v>
      </c>
      <c r="AA78">
        <v>0.10000000149011612</v>
      </c>
      <c r="AB78">
        <v>0.80000001192092896</v>
      </c>
      <c r="AC78">
        <v>1</v>
      </c>
      <c r="AD78">
        <v>1</v>
      </c>
      <c r="AE78">
        <v>1</v>
      </c>
      <c r="AF78">
        <v>2</v>
      </c>
      <c r="AG78">
        <v>2</v>
      </c>
    </row>
    <row r="79" spans="1:33">
      <c r="A79" t="str">
        <v>Rock melon Vegetable General</v>
      </c>
      <c r="B79">
        <v>53</v>
      </c>
      <c r="C79" t="str">
        <v>Vegetable</v>
      </c>
      <c r="D79" t="str">
        <v>Fruit</v>
      </c>
      <c r="E79" t="str">
        <v>Rock melon</v>
      </c>
      <c r="F79" t="str">
        <v>General</v>
      </c>
      <c r="G79" t="str">
        <v>Cucurbitaceae</v>
      </c>
      <c r="H79" t="str">
        <v>Cucumis</v>
      </c>
      <c r="I79" t="str">
        <v>melo</v>
      </c>
      <c r="J79" t="str">
        <v/>
      </c>
      <c r="K79" t="str">
        <v>Cucumis melo</v>
      </c>
      <c r="L79" t="str">
        <v>melo</v>
      </c>
      <c r="M79" t="str">
        <v>Seedling</v>
      </c>
      <c r="N79" t="str">
        <v>Oct</v>
      </c>
      <c r="O79" t="str">
        <v>LateReproductive</v>
      </c>
      <c r="P79" t="str">
        <v>Feb</v>
      </c>
      <c r="Q79">
        <v>80</v>
      </c>
      <c r="R79" t="str">
        <v>t/ha</v>
      </c>
      <c r="S79" t="str">
        <v>Saleable product</v>
      </c>
      <c r="T79">
        <v>1</v>
      </c>
      <c r="U79" t="str">
        <v>Total</v>
      </c>
      <c r="V79">
        <v>0</v>
      </c>
      <c r="W79">
        <v>0</v>
      </c>
      <c r="X79">
        <v>0.69999998807907104</v>
      </c>
      <c r="Y79">
        <v>0</v>
      </c>
      <c r="Z79">
        <v>95</v>
      </c>
      <c r="AA79">
        <v>0.10000000149011612</v>
      </c>
      <c r="AB79">
        <v>0.80000001192092896</v>
      </c>
      <c r="AC79">
        <v>1</v>
      </c>
      <c r="AD79">
        <v>1</v>
      </c>
      <c r="AE79">
        <v>1</v>
      </c>
      <c r="AF79">
        <v>2</v>
      </c>
      <c r="AG79">
        <v>2</v>
      </c>
    </row>
    <row r="80" spans="1:33">
      <c r="A80" t="str">
        <v>Squash Vegetable General</v>
      </c>
      <c r="B80">
        <v>54</v>
      </c>
      <c r="C80" t="str">
        <v>Vegetable</v>
      </c>
      <c r="D80" t="str">
        <v>Fruit</v>
      </c>
      <c r="E80" t="str">
        <v>Squash</v>
      </c>
      <c r="F80" t="str">
        <v>General</v>
      </c>
      <c r="G80" t="str">
        <v>Cucurbitaceae</v>
      </c>
      <c r="H80" t="str">
        <v>Cucurbita</v>
      </c>
      <c r="I80" t="str">
        <v>argyrosperma</v>
      </c>
      <c r="J80" t="str">
        <v/>
      </c>
      <c r="K80" t="str">
        <v>Cucurbita argyrosperma</v>
      </c>
      <c r="L80" t="str">
        <v>argyrosperma</v>
      </c>
      <c r="M80" t="str">
        <v>Seedling</v>
      </c>
      <c r="N80" t="str">
        <v>Oct</v>
      </c>
      <c r="O80" t="str">
        <v>Maturity</v>
      </c>
      <c r="P80" t="str">
        <v>Mar</v>
      </c>
      <c r="Q80">
        <v>25</v>
      </c>
      <c r="R80" t="str">
        <v>t/ha</v>
      </c>
      <c r="S80" t="str">
        <v>Saleable product</v>
      </c>
      <c r="T80">
        <v>1</v>
      </c>
      <c r="U80" t="str">
        <v>Total</v>
      </c>
      <c r="V80">
        <v>0</v>
      </c>
      <c r="W80">
        <v>0</v>
      </c>
      <c r="X80">
        <v>0.80000001192092896</v>
      </c>
      <c r="Y80">
        <v>0</v>
      </c>
      <c r="Z80">
        <v>80</v>
      </c>
      <c r="AA80">
        <v>0.10000000149011612</v>
      </c>
      <c r="AB80">
        <v>0.80000001192092896</v>
      </c>
      <c r="AC80">
        <v>0.93999999761581421</v>
      </c>
      <c r="AD80">
        <v>1</v>
      </c>
      <c r="AE80">
        <v>1</v>
      </c>
      <c r="AF80">
        <v>2</v>
      </c>
      <c r="AG80">
        <v>2</v>
      </c>
    </row>
    <row r="81" spans="1:33">
      <c r="A81" t="str">
        <v>Pumpkin Vegetable General</v>
      </c>
      <c r="B81">
        <v>55</v>
      </c>
      <c r="C81" t="str">
        <v>Vegetable</v>
      </c>
      <c r="D81" t="str">
        <v>Fruit</v>
      </c>
      <c r="E81" t="str">
        <v>Pumpkin</v>
      </c>
      <c r="F81" t="str">
        <v>General</v>
      </c>
      <c r="G81" t="str">
        <v>Cucurbitaceae</v>
      </c>
      <c r="H81" t="str">
        <v>Cucurbita</v>
      </c>
      <c r="I81" t="str">
        <v>pepo</v>
      </c>
      <c r="J81" t="str">
        <v/>
      </c>
      <c r="K81" t="str">
        <v>Cucurbita pepo</v>
      </c>
      <c r="L81" t="str">
        <v>pepo</v>
      </c>
      <c r="M81" t="str">
        <v>Seed</v>
      </c>
      <c r="N81" t="str">
        <v>Oct</v>
      </c>
      <c r="O81" t="str">
        <v>LateReproductive</v>
      </c>
      <c r="P81" t="str">
        <v>Mar</v>
      </c>
      <c r="Q81">
        <v>40</v>
      </c>
      <c r="R81" t="str">
        <v>t/ha</v>
      </c>
      <c r="S81" t="str">
        <v>Saleable product</v>
      </c>
      <c r="T81">
        <v>1</v>
      </c>
      <c r="U81" t="str">
        <v>Total</v>
      </c>
      <c r="V81">
        <v>0</v>
      </c>
      <c r="W81">
        <v>0</v>
      </c>
      <c r="X81">
        <v>0.80000001192092896</v>
      </c>
      <c r="Y81">
        <v>0</v>
      </c>
      <c r="Z81">
        <v>88</v>
      </c>
      <c r="AA81">
        <v>0.10000000149011612</v>
      </c>
      <c r="AB81">
        <v>0.80000001192092896</v>
      </c>
      <c r="AC81">
        <v>1</v>
      </c>
      <c r="AD81">
        <v>1</v>
      </c>
      <c r="AE81">
        <v>1</v>
      </c>
      <c r="AF81">
        <v>1.3999999761581421</v>
      </c>
      <c r="AG81">
        <v>2</v>
      </c>
    </row>
    <row r="82" spans="1:33">
      <c r="A82" t="str">
        <v>Zucchini Vegetable General</v>
      </c>
      <c r="B82">
        <v>56</v>
      </c>
      <c r="C82" t="str">
        <v>Vegetable</v>
      </c>
      <c r="D82" t="str">
        <v>Fruit</v>
      </c>
      <c r="E82" t="str">
        <v>Zucchini</v>
      </c>
      <c r="F82" t="str">
        <v>General</v>
      </c>
      <c r="G82" t="str">
        <v>Cucurbitaceae</v>
      </c>
      <c r="H82" t="str">
        <v>Cucurbita</v>
      </c>
      <c r="I82" t="str">
        <v>pepo</v>
      </c>
      <c r="J82" t="str">
        <v/>
      </c>
      <c r="K82" t="str">
        <v>Cucurbita pepo</v>
      </c>
      <c r="L82" t="str">
        <v>pepo</v>
      </c>
      <c r="M82" t="str">
        <v>Seed</v>
      </c>
      <c r="N82" t="str">
        <v>Oct</v>
      </c>
      <c r="O82" t="str">
        <v>EarlyReproductive</v>
      </c>
      <c r="P82" t="str">
        <v>Jan</v>
      </c>
      <c r="Q82">
        <v>40</v>
      </c>
      <c r="R82" t="str">
        <v>t/ha</v>
      </c>
      <c r="S82" t="str">
        <v>Saleable product</v>
      </c>
      <c r="T82">
        <v>1</v>
      </c>
      <c r="U82" t="str">
        <v>Total</v>
      </c>
      <c r="V82">
        <v>0</v>
      </c>
      <c r="W82">
        <v>0</v>
      </c>
      <c r="X82">
        <v>0.40000000596046448</v>
      </c>
      <c r="Y82">
        <v>0</v>
      </c>
      <c r="Z82">
        <v>95</v>
      </c>
      <c r="AA82">
        <v>0.10000000149011612</v>
      </c>
      <c r="AB82">
        <v>0.80000001192092896</v>
      </c>
      <c r="AC82">
        <v>0.85000002384185791</v>
      </c>
      <c r="AD82">
        <v>1</v>
      </c>
      <c r="AE82">
        <v>1</v>
      </c>
      <c r="AF82">
        <v>3.7999999523162842</v>
      </c>
      <c r="AG82">
        <v>3.2000000476837158</v>
      </c>
    </row>
    <row r="83" spans="1:33">
      <c r="A83" t="str">
        <v>Tomato Vegetable General</v>
      </c>
      <c r="B83">
        <v>67</v>
      </c>
      <c r="C83" t="str">
        <v>Vegetable</v>
      </c>
      <c r="D83" t="str">
        <v>Fruit</v>
      </c>
      <c r="E83" t="str">
        <v>Tomato</v>
      </c>
      <c r="F83" t="str">
        <v>General</v>
      </c>
      <c r="G83" t="str">
        <v>Solanaceae</v>
      </c>
      <c r="H83" t="str">
        <v>Solanum</v>
      </c>
      <c r="I83" t="str">
        <v>lycopersicum</v>
      </c>
      <c r="J83" t="str">
        <v/>
      </c>
      <c r="K83" t="str">
        <v>Solanum  lycopersicum</v>
      </c>
      <c r="L83" t="str">
        <v>lycopersicum</v>
      </c>
      <c r="M83" t="str">
        <v>Seedling</v>
      </c>
      <c r="N83" t="str">
        <v>Oct</v>
      </c>
      <c r="O83" t="str">
        <v>LateReproductive</v>
      </c>
      <c r="P83" t="str">
        <v>Apr</v>
      </c>
      <c r="Q83">
        <v>100</v>
      </c>
      <c r="R83" t="str">
        <v>t/ha</v>
      </c>
      <c r="S83" t="str">
        <v>Saleable product</v>
      </c>
      <c r="T83">
        <v>1</v>
      </c>
      <c r="U83" t="str">
        <v>Total</v>
      </c>
      <c r="V83">
        <v>0</v>
      </c>
      <c r="W83">
        <v>0</v>
      </c>
      <c r="X83">
        <v>0.5</v>
      </c>
      <c r="Y83">
        <v>0</v>
      </c>
      <c r="Z83">
        <v>95</v>
      </c>
      <c r="AA83">
        <v>0.10000000149011612</v>
      </c>
      <c r="AB83">
        <v>0.60000002384185791</v>
      </c>
      <c r="AC83">
        <v>1</v>
      </c>
      <c r="AD83">
        <v>1.2000000476837158</v>
      </c>
      <c r="AE83">
        <v>0.89999997615814209</v>
      </c>
      <c r="AF83">
        <v>2</v>
      </c>
      <c r="AG83">
        <v>2</v>
      </c>
    </row>
    <row r="84" spans="1:33">
      <c r="A84" t="str">
        <v>Sweetcorn Vegetable General</v>
      </c>
      <c r="B84">
        <v>70</v>
      </c>
      <c r="C84" t="str">
        <v>Vegetable</v>
      </c>
      <c r="D84" t="str">
        <v>Fruit</v>
      </c>
      <c r="E84" t="str">
        <v>Sweetcorn</v>
      </c>
      <c r="F84" t="str">
        <v>General</v>
      </c>
      <c r="G84" t="str">
        <v>Poaceae</v>
      </c>
      <c r="H84" t="str">
        <v>Zea</v>
      </c>
      <c r="I84" t="str">
        <v>mays</v>
      </c>
      <c r="J84" t="str">
        <v/>
      </c>
      <c r="K84" t="str">
        <v>Zea mays</v>
      </c>
      <c r="L84" t="str">
        <v>mays</v>
      </c>
      <c r="M84" t="str">
        <v>Seed</v>
      </c>
      <c r="N84" t="str">
        <v>Oct</v>
      </c>
      <c r="O84" t="str">
        <v>MidReproductive</v>
      </c>
      <c r="P84" t="str">
        <v>Feb</v>
      </c>
      <c r="Q84">
        <v>22</v>
      </c>
      <c r="R84" t="str">
        <v>t/ha</v>
      </c>
      <c r="S84" t="str">
        <v>Saleable product</v>
      </c>
      <c r="T84">
        <v>1</v>
      </c>
      <c r="U84" t="str">
        <v>Total</v>
      </c>
      <c r="V84">
        <v>0</v>
      </c>
      <c r="W84">
        <v>0</v>
      </c>
      <c r="X84">
        <v>0.47999998927116394</v>
      </c>
      <c r="Y84">
        <v>1.9999999552965164E-2</v>
      </c>
      <c r="Z84">
        <v>78</v>
      </c>
      <c r="AA84">
        <v>0.10000000149011612</v>
      </c>
      <c r="AB84">
        <v>1.5</v>
      </c>
      <c r="AC84">
        <v>0.75</v>
      </c>
      <c r="AD84">
        <v>1</v>
      </c>
      <c r="AE84">
        <v>0.89999997615814209</v>
      </c>
      <c r="AF84">
        <v>0.89999997615814209</v>
      </c>
      <c r="AG84">
        <v>1.3999999761581421</v>
      </c>
    </row>
    <row r="85" spans="1:33">
      <c r="A85" t="str">
        <v>Leek Vegetable General</v>
      </c>
      <c r="B85">
        <v>34</v>
      </c>
      <c r="C85" t="str">
        <v>Vegetable</v>
      </c>
      <c r="D85" t="str">
        <v>Green</v>
      </c>
      <c r="E85" t="str">
        <v>Leek</v>
      </c>
      <c r="F85" t="str">
        <v>General</v>
      </c>
      <c r="G85" t="str">
        <v>Amaryllidaceae</v>
      </c>
      <c r="H85" t="str">
        <v>Allium</v>
      </c>
      <c r="I85" t="str">
        <v>ampeloprasum</v>
      </c>
      <c r="J85" t="str">
        <v/>
      </c>
      <c r="K85" t="str">
        <v>Allium ampeloprasum</v>
      </c>
      <c r="L85" t="str">
        <v>ampeloprasum</v>
      </c>
      <c r="M85" t="str">
        <v>Seedling</v>
      </c>
      <c r="N85" t="str">
        <v>Nov</v>
      </c>
      <c r="O85" t="str">
        <v>Vegetative</v>
      </c>
      <c r="P85" t="str">
        <v>May</v>
      </c>
      <c r="Q85">
        <v>0.5</v>
      </c>
      <c r="R85" t="str">
        <v>kg/head</v>
      </c>
      <c r="S85" t="str">
        <v>Saleable product</v>
      </c>
      <c r="T85">
        <v>47000</v>
      </c>
      <c r="U85" t="str">
        <v>Total</v>
      </c>
      <c r="V85">
        <v>0</v>
      </c>
      <c r="W85">
        <v>0</v>
      </c>
      <c r="X85">
        <v>0.88999998569488525</v>
      </c>
      <c r="Y85">
        <v>0</v>
      </c>
      <c r="Z85">
        <v>89</v>
      </c>
      <c r="AA85">
        <v>0.10000000149011612</v>
      </c>
      <c r="AB85">
        <v>0.60000002384185791</v>
      </c>
      <c r="AC85">
        <v>0.75</v>
      </c>
      <c r="AD85">
        <v>0.60000002384185791</v>
      </c>
      <c r="AE85">
        <v>1</v>
      </c>
      <c r="AF85">
        <v>2.7000000476837158</v>
      </c>
      <c r="AG85">
        <v>2.7000000476837158</v>
      </c>
    </row>
    <row r="86" spans="1:33">
      <c r="A86" t="str">
        <v>Spring onion Vegetable General</v>
      </c>
      <c r="B86">
        <v>38</v>
      </c>
      <c r="C86" t="str">
        <v>Vegetable</v>
      </c>
      <c r="D86" t="str">
        <v>Green</v>
      </c>
      <c r="E86" t="str">
        <v>Spring onion</v>
      </c>
      <c r="F86" t="str">
        <v>General</v>
      </c>
      <c r="G86" t="str">
        <v>Amaryllidaceae</v>
      </c>
      <c r="H86" t="str">
        <v>Allium</v>
      </c>
      <c r="I86" t="str">
        <v>fistulosum</v>
      </c>
      <c r="J86" t="str">
        <v/>
      </c>
      <c r="K86" t="str">
        <v>Allium fistulosum</v>
      </c>
      <c r="L86" t="str">
        <v>fistulosum</v>
      </c>
      <c r="M86" t="str">
        <v>Seed</v>
      </c>
      <c r="N86" t="str">
        <v>Feb</v>
      </c>
      <c r="O86" t="str">
        <v>Vegetative</v>
      </c>
      <c r="P86" t="str">
        <v>Sep</v>
      </c>
      <c r="Q86">
        <v>0.25</v>
      </c>
      <c r="R86" t="str">
        <v>kg/head</v>
      </c>
      <c r="S86" t="str">
        <v>Saleable product</v>
      </c>
      <c r="T86">
        <v>130000</v>
      </c>
      <c r="U86" t="str">
        <v>Total</v>
      </c>
      <c r="V86">
        <v>0</v>
      </c>
      <c r="W86">
        <v>0</v>
      </c>
      <c r="X86">
        <v>1</v>
      </c>
      <c r="Y86">
        <v>0</v>
      </c>
      <c r="Z86">
        <v>90</v>
      </c>
      <c r="AA86">
        <v>0.10000000149011612</v>
      </c>
      <c r="AB86">
        <v>0.60000002384185791</v>
      </c>
      <c r="AC86">
        <v>0.75</v>
      </c>
      <c r="AD86">
        <v>0.60000002384185791</v>
      </c>
      <c r="AE86">
        <v>1</v>
      </c>
      <c r="AF86">
        <v>2.2000000476837158</v>
      </c>
      <c r="AG86">
        <v>2.2000000476837158</v>
      </c>
    </row>
    <row r="87" spans="1:33">
      <c r="A87" t="str">
        <v>Celery Vegetable General</v>
      </c>
      <c r="B87">
        <v>40</v>
      </c>
      <c r="C87" t="str">
        <v>Vegetable</v>
      </c>
      <c r="D87" t="str">
        <v>Green</v>
      </c>
      <c r="E87" t="str">
        <v>Celery</v>
      </c>
      <c r="F87" t="str">
        <v>General</v>
      </c>
      <c r="G87" t="str">
        <v>Apiaceae</v>
      </c>
      <c r="H87" t="str">
        <v>Apium</v>
      </c>
      <c r="I87" t="str">
        <v>graveolens</v>
      </c>
      <c r="J87" t="str">
        <v/>
      </c>
      <c r="K87" t="str">
        <v>Apium graveolens</v>
      </c>
      <c r="L87" t="str">
        <v>graveolens</v>
      </c>
      <c r="M87" t="str">
        <v>Seedling</v>
      </c>
      <c r="N87" t="str">
        <v>Oct</v>
      </c>
      <c r="O87" t="str">
        <v>Vegetative</v>
      </c>
      <c r="P87" t="str">
        <v>Jan</v>
      </c>
      <c r="Q87">
        <v>0.69999998807907104</v>
      </c>
      <c r="R87" t="str">
        <v>kg/head</v>
      </c>
      <c r="S87" t="str">
        <v>Saleable product</v>
      </c>
      <c r="T87">
        <v>80000</v>
      </c>
      <c r="U87" t="str">
        <v>Total</v>
      </c>
      <c r="V87">
        <v>0</v>
      </c>
      <c r="W87">
        <v>0</v>
      </c>
      <c r="X87">
        <v>0.85000002384185791</v>
      </c>
      <c r="Y87">
        <v>0</v>
      </c>
      <c r="Z87">
        <v>88</v>
      </c>
      <c r="AA87">
        <v>0.10000000149011612</v>
      </c>
      <c r="AB87">
        <v>1.2000000476837158</v>
      </c>
      <c r="AC87">
        <v>1</v>
      </c>
      <c r="AD87">
        <v>0.80000001192092896</v>
      </c>
      <c r="AE87">
        <v>0.89999997615814209</v>
      </c>
      <c r="AF87">
        <v>2.5</v>
      </c>
      <c r="AG87">
        <v>2.5</v>
      </c>
    </row>
    <row r="88" spans="1:33">
      <c r="A88" t="str">
        <v>Silver beet Vegetable General</v>
      </c>
      <c r="B88">
        <v>41</v>
      </c>
      <c r="C88" t="str">
        <v>Vegetable</v>
      </c>
      <c r="D88" t="str">
        <v>Green</v>
      </c>
      <c r="E88" t="str">
        <v>Silver beet</v>
      </c>
      <c r="F88" t="str">
        <v>General</v>
      </c>
      <c r="G88" t="str">
        <v>Amaranthaceae</v>
      </c>
      <c r="H88" t="str">
        <v>Beta</v>
      </c>
      <c r="I88" t="str">
        <v>vulgaris</v>
      </c>
      <c r="J88" t="str">
        <v>cicla</v>
      </c>
      <c r="K88" t="str">
        <v>Beta vulgaris cicla</v>
      </c>
      <c r="L88" t="str">
        <v>vulgaris cicla</v>
      </c>
      <c r="M88" t="str">
        <v>Seedling</v>
      </c>
      <c r="N88" t="str">
        <v>Nov</v>
      </c>
      <c r="O88" t="str">
        <v>Vegetative</v>
      </c>
      <c r="P88" t="str">
        <v>May</v>
      </c>
      <c r="Q88">
        <v>0.60000002384185791</v>
      </c>
      <c r="R88" t="str">
        <v>kg/head</v>
      </c>
      <c r="S88" t="str">
        <v>Saleable product</v>
      </c>
      <c r="T88">
        <v>60000</v>
      </c>
      <c r="U88" t="str">
        <v>Total</v>
      </c>
      <c r="V88">
        <v>0</v>
      </c>
      <c r="W88">
        <v>0</v>
      </c>
      <c r="X88">
        <v>0.80000001192092896</v>
      </c>
      <c r="Y88">
        <v>0</v>
      </c>
      <c r="Z88">
        <v>93</v>
      </c>
      <c r="AA88">
        <v>0.10000000149011612</v>
      </c>
      <c r="AB88">
        <v>1.5</v>
      </c>
      <c r="AC88">
        <v>0.75999999046325684</v>
      </c>
      <c r="AD88">
        <v>1</v>
      </c>
      <c r="AE88">
        <v>0.80000001192092896</v>
      </c>
      <c r="AF88">
        <v>2.5</v>
      </c>
      <c r="AG88">
        <v>3</v>
      </c>
    </row>
    <row r="89" spans="1:33">
      <c r="A89" t="str">
        <v>Cauliflower Vegetable General</v>
      </c>
      <c r="B89">
        <v>43</v>
      </c>
      <c r="C89" t="str">
        <v>Vegetable</v>
      </c>
      <c r="D89" t="str">
        <v>Green</v>
      </c>
      <c r="E89" t="str">
        <v>Cauliflower</v>
      </c>
      <c r="F89" t="str">
        <v>General</v>
      </c>
      <c r="G89" t="str">
        <v>Brassicaceae</v>
      </c>
      <c r="H89" t="str">
        <v>Brassica</v>
      </c>
      <c r="I89" t="str">
        <v>oleracea</v>
      </c>
      <c r="J89" t="str">
        <v>botrytis</v>
      </c>
      <c r="K89" t="str">
        <v>Brassica oleracea botrytis</v>
      </c>
      <c r="L89" t="str">
        <v>oleracea botrytis</v>
      </c>
      <c r="M89" t="str">
        <v>Seedling</v>
      </c>
      <c r="N89" t="str">
        <v>Sep</v>
      </c>
      <c r="O89" t="str">
        <v>EarlyReproductive</v>
      </c>
      <c r="P89" t="str">
        <v>Jan</v>
      </c>
      <c r="Q89">
        <v>0.60000002384185791</v>
      </c>
      <c r="R89" t="str">
        <v>kg/head</v>
      </c>
      <c r="S89" t="str">
        <v>Saleable product</v>
      </c>
      <c r="T89">
        <v>60000</v>
      </c>
      <c r="U89" t="str">
        <v>Total</v>
      </c>
      <c r="V89">
        <v>0</v>
      </c>
      <c r="W89">
        <v>0</v>
      </c>
      <c r="X89">
        <v>0.5</v>
      </c>
      <c r="Y89">
        <v>0.15000000596046448</v>
      </c>
      <c r="Z89">
        <v>91</v>
      </c>
      <c r="AA89">
        <v>0.10000000149011612</v>
      </c>
      <c r="AB89">
        <v>1.2000000476837158</v>
      </c>
      <c r="AC89">
        <v>1</v>
      </c>
      <c r="AD89">
        <v>2</v>
      </c>
      <c r="AE89">
        <v>0.80000001192092896</v>
      </c>
      <c r="AF89">
        <v>3.7999999523162842</v>
      </c>
      <c r="AG89">
        <v>3.2000000476837158</v>
      </c>
    </row>
    <row r="90" spans="1:33">
      <c r="A90" t="str">
        <v>Cabbage Vegetable General</v>
      </c>
      <c r="B90">
        <v>44</v>
      </c>
      <c r="C90" t="str">
        <v>Vegetable</v>
      </c>
      <c r="D90" t="str">
        <v>Green</v>
      </c>
      <c r="E90" t="str">
        <v>Cabbage</v>
      </c>
      <c r="F90" t="str">
        <v>General</v>
      </c>
      <c r="G90" t="str">
        <v>Brassicaceae</v>
      </c>
      <c r="H90" t="str">
        <v>Brassica</v>
      </c>
      <c r="I90" t="str">
        <v>oleracea</v>
      </c>
      <c r="J90" t="str">
        <v>capitata</v>
      </c>
      <c r="K90" t="str">
        <v>Brassica oleracea capitata</v>
      </c>
      <c r="L90" t="str">
        <v>oleracea capitata</v>
      </c>
      <c r="M90" t="str">
        <v>Seedling</v>
      </c>
      <c r="N90" t="str">
        <v>Sep</v>
      </c>
      <c r="O90" t="str">
        <v>Vegetative</v>
      </c>
      <c r="P90" t="str">
        <v>Jan</v>
      </c>
      <c r="Q90">
        <v>0.5</v>
      </c>
      <c r="R90" t="str">
        <v>kg/head</v>
      </c>
      <c r="S90" t="str">
        <v>Saleable product</v>
      </c>
      <c r="T90">
        <v>50000</v>
      </c>
      <c r="U90" t="str">
        <v>Total</v>
      </c>
      <c r="V90">
        <v>0</v>
      </c>
      <c r="W90">
        <v>0</v>
      </c>
      <c r="X90">
        <v>0.69999998807907104</v>
      </c>
      <c r="Y90">
        <v>0</v>
      </c>
      <c r="Z90">
        <v>90</v>
      </c>
      <c r="AA90">
        <v>0.10000000149011612</v>
      </c>
      <c r="AB90">
        <v>1.2000000476837158</v>
      </c>
      <c r="AC90">
        <v>1</v>
      </c>
      <c r="AD90">
        <v>2</v>
      </c>
      <c r="AE90">
        <v>0.80000001192092896</v>
      </c>
      <c r="AF90">
        <v>3</v>
      </c>
      <c r="AG90">
        <v>2.5999999046325684</v>
      </c>
    </row>
    <row r="91" spans="1:33">
      <c r="A91" t="str">
        <v>Brussel sprout  Vegetable General</v>
      </c>
      <c r="B91">
        <v>45</v>
      </c>
      <c r="C91" t="str">
        <v>Vegetable</v>
      </c>
      <c r="D91" t="str">
        <v>Green</v>
      </c>
      <c r="E91" t="str">
        <v>Brussel sprout</v>
      </c>
      <c r="F91" t="str">
        <v>General</v>
      </c>
      <c r="G91" t="str">
        <v>Brassicaceae</v>
      </c>
      <c r="H91" t="str">
        <v>Brassica</v>
      </c>
      <c r="I91" t="str">
        <v>oleracea</v>
      </c>
      <c r="J91" t="str">
        <v>gemmifera</v>
      </c>
      <c r="K91" t="str">
        <v>Brassica oleracea gemmifera</v>
      </c>
      <c r="L91" t="str">
        <v>oleracea gemmifera</v>
      </c>
      <c r="M91" t="str">
        <v>Seedling</v>
      </c>
      <c r="N91" t="str">
        <v>Nov</v>
      </c>
      <c r="O91" t="str">
        <v>EarlyReproductive</v>
      </c>
      <c r="P91" t="str">
        <v>Jun</v>
      </c>
      <c r="Q91">
        <v>0.30000001192092896</v>
      </c>
      <c r="R91" t="str">
        <v>kg/head</v>
      </c>
      <c r="S91" t="str">
        <v>Saleable product</v>
      </c>
      <c r="T91">
        <v>50000</v>
      </c>
      <c r="U91" t="str">
        <v>Total</v>
      </c>
      <c r="V91">
        <v>0</v>
      </c>
      <c r="W91">
        <v>0</v>
      </c>
      <c r="X91">
        <v>0.40000000596046448</v>
      </c>
      <c r="Y91">
        <v>5.000000074505806E-2</v>
      </c>
      <c r="Z91">
        <v>80</v>
      </c>
      <c r="AA91">
        <v>0.10000000149011612</v>
      </c>
      <c r="AB91">
        <v>1.2000000476837158</v>
      </c>
      <c r="AC91">
        <v>1</v>
      </c>
      <c r="AD91">
        <v>2</v>
      </c>
      <c r="AE91">
        <v>0.80000001192092896</v>
      </c>
      <c r="AF91">
        <v>3.7999999523162842</v>
      </c>
      <c r="AG91">
        <v>2.5999999046325684</v>
      </c>
    </row>
    <row r="92" spans="1:33">
      <c r="A92" t="str">
        <v>Broccoli Vegetable Head only</v>
      </c>
      <c r="B92">
        <v>46</v>
      </c>
      <c r="C92" t="str">
        <v>Vegetable</v>
      </c>
      <c r="D92" t="str">
        <v>Green</v>
      </c>
      <c r="E92" t="str">
        <v>Broccoli</v>
      </c>
      <c r="F92" t="str">
        <v>Head only</v>
      </c>
      <c r="G92" t="str">
        <v>Brassicaceae</v>
      </c>
      <c r="H92" t="str">
        <v>Brassica</v>
      </c>
      <c r="I92" t="str">
        <v>oleracea</v>
      </c>
      <c r="J92" t="str">
        <v>italica</v>
      </c>
      <c r="K92" t="str">
        <v>Brassica oleracea italica</v>
      </c>
      <c r="L92" t="str">
        <v>oleracea italica</v>
      </c>
      <c r="M92" t="str">
        <v>Seedling</v>
      </c>
      <c r="N92" t="str">
        <v>May</v>
      </c>
      <c r="O92" t="str">
        <v>EarlyReproductive</v>
      </c>
      <c r="P92" t="str">
        <v>Sep</v>
      </c>
      <c r="Q92">
        <v>0.30000001192092896</v>
      </c>
      <c r="R92" t="str">
        <v>kg/head</v>
      </c>
      <c r="S92" t="str">
        <v>Saleable product</v>
      </c>
      <c r="T92">
        <v>50000</v>
      </c>
      <c r="U92" t="str">
        <v>Total</v>
      </c>
      <c r="V92">
        <v>0</v>
      </c>
      <c r="W92">
        <v>0</v>
      </c>
      <c r="X92">
        <v>0.30000001192092896</v>
      </c>
      <c r="Y92">
        <v>0.10000000149011612</v>
      </c>
      <c r="Z92">
        <v>89</v>
      </c>
      <c r="AA92">
        <v>0.10000000149011612</v>
      </c>
      <c r="AB92">
        <v>1.2000000476837158</v>
      </c>
      <c r="AC92">
        <v>0.89999997615814209</v>
      </c>
      <c r="AD92">
        <v>2</v>
      </c>
      <c r="AE92">
        <v>0.80000001192092896</v>
      </c>
      <c r="AF92">
        <v>3.4000000953674316</v>
      </c>
      <c r="AG92">
        <v>4.5999999046325684</v>
      </c>
    </row>
    <row r="93" spans="1:33">
      <c r="A93" t="str">
        <v>Broccoli Vegetable Chinese cut</v>
      </c>
      <c r="B93">
        <v>47</v>
      </c>
      <c r="C93" t="str">
        <v>Vegetable</v>
      </c>
      <c r="D93" t="str">
        <v>Green</v>
      </c>
      <c r="E93" t="str">
        <v>Broccoli</v>
      </c>
      <c r="F93" t="str">
        <v>Chinese cut</v>
      </c>
      <c r="G93" t="str">
        <v>Brassicaceae</v>
      </c>
      <c r="H93" t="str">
        <v>Brassica</v>
      </c>
      <c r="I93" t="str">
        <v>oleracea</v>
      </c>
      <c r="J93" t="str">
        <v>italica</v>
      </c>
      <c r="K93" t="str">
        <v>Brassica oleracea italica</v>
      </c>
      <c r="L93" t="str">
        <v>oleracea italica</v>
      </c>
      <c r="M93" t="str">
        <v>Seedling</v>
      </c>
      <c r="N93" t="str">
        <v>May</v>
      </c>
      <c r="O93" t="str">
        <v>EarlyReproductive</v>
      </c>
      <c r="P93" t="str">
        <v>Sep</v>
      </c>
      <c r="Q93">
        <v>0.5</v>
      </c>
      <c r="R93" t="str">
        <v>kg/head</v>
      </c>
      <c r="S93" t="str">
        <v>Saleable product</v>
      </c>
      <c r="T93">
        <v>50000</v>
      </c>
      <c r="U93" t="str">
        <v>Total</v>
      </c>
      <c r="V93">
        <v>0</v>
      </c>
      <c r="W93">
        <v>0</v>
      </c>
      <c r="X93">
        <v>0.5</v>
      </c>
      <c r="Y93">
        <v>0.10000000149011612</v>
      </c>
      <c r="Z93">
        <v>89</v>
      </c>
      <c r="AA93">
        <v>0.10000000149011612</v>
      </c>
      <c r="AB93">
        <v>1.2000000476837158</v>
      </c>
      <c r="AC93">
        <v>1</v>
      </c>
      <c r="AD93">
        <v>2</v>
      </c>
      <c r="AE93">
        <v>0.80000001192092896</v>
      </c>
      <c r="AF93">
        <v>3.5999999046325684</v>
      </c>
      <c r="AG93">
        <v>3.5999999046325684</v>
      </c>
    </row>
    <row r="94" spans="1:33">
      <c r="A94" t="str">
        <v>Pak choi Vegetable General</v>
      </c>
      <c r="B94">
        <v>48</v>
      </c>
      <c r="C94" t="str">
        <v>Vegetable</v>
      </c>
      <c r="D94" t="str">
        <v>Green</v>
      </c>
      <c r="E94" t="str">
        <v>Pak choi</v>
      </c>
      <c r="F94" t="str">
        <v>General</v>
      </c>
      <c r="G94" t="str">
        <v>Brassicaceae</v>
      </c>
      <c r="H94" t="str">
        <v>Brassica</v>
      </c>
      <c r="I94" t="str">
        <v>rapa</v>
      </c>
      <c r="J94" t="str">
        <v>chinensis</v>
      </c>
      <c r="K94" t="str">
        <v>Brassica rapa chinensis</v>
      </c>
      <c r="L94" t="str">
        <v>rapa chinensis</v>
      </c>
      <c r="M94" t="str">
        <v>Seedling</v>
      </c>
      <c r="N94" t="str">
        <v>May</v>
      </c>
      <c r="O94" t="str">
        <v>Vegetative</v>
      </c>
      <c r="P94" t="str">
        <v>Aug</v>
      </c>
      <c r="Q94">
        <v>0.15000000596046448</v>
      </c>
      <c r="R94" t="str">
        <v>kg/head</v>
      </c>
      <c r="S94" t="str">
        <v>Saleable product</v>
      </c>
      <c r="T94">
        <v>300000</v>
      </c>
      <c r="U94" t="str">
        <v>Total</v>
      </c>
      <c r="V94">
        <v>0</v>
      </c>
      <c r="W94">
        <v>0</v>
      </c>
      <c r="X94">
        <v>0.80000001192092896</v>
      </c>
      <c r="Y94">
        <v>0</v>
      </c>
      <c r="Z94">
        <v>95</v>
      </c>
      <c r="AA94">
        <v>0.10000000149011612</v>
      </c>
      <c r="AB94">
        <v>1.2000000476837158</v>
      </c>
      <c r="AC94">
        <v>0.80000001192092896</v>
      </c>
      <c r="AD94">
        <v>1.5</v>
      </c>
      <c r="AE94">
        <v>0.80000001192092896</v>
      </c>
      <c r="AF94">
        <v>4</v>
      </c>
      <c r="AG94">
        <v>3.7999999523162842</v>
      </c>
    </row>
    <row r="95" spans="1:33">
      <c r="A95" t="str">
        <v>Choy sum Vegetable General</v>
      </c>
      <c r="B95">
        <v>49</v>
      </c>
      <c r="C95" t="str">
        <v>Vegetable</v>
      </c>
      <c r="D95" t="str">
        <v>Green</v>
      </c>
      <c r="E95" t="str">
        <v>Choy sum</v>
      </c>
      <c r="F95" t="str">
        <v>General</v>
      </c>
      <c r="G95" t="str">
        <v>Brassicaceae</v>
      </c>
      <c r="H95" t="str">
        <v>Brassica</v>
      </c>
      <c r="I95" t="str">
        <v>rapa</v>
      </c>
      <c r="J95" t="str">
        <v>parachinensis</v>
      </c>
      <c r="K95" t="str">
        <v>Brassica rapa parachinensis</v>
      </c>
      <c r="L95" t="str">
        <v>rapa parachinensis</v>
      </c>
      <c r="M95" t="str">
        <v>Seedling</v>
      </c>
      <c r="N95" t="str">
        <v>May</v>
      </c>
      <c r="O95" t="str">
        <v>Vegetative</v>
      </c>
      <c r="P95" t="str">
        <v>Sep</v>
      </c>
      <c r="Q95">
        <v>0.20000000298023224</v>
      </c>
      <c r="R95" t="str">
        <v>kg/head</v>
      </c>
      <c r="S95" t="str">
        <v>Saleable product</v>
      </c>
      <c r="T95">
        <v>120000</v>
      </c>
      <c r="U95" t="str">
        <v>Total</v>
      </c>
      <c r="V95">
        <v>0</v>
      </c>
      <c r="W95">
        <v>0</v>
      </c>
      <c r="X95">
        <v>0.85000002384185791</v>
      </c>
      <c r="Y95">
        <v>0</v>
      </c>
      <c r="Z95">
        <v>90</v>
      </c>
      <c r="AA95">
        <v>0.10000000149011612</v>
      </c>
      <c r="AB95">
        <v>1.2000000476837158</v>
      </c>
      <c r="AC95">
        <v>0.89999997615814209</v>
      </c>
      <c r="AD95">
        <v>2</v>
      </c>
      <c r="AE95">
        <v>0.80000001192092896</v>
      </c>
      <c r="AF95">
        <v>4.5</v>
      </c>
      <c r="AG95">
        <v>4.8000001907348633</v>
      </c>
    </row>
    <row r="96" spans="1:33">
      <c r="A96" t="str">
        <v>Wong bok Vegetable General</v>
      </c>
      <c r="B96">
        <v>50</v>
      </c>
      <c r="C96" t="str">
        <v>Vegetable</v>
      </c>
      <c r="D96" t="str">
        <v>Green</v>
      </c>
      <c r="E96" t="str">
        <v>Wong bok</v>
      </c>
      <c r="F96" t="str">
        <v>General</v>
      </c>
      <c r="G96" t="str">
        <v>Brassicaceae</v>
      </c>
      <c r="H96" t="str">
        <v>Brassica</v>
      </c>
      <c r="I96" t="str">
        <v>rapa</v>
      </c>
      <c r="J96" t="str">
        <v>pekinensis</v>
      </c>
      <c r="K96" t="str">
        <v>Brassica rapa pekinensis</v>
      </c>
      <c r="L96" t="str">
        <v>rapa pekinensis</v>
      </c>
      <c r="M96" t="str">
        <v>Seedling</v>
      </c>
      <c r="N96" t="str">
        <v>Dec</v>
      </c>
      <c r="O96" t="str">
        <v>Vegetative</v>
      </c>
      <c r="P96" t="str">
        <v>Jun</v>
      </c>
      <c r="Q96">
        <v>0.5</v>
      </c>
      <c r="R96" t="str">
        <v>kg/head</v>
      </c>
      <c r="S96" t="str">
        <v>Saleable product</v>
      </c>
      <c r="T96">
        <v>60000</v>
      </c>
      <c r="U96" t="str">
        <v>Total</v>
      </c>
      <c r="V96">
        <v>0</v>
      </c>
      <c r="W96">
        <v>0</v>
      </c>
      <c r="X96">
        <v>0.80000001192092896</v>
      </c>
      <c r="Y96">
        <v>0</v>
      </c>
      <c r="Z96">
        <v>90</v>
      </c>
      <c r="AA96">
        <v>0.10000000149011612</v>
      </c>
      <c r="AB96">
        <v>1.2000000476837158</v>
      </c>
      <c r="AC96">
        <v>0.89999997615814209</v>
      </c>
      <c r="AD96">
        <v>2</v>
      </c>
      <c r="AE96">
        <v>0.80000001192092896</v>
      </c>
      <c r="AF96">
        <v>3</v>
      </c>
      <c r="AG96">
        <v>3</v>
      </c>
    </row>
    <row r="97" spans="1:33">
      <c r="A97" t="str">
        <v>Coriander Vegetable General</v>
      </c>
      <c r="B97">
        <v>51</v>
      </c>
      <c r="C97" t="str">
        <v>Vegetable</v>
      </c>
      <c r="D97" t="str">
        <v>Green</v>
      </c>
      <c r="E97" t="str">
        <v>Coriander</v>
      </c>
      <c r="F97" t="str">
        <v>General</v>
      </c>
      <c r="G97" t="str">
        <v>Apiaceae</v>
      </c>
      <c r="H97" t="str">
        <v>Coriandrum</v>
      </c>
      <c r="I97" t="str">
        <v>sativum</v>
      </c>
      <c r="J97" t="str">
        <v/>
      </c>
      <c r="K97" t="str">
        <v>Coriandrum sativum</v>
      </c>
      <c r="L97" t="str">
        <v>sativum</v>
      </c>
      <c r="M97" t="str">
        <v>Seed</v>
      </c>
      <c r="N97" t="str">
        <v>May</v>
      </c>
      <c r="O97" t="str">
        <v>Vegetative</v>
      </c>
      <c r="P97" t="str">
        <v>Sep</v>
      </c>
      <c r="Q97">
        <v>0.30000001192092896</v>
      </c>
      <c r="R97" t="str">
        <v>kg/head</v>
      </c>
      <c r="S97" t="str">
        <v>Saleable product</v>
      </c>
      <c r="T97">
        <v>120000</v>
      </c>
      <c r="U97" t="str">
        <v>Total</v>
      </c>
      <c r="V97">
        <v>0</v>
      </c>
      <c r="W97">
        <v>0</v>
      </c>
      <c r="X97">
        <v>1</v>
      </c>
      <c r="Y97">
        <v>0</v>
      </c>
      <c r="Z97">
        <v>95</v>
      </c>
      <c r="AA97">
        <v>0.10000000149011612</v>
      </c>
      <c r="AB97">
        <v>1.2000000476837158</v>
      </c>
      <c r="AC97">
        <v>0.89999997615814209</v>
      </c>
      <c r="AD97">
        <v>0.80000001192092896</v>
      </c>
      <c r="AE97">
        <v>0.89999997615814209</v>
      </c>
      <c r="AF97">
        <v>4.6999998092651367</v>
      </c>
      <c r="AG97">
        <v>4.6999998092651367</v>
      </c>
    </row>
    <row r="98" spans="1:33">
      <c r="A98" t="str">
        <v>Lettuce Vegetable Ice berg</v>
      </c>
      <c r="B98">
        <v>61</v>
      </c>
      <c r="C98" t="str">
        <v>Vegetable</v>
      </c>
      <c r="D98" t="str">
        <v>Green</v>
      </c>
      <c r="E98" t="str">
        <v>Lettuce</v>
      </c>
      <c r="F98" t="str">
        <v>Ice berg</v>
      </c>
      <c r="G98" t="str">
        <v>Asteraceae</v>
      </c>
      <c r="H98" t="str">
        <v>Lactuca</v>
      </c>
      <c r="I98" t="str">
        <v>sativa</v>
      </c>
      <c r="J98" t="str">
        <v/>
      </c>
      <c r="K98" t="str">
        <v>Lactuca sativa</v>
      </c>
      <c r="L98" t="str">
        <v>sativa</v>
      </c>
      <c r="M98" t="str">
        <v>Seedling</v>
      </c>
      <c r="N98" t="str">
        <v>Sep</v>
      </c>
      <c r="O98" t="str">
        <v>Vegetative</v>
      </c>
      <c r="P98" t="str">
        <v>Dec</v>
      </c>
      <c r="Q98">
        <v>0.80000001192092896</v>
      </c>
      <c r="R98" t="str">
        <v>kg/head</v>
      </c>
      <c r="S98" t="str">
        <v>Saleable product</v>
      </c>
      <c r="T98">
        <v>70000</v>
      </c>
      <c r="U98" t="str">
        <v>Total</v>
      </c>
      <c r="V98">
        <v>0</v>
      </c>
      <c r="W98">
        <v>0</v>
      </c>
      <c r="X98">
        <v>0.80000001192092896</v>
      </c>
      <c r="Y98">
        <v>0</v>
      </c>
      <c r="Z98">
        <v>96</v>
      </c>
      <c r="AA98">
        <v>0.10000000149011612</v>
      </c>
      <c r="AB98">
        <v>1</v>
      </c>
      <c r="AC98">
        <v>0.94999998807907104</v>
      </c>
      <c r="AD98">
        <v>1</v>
      </c>
      <c r="AE98">
        <v>0.89999997615814209</v>
      </c>
      <c r="AF98">
        <v>3.5</v>
      </c>
      <c r="AG98">
        <v>3.5</v>
      </c>
    </row>
    <row r="99" spans="1:33">
      <c r="A99" t="str">
        <v>Lettuce Vegetable Leafy-salad</v>
      </c>
      <c r="B99">
        <v>62</v>
      </c>
      <c r="C99" t="str">
        <v>Vegetable</v>
      </c>
      <c r="D99" t="str">
        <v>Green</v>
      </c>
      <c r="E99" t="str">
        <v>Lettuce</v>
      </c>
      <c r="F99" t="str">
        <v>Leafy-salad</v>
      </c>
      <c r="G99" t="str">
        <v>Asteraceae</v>
      </c>
      <c r="H99" t="str">
        <v>Lactuca</v>
      </c>
      <c r="I99" t="str">
        <v>sativa</v>
      </c>
      <c r="J99" t="str">
        <v/>
      </c>
      <c r="K99" t="str">
        <v>Lactuca sativa</v>
      </c>
      <c r="L99" t="str">
        <v>sativa</v>
      </c>
      <c r="M99" t="str">
        <v>Seedling</v>
      </c>
      <c r="N99" t="str">
        <v>Sep</v>
      </c>
      <c r="O99" t="str">
        <v>Vegetative</v>
      </c>
      <c r="P99" t="str">
        <v>Dec</v>
      </c>
      <c r="Q99">
        <v>0.69999998807907104</v>
      </c>
      <c r="R99" t="str">
        <v>kg/head</v>
      </c>
      <c r="S99" t="str">
        <v>Saleable product</v>
      </c>
      <c r="T99">
        <v>80000</v>
      </c>
      <c r="U99" t="str">
        <v>Total</v>
      </c>
      <c r="V99">
        <v>0</v>
      </c>
      <c r="W99">
        <v>0</v>
      </c>
      <c r="X99">
        <v>0.89999997615814209</v>
      </c>
      <c r="Y99">
        <v>0</v>
      </c>
      <c r="Z99">
        <v>95</v>
      </c>
      <c r="AA99">
        <v>0.10000000149011612</v>
      </c>
      <c r="AB99">
        <v>1</v>
      </c>
      <c r="AC99">
        <v>0.89999997615814209</v>
      </c>
      <c r="AD99">
        <v>1</v>
      </c>
      <c r="AE99">
        <v>0.89999997615814209</v>
      </c>
      <c r="AF99">
        <v>3.7999999523162842</v>
      </c>
      <c r="AG99">
        <v>3.5</v>
      </c>
    </row>
    <row r="100" spans="1:33">
      <c r="A100" t="str">
        <v>Spinach Vegetable General</v>
      </c>
      <c r="B100">
        <v>68</v>
      </c>
      <c r="C100" t="str">
        <v>Vegetable</v>
      </c>
      <c r="D100" t="str">
        <v>Green</v>
      </c>
      <c r="E100" t="str">
        <v>Spinach</v>
      </c>
      <c r="F100" t="str">
        <v>General</v>
      </c>
      <c r="G100" t="str">
        <v>Amaranthaceae</v>
      </c>
      <c r="H100" t="str">
        <v>Spinacia</v>
      </c>
      <c r="I100" t="str">
        <v>loeracea</v>
      </c>
      <c r="J100" t="str">
        <v/>
      </c>
      <c r="K100" t="str">
        <v>Spinacia loeracea</v>
      </c>
      <c r="L100" t="str">
        <v>loeracea</v>
      </c>
      <c r="M100" t="str">
        <v>Seed</v>
      </c>
      <c r="N100" t="str">
        <v>May</v>
      </c>
      <c r="O100" t="str">
        <v>Vegetative</v>
      </c>
      <c r="P100" t="str">
        <v>Sep</v>
      </c>
      <c r="Q100">
        <v>0.30000001192092896</v>
      </c>
      <c r="R100" t="str">
        <v>kg/head</v>
      </c>
      <c r="S100" t="str">
        <v>Saleable product</v>
      </c>
      <c r="T100">
        <v>200000</v>
      </c>
      <c r="U100" t="str">
        <v>Total</v>
      </c>
      <c r="V100">
        <v>0</v>
      </c>
      <c r="W100">
        <v>0</v>
      </c>
      <c r="X100">
        <v>0.94999998807907104</v>
      </c>
      <c r="Y100">
        <v>0</v>
      </c>
      <c r="Z100">
        <v>92</v>
      </c>
      <c r="AA100">
        <v>0.10000000149011612</v>
      </c>
      <c r="AB100">
        <v>1.5</v>
      </c>
      <c r="AC100">
        <v>0.80000001192092896</v>
      </c>
      <c r="AD100">
        <v>1</v>
      </c>
      <c r="AE100">
        <v>0.80000001192092896</v>
      </c>
      <c r="AF100">
        <v>4</v>
      </c>
      <c r="AG100">
        <v>4.5</v>
      </c>
    </row>
    <row r="101" spans="1:33">
      <c r="A101" t="str">
        <v>Parsley Vegetable General</v>
      </c>
      <c r="B101">
        <v>83</v>
      </c>
      <c r="C101" t="str">
        <v>Vegetable</v>
      </c>
      <c r="D101" t="str">
        <v>Green</v>
      </c>
      <c r="E101" t="str">
        <v>Parsley</v>
      </c>
      <c r="F101" t="str">
        <v>General</v>
      </c>
      <c r="G101" t="str">
        <v>Apiaceae</v>
      </c>
      <c r="H101" t="str">
        <v>Petroselinum</v>
      </c>
      <c r="I101" t="str">
        <v>crispum</v>
      </c>
      <c r="J101" t="str">
        <v/>
      </c>
      <c r="K101" t="str">
        <v>Petroselinum crispum</v>
      </c>
      <c r="L101" t="str">
        <v>crispum</v>
      </c>
      <c r="M101" t="str">
        <v>Seed</v>
      </c>
      <c r="N101" t="str">
        <v>May</v>
      </c>
      <c r="O101" t="str">
        <v>Vegetative</v>
      </c>
      <c r="P101" t="str">
        <v>Sep</v>
      </c>
      <c r="Q101">
        <v>0.30000001192092896</v>
      </c>
      <c r="R101" t="str">
        <v>kg/head</v>
      </c>
      <c r="S101" t="str">
        <v>Saleable product</v>
      </c>
      <c r="T101">
        <v>100000</v>
      </c>
      <c r="U101" t="str">
        <v>Total</v>
      </c>
      <c r="V101">
        <v>0</v>
      </c>
      <c r="W101">
        <v>0</v>
      </c>
      <c r="X101">
        <v>0.69999998807907104</v>
      </c>
      <c r="Y101">
        <v>0</v>
      </c>
      <c r="Z101">
        <v>92</v>
      </c>
      <c r="AA101">
        <v>0.10000000149011612</v>
      </c>
      <c r="AB101">
        <v>1.5</v>
      </c>
      <c r="AC101">
        <v>0.80000001192092896</v>
      </c>
      <c r="AD101">
        <v>1</v>
      </c>
      <c r="AE101">
        <v>0.80000001192092896</v>
      </c>
      <c r="AF101">
        <v>4</v>
      </c>
      <c r="AG101">
        <v>4.5</v>
      </c>
    </row>
    <row r="102" spans="1:33">
      <c r="A102" t="str">
        <v>Bean Vegetable General</v>
      </c>
      <c r="B102">
        <v>65</v>
      </c>
      <c r="C102" t="str">
        <v>Vegetable</v>
      </c>
      <c r="D102" t="str">
        <v>Pulse</v>
      </c>
      <c r="E102" t="str">
        <v>Bean</v>
      </c>
      <c r="F102" t="str">
        <v>General</v>
      </c>
      <c r="G102" t="str">
        <v>Fabaceae</v>
      </c>
      <c r="H102" t="str">
        <v>Phaseolus</v>
      </c>
      <c r="I102" t="str">
        <v>vulgaris</v>
      </c>
      <c r="J102" t="str">
        <v/>
      </c>
      <c r="K102" t="str">
        <v>Phaseolus vulgaris</v>
      </c>
      <c r="L102" t="str">
        <v>vulgaris</v>
      </c>
      <c r="M102" t="str">
        <v>Seed</v>
      </c>
      <c r="N102" t="str">
        <v>Nov</v>
      </c>
      <c r="O102" t="str">
        <v>EarlyReproductive</v>
      </c>
      <c r="P102" t="str">
        <v>Mar</v>
      </c>
      <c r="Q102">
        <v>18</v>
      </c>
      <c r="R102" t="str">
        <v>t/ha</v>
      </c>
      <c r="S102" t="str">
        <v>Saleable product</v>
      </c>
      <c r="T102">
        <v>1</v>
      </c>
      <c r="U102" t="str">
        <v>Total</v>
      </c>
      <c r="V102">
        <v>0</v>
      </c>
      <c r="W102">
        <v>0</v>
      </c>
      <c r="X102">
        <v>0.43999999761581421</v>
      </c>
      <c r="Y102">
        <v>7.0000000298023224E-2</v>
      </c>
      <c r="Z102">
        <v>89</v>
      </c>
      <c r="AA102">
        <v>0.10000000149011612</v>
      </c>
      <c r="AB102">
        <v>1</v>
      </c>
      <c r="AC102">
        <v>0.89999997615814209</v>
      </c>
      <c r="AD102">
        <v>1</v>
      </c>
      <c r="AE102">
        <v>1.5</v>
      </c>
      <c r="AF102">
        <v>2.5</v>
      </c>
      <c r="AG102">
        <v>2.7999999523162842</v>
      </c>
    </row>
    <row r="103" spans="1:33">
      <c r="A103" t="str">
        <v>Pea Vegetable General</v>
      </c>
      <c r="B103">
        <v>66</v>
      </c>
      <c r="C103" t="str">
        <v>Vegetable</v>
      </c>
      <c r="D103" t="str">
        <v>Pulse</v>
      </c>
      <c r="E103" t="str">
        <v>Pea</v>
      </c>
      <c r="F103" t="str">
        <v>General</v>
      </c>
      <c r="G103" t="str">
        <v>Fabaceae</v>
      </c>
      <c r="H103" t="str">
        <v>Pisum</v>
      </c>
      <c r="I103" t="str">
        <v>sativum</v>
      </c>
      <c r="J103" t="str">
        <v/>
      </c>
      <c r="K103" t="str">
        <v>Pisum sativum</v>
      </c>
      <c r="L103" t="str">
        <v>sativum</v>
      </c>
      <c r="M103" t="str">
        <v>Seed</v>
      </c>
      <c r="N103" t="str">
        <v>Aug</v>
      </c>
      <c r="O103" t="str">
        <v>EarlyReproductive</v>
      </c>
      <c r="P103" t="str">
        <v>Jan</v>
      </c>
      <c r="Q103">
        <v>10</v>
      </c>
      <c r="R103" t="str">
        <v>t/ha</v>
      </c>
      <c r="S103" t="str">
        <v>Saleable product</v>
      </c>
      <c r="T103">
        <v>1</v>
      </c>
      <c r="U103" t="str">
        <v>Total</v>
      </c>
      <c r="V103">
        <v>0</v>
      </c>
      <c r="W103">
        <v>0</v>
      </c>
      <c r="X103">
        <v>0.34000000357627869</v>
      </c>
      <c r="Y103">
        <v>7.9999998211860657E-2</v>
      </c>
      <c r="Z103">
        <v>77</v>
      </c>
      <c r="AA103">
        <v>0.10000000149011612</v>
      </c>
      <c r="AB103">
        <v>0.69999998807907104</v>
      </c>
      <c r="AC103">
        <v>1</v>
      </c>
      <c r="AD103">
        <v>1</v>
      </c>
      <c r="AE103">
        <v>1.5</v>
      </c>
      <c r="AF103">
        <v>2.0999999046325684</v>
      </c>
      <c r="AG103">
        <v>4</v>
      </c>
    </row>
    <row r="104" spans="1:33">
      <c r="A104" t="str">
        <v>Broad bean Vegetable General</v>
      </c>
      <c r="B104">
        <v>69</v>
      </c>
      <c r="C104" t="str">
        <v>Vegetable</v>
      </c>
      <c r="D104" t="str">
        <v>Pulse</v>
      </c>
      <c r="E104" t="str">
        <v>Broad bean</v>
      </c>
      <c r="F104" t="str">
        <v>General</v>
      </c>
      <c r="G104" t="str">
        <v>Fabaceae</v>
      </c>
      <c r="H104" t="str">
        <v>Vicia</v>
      </c>
      <c r="I104" t="str">
        <v>faba</v>
      </c>
      <c r="J104" t="str">
        <v/>
      </c>
      <c r="K104" t="str">
        <v>Vicia faba</v>
      </c>
      <c r="L104" t="str">
        <v>faba</v>
      </c>
      <c r="M104" t="str">
        <v>Seed</v>
      </c>
      <c r="N104" t="str">
        <v>May</v>
      </c>
      <c r="O104" t="str">
        <v>EarlyReproductive</v>
      </c>
      <c r="P104" t="str">
        <v>Nov</v>
      </c>
      <c r="Q104">
        <v>11</v>
      </c>
      <c r="R104" t="str">
        <v>t/ha</v>
      </c>
      <c r="S104" t="str">
        <v>Saleable product</v>
      </c>
      <c r="T104">
        <v>1</v>
      </c>
      <c r="U104" t="str">
        <v>Total</v>
      </c>
      <c r="V104">
        <v>0</v>
      </c>
      <c r="W104">
        <v>0</v>
      </c>
      <c r="X104">
        <v>0.30000001192092896</v>
      </c>
      <c r="Y104">
        <v>5.000000074505806E-2</v>
      </c>
      <c r="Z104">
        <v>76</v>
      </c>
      <c r="AA104">
        <v>0.10000000149011612</v>
      </c>
      <c r="AB104">
        <v>1</v>
      </c>
      <c r="AC104">
        <v>0.89999997615814209</v>
      </c>
      <c r="AD104">
        <v>1</v>
      </c>
      <c r="AE104">
        <v>1.5</v>
      </c>
      <c r="AF104">
        <v>1.7000000476837158</v>
      </c>
      <c r="AG104">
        <v>4.4000000953674316</v>
      </c>
    </row>
    <row r="105" spans="1:33">
      <c r="A105" t="str">
        <v>Onion Vegetable Brown</v>
      </c>
      <c r="B105">
        <v>35</v>
      </c>
      <c r="C105" t="str">
        <v>Vegetable</v>
      </c>
      <c r="D105" t="str">
        <v>Root</v>
      </c>
      <c r="E105" t="str">
        <v>Onion</v>
      </c>
      <c r="F105" t="str">
        <v>Brown</v>
      </c>
      <c r="G105" t="str">
        <v>Amaryllidaceae</v>
      </c>
      <c r="H105" t="str">
        <v>Allium</v>
      </c>
      <c r="I105" t="str">
        <v>cepa</v>
      </c>
      <c r="J105" t="str">
        <v/>
      </c>
      <c r="K105" t="str">
        <v>Allium cepa</v>
      </c>
      <c r="L105" t="str">
        <v>cepa</v>
      </c>
      <c r="M105" t="str">
        <v>Seed</v>
      </c>
      <c r="N105" t="str">
        <v>May</v>
      </c>
      <c r="O105" t="str">
        <v>Maturity</v>
      </c>
      <c r="P105" t="str">
        <v>Feb</v>
      </c>
      <c r="Q105">
        <v>70</v>
      </c>
      <c r="R105" t="str">
        <v>t/ha</v>
      </c>
      <c r="S105" t="str">
        <v>Saleable product</v>
      </c>
      <c r="T105">
        <v>1</v>
      </c>
      <c r="U105" t="str">
        <v>Total</v>
      </c>
      <c r="V105">
        <v>0</v>
      </c>
      <c r="W105">
        <v>0</v>
      </c>
      <c r="X105">
        <v>0.87999999523162842</v>
      </c>
      <c r="Y105">
        <v>0</v>
      </c>
      <c r="Z105">
        <v>87</v>
      </c>
      <c r="AA105">
        <v>0.10000000149011612</v>
      </c>
      <c r="AB105">
        <v>0.60000002384185791</v>
      </c>
      <c r="AC105">
        <v>0.80000001192092896</v>
      </c>
      <c r="AD105">
        <v>0.60000002384185791</v>
      </c>
      <c r="AE105">
        <v>1</v>
      </c>
      <c r="AF105">
        <v>1.3500000238418579</v>
      </c>
      <c r="AG105">
        <v>1.3999999761581421</v>
      </c>
    </row>
    <row r="106" spans="1:33">
      <c r="A106" t="str">
        <v>Onion Vegetable Red</v>
      </c>
      <c r="B106">
        <v>36</v>
      </c>
      <c r="C106" t="str">
        <v>Vegetable</v>
      </c>
      <c r="D106" t="str">
        <v>Root</v>
      </c>
      <c r="E106" t="str">
        <v>Onion</v>
      </c>
      <c r="F106" t="str">
        <v>Red</v>
      </c>
      <c r="G106" t="str">
        <v>Amaryllidaceae</v>
      </c>
      <c r="H106" t="str">
        <v>Allium</v>
      </c>
      <c r="I106" t="str">
        <v>cepa</v>
      </c>
      <c r="J106" t="str">
        <v/>
      </c>
      <c r="K106" t="str">
        <v>Allium cepa</v>
      </c>
      <c r="L106" t="str">
        <v>cepa</v>
      </c>
      <c r="M106" t="str">
        <v>Seed</v>
      </c>
      <c r="N106" t="str">
        <v>May</v>
      </c>
      <c r="O106" t="str">
        <v>LateReproductive</v>
      </c>
      <c r="P106" t="str">
        <v>Apr</v>
      </c>
      <c r="Q106">
        <v>80</v>
      </c>
      <c r="R106" t="str">
        <v>t/ha</v>
      </c>
      <c r="S106" t="str">
        <v>Saleable product</v>
      </c>
      <c r="T106">
        <v>1</v>
      </c>
      <c r="U106" t="str">
        <v>Total</v>
      </c>
      <c r="V106">
        <v>0</v>
      </c>
      <c r="W106">
        <v>0</v>
      </c>
      <c r="X106">
        <v>0.87999999523162842</v>
      </c>
      <c r="Y106">
        <v>0</v>
      </c>
      <c r="Z106">
        <v>87</v>
      </c>
      <c r="AA106">
        <v>0.10000000149011612</v>
      </c>
      <c r="AB106">
        <v>0.60000002384185791</v>
      </c>
      <c r="AC106">
        <v>0.80000001192092896</v>
      </c>
      <c r="AD106">
        <v>0.60000002384185791</v>
      </c>
      <c r="AE106">
        <v>1</v>
      </c>
      <c r="AF106">
        <v>1.3500000238418579</v>
      </c>
      <c r="AG106">
        <v>1.3999999761581421</v>
      </c>
    </row>
    <row r="107" spans="1:33">
      <c r="A107" t="str">
        <v>Onion Vegetable Shallot</v>
      </c>
      <c r="B107">
        <v>37</v>
      </c>
      <c r="C107" t="str">
        <v>Vegetable</v>
      </c>
      <c r="D107" t="str">
        <v>Root</v>
      </c>
      <c r="E107" t="str">
        <v>Onion</v>
      </c>
      <c r="F107" t="str">
        <v>Shallot</v>
      </c>
      <c r="G107" t="str">
        <v>Amaryllidaceae</v>
      </c>
      <c r="H107" t="str">
        <v>Allium</v>
      </c>
      <c r="I107" t="str">
        <v>cepa</v>
      </c>
      <c r="J107" t="str">
        <v/>
      </c>
      <c r="K107" t="str">
        <v>Allium cepa</v>
      </c>
      <c r="L107" t="str">
        <v>cepa</v>
      </c>
      <c r="M107" t="str">
        <v>Seed</v>
      </c>
      <c r="N107" t="str">
        <v>Apr</v>
      </c>
      <c r="O107" t="str">
        <v>Vegetative</v>
      </c>
      <c r="P107" t="str">
        <v>Dec</v>
      </c>
      <c r="Q107">
        <v>60</v>
      </c>
      <c r="R107" t="str">
        <v>t/ha</v>
      </c>
      <c r="S107" t="str">
        <v>Saleable product</v>
      </c>
      <c r="T107">
        <v>1</v>
      </c>
      <c r="U107" t="str">
        <v>Total</v>
      </c>
      <c r="V107">
        <v>0</v>
      </c>
      <c r="W107">
        <v>0</v>
      </c>
      <c r="X107">
        <v>0.87999999523162842</v>
      </c>
      <c r="Y107">
        <v>0</v>
      </c>
      <c r="Z107">
        <v>87</v>
      </c>
      <c r="AA107">
        <v>0.10000000149011612</v>
      </c>
      <c r="AB107">
        <v>0.60000002384185791</v>
      </c>
      <c r="AC107">
        <v>0.80000001192092896</v>
      </c>
      <c r="AD107">
        <v>0.60000002384185791</v>
      </c>
      <c r="AE107">
        <v>1</v>
      </c>
      <c r="AF107">
        <v>1.3500000238418579</v>
      </c>
      <c r="AG107">
        <v>1.3999999761581421</v>
      </c>
    </row>
    <row r="108" spans="1:33">
      <c r="A108" t="str">
        <v>Garlic Vegetable General</v>
      </c>
      <c r="B108">
        <v>39</v>
      </c>
      <c r="C108" t="str">
        <v>Vegetable</v>
      </c>
      <c r="D108" t="str">
        <v>Root</v>
      </c>
      <c r="E108" t="str">
        <v>Garlic</v>
      </c>
      <c r="F108" t="str">
        <v>General</v>
      </c>
      <c r="G108" t="str">
        <v>Amaryllidaceae</v>
      </c>
      <c r="H108" t="str">
        <v>Allium</v>
      </c>
      <c r="I108" t="str">
        <v>sativum</v>
      </c>
      <c r="J108" t="str">
        <v/>
      </c>
      <c r="K108" t="str">
        <v>Allium sativum</v>
      </c>
      <c r="L108" t="str">
        <v>sativum</v>
      </c>
      <c r="M108" t="str">
        <v>Seed</v>
      </c>
      <c r="N108" t="str">
        <v>Jun</v>
      </c>
      <c r="O108" t="str">
        <v>Vegetative</v>
      </c>
      <c r="P108" t="str">
        <v>Dec</v>
      </c>
      <c r="Q108">
        <v>50</v>
      </c>
      <c r="R108" t="str">
        <v>t/ha</v>
      </c>
      <c r="S108" t="str">
        <v>Saleable product</v>
      </c>
      <c r="T108">
        <v>1</v>
      </c>
      <c r="U108" t="str">
        <v>Total</v>
      </c>
      <c r="V108">
        <v>0</v>
      </c>
      <c r="W108">
        <v>0</v>
      </c>
      <c r="X108">
        <v>0.87999999523162842</v>
      </c>
      <c r="Y108">
        <v>0</v>
      </c>
      <c r="Z108">
        <v>87</v>
      </c>
      <c r="AA108">
        <v>0.10000000149011612</v>
      </c>
      <c r="AB108">
        <v>0.60000002384185791</v>
      </c>
      <c r="AC108">
        <v>0.69999998807907104</v>
      </c>
      <c r="AD108">
        <v>0.60000002384185791</v>
      </c>
      <c r="AE108">
        <v>1</v>
      </c>
      <c r="AF108">
        <v>1.3500000238418579</v>
      </c>
      <c r="AG108">
        <v>1.3999999761581421</v>
      </c>
    </row>
    <row r="109" spans="1:33">
      <c r="A109" t="str">
        <v>Red beet Vegetable General</v>
      </c>
      <c r="B109">
        <v>42</v>
      </c>
      <c r="C109" t="str">
        <v>Vegetable</v>
      </c>
      <c r="D109" t="str">
        <v>Root</v>
      </c>
      <c r="E109" t="str">
        <v>Red beet</v>
      </c>
      <c r="F109" t="str">
        <v>General</v>
      </c>
      <c r="G109" t="str">
        <v>Amaranthaceae</v>
      </c>
      <c r="H109" t="str">
        <v>Beta</v>
      </c>
      <c r="I109" t="str">
        <v>vulgaris</v>
      </c>
      <c r="J109" t="str">
        <v>conditiva</v>
      </c>
      <c r="K109" t="str">
        <v>Beta vulgaris conditiva</v>
      </c>
      <c r="L109" t="str">
        <v>vulgaris conditiva</v>
      </c>
      <c r="M109" t="str">
        <v>Seed</v>
      </c>
      <c r="N109" t="str">
        <v>Sep</v>
      </c>
      <c r="O109" t="str">
        <v>EarlyReproductive</v>
      </c>
      <c r="P109" t="str">
        <v>May</v>
      </c>
      <c r="Q109">
        <v>55</v>
      </c>
      <c r="R109" t="str">
        <v>t/ha</v>
      </c>
      <c r="S109" t="str">
        <v>Saleable product</v>
      </c>
      <c r="T109">
        <v>1</v>
      </c>
      <c r="U109" t="str">
        <v>Total</v>
      </c>
      <c r="V109">
        <v>0</v>
      </c>
      <c r="W109">
        <v>0</v>
      </c>
      <c r="X109">
        <v>0.81499999761581421</v>
      </c>
      <c r="Y109">
        <v>5.4999999701976776E-2</v>
      </c>
      <c r="Z109">
        <v>86</v>
      </c>
      <c r="AA109">
        <v>0.10000000149011612</v>
      </c>
      <c r="AB109">
        <v>1.5</v>
      </c>
      <c r="AC109">
        <v>0.94999998807907104</v>
      </c>
      <c r="AD109">
        <v>0.80000001192092896</v>
      </c>
      <c r="AE109">
        <v>0.80000001192092896</v>
      </c>
      <c r="AF109">
        <v>2</v>
      </c>
      <c r="AG109">
        <v>1.5</v>
      </c>
    </row>
    <row r="110" spans="1:33">
      <c r="A110" t="str">
        <v>Carrot Vegetable Juicing</v>
      </c>
      <c r="B110">
        <v>57</v>
      </c>
      <c r="C110" t="str">
        <v>Vegetable</v>
      </c>
      <c r="D110" t="str">
        <v>Root</v>
      </c>
      <c r="E110" t="str">
        <v>Carrot</v>
      </c>
      <c r="F110" t="str">
        <v>Juicing</v>
      </c>
      <c r="G110" t="str">
        <v>Apiaceae</v>
      </c>
      <c r="H110" t="str">
        <v>Daucus</v>
      </c>
      <c r="I110" t="str">
        <v>carota</v>
      </c>
      <c r="J110" t="str">
        <v/>
      </c>
      <c r="K110" t="str">
        <v>Daucus carota</v>
      </c>
      <c r="L110" t="str">
        <v>carota</v>
      </c>
      <c r="M110" t="str">
        <v>Seed</v>
      </c>
      <c r="N110" t="str">
        <v>Oct</v>
      </c>
      <c r="O110" t="str">
        <v>EarlyReproductive</v>
      </c>
      <c r="P110" t="str">
        <v>Jun</v>
      </c>
      <c r="Q110">
        <v>130</v>
      </c>
      <c r="R110" t="str">
        <v>t/ha</v>
      </c>
      <c r="S110" t="str">
        <v>Saleable product</v>
      </c>
      <c r="T110">
        <v>1</v>
      </c>
      <c r="U110" t="str">
        <v>Total</v>
      </c>
      <c r="V110">
        <v>0</v>
      </c>
      <c r="W110">
        <v>0</v>
      </c>
      <c r="X110">
        <v>0.86000001430511475</v>
      </c>
      <c r="Y110">
        <v>7.0000000298023224E-2</v>
      </c>
      <c r="Z110">
        <v>88</v>
      </c>
      <c r="AA110">
        <v>0.10000000149011612</v>
      </c>
      <c r="AB110">
        <v>1.2000000476837158</v>
      </c>
      <c r="AC110">
        <v>0.89999997615814209</v>
      </c>
      <c r="AD110">
        <v>0.69999998807907104</v>
      </c>
      <c r="AE110">
        <v>0.89999997615814209</v>
      </c>
      <c r="AF110">
        <v>1</v>
      </c>
      <c r="AG110">
        <v>1.3999999761581421</v>
      </c>
    </row>
    <row r="111" spans="1:33">
      <c r="A111" t="str">
        <v>Carrot Vegetable Processing</v>
      </c>
      <c r="B111">
        <v>58</v>
      </c>
      <c r="C111" t="str">
        <v>Vegetable</v>
      </c>
      <c r="D111" t="str">
        <v>Root</v>
      </c>
      <c r="E111" t="str">
        <v>Carrot</v>
      </c>
      <c r="F111" t="str">
        <v>Processing</v>
      </c>
      <c r="G111" t="str">
        <v>Apiaceae</v>
      </c>
      <c r="H111" t="str">
        <v>Daucus</v>
      </c>
      <c r="I111" t="str">
        <v>carota</v>
      </c>
      <c r="J111" t="str">
        <v/>
      </c>
      <c r="K111" t="str">
        <v>Daucus carota</v>
      </c>
      <c r="L111" t="str">
        <v>carota</v>
      </c>
      <c r="M111" t="str">
        <v>Seed</v>
      </c>
      <c r="N111" t="str">
        <v>Oct</v>
      </c>
      <c r="O111" t="str">
        <v>EarlyReproductive</v>
      </c>
      <c r="P111" t="str">
        <v>Jun</v>
      </c>
      <c r="Q111">
        <v>100</v>
      </c>
      <c r="R111" t="str">
        <v>t/ha</v>
      </c>
      <c r="S111" t="str">
        <v>Saleable product</v>
      </c>
      <c r="T111">
        <v>1</v>
      </c>
      <c r="U111" t="str">
        <v>Total</v>
      </c>
      <c r="V111">
        <v>0</v>
      </c>
      <c r="W111">
        <v>0</v>
      </c>
      <c r="X111">
        <v>0.80000001192092896</v>
      </c>
      <c r="Y111">
        <v>7.0000000298023224E-2</v>
      </c>
      <c r="Z111">
        <v>88</v>
      </c>
      <c r="AA111">
        <v>0.10000000149011612</v>
      </c>
      <c r="AB111">
        <v>1.2000000476837158</v>
      </c>
      <c r="AC111">
        <v>0.89999997615814209</v>
      </c>
      <c r="AD111">
        <v>0.69999998807907104</v>
      </c>
      <c r="AE111">
        <v>0.89999997615814209</v>
      </c>
      <c r="AF111">
        <v>1.2999999523162842</v>
      </c>
      <c r="AG111">
        <v>1.6000000238418579</v>
      </c>
    </row>
    <row r="112" spans="1:33">
      <c r="A112" t="str">
        <v>Carrot Vegetable Fresh</v>
      </c>
      <c r="B112">
        <v>59</v>
      </c>
      <c r="C112" t="str">
        <v>Vegetable</v>
      </c>
      <c r="D112" t="str">
        <v>Root</v>
      </c>
      <c r="E112" t="str">
        <v>Carrot</v>
      </c>
      <c r="F112" t="str">
        <v>Fresh</v>
      </c>
      <c r="G112" t="str">
        <v>Apiaceae</v>
      </c>
      <c r="H112" t="str">
        <v>Daucus</v>
      </c>
      <c r="I112" t="str">
        <v>carota</v>
      </c>
      <c r="J112" t="str">
        <v/>
      </c>
      <c r="K112" t="str">
        <v>Daucus carota</v>
      </c>
      <c r="L112" t="str">
        <v>carota</v>
      </c>
      <c r="M112" t="str">
        <v>Seed</v>
      </c>
      <c r="N112" t="str">
        <v>Oct</v>
      </c>
      <c r="O112" t="str">
        <v>EarlyReproductive</v>
      </c>
      <c r="P112" t="str">
        <v>Jun</v>
      </c>
      <c r="Q112">
        <v>100</v>
      </c>
      <c r="R112" t="str">
        <v>t/ha</v>
      </c>
      <c r="S112" t="str">
        <v>Saleable product</v>
      </c>
      <c r="T112">
        <v>1</v>
      </c>
      <c r="U112" t="str">
        <v>Total</v>
      </c>
      <c r="V112">
        <v>0</v>
      </c>
      <c r="W112">
        <v>0</v>
      </c>
      <c r="X112">
        <v>0.80000001192092896</v>
      </c>
      <c r="Y112">
        <v>7.0000000298023224E-2</v>
      </c>
      <c r="Z112">
        <v>88</v>
      </c>
      <c r="AA112">
        <v>0.10000000149011612</v>
      </c>
      <c r="AB112">
        <v>1.2000000476837158</v>
      </c>
      <c r="AC112">
        <v>0.89999997615814209</v>
      </c>
      <c r="AD112">
        <v>0.69999998807907104</v>
      </c>
      <c r="AE112">
        <v>0.89999997615814209</v>
      </c>
      <c r="AF112">
        <v>1.2999999523162842</v>
      </c>
      <c r="AG112">
        <v>1.6000000238418579</v>
      </c>
    </row>
    <row r="113" spans="1:33">
      <c r="A113" t="str">
        <v>Kumara Vegetable General</v>
      </c>
      <c r="B113">
        <v>60</v>
      </c>
      <c r="C113" t="str">
        <v>Vegetable</v>
      </c>
      <c r="D113" t="str">
        <v>Root</v>
      </c>
      <c r="E113" t="str">
        <v>Kumara</v>
      </c>
      <c r="F113" t="str">
        <v>General</v>
      </c>
      <c r="G113" t="str">
        <v>Convolvulaceae</v>
      </c>
      <c r="H113" t="str">
        <v>Ipomoea</v>
      </c>
      <c r="I113" t="str">
        <v>batatas</v>
      </c>
      <c r="J113" t="str">
        <v/>
      </c>
      <c r="K113" t="str">
        <v>Ipomoea batatas</v>
      </c>
      <c r="L113" t="str">
        <v>batatas</v>
      </c>
      <c r="M113" t="str">
        <v>Seed</v>
      </c>
      <c r="N113" t="str">
        <v>Oct</v>
      </c>
      <c r="O113" t="str">
        <v>Maturity</v>
      </c>
      <c r="P113" t="str">
        <v>May</v>
      </c>
      <c r="Q113">
        <v>50</v>
      </c>
      <c r="R113" t="str">
        <v>t/ha</v>
      </c>
      <c r="S113" t="str">
        <v>Saleable product</v>
      </c>
      <c r="T113">
        <v>1</v>
      </c>
      <c r="U113" t="str">
        <v>Total</v>
      </c>
      <c r="V113">
        <v>0</v>
      </c>
      <c r="W113">
        <v>0</v>
      </c>
      <c r="X113">
        <v>0.88999998569488525</v>
      </c>
      <c r="Y113">
        <v>0</v>
      </c>
      <c r="Z113">
        <v>77.400001525878906</v>
      </c>
      <c r="AA113">
        <v>0.10000000149011612</v>
      </c>
      <c r="AB113">
        <v>0.89999997615814209</v>
      </c>
      <c r="AC113">
        <v>1</v>
      </c>
      <c r="AD113">
        <v>1</v>
      </c>
      <c r="AE113">
        <v>1</v>
      </c>
      <c r="AF113">
        <v>2</v>
      </c>
      <c r="AG113">
        <v>1.7999999523162842</v>
      </c>
    </row>
    <row r="114" spans="1:33">
      <c r="A114" t="str">
        <v>Parsnip Vegetable General</v>
      </c>
      <c r="B114">
        <v>64</v>
      </c>
      <c r="C114" t="str">
        <v>Vegetable</v>
      </c>
      <c r="D114" t="str">
        <v>Root</v>
      </c>
      <c r="E114" t="str">
        <v>Parsnip</v>
      </c>
      <c r="F114" t="str">
        <v>General</v>
      </c>
      <c r="G114" t="str">
        <v>Apiaceae</v>
      </c>
      <c r="H114" t="str">
        <v>Pastinaca</v>
      </c>
      <c r="I114" t="str">
        <v>sativa</v>
      </c>
      <c r="J114" t="str">
        <v/>
      </c>
      <c r="K114" t="str">
        <v>Pastinaca sativa</v>
      </c>
      <c r="L114" t="str">
        <v>sativa</v>
      </c>
      <c r="M114" t="str">
        <v>Seed</v>
      </c>
      <c r="N114" t="str">
        <v>Sep</v>
      </c>
      <c r="O114" t="str">
        <v>EarlyReproductive</v>
      </c>
      <c r="P114" t="str">
        <v>May</v>
      </c>
      <c r="Q114">
        <v>44</v>
      </c>
      <c r="R114" t="str">
        <v>t/ha</v>
      </c>
      <c r="S114" t="str">
        <v>Saleable product</v>
      </c>
      <c r="T114">
        <v>1</v>
      </c>
      <c r="U114" t="str">
        <v>Total</v>
      </c>
      <c r="V114">
        <v>0</v>
      </c>
      <c r="W114">
        <v>0</v>
      </c>
      <c r="X114">
        <v>0.94999998807907104</v>
      </c>
      <c r="Y114">
        <v>0</v>
      </c>
      <c r="Z114">
        <v>83</v>
      </c>
      <c r="AA114">
        <v>0.10000000149011612</v>
      </c>
      <c r="AB114">
        <v>1.2000000476837158</v>
      </c>
      <c r="AC114">
        <v>0.94999998807907104</v>
      </c>
      <c r="AD114">
        <v>0.80000001192092896</v>
      </c>
      <c r="AE114">
        <v>0.89999997615814209</v>
      </c>
      <c r="AF114">
        <v>2</v>
      </c>
      <c r="AG114">
        <v>1.3500000238418579</v>
      </c>
    </row>
    <row r="115" spans="1:33">
      <c r="A115" t="e">
        <v>#N/A</v>
      </c>
      <c r="B115" t="e">
        <v>#N/A</v>
      </c>
      <c r="C115" t="e">
        <v>#N/A</v>
      </c>
      <c r="D115" t="e">
        <v>#N/A</v>
      </c>
      <c r="E115" t="e">
        <v>#N/A</v>
      </c>
      <c r="F115" t="e">
        <v>#N/A</v>
      </c>
      <c r="G115" t="e">
        <v>#N/A</v>
      </c>
      <c r="H115" t="e">
        <v>#N/A</v>
      </c>
      <c r="I115" t="e">
        <v>#N/A</v>
      </c>
      <c r="J115" t="e">
        <v>#N/A</v>
      </c>
      <c r="K115" t="e">
        <v>#N/A</v>
      </c>
      <c r="L115" t="e">
        <v>#N/A</v>
      </c>
      <c r="M115" t="e">
        <v>#N/A</v>
      </c>
      <c r="N115" t="e">
        <v>#N/A</v>
      </c>
      <c r="O115" t="e">
        <v>#N/A</v>
      </c>
      <c r="P115" t="e">
        <v>#N/A</v>
      </c>
      <c r="Q115" t="e">
        <v>#N/A</v>
      </c>
      <c r="R115" t="e">
        <v>#N/A</v>
      </c>
      <c r="S115" t="e">
        <v>#N/A</v>
      </c>
      <c r="T115" t="e">
        <v>#N/A</v>
      </c>
      <c r="U115" t="e">
        <v>#N/A</v>
      </c>
      <c r="V115" t="e">
        <v>#N/A</v>
      </c>
      <c r="W115" t="e">
        <v>#N/A</v>
      </c>
      <c r="X115" t="e">
        <v>#N/A</v>
      </c>
      <c r="Y115" t="e">
        <v>#N/A</v>
      </c>
      <c r="Z115" t="e">
        <v>#N/A</v>
      </c>
      <c r="AA115" t="e">
        <v>#N/A</v>
      </c>
      <c r="AB115" t="e">
        <v>#N/A</v>
      </c>
      <c r="AC115" t="e">
        <v>#N/A</v>
      </c>
      <c r="AD115" t="e">
        <v>#N/A</v>
      </c>
      <c r="AE115" t="e">
        <v>#N/A</v>
      </c>
      <c r="AF115" t="e">
        <v>#N/A</v>
      </c>
      <c r="AG115" t="e">
        <v>#N/A</v>
      </c>
    </row>
    <row r="116" spans="1:33">
      <c r="A116" t="e">
        <v>#N/A</v>
      </c>
      <c r="B116" t="e">
        <v>#N/A</v>
      </c>
      <c r="C116" t="e">
        <v>#N/A</v>
      </c>
      <c r="D116" t="e">
        <v>#N/A</v>
      </c>
      <c r="E116" t="e">
        <v>#N/A</v>
      </c>
      <c r="F116" t="e">
        <v>#N/A</v>
      </c>
      <c r="G116" t="e">
        <v>#N/A</v>
      </c>
      <c r="H116" t="e">
        <v>#N/A</v>
      </c>
      <c r="I116" t="e">
        <v>#N/A</v>
      </c>
      <c r="J116" t="e">
        <v>#N/A</v>
      </c>
      <c r="K116" t="e">
        <v>#N/A</v>
      </c>
      <c r="L116" t="e">
        <v>#N/A</v>
      </c>
      <c r="M116" t="e">
        <v>#N/A</v>
      </c>
      <c r="N116" t="e">
        <v>#N/A</v>
      </c>
      <c r="O116" t="e">
        <v>#N/A</v>
      </c>
      <c r="P116" t="e">
        <v>#N/A</v>
      </c>
      <c r="Q116" t="e">
        <v>#N/A</v>
      </c>
      <c r="R116" t="e">
        <v>#N/A</v>
      </c>
      <c r="S116" t="e">
        <v>#N/A</v>
      </c>
      <c r="T116" t="e">
        <v>#N/A</v>
      </c>
      <c r="U116" t="e">
        <v>#N/A</v>
      </c>
      <c r="V116" t="e">
        <v>#N/A</v>
      </c>
      <c r="W116" t="e">
        <v>#N/A</v>
      </c>
      <c r="X116" t="e">
        <v>#N/A</v>
      </c>
      <c r="Y116" t="e">
        <v>#N/A</v>
      </c>
      <c r="Z116" t="e">
        <v>#N/A</v>
      </c>
      <c r="AA116" t="e">
        <v>#N/A</v>
      </c>
      <c r="AB116" t="e">
        <v>#N/A</v>
      </c>
      <c r="AC116" t="e">
        <v>#N/A</v>
      </c>
      <c r="AD116" t="e">
        <v>#N/A</v>
      </c>
      <c r="AE116" t="e">
        <v>#N/A</v>
      </c>
      <c r="AF116" t="e">
        <v>#N/A</v>
      </c>
      <c r="AG116" t="e">
        <v>#N/A</v>
      </c>
    </row>
    <row r="117" spans="1:33">
      <c r="A117" t="e">
        <v>#N/A</v>
      </c>
      <c r="B117" t="e">
        <v>#N/A</v>
      </c>
      <c r="C117" t="e">
        <v>#N/A</v>
      </c>
      <c r="D117" t="e">
        <v>#N/A</v>
      </c>
      <c r="E117" t="e">
        <v>#N/A</v>
      </c>
      <c r="F117" t="e">
        <v>#N/A</v>
      </c>
      <c r="G117" t="e">
        <v>#N/A</v>
      </c>
      <c r="H117" t="e">
        <v>#N/A</v>
      </c>
      <c r="I117" t="e">
        <v>#N/A</v>
      </c>
      <c r="J117" t="e">
        <v>#N/A</v>
      </c>
      <c r="K117" t="e">
        <v>#N/A</v>
      </c>
      <c r="L117" t="e">
        <v>#N/A</v>
      </c>
      <c r="M117" t="e">
        <v>#N/A</v>
      </c>
      <c r="N117" t="e">
        <v>#N/A</v>
      </c>
      <c r="O117" t="e">
        <v>#N/A</v>
      </c>
      <c r="P117" t="e">
        <v>#N/A</v>
      </c>
      <c r="Q117" t="e">
        <v>#N/A</v>
      </c>
      <c r="R117" t="e">
        <v>#N/A</v>
      </c>
      <c r="S117" t="e">
        <v>#N/A</v>
      </c>
      <c r="T117" t="e">
        <v>#N/A</v>
      </c>
      <c r="U117" t="e">
        <v>#N/A</v>
      </c>
      <c r="V117" t="e">
        <v>#N/A</v>
      </c>
      <c r="W117" t="e">
        <v>#N/A</v>
      </c>
      <c r="X117" t="e">
        <v>#N/A</v>
      </c>
      <c r="Y117" t="e">
        <v>#N/A</v>
      </c>
      <c r="Z117" t="e">
        <v>#N/A</v>
      </c>
      <c r="AA117" t="e">
        <v>#N/A</v>
      </c>
      <c r="AB117" t="e">
        <v>#N/A</v>
      </c>
      <c r="AC117" t="e">
        <v>#N/A</v>
      </c>
      <c r="AD117" t="e">
        <v>#N/A</v>
      </c>
      <c r="AE117" t="e">
        <v>#N/A</v>
      </c>
      <c r="AF117" t="e">
        <v>#N/A</v>
      </c>
      <c r="AG117" t="e">
        <v>#N/A</v>
      </c>
    </row>
    <row r="118" spans="1:33">
      <c r="A118" t="e">
        <v>#N/A</v>
      </c>
      <c r="B118" t="e">
        <v>#N/A</v>
      </c>
      <c r="C118" t="e">
        <v>#N/A</v>
      </c>
      <c r="D118" t="e">
        <v>#N/A</v>
      </c>
      <c r="E118" t="e">
        <v>#N/A</v>
      </c>
      <c r="F118" t="e">
        <v>#N/A</v>
      </c>
      <c r="G118" t="e">
        <v>#N/A</v>
      </c>
      <c r="H118" t="e">
        <v>#N/A</v>
      </c>
      <c r="I118" t="e">
        <v>#N/A</v>
      </c>
      <c r="J118" t="e">
        <v>#N/A</v>
      </c>
      <c r="K118" t="e">
        <v>#N/A</v>
      </c>
      <c r="L118" t="e">
        <v>#N/A</v>
      </c>
      <c r="M118" t="e">
        <v>#N/A</v>
      </c>
      <c r="N118" t="e">
        <v>#N/A</v>
      </c>
      <c r="O118" t="e">
        <v>#N/A</v>
      </c>
      <c r="P118" t="e">
        <v>#N/A</v>
      </c>
      <c r="Q118" t="e">
        <v>#N/A</v>
      </c>
      <c r="R118" t="e">
        <v>#N/A</v>
      </c>
      <c r="S118" t="e">
        <v>#N/A</v>
      </c>
      <c r="T118" t="e">
        <v>#N/A</v>
      </c>
      <c r="U118" t="e">
        <v>#N/A</v>
      </c>
      <c r="V118" t="e">
        <v>#N/A</v>
      </c>
      <c r="W118" t="e">
        <v>#N/A</v>
      </c>
      <c r="X118" t="e">
        <v>#N/A</v>
      </c>
      <c r="Y118" t="e">
        <v>#N/A</v>
      </c>
      <c r="Z118" t="e">
        <v>#N/A</v>
      </c>
      <c r="AA118" t="e">
        <v>#N/A</v>
      </c>
      <c r="AB118" t="e">
        <v>#N/A</v>
      </c>
      <c r="AC118" t="e">
        <v>#N/A</v>
      </c>
      <c r="AD118" t="e">
        <v>#N/A</v>
      </c>
      <c r="AE118" t="e">
        <v>#N/A</v>
      </c>
      <c r="AF118" t="e">
        <v>#N/A</v>
      </c>
      <c r="AG118" t="e">
        <v>#N/A</v>
      </c>
    </row>
    <row r="119" spans="1:33">
      <c r="A119" t="e">
        <v>#N/A</v>
      </c>
      <c r="B119" t="e">
        <v>#N/A</v>
      </c>
      <c r="C119" t="e">
        <v>#N/A</v>
      </c>
      <c r="D119" t="e">
        <v>#N/A</v>
      </c>
      <c r="E119" t="e">
        <v>#N/A</v>
      </c>
      <c r="F119" t="e">
        <v>#N/A</v>
      </c>
      <c r="G119" t="e">
        <v>#N/A</v>
      </c>
      <c r="H119" t="e">
        <v>#N/A</v>
      </c>
      <c r="I119" t="e">
        <v>#N/A</v>
      </c>
      <c r="J119" t="e">
        <v>#N/A</v>
      </c>
      <c r="K119" t="e">
        <v>#N/A</v>
      </c>
      <c r="L119" t="e">
        <v>#N/A</v>
      </c>
      <c r="M119" t="e">
        <v>#N/A</v>
      </c>
      <c r="N119" t="e">
        <v>#N/A</v>
      </c>
      <c r="O119" t="e">
        <v>#N/A</v>
      </c>
      <c r="P119" t="e">
        <v>#N/A</v>
      </c>
      <c r="Q119" t="e">
        <v>#N/A</v>
      </c>
      <c r="R119" t="e">
        <v>#N/A</v>
      </c>
      <c r="S119" t="e">
        <v>#N/A</v>
      </c>
      <c r="T119" t="e">
        <v>#N/A</v>
      </c>
      <c r="U119" t="e">
        <v>#N/A</v>
      </c>
      <c r="V119" t="e">
        <v>#N/A</v>
      </c>
      <c r="W119" t="e">
        <v>#N/A</v>
      </c>
      <c r="X119" t="e">
        <v>#N/A</v>
      </c>
      <c r="Y119" t="e">
        <v>#N/A</v>
      </c>
      <c r="Z119" t="e">
        <v>#N/A</v>
      </c>
      <c r="AA119" t="e">
        <v>#N/A</v>
      </c>
      <c r="AB119" t="e">
        <v>#N/A</v>
      </c>
      <c r="AC119" t="e">
        <v>#N/A</v>
      </c>
      <c r="AD119" t="e">
        <v>#N/A</v>
      </c>
      <c r="AE119" t="e">
        <v>#N/A</v>
      </c>
      <c r="AF119" t="e">
        <v>#N/A</v>
      </c>
      <c r="AG119" t="e">
        <v>#N/A</v>
      </c>
    </row>
    <row r="120" spans="1:33">
      <c r="A120" t="e">
        <v>#N/A</v>
      </c>
      <c r="B120" t="e">
        <v>#N/A</v>
      </c>
      <c r="C120" t="e">
        <v>#N/A</v>
      </c>
      <c r="D120" t="e">
        <v>#N/A</v>
      </c>
      <c r="E120" t="e">
        <v>#N/A</v>
      </c>
      <c r="F120" t="e">
        <v>#N/A</v>
      </c>
      <c r="G120" t="e">
        <v>#N/A</v>
      </c>
      <c r="H120" t="e">
        <v>#N/A</v>
      </c>
      <c r="I120" t="e">
        <v>#N/A</v>
      </c>
      <c r="J120" t="e">
        <v>#N/A</v>
      </c>
      <c r="K120" t="e">
        <v>#N/A</v>
      </c>
      <c r="L120" t="e">
        <v>#N/A</v>
      </c>
      <c r="M120" t="e">
        <v>#N/A</v>
      </c>
      <c r="N120" t="e">
        <v>#N/A</v>
      </c>
      <c r="O120" t="e">
        <v>#N/A</v>
      </c>
      <c r="P120" t="e">
        <v>#N/A</v>
      </c>
      <c r="Q120" t="e">
        <v>#N/A</v>
      </c>
      <c r="R120" t="e">
        <v>#N/A</v>
      </c>
      <c r="S120" t="e">
        <v>#N/A</v>
      </c>
      <c r="T120" t="e">
        <v>#N/A</v>
      </c>
      <c r="U120" t="e">
        <v>#N/A</v>
      </c>
      <c r="V120" t="e">
        <v>#N/A</v>
      </c>
      <c r="W120" t="e">
        <v>#N/A</v>
      </c>
      <c r="X120" t="e">
        <v>#N/A</v>
      </c>
      <c r="Y120" t="e">
        <v>#N/A</v>
      </c>
      <c r="Z120" t="e">
        <v>#N/A</v>
      </c>
      <c r="AA120" t="e">
        <v>#N/A</v>
      </c>
      <c r="AB120" t="e">
        <v>#N/A</v>
      </c>
      <c r="AC120" t="e">
        <v>#N/A</v>
      </c>
      <c r="AD120" t="e">
        <v>#N/A</v>
      </c>
      <c r="AE120" t="e">
        <v>#N/A</v>
      </c>
      <c r="AF120" t="e">
        <v>#N/A</v>
      </c>
      <c r="AG120" t="e">
        <v>#N/A</v>
      </c>
    </row>
    <row r="121" spans="1:33">
      <c r="A121" t="e">
        <v>#N/A</v>
      </c>
      <c r="B121" t="e">
        <v>#N/A</v>
      </c>
      <c r="C121" t="e">
        <v>#N/A</v>
      </c>
      <c r="D121" t="e">
        <v>#N/A</v>
      </c>
      <c r="E121" t="e">
        <v>#N/A</v>
      </c>
      <c r="F121" t="e">
        <v>#N/A</v>
      </c>
      <c r="G121" t="e">
        <v>#N/A</v>
      </c>
      <c r="H121" t="e">
        <v>#N/A</v>
      </c>
      <c r="I121" t="e">
        <v>#N/A</v>
      </c>
      <c r="J121" t="e">
        <v>#N/A</v>
      </c>
      <c r="K121" t="e">
        <v>#N/A</v>
      </c>
      <c r="L121" t="e">
        <v>#N/A</v>
      </c>
      <c r="M121" t="e">
        <v>#N/A</v>
      </c>
      <c r="N121" t="e">
        <v>#N/A</v>
      </c>
      <c r="O121" t="e">
        <v>#N/A</v>
      </c>
      <c r="P121" t="e">
        <v>#N/A</v>
      </c>
      <c r="Q121" t="e">
        <v>#N/A</v>
      </c>
      <c r="R121" t="e">
        <v>#N/A</v>
      </c>
      <c r="S121" t="e">
        <v>#N/A</v>
      </c>
      <c r="T121" t="e">
        <v>#N/A</v>
      </c>
      <c r="U121" t="e">
        <v>#N/A</v>
      </c>
      <c r="V121" t="e">
        <v>#N/A</v>
      </c>
      <c r="W121" t="e">
        <v>#N/A</v>
      </c>
      <c r="X121" t="e">
        <v>#N/A</v>
      </c>
      <c r="Y121" t="e">
        <v>#N/A</v>
      </c>
      <c r="Z121" t="e">
        <v>#N/A</v>
      </c>
      <c r="AA121" t="e">
        <v>#N/A</v>
      </c>
      <c r="AB121" t="e">
        <v>#N/A</v>
      </c>
      <c r="AC121" t="e">
        <v>#N/A</v>
      </c>
      <c r="AD121" t="e">
        <v>#N/A</v>
      </c>
      <c r="AE121" t="e">
        <v>#N/A</v>
      </c>
      <c r="AF121" t="e">
        <v>#N/A</v>
      </c>
      <c r="AG121" t="e">
        <v>#N/A</v>
      </c>
    </row>
    <row r="122" spans="1:33">
      <c r="A122" t="e">
        <v>#N/A</v>
      </c>
      <c r="B122" t="e">
        <v>#N/A</v>
      </c>
      <c r="C122" t="e">
        <v>#N/A</v>
      </c>
      <c r="D122" t="e">
        <v>#N/A</v>
      </c>
      <c r="E122" t="e">
        <v>#N/A</v>
      </c>
      <c r="F122" t="e">
        <v>#N/A</v>
      </c>
      <c r="G122" t="e">
        <v>#N/A</v>
      </c>
      <c r="H122" t="e">
        <v>#N/A</v>
      </c>
      <c r="I122" t="e">
        <v>#N/A</v>
      </c>
      <c r="J122" t="e">
        <v>#N/A</v>
      </c>
      <c r="K122" t="e">
        <v>#N/A</v>
      </c>
      <c r="L122" t="e">
        <v>#N/A</v>
      </c>
      <c r="M122" t="e">
        <v>#N/A</v>
      </c>
      <c r="N122" t="e">
        <v>#N/A</v>
      </c>
      <c r="O122" t="e">
        <v>#N/A</v>
      </c>
      <c r="P122" t="e">
        <v>#N/A</v>
      </c>
      <c r="Q122" t="e">
        <v>#N/A</v>
      </c>
      <c r="R122" t="e">
        <v>#N/A</v>
      </c>
      <c r="S122" t="e">
        <v>#N/A</v>
      </c>
      <c r="T122" t="e">
        <v>#N/A</v>
      </c>
      <c r="U122" t="e">
        <v>#N/A</v>
      </c>
      <c r="V122" t="e">
        <v>#N/A</v>
      </c>
      <c r="W122" t="e">
        <v>#N/A</v>
      </c>
      <c r="X122" t="e">
        <v>#N/A</v>
      </c>
      <c r="Y122" t="e">
        <v>#N/A</v>
      </c>
      <c r="Z122" t="e">
        <v>#N/A</v>
      </c>
      <c r="AA122" t="e">
        <v>#N/A</v>
      </c>
      <c r="AB122" t="e">
        <v>#N/A</v>
      </c>
      <c r="AC122" t="e">
        <v>#N/A</v>
      </c>
      <c r="AD122" t="e">
        <v>#N/A</v>
      </c>
      <c r="AE122" t="e">
        <v>#N/A</v>
      </c>
      <c r="AF122" t="e">
        <v>#N/A</v>
      </c>
      <c r="AG122" t="e">
        <v>#N/A</v>
      </c>
    </row>
    <row r="123" spans="1:33">
      <c r="A123" t="e">
        <v>#N/A</v>
      </c>
      <c r="B123" t="e">
        <v>#N/A</v>
      </c>
      <c r="C123" t="e">
        <v>#N/A</v>
      </c>
      <c r="D123" t="e">
        <v>#N/A</v>
      </c>
      <c r="E123" t="e">
        <v>#N/A</v>
      </c>
      <c r="F123" t="e">
        <v>#N/A</v>
      </c>
      <c r="G123" t="e">
        <v>#N/A</v>
      </c>
      <c r="H123" t="e">
        <v>#N/A</v>
      </c>
      <c r="I123" t="e">
        <v>#N/A</v>
      </c>
      <c r="J123" t="e">
        <v>#N/A</v>
      </c>
      <c r="K123" t="e">
        <v>#N/A</v>
      </c>
      <c r="L123" t="e">
        <v>#N/A</v>
      </c>
      <c r="M123" t="e">
        <v>#N/A</v>
      </c>
      <c r="N123" t="e">
        <v>#N/A</v>
      </c>
      <c r="O123" t="e">
        <v>#N/A</v>
      </c>
      <c r="P123" t="e">
        <v>#N/A</v>
      </c>
      <c r="Q123" t="e">
        <v>#N/A</v>
      </c>
      <c r="R123" t="e">
        <v>#N/A</v>
      </c>
      <c r="S123" t="e">
        <v>#N/A</v>
      </c>
      <c r="T123" t="e">
        <v>#N/A</v>
      </c>
      <c r="U123" t="e">
        <v>#N/A</v>
      </c>
      <c r="V123" t="e">
        <v>#N/A</v>
      </c>
      <c r="W123" t="e">
        <v>#N/A</v>
      </c>
      <c r="X123" t="e">
        <v>#N/A</v>
      </c>
      <c r="Y123" t="e">
        <v>#N/A</v>
      </c>
      <c r="Z123" t="e">
        <v>#N/A</v>
      </c>
      <c r="AA123" t="e">
        <v>#N/A</v>
      </c>
      <c r="AB123" t="e">
        <v>#N/A</v>
      </c>
      <c r="AC123" t="e">
        <v>#N/A</v>
      </c>
      <c r="AD123" t="e">
        <v>#N/A</v>
      </c>
      <c r="AE123" t="e">
        <v>#N/A</v>
      </c>
      <c r="AF123" t="e">
        <v>#N/A</v>
      </c>
      <c r="AG123" t="e">
        <v>#N/A</v>
      </c>
    </row>
    <row r="124" spans="1:33">
      <c r="A124" t="e">
        <v>#N/A</v>
      </c>
      <c r="B124" t="e">
        <v>#N/A</v>
      </c>
      <c r="C124" t="e">
        <v>#N/A</v>
      </c>
      <c r="D124" t="e">
        <v>#N/A</v>
      </c>
      <c r="E124" t="e">
        <v>#N/A</v>
      </c>
      <c r="F124" t="e">
        <v>#N/A</v>
      </c>
      <c r="G124" t="e">
        <v>#N/A</v>
      </c>
      <c r="H124" t="e">
        <v>#N/A</v>
      </c>
      <c r="I124" t="e">
        <v>#N/A</v>
      </c>
      <c r="J124" t="e">
        <v>#N/A</v>
      </c>
      <c r="K124" t="e">
        <v>#N/A</v>
      </c>
      <c r="L124" t="e">
        <v>#N/A</v>
      </c>
      <c r="M124" t="e">
        <v>#N/A</v>
      </c>
      <c r="N124" t="e">
        <v>#N/A</v>
      </c>
      <c r="O124" t="e">
        <v>#N/A</v>
      </c>
      <c r="P124" t="e">
        <v>#N/A</v>
      </c>
      <c r="Q124" t="e">
        <v>#N/A</v>
      </c>
      <c r="R124" t="e">
        <v>#N/A</v>
      </c>
      <c r="S124" t="e">
        <v>#N/A</v>
      </c>
      <c r="T124" t="e">
        <v>#N/A</v>
      </c>
      <c r="U124" t="e">
        <v>#N/A</v>
      </c>
      <c r="V124" t="e">
        <v>#N/A</v>
      </c>
      <c r="W124" t="e">
        <v>#N/A</v>
      </c>
      <c r="X124" t="e">
        <v>#N/A</v>
      </c>
      <c r="Y124" t="e">
        <v>#N/A</v>
      </c>
      <c r="Z124" t="e">
        <v>#N/A</v>
      </c>
      <c r="AA124" t="e">
        <v>#N/A</v>
      </c>
      <c r="AB124" t="e">
        <v>#N/A</v>
      </c>
      <c r="AC124" t="e">
        <v>#N/A</v>
      </c>
      <c r="AD124" t="e">
        <v>#N/A</v>
      </c>
      <c r="AE124" t="e">
        <v>#N/A</v>
      </c>
      <c r="AF124" t="e">
        <v>#N/A</v>
      </c>
      <c r="AG124" t="e">
        <v>#N/A</v>
      </c>
    </row>
    <row r="125" spans="1:33">
      <c r="A125" t="e">
        <v>#N/A</v>
      </c>
      <c r="B125" t="e">
        <v>#N/A</v>
      </c>
      <c r="C125" t="e">
        <v>#N/A</v>
      </c>
      <c r="D125" t="e">
        <v>#N/A</v>
      </c>
      <c r="E125" t="e">
        <v>#N/A</v>
      </c>
      <c r="F125" t="e">
        <v>#N/A</v>
      </c>
      <c r="G125" t="e">
        <v>#N/A</v>
      </c>
      <c r="H125" t="e">
        <v>#N/A</v>
      </c>
      <c r="I125" t="e">
        <v>#N/A</v>
      </c>
      <c r="J125" t="e">
        <v>#N/A</v>
      </c>
      <c r="K125" t="e">
        <v>#N/A</v>
      </c>
      <c r="L125" t="e">
        <v>#N/A</v>
      </c>
      <c r="M125" t="e">
        <v>#N/A</v>
      </c>
      <c r="N125" t="e">
        <v>#N/A</v>
      </c>
      <c r="O125" t="e">
        <v>#N/A</v>
      </c>
      <c r="P125" t="e">
        <v>#N/A</v>
      </c>
      <c r="Q125" t="e">
        <v>#N/A</v>
      </c>
      <c r="R125" t="e">
        <v>#N/A</v>
      </c>
      <c r="S125" t="e">
        <v>#N/A</v>
      </c>
      <c r="T125" t="e">
        <v>#N/A</v>
      </c>
      <c r="U125" t="e">
        <v>#N/A</v>
      </c>
      <c r="V125" t="e">
        <v>#N/A</v>
      </c>
      <c r="W125" t="e">
        <v>#N/A</v>
      </c>
      <c r="X125" t="e">
        <v>#N/A</v>
      </c>
      <c r="Y125" t="e">
        <v>#N/A</v>
      </c>
      <c r="Z125" t="e">
        <v>#N/A</v>
      </c>
      <c r="AA125" t="e">
        <v>#N/A</v>
      </c>
      <c r="AB125" t="e">
        <v>#N/A</v>
      </c>
      <c r="AC125" t="e">
        <v>#N/A</v>
      </c>
      <c r="AD125" t="e">
        <v>#N/A</v>
      </c>
      <c r="AE125" t="e">
        <v>#N/A</v>
      </c>
      <c r="AF125" t="e">
        <v>#N/A</v>
      </c>
      <c r="AG125" t="e">
        <v>#N/A</v>
      </c>
    </row>
    <row r="126" spans="1:33">
      <c r="A126" t="e">
        <v>#N/A</v>
      </c>
      <c r="B126" t="e">
        <v>#N/A</v>
      </c>
      <c r="C126" t="e">
        <v>#N/A</v>
      </c>
      <c r="D126" t="e">
        <v>#N/A</v>
      </c>
      <c r="E126" t="e">
        <v>#N/A</v>
      </c>
      <c r="F126" t="e">
        <v>#N/A</v>
      </c>
      <c r="G126" t="e">
        <v>#N/A</v>
      </c>
      <c r="H126" t="e">
        <v>#N/A</v>
      </c>
      <c r="I126" t="e">
        <v>#N/A</v>
      </c>
      <c r="J126" t="e">
        <v>#N/A</v>
      </c>
      <c r="K126" t="e">
        <v>#N/A</v>
      </c>
      <c r="L126" t="e">
        <v>#N/A</v>
      </c>
      <c r="M126" t="e">
        <v>#N/A</v>
      </c>
      <c r="N126" t="e">
        <v>#N/A</v>
      </c>
      <c r="O126" t="e">
        <v>#N/A</v>
      </c>
      <c r="P126" t="e">
        <v>#N/A</v>
      </c>
      <c r="Q126" t="e">
        <v>#N/A</v>
      </c>
      <c r="R126" t="e">
        <v>#N/A</v>
      </c>
      <c r="S126" t="e">
        <v>#N/A</v>
      </c>
      <c r="T126" t="e">
        <v>#N/A</v>
      </c>
      <c r="U126" t="e">
        <v>#N/A</v>
      </c>
      <c r="V126" t="e">
        <v>#N/A</v>
      </c>
      <c r="W126" t="e">
        <v>#N/A</v>
      </c>
      <c r="X126" t="e">
        <v>#N/A</v>
      </c>
      <c r="Y126" t="e">
        <v>#N/A</v>
      </c>
      <c r="Z126" t="e">
        <v>#N/A</v>
      </c>
      <c r="AA126" t="e">
        <v>#N/A</v>
      </c>
      <c r="AB126" t="e">
        <v>#N/A</v>
      </c>
      <c r="AC126" t="e">
        <v>#N/A</v>
      </c>
      <c r="AD126" t="e">
        <v>#N/A</v>
      </c>
      <c r="AE126" t="e">
        <v>#N/A</v>
      </c>
      <c r="AF126" t="e">
        <v>#N/A</v>
      </c>
      <c r="AG126" t="e">
        <v>#N/A</v>
      </c>
    </row>
    <row r="127" spans="1:33">
      <c r="A127" t="e">
        <v>#N/A</v>
      </c>
      <c r="B127" t="e">
        <v>#N/A</v>
      </c>
      <c r="C127" t="e">
        <v>#N/A</v>
      </c>
      <c r="D127" t="e">
        <v>#N/A</v>
      </c>
      <c r="E127" t="e">
        <v>#N/A</v>
      </c>
      <c r="F127" t="e">
        <v>#N/A</v>
      </c>
      <c r="G127" t="e">
        <v>#N/A</v>
      </c>
      <c r="H127" t="e">
        <v>#N/A</v>
      </c>
      <c r="I127" t="e">
        <v>#N/A</v>
      </c>
      <c r="J127" t="e">
        <v>#N/A</v>
      </c>
      <c r="K127" t="e">
        <v>#N/A</v>
      </c>
      <c r="L127" t="e">
        <v>#N/A</v>
      </c>
      <c r="M127" t="e">
        <v>#N/A</v>
      </c>
      <c r="N127" t="e">
        <v>#N/A</v>
      </c>
      <c r="O127" t="e">
        <v>#N/A</v>
      </c>
      <c r="P127" t="e">
        <v>#N/A</v>
      </c>
      <c r="Q127" t="e">
        <v>#N/A</v>
      </c>
      <c r="R127" t="e">
        <v>#N/A</v>
      </c>
      <c r="S127" t="e">
        <v>#N/A</v>
      </c>
      <c r="T127" t="e">
        <v>#N/A</v>
      </c>
      <c r="U127" t="e">
        <v>#N/A</v>
      </c>
      <c r="V127" t="e">
        <v>#N/A</v>
      </c>
      <c r="W127" t="e">
        <v>#N/A</v>
      </c>
      <c r="X127" t="e">
        <v>#N/A</v>
      </c>
      <c r="Y127" t="e">
        <v>#N/A</v>
      </c>
      <c r="Z127" t="e">
        <v>#N/A</v>
      </c>
      <c r="AA127" t="e">
        <v>#N/A</v>
      </c>
      <c r="AB127" t="e">
        <v>#N/A</v>
      </c>
      <c r="AC127" t="e">
        <v>#N/A</v>
      </c>
      <c r="AD127" t="e">
        <v>#N/A</v>
      </c>
      <c r="AE127" t="e">
        <v>#N/A</v>
      </c>
      <c r="AF127" t="e">
        <v>#N/A</v>
      </c>
      <c r="AG127" t="e">
        <v>#N/A</v>
      </c>
    </row>
    <row r="128" spans="1:33">
      <c r="A128" t="e">
        <v>#N/A</v>
      </c>
      <c r="B128" t="e">
        <v>#N/A</v>
      </c>
      <c r="C128" t="e">
        <v>#N/A</v>
      </c>
      <c r="D128" t="e">
        <v>#N/A</v>
      </c>
      <c r="E128" t="e">
        <v>#N/A</v>
      </c>
      <c r="F128" t="e">
        <v>#N/A</v>
      </c>
      <c r="G128" t="e">
        <v>#N/A</v>
      </c>
      <c r="H128" t="e">
        <v>#N/A</v>
      </c>
      <c r="I128" t="e">
        <v>#N/A</v>
      </c>
      <c r="J128" t="e">
        <v>#N/A</v>
      </c>
      <c r="K128" t="e">
        <v>#N/A</v>
      </c>
      <c r="L128" t="e">
        <v>#N/A</v>
      </c>
      <c r="M128" t="e">
        <v>#N/A</v>
      </c>
      <c r="N128" t="e">
        <v>#N/A</v>
      </c>
      <c r="O128" t="e">
        <v>#N/A</v>
      </c>
      <c r="P128" t="e">
        <v>#N/A</v>
      </c>
      <c r="Q128" t="e">
        <v>#N/A</v>
      </c>
      <c r="R128" t="e">
        <v>#N/A</v>
      </c>
      <c r="S128" t="e">
        <v>#N/A</v>
      </c>
      <c r="T128" t="e">
        <v>#N/A</v>
      </c>
      <c r="U128" t="e">
        <v>#N/A</v>
      </c>
      <c r="V128" t="e">
        <v>#N/A</v>
      </c>
      <c r="W128" t="e">
        <v>#N/A</v>
      </c>
      <c r="X128" t="e">
        <v>#N/A</v>
      </c>
      <c r="Y128" t="e">
        <v>#N/A</v>
      </c>
      <c r="Z128" t="e">
        <v>#N/A</v>
      </c>
      <c r="AA128" t="e">
        <v>#N/A</v>
      </c>
      <c r="AB128" t="e">
        <v>#N/A</v>
      </c>
      <c r="AC128" t="e">
        <v>#N/A</v>
      </c>
      <c r="AD128" t="e">
        <v>#N/A</v>
      </c>
      <c r="AE128" t="e">
        <v>#N/A</v>
      </c>
      <c r="AF128" t="e">
        <v>#N/A</v>
      </c>
      <c r="AG128" t="e">
        <v>#N/A</v>
      </c>
    </row>
    <row r="129" spans="1:33">
      <c r="A129" t="e">
        <v>#N/A</v>
      </c>
      <c r="B129" t="e">
        <v>#N/A</v>
      </c>
      <c r="C129" t="e">
        <v>#N/A</v>
      </c>
      <c r="D129" t="e">
        <v>#N/A</v>
      </c>
      <c r="E129" t="e">
        <v>#N/A</v>
      </c>
      <c r="F129" t="e">
        <v>#N/A</v>
      </c>
      <c r="G129" t="e">
        <v>#N/A</v>
      </c>
      <c r="H129" t="e">
        <v>#N/A</v>
      </c>
      <c r="I129" t="e">
        <v>#N/A</v>
      </c>
      <c r="J129" t="e">
        <v>#N/A</v>
      </c>
      <c r="K129" t="e">
        <v>#N/A</v>
      </c>
      <c r="L129" t="e">
        <v>#N/A</v>
      </c>
      <c r="M129" t="e">
        <v>#N/A</v>
      </c>
      <c r="N129" t="e">
        <v>#N/A</v>
      </c>
      <c r="O129" t="e">
        <v>#N/A</v>
      </c>
      <c r="P129" t="e">
        <v>#N/A</v>
      </c>
      <c r="Q129" t="e">
        <v>#N/A</v>
      </c>
      <c r="R129" t="e">
        <v>#N/A</v>
      </c>
      <c r="S129" t="e">
        <v>#N/A</v>
      </c>
      <c r="T129" t="e">
        <v>#N/A</v>
      </c>
      <c r="U129" t="e">
        <v>#N/A</v>
      </c>
      <c r="V129" t="e">
        <v>#N/A</v>
      </c>
      <c r="W129" t="e">
        <v>#N/A</v>
      </c>
      <c r="X129" t="e">
        <v>#N/A</v>
      </c>
      <c r="Y129" t="e">
        <v>#N/A</v>
      </c>
      <c r="Z129" t="e">
        <v>#N/A</v>
      </c>
      <c r="AA129" t="e">
        <v>#N/A</v>
      </c>
      <c r="AB129" t="e">
        <v>#N/A</v>
      </c>
      <c r="AC129" t="e">
        <v>#N/A</v>
      </c>
      <c r="AD129" t="e">
        <v>#N/A</v>
      </c>
      <c r="AE129" t="e">
        <v>#N/A</v>
      </c>
      <c r="AF129" t="e">
        <v>#N/A</v>
      </c>
      <c r="AG129" t="e">
        <v>#N/A</v>
      </c>
    </row>
    <row r="130" spans="1:33">
      <c r="A130" t="e">
        <v>#N/A</v>
      </c>
      <c r="B130" t="e">
        <v>#N/A</v>
      </c>
      <c r="C130" t="e">
        <v>#N/A</v>
      </c>
      <c r="D130" t="e">
        <v>#N/A</v>
      </c>
      <c r="E130" t="e">
        <v>#N/A</v>
      </c>
      <c r="F130" t="e">
        <v>#N/A</v>
      </c>
      <c r="G130" t="e">
        <v>#N/A</v>
      </c>
      <c r="H130" t="e">
        <v>#N/A</v>
      </c>
      <c r="I130" t="e">
        <v>#N/A</v>
      </c>
      <c r="J130" t="e">
        <v>#N/A</v>
      </c>
      <c r="K130" t="e">
        <v>#N/A</v>
      </c>
      <c r="L130" t="e">
        <v>#N/A</v>
      </c>
      <c r="M130" t="e">
        <v>#N/A</v>
      </c>
      <c r="N130" t="e">
        <v>#N/A</v>
      </c>
      <c r="O130" t="e">
        <v>#N/A</v>
      </c>
      <c r="P130" t="e">
        <v>#N/A</v>
      </c>
      <c r="Q130" t="e">
        <v>#N/A</v>
      </c>
      <c r="R130" t="e">
        <v>#N/A</v>
      </c>
      <c r="S130" t="e">
        <v>#N/A</v>
      </c>
      <c r="T130" t="e">
        <v>#N/A</v>
      </c>
      <c r="U130" t="e">
        <v>#N/A</v>
      </c>
      <c r="V130" t="e">
        <v>#N/A</v>
      </c>
      <c r="W130" t="e">
        <v>#N/A</v>
      </c>
      <c r="X130" t="e">
        <v>#N/A</v>
      </c>
      <c r="Y130" t="e">
        <v>#N/A</v>
      </c>
      <c r="Z130" t="e">
        <v>#N/A</v>
      </c>
      <c r="AA130" t="e">
        <v>#N/A</v>
      </c>
      <c r="AB130" t="e">
        <v>#N/A</v>
      </c>
      <c r="AC130" t="e">
        <v>#N/A</v>
      </c>
      <c r="AD130" t="e">
        <v>#N/A</v>
      </c>
      <c r="AE130" t="e">
        <v>#N/A</v>
      </c>
      <c r="AF130" t="e">
        <v>#N/A</v>
      </c>
      <c r="AG130" t="e">
        <v>#N/A</v>
      </c>
    </row>
    <row r="131" spans="1:33">
      <c r="A131" t="e">
        <v>#N/A</v>
      </c>
      <c r="B131" t="e">
        <v>#N/A</v>
      </c>
      <c r="C131" t="e">
        <v>#N/A</v>
      </c>
      <c r="D131" t="e">
        <v>#N/A</v>
      </c>
      <c r="E131" t="e">
        <v>#N/A</v>
      </c>
      <c r="F131" t="e">
        <v>#N/A</v>
      </c>
      <c r="G131" t="e">
        <v>#N/A</v>
      </c>
      <c r="H131" t="e">
        <v>#N/A</v>
      </c>
      <c r="I131" t="e">
        <v>#N/A</v>
      </c>
      <c r="J131" t="e">
        <v>#N/A</v>
      </c>
      <c r="K131" t="e">
        <v>#N/A</v>
      </c>
      <c r="L131" t="e">
        <v>#N/A</v>
      </c>
      <c r="M131" t="e">
        <v>#N/A</v>
      </c>
      <c r="N131" t="e">
        <v>#N/A</v>
      </c>
      <c r="O131" t="e">
        <v>#N/A</v>
      </c>
      <c r="P131" t="e">
        <v>#N/A</v>
      </c>
      <c r="Q131" t="e">
        <v>#N/A</v>
      </c>
      <c r="R131" t="e">
        <v>#N/A</v>
      </c>
      <c r="S131" t="e">
        <v>#N/A</v>
      </c>
      <c r="T131" t="e">
        <v>#N/A</v>
      </c>
      <c r="U131" t="e">
        <v>#N/A</v>
      </c>
      <c r="V131" t="e">
        <v>#N/A</v>
      </c>
      <c r="W131" t="e">
        <v>#N/A</v>
      </c>
      <c r="X131" t="e">
        <v>#N/A</v>
      </c>
      <c r="Y131" t="e">
        <v>#N/A</v>
      </c>
      <c r="Z131" t="e">
        <v>#N/A</v>
      </c>
      <c r="AA131" t="e">
        <v>#N/A</v>
      </c>
      <c r="AB131" t="e">
        <v>#N/A</v>
      </c>
      <c r="AC131" t="e">
        <v>#N/A</v>
      </c>
      <c r="AD131" t="e">
        <v>#N/A</v>
      </c>
      <c r="AE131" t="e">
        <v>#N/A</v>
      </c>
      <c r="AF131" t="e">
        <v>#N/A</v>
      </c>
      <c r="AG131" t="e">
        <v>#N/A</v>
      </c>
    </row>
    <row r="132" spans="1:33">
      <c r="A132" t="e">
        <v>#N/A</v>
      </c>
      <c r="B132" t="e">
        <v>#N/A</v>
      </c>
      <c r="C132" t="e">
        <v>#N/A</v>
      </c>
      <c r="D132" t="e">
        <v>#N/A</v>
      </c>
      <c r="E132" t="e">
        <v>#N/A</v>
      </c>
      <c r="F132" t="e">
        <v>#N/A</v>
      </c>
      <c r="G132" t="e">
        <v>#N/A</v>
      </c>
      <c r="H132" t="e">
        <v>#N/A</v>
      </c>
      <c r="I132" t="e">
        <v>#N/A</v>
      </c>
      <c r="J132" t="e">
        <v>#N/A</v>
      </c>
      <c r="K132" t="e">
        <v>#N/A</v>
      </c>
      <c r="L132" t="e">
        <v>#N/A</v>
      </c>
      <c r="M132" t="e">
        <v>#N/A</v>
      </c>
      <c r="N132" t="e">
        <v>#N/A</v>
      </c>
      <c r="O132" t="e">
        <v>#N/A</v>
      </c>
      <c r="P132" t="e">
        <v>#N/A</v>
      </c>
      <c r="Q132" t="e">
        <v>#N/A</v>
      </c>
      <c r="R132" t="e">
        <v>#N/A</v>
      </c>
      <c r="S132" t="e">
        <v>#N/A</v>
      </c>
      <c r="T132" t="e">
        <v>#N/A</v>
      </c>
      <c r="U132" t="e">
        <v>#N/A</v>
      </c>
      <c r="V132" t="e">
        <v>#N/A</v>
      </c>
      <c r="W132" t="e">
        <v>#N/A</v>
      </c>
      <c r="X132" t="e">
        <v>#N/A</v>
      </c>
      <c r="Y132" t="e">
        <v>#N/A</v>
      </c>
      <c r="Z132" t="e">
        <v>#N/A</v>
      </c>
      <c r="AA132" t="e">
        <v>#N/A</v>
      </c>
      <c r="AB132" t="e">
        <v>#N/A</v>
      </c>
      <c r="AC132" t="e">
        <v>#N/A</v>
      </c>
      <c r="AD132" t="e">
        <v>#N/A</v>
      </c>
      <c r="AE132" t="e">
        <v>#N/A</v>
      </c>
      <c r="AF132" t="e">
        <v>#N/A</v>
      </c>
      <c r="AG132" t="e">
        <v>#N/A</v>
      </c>
    </row>
    <row r="133" spans="1:33">
      <c r="A133" t="e">
        <v>#N/A</v>
      </c>
      <c r="B133" t="e">
        <v>#N/A</v>
      </c>
      <c r="C133" t="e">
        <v>#N/A</v>
      </c>
      <c r="D133" t="e">
        <v>#N/A</v>
      </c>
      <c r="E133" t="e">
        <v>#N/A</v>
      </c>
      <c r="F133" t="e">
        <v>#N/A</v>
      </c>
      <c r="G133" t="e">
        <v>#N/A</v>
      </c>
      <c r="H133" t="e">
        <v>#N/A</v>
      </c>
      <c r="I133" t="e">
        <v>#N/A</v>
      </c>
      <c r="J133" t="e">
        <v>#N/A</v>
      </c>
      <c r="K133" t="e">
        <v>#N/A</v>
      </c>
      <c r="L133" t="e">
        <v>#N/A</v>
      </c>
      <c r="M133" t="e">
        <v>#N/A</v>
      </c>
      <c r="N133" t="e">
        <v>#N/A</v>
      </c>
      <c r="O133" t="e">
        <v>#N/A</v>
      </c>
      <c r="P133" t="e">
        <v>#N/A</v>
      </c>
      <c r="Q133" t="e">
        <v>#N/A</v>
      </c>
      <c r="R133" t="e">
        <v>#N/A</v>
      </c>
      <c r="S133" t="e">
        <v>#N/A</v>
      </c>
      <c r="T133" t="e">
        <v>#N/A</v>
      </c>
      <c r="U133" t="e">
        <v>#N/A</v>
      </c>
      <c r="V133" t="e">
        <v>#N/A</v>
      </c>
      <c r="W133" t="e">
        <v>#N/A</v>
      </c>
      <c r="X133" t="e">
        <v>#N/A</v>
      </c>
      <c r="Y133" t="e">
        <v>#N/A</v>
      </c>
      <c r="Z133" t="e">
        <v>#N/A</v>
      </c>
      <c r="AA133" t="e">
        <v>#N/A</v>
      </c>
      <c r="AB133" t="e">
        <v>#N/A</v>
      </c>
      <c r="AC133" t="e">
        <v>#N/A</v>
      </c>
      <c r="AD133" t="e">
        <v>#N/A</v>
      </c>
      <c r="AE133" t="e">
        <v>#N/A</v>
      </c>
      <c r="AF133" t="e">
        <v>#N/A</v>
      </c>
      <c r="AG133" t="e">
        <v>#N/A</v>
      </c>
    </row>
    <row r="134" spans="1:33">
      <c r="A134" t="e">
        <v>#N/A</v>
      </c>
      <c r="B134" t="e">
        <v>#N/A</v>
      </c>
      <c r="C134" t="e">
        <v>#N/A</v>
      </c>
      <c r="D134" t="e">
        <v>#N/A</v>
      </c>
      <c r="E134" t="e">
        <v>#N/A</v>
      </c>
      <c r="F134" t="e">
        <v>#N/A</v>
      </c>
      <c r="G134" t="e">
        <v>#N/A</v>
      </c>
      <c r="H134" t="e">
        <v>#N/A</v>
      </c>
      <c r="I134" t="e">
        <v>#N/A</v>
      </c>
      <c r="J134" t="e">
        <v>#N/A</v>
      </c>
      <c r="K134" t="e">
        <v>#N/A</v>
      </c>
      <c r="L134" t="e">
        <v>#N/A</v>
      </c>
      <c r="M134" t="e">
        <v>#N/A</v>
      </c>
      <c r="N134" t="e">
        <v>#N/A</v>
      </c>
      <c r="O134" t="e">
        <v>#N/A</v>
      </c>
      <c r="P134" t="e">
        <v>#N/A</v>
      </c>
      <c r="Q134" t="e">
        <v>#N/A</v>
      </c>
      <c r="R134" t="e">
        <v>#N/A</v>
      </c>
      <c r="S134" t="e">
        <v>#N/A</v>
      </c>
      <c r="T134" t="e">
        <v>#N/A</v>
      </c>
      <c r="U134" t="e">
        <v>#N/A</v>
      </c>
      <c r="V134" t="e">
        <v>#N/A</v>
      </c>
      <c r="W134" t="e">
        <v>#N/A</v>
      </c>
      <c r="X134" t="e">
        <v>#N/A</v>
      </c>
      <c r="Y134" t="e">
        <v>#N/A</v>
      </c>
      <c r="Z134" t="e">
        <v>#N/A</v>
      </c>
      <c r="AA134" t="e">
        <v>#N/A</v>
      </c>
      <c r="AB134" t="e">
        <v>#N/A</v>
      </c>
      <c r="AC134" t="e">
        <v>#N/A</v>
      </c>
      <c r="AD134" t="e">
        <v>#N/A</v>
      </c>
      <c r="AE134" t="e">
        <v>#N/A</v>
      </c>
      <c r="AF134" t="e">
        <v>#N/A</v>
      </c>
      <c r="AG134" t="e">
        <v>#N/A</v>
      </c>
    </row>
    <row r="135" spans="1:33">
      <c r="A135" t="e">
        <v>#N/A</v>
      </c>
      <c r="B135" t="e">
        <v>#N/A</v>
      </c>
      <c r="C135" t="e">
        <v>#N/A</v>
      </c>
      <c r="D135" t="e">
        <v>#N/A</v>
      </c>
      <c r="E135" t="e">
        <v>#N/A</v>
      </c>
      <c r="F135" t="e">
        <v>#N/A</v>
      </c>
      <c r="G135" t="e">
        <v>#N/A</v>
      </c>
      <c r="H135" t="e">
        <v>#N/A</v>
      </c>
      <c r="I135" t="e">
        <v>#N/A</v>
      </c>
      <c r="J135" t="e">
        <v>#N/A</v>
      </c>
      <c r="K135" t="e">
        <v>#N/A</v>
      </c>
      <c r="L135" t="e">
        <v>#N/A</v>
      </c>
      <c r="M135" t="e">
        <v>#N/A</v>
      </c>
      <c r="N135" t="e">
        <v>#N/A</v>
      </c>
      <c r="O135" t="e">
        <v>#N/A</v>
      </c>
      <c r="P135" t="e">
        <v>#N/A</v>
      </c>
      <c r="Q135" t="e">
        <v>#N/A</v>
      </c>
      <c r="R135" t="e">
        <v>#N/A</v>
      </c>
      <c r="S135" t="e">
        <v>#N/A</v>
      </c>
      <c r="T135" t="e">
        <v>#N/A</v>
      </c>
      <c r="U135" t="e">
        <v>#N/A</v>
      </c>
      <c r="V135" t="e">
        <v>#N/A</v>
      </c>
      <c r="W135" t="e">
        <v>#N/A</v>
      </c>
      <c r="X135" t="e">
        <v>#N/A</v>
      </c>
      <c r="Y135" t="e">
        <v>#N/A</v>
      </c>
      <c r="Z135" t="e">
        <v>#N/A</v>
      </c>
      <c r="AA135" t="e">
        <v>#N/A</v>
      </c>
      <c r="AB135" t="e">
        <v>#N/A</v>
      </c>
      <c r="AC135" t="e">
        <v>#N/A</v>
      </c>
      <c r="AD135" t="e">
        <v>#N/A</v>
      </c>
      <c r="AE135" t="e">
        <v>#N/A</v>
      </c>
      <c r="AF135" t="e">
        <v>#N/A</v>
      </c>
      <c r="AG135" t="e">
        <v>#N/A</v>
      </c>
    </row>
    <row r="136" spans="1:33">
      <c r="A136" t="e">
        <v>#N/A</v>
      </c>
      <c r="B136" t="e">
        <v>#N/A</v>
      </c>
      <c r="C136" t="e">
        <v>#N/A</v>
      </c>
      <c r="D136" t="e">
        <v>#N/A</v>
      </c>
      <c r="E136" t="e">
        <v>#N/A</v>
      </c>
      <c r="F136" t="e">
        <v>#N/A</v>
      </c>
      <c r="G136" t="e">
        <v>#N/A</v>
      </c>
      <c r="H136" t="e">
        <v>#N/A</v>
      </c>
      <c r="I136" t="e">
        <v>#N/A</v>
      </c>
      <c r="J136" t="e">
        <v>#N/A</v>
      </c>
      <c r="K136" t="e">
        <v>#N/A</v>
      </c>
      <c r="L136" t="e">
        <v>#N/A</v>
      </c>
      <c r="M136" t="e">
        <v>#N/A</v>
      </c>
      <c r="N136" t="e">
        <v>#N/A</v>
      </c>
      <c r="O136" t="e">
        <v>#N/A</v>
      </c>
      <c r="P136" t="e">
        <v>#N/A</v>
      </c>
      <c r="Q136" t="e">
        <v>#N/A</v>
      </c>
      <c r="R136" t="e">
        <v>#N/A</v>
      </c>
      <c r="S136" t="e">
        <v>#N/A</v>
      </c>
      <c r="T136" t="e">
        <v>#N/A</v>
      </c>
      <c r="U136" t="e">
        <v>#N/A</v>
      </c>
      <c r="V136" t="e">
        <v>#N/A</v>
      </c>
      <c r="W136" t="e">
        <v>#N/A</v>
      </c>
      <c r="X136" t="e">
        <v>#N/A</v>
      </c>
      <c r="Y136" t="e">
        <v>#N/A</v>
      </c>
      <c r="Z136" t="e">
        <v>#N/A</v>
      </c>
      <c r="AA136" t="e">
        <v>#N/A</v>
      </c>
      <c r="AB136" t="e">
        <v>#N/A</v>
      </c>
      <c r="AC136" t="e">
        <v>#N/A</v>
      </c>
      <c r="AD136" t="e">
        <v>#N/A</v>
      </c>
      <c r="AE136" t="e">
        <v>#N/A</v>
      </c>
      <c r="AF136" t="e">
        <v>#N/A</v>
      </c>
      <c r="AG136" t="e">
        <v>#N/A</v>
      </c>
    </row>
    <row r="137" spans="1:33">
      <c r="A137" t="e">
        <v>#N/A</v>
      </c>
      <c r="B137" t="e">
        <v>#N/A</v>
      </c>
      <c r="C137" t="e">
        <v>#N/A</v>
      </c>
      <c r="D137" t="e">
        <v>#N/A</v>
      </c>
      <c r="E137" t="e">
        <v>#N/A</v>
      </c>
      <c r="F137" t="e">
        <v>#N/A</v>
      </c>
      <c r="G137" t="e">
        <v>#N/A</v>
      </c>
      <c r="H137" t="e">
        <v>#N/A</v>
      </c>
      <c r="I137" t="e">
        <v>#N/A</v>
      </c>
      <c r="J137" t="e">
        <v>#N/A</v>
      </c>
      <c r="K137" t="e">
        <v>#N/A</v>
      </c>
      <c r="L137" t="e">
        <v>#N/A</v>
      </c>
      <c r="M137" t="e">
        <v>#N/A</v>
      </c>
      <c r="N137" t="e">
        <v>#N/A</v>
      </c>
      <c r="O137" t="e">
        <v>#N/A</v>
      </c>
      <c r="P137" t="e">
        <v>#N/A</v>
      </c>
      <c r="Q137" t="e">
        <v>#N/A</v>
      </c>
      <c r="R137" t="e">
        <v>#N/A</v>
      </c>
      <c r="S137" t="e">
        <v>#N/A</v>
      </c>
      <c r="T137" t="e">
        <v>#N/A</v>
      </c>
      <c r="U137" t="e">
        <v>#N/A</v>
      </c>
      <c r="V137" t="e">
        <v>#N/A</v>
      </c>
      <c r="W137" t="e">
        <v>#N/A</v>
      </c>
      <c r="X137" t="e">
        <v>#N/A</v>
      </c>
      <c r="Y137" t="e">
        <v>#N/A</v>
      </c>
      <c r="Z137" t="e">
        <v>#N/A</v>
      </c>
      <c r="AA137" t="e">
        <v>#N/A</v>
      </c>
      <c r="AB137" t="e">
        <v>#N/A</v>
      </c>
      <c r="AC137" t="e">
        <v>#N/A</v>
      </c>
      <c r="AD137" t="e">
        <v>#N/A</v>
      </c>
      <c r="AE137" t="e">
        <v>#N/A</v>
      </c>
      <c r="AF137" t="e">
        <v>#N/A</v>
      </c>
      <c r="AG137" t="e">
        <v>#N/A</v>
      </c>
    </row>
    <row r="138" spans="1:33">
      <c r="A138" t="e">
        <v>#N/A</v>
      </c>
      <c r="B138" t="e">
        <v>#N/A</v>
      </c>
      <c r="C138" t="e">
        <v>#N/A</v>
      </c>
      <c r="D138" t="e">
        <v>#N/A</v>
      </c>
      <c r="E138" t="e">
        <v>#N/A</v>
      </c>
      <c r="F138" t="e">
        <v>#N/A</v>
      </c>
      <c r="G138" t="e">
        <v>#N/A</v>
      </c>
      <c r="H138" t="e">
        <v>#N/A</v>
      </c>
      <c r="I138" t="e">
        <v>#N/A</v>
      </c>
      <c r="J138" t="e">
        <v>#N/A</v>
      </c>
      <c r="K138" t="e">
        <v>#N/A</v>
      </c>
      <c r="L138" t="e">
        <v>#N/A</v>
      </c>
      <c r="M138" t="e">
        <v>#N/A</v>
      </c>
      <c r="N138" t="e">
        <v>#N/A</v>
      </c>
      <c r="O138" t="e">
        <v>#N/A</v>
      </c>
      <c r="P138" t="e">
        <v>#N/A</v>
      </c>
      <c r="Q138" t="e">
        <v>#N/A</v>
      </c>
      <c r="R138" t="e">
        <v>#N/A</v>
      </c>
      <c r="S138" t="e">
        <v>#N/A</v>
      </c>
      <c r="T138" t="e">
        <v>#N/A</v>
      </c>
      <c r="U138" t="e">
        <v>#N/A</v>
      </c>
      <c r="V138" t="e">
        <v>#N/A</v>
      </c>
      <c r="W138" t="e">
        <v>#N/A</v>
      </c>
      <c r="X138" t="e">
        <v>#N/A</v>
      </c>
      <c r="Y138" t="e">
        <v>#N/A</v>
      </c>
      <c r="Z138" t="e">
        <v>#N/A</v>
      </c>
      <c r="AA138" t="e">
        <v>#N/A</v>
      </c>
      <c r="AB138" t="e">
        <v>#N/A</v>
      </c>
      <c r="AC138" t="e">
        <v>#N/A</v>
      </c>
      <c r="AD138" t="e">
        <v>#N/A</v>
      </c>
      <c r="AE138" t="e">
        <v>#N/A</v>
      </c>
      <c r="AF138" t="e">
        <v>#N/A</v>
      </c>
      <c r="AG138" t="e">
        <v>#N/A</v>
      </c>
    </row>
    <row r="139" spans="1:33">
      <c r="A139" t="e">
        <v>#N/A</v>
      </c>
      <c r="B139" t="e">
        <v>#N/A</v>
      </c>
      <c r="C139" t="e">
        <v>#N/A</v>
      </c>
      <c r="D139" t="e">
        <v>#N/A</v>
      </c>
      <c r="E139" t="e">
        <v>#N/A</v>
      </c>
      <c r="F139" t="e">
        <v>#N/A</v>
      </c>
      <c r="G139" t="e">
        <v>#N/A</v>
      </c>
      <c r="H139" t="e">
        <v>#N/A</v>
      </c>
      <c r="I139" t="e">
        <v>#N/A</v>
      </c>
      <c r="J139" t="e">
        <v>#N/A</v>
      </c>
      <c r="K139" t="e">
        <v>#N/A</v>
      </c>
      <c r="L139" t="e">
        <v>#N/A</v>
      </c>
      <c r="M139" t="e">
        <v>#N/A</v>
      </c>
      <c r="N139" t="e">
        <v>#N/A</v>
      </c>
      <c r="O139" t="e">
        <v>#N/A</v>
      </c>
      <c r="P139" t="e">
        <v>#N/A</v>
      </c>
      <c r="Q139" t="e">
        <v>#N/A</v>
      </c>
      <c r="R139" t="e">
        <v>#N/A</v>
      </c>
      <c r="S139" t="e">
        <v>#N/A</v>
      </c>
      <c r="T139" t="e">
        <v>#N/A</v>
      </c>
      <c r="U139" t="e">
        <v>#N/A</v>
      </c>
      <c r="V139" t="e">
        <v>#N/A</v>
      </c>
      <c r="W139" t="e">
        <v>#N/A</v>
      </c>
      <c r="X139" t="e">
        <v>#N/A</v>
      </c>
      <c r="Y139" t="e">
        <v>#N/A</v>
      </c>
      <c r="Z139" t="e">
        <v>#N/A</v>
      </c>
      <c r="AA139" t="e">
        <v>#N/A</v>
      </c>
      <c r="AB139" t="e">
        <v>#N/A</v>
      </c>
      <c r="AC139" t="e">
        <v>#N/A</v>
      </c>
      <c r="AD139" t="e">
        <v>#N/A</v>
      </c>
      <c r="AE139" t="e">
        <v>#N/A</v>
      </c>
      <c r="AF139" t="e">
        <v>#N/A</v>
      </c>
      <c r="AG139" t="e">
        <v>#N/A</v>
      </c>
    </row>
    <row r="140" spans="1:33">
      <c r="A140" t="e">
        <v>#N/A</v>
      </c>
      <c r="B140" t="e">
        <v>#N/A</v>
      </c>
      <c r="C140" t="e">
        <v>#N/A</v>
      </c>
      <c r="D140" t="e">
        <v>#N/A</v>
      </c>
      <c r="E140" t="e">
        <v>#N/A</v>
      </c>
      <c r="F140" t="e">
        <v>#N/A</v>
      </c>
      <c r="G140" t="e">
        <v>#N/A</v>
      </c>
      <c r="H140" t="e">
        <v>#N/A</v>
      </c>
      <c r="I140" t="e">
        <v>#N/A</v>
      </c>
      <c r="J140" t="e">
        <v>#N/A</v>
      </c>
      <c r="K140" t="e">
        <v>#N/A</v>
      </c>
      <c r="L140" t="e">
        <v>#N/A</v>
      </c>
      <c r="M140" t="e">
        <v>#N/A</v>
      </c>
      <c r="N140" t="e">
        <v>#N/A</v>
      </c>
      <c r="O140" t="e">
        <v>#N/A</v>
      </c>
      <c r="P140" t="e">
        <v>#N/A</v>
      </c>
      <c r="Q140" t="e">
        <v>#N/A</v>
      </c>
      <c r="R140" t="e">
        <v>#N/A</v>
      </c>
      <c r="S140" t="e">
        <v>#N/A</v>
      </c>
      <c r="T140" t="e">
        <v>#N/A</v>
      </c>
      <c r="U140" t="e">
        <v>#N/A</v>
      </c>
      <c r="V140" t="e">
        <v>#N/A</v>
      </c>
      <c r="W140" t="e">
        <v>#N/A</v>
      </c>
      <c r="X140" t="e">
        <v>#N/A</v>
      </c>
      <c r="Y140" t="e">
        <v>#N/A</v>
      </c>
      <c r="Z140" t="e">
        <v>#N/A</v>
      </c>
      <c r="AA140" t="e">
        <v>#N/A</v>
      </c>
      <c r="AB140" t="e">
        <v>#N/A</v>
      </c>
      <c r="AC140" t="e">
        <v>#N/A</v>
      </c>
      <c r="AD140" t="e">
        <v>#N/A</v>
      </c>
      <c r="AE140" t="e">
        <v>#N/A</v>
      </c>
      <c r="AF140" t="e">
        <v>#N/A</v>
      </c>
      <c r="AG140" t="e">
        <v>#N/A</v>
      </c>
    </row>
    <row r="141" spans="1:33">
      <c r="A141" t="e">
        <v>#N/A</v>
      </c>
      <c r="B141" t="e">
        <v>#N/A</v>
      </c>
      <c r="C141" t="e">
        <v>#N/A</v>
      </c>
      <c r="D141" t="e">
        <v>#N/A</v>
      </c>
      <c r="E141" t="e">
        <v>#N/A</v>
      </c>
      <c r="F141" t="e">
        <v>#N/A</v>
      </c>
      <c r="G141" t="e">
        <v>#N/A</v>
      </c>
      <c r="H141" t="e">
        <v>#N/A</v>
      </c>
      <c r="I141" t="e">
        <v>#N/A</v>
      </c>
      <c r="J141" t="e">
        <v>#N/A</v>
      </c>
      <c r="K141" t="e">
        <v>#N/A</v>
      </c>
      <c r="L141" t="e">
        <v>#N/A</v>
      </c>
      <c r="M141" t="e">
        <v>#N/A</v>
      </c>
      <c r="N141" t="e">
        <v>#N/A</v>
      </c>
      <c r="O141" t="e">
        <v>#N/A</v>
      </c>
      <c r="P141" t="e">
        <v>#N/A</v>
      </c>
      <c r="Q141" t="e">
        <v>#N/A</v>
      </c>
      <c r="R141" t="e">
        <v>#N/A</v>
      </c>
      <c r="S141" t="e">
        <v>#N/A</v>
      </c>
      <c r="T141" t="e">
        <v>#N/A</v>
      </c>
      <c r="U141" t="e">
        <v>#N/A</v>
      </c>
      <c r="V141" t="e">
        <v>#N/A</v>
      </c>
      <c r="W141" t="e">
        <v>#N/A</v>
      </c>
      <c r="X141" t="e">
        <v>#N/A</v>
      </c>
      <c r="Y141" t="e">
        <v>#N/A</v>
      </c>
      <c r="Z141" t="e">
        <v>#N/A</v>
      </c>
      <c r="AA141" t="e">
        <v>#N/A</v>
      </c>
      <c r="AB141" t="e">
        <v>#N/A</v>
      </c>
      <c r="AC141" t="e">
        <v>#N/A</v>
      </c>
      <c r="AD141" t="e">
        <v>#N/A</v>
      </c>
      <c r="AE141" t="e">
        <v>#N/A</v>
      </c>
      <c r="AF141" t="e">
        <v>#N/A</v>
      </c>
      <c r="AG141" t="e"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69FD5-B6F7-43A0-BD7B-DF0C0AF54E64}">
  <sheetPr codeName="Sheet5"/>
  <dimension ref="A1:AA368"/>
  <sheetViews>
    <sheetView topLeftCell="B1" workbookViewId="0">
      <selection activeCell="I2" sqref="I2:M2"/>
    </sheetView>
  </sheetViews>
  <sheetFormatPr defaultRowHeight="14.4"/>
  <cols>
    <col min="3" max="3" width="12" bestFit="1" customWidth="1"/>
    <col min="9" max="9" width="6.33203125" customWidth="1"/>
  </cols>
  <sheetData>
    <row r="1" spans="1:27">
      <c r="A1" s="140" t="s">
        <v>197</v>
      </c>
      <c r="B1" s="140"/>
      <c r="C1" s="140"/>
      <c r="D1" s="140"/>
      <c r="E1" s="140"/>
      <c r="F1" s="140"/>
      <c r="H1" s="140" t="s">
        <v>198</v>
      </c>
      <c r="I1" s="140"/>
      <c r="J1" s="140"/>
      <c r="K1" s="140"/>
      <c r="L1" s="140"/>
      <c r="M1" s="140"/>
      <c r="O1" s="140" t="s">
        <v>199</v>
      </c>
      <c r="P1" s="140"/>
      <c r="Q1" s="140"/>
      <c r="R1" s="140"/>
      <c r="S1" s="140"/>
      <c r="T1" s="140"/>
      <c r="V1" s="140"/>
      <c r="W1" s="140"/>
      <c r="X1" s="140"/>
      <c r="Y1" s="140"/>
      <c r="Z1" s="140"/>
      <c r="AA1" s="140"/>
    </row>
    <row r="2" spans="1:27">
      <c r="A2" t="s">
        <v>97</v>
      </c>
      <c r="B2" t="s">
        <v>98</v>
      </c>
      <c r="C2" t="s">
        <v>9</v>
      </c>
      <c r="D2" t="s">
        <v>99</v>
      </c>
      <c r="E2" t="s">
        <v>100</v>
      </c>
      <c r="F2" t="s">
        <v>10</v>
      </c>
      <c r="H2" t="s">
        <v>97</v>
      </c>
      <c r="I2" t="s">
        <v>98</v>
      </c>
      <c r="J2" t="s">
        <v>9</v>
      </c>
      <c r="K2" t="s">
        <v>99</v>
      </c>
      <c r="L2" t="s">
        <v>100</v>
      </c>
      <c r="M2" t="s">
        <v>10</v>
      </c>
      <c r="O2" t="s">
        <v>97</v>
      </c>
      <c r="P2" t="s">
        <v>98</v>
      </c>
      <c r="Q2" t="s">
        <v>9</v>
      </c>
      <c r="R2" t="s">
        <v>99</v>
      </c>
      <c r="S2" t="s">
        <v>100</v>
      </c>
      <c r="T2" t="s">
        <v>10</v>
      </c>
    </row>
    <row r="3" spans="1:27">
      <c r="A3">
        <v>1</v>
      </c>
      <c r="B3">
        <v>16.179411764705801</v>
      </c>
      <c r="C3">
        <v>17.639655172413701</v>
      </c>
      <c r="D3">
        <v>17.1568181818181</v>
      </c>
      <c r="E3">
        <v>14.48</v>
      </c>
      <c r="F3">
        <v>17.908333333333299</v>
      </c>
      <c r="H3">
        <v>1</v>
      </c>
      <c r="I3">
        <v>0.69411764705882295</v>
      </c>
      <c r="J3">
        <v>2.9862068965517201</v>
      </c>
      <c r="K3">
        <v>0.81818181818181801</v>
      </c>
      <c r="L3">
        <v>2.1440000000000001</v>
      </c>
      <c r="M3">
        <v>2.5499999999999998</v>
      </c>
      <c r="O3">
        <v>1</v>
      </c>
      <c r="P3">
        <v>5.6670911405215199</v>
      </c>
      <c r="Q3">
        <v>4.7314305048111098</v>
      </c>
      <c r="R3">
        <v>5.3002895815377</v>
      </c>
      <c r="S3">
        <v>5.1156695210488401</v>
      </c>
      <c r="T3">
        <v>3.6545263506553698</v>
      </c>
    </row>
    <row r="4" spans="1:27">
      <c r="A4">
        <v>2</v>
      </c>
      <c r="B4">
        <v>17.160294117646998</v>
      </c>
      <c r="C4">
        <v>18.013793103448201</v>
      </c>
      <c r="D4">
        <v>17.6204545454545</v>
      </c>
      <c r="E4">
        <v>14.1261904761904</v>
      </c>
      <c r="F4">
        <v>18.454166666666602</v>
      </c>
      <c r="H4">
        <v>2</v>
      </c>
      <c r="I4">
        <v>1.5735294117647001</v>
      </c>
      <c r="J4">
        <v>1.4517241379310299</v>
      </c>
      <c r="K4">
        <v>0.52272727272727204</v>
      </c>
      <c r="L4">
        <v>5.0999999999999996</v>
      </c>
      <c r="M4">
        <v>2.3166666666666602</v>
      </c>
      <c r="O4">
        <v>2</v>
      </c>
      <c r="P4">
        <v>5.47016136211003</v>
      </c>
      <c r="Q4">
        <v>4.7184733001505199</v>
      </c>
      <c r="R4">
        <v>5.0443253515841704</v>
      </c>
      <c r="S4">
        <v>4.1734840219778304</v>
      </c>
      <c r="T4">
        <v>3.0374578661788201</v>
      </c>
    </row>
    <row r="5" spans="1:27">
      <c r="A5">
        <v>3</v>
      </c>
      <c r="B5">
        <v>16.8117647058823</v>
      </c>
      <c r="C5">
        <v>17.827586206896498</v>
      </c>
      <c r="D5">
        <v>18.015909090908998</v>
      </c>
      <c r="E5">
        <v>14.112500000000001</v>
      </c>
      <c r="F5">
        <v>18.4916666666666</v>
      </c>
      <c r="H5">
        <v>3</v>
      </c>
      <c r="I5">
        <v>2.3529411764705799</v>
      </c>
      <c r="J5">
        <v>1.27241379310344</v>
      </c>
      <c r="K5">
        <v>0.90454545454545399</v>
      </c>
      <c r="L5">
        <v>3.7120000000000002</v>
      </c>
      <c r="M5">
        <v>6.6333333333333302</v>
      </c>
      <c r="O5">
        <v>3</v>
      </c>
      <c r="P5">
        <v>5.5060411752421698</v>
      </c>
      <c r="Q5">
        <v>4.5153833563593304</v>
      </c>
      <c r="R5">
        <v>5.4438080121549701</v>
      </c>
      <c r="S5">
        <v>4.5425951432696703</v>
      </c>
      <c r="T5">
        <v>3.5424660833564698</v>
      </c>
    </row>
    <row r="6" spans="1:27">
      <c r="A6">
        <v>4</v>
      </c>
      <c r="B6">
        <v>15.772058823529401</v>
      </c>
      <c r="C6">
        <v>18.068965517241299</v>
      </c>
      <c r="D6">
        <v>16.890909090908998</v>
      </c>
      <c r="E6">
        <v>14.487500000000001</v>
      </c>
      <c r="F6">
        <v>17</v>
      </c>
      <c r="H6">
        <v>4</v>
      </c>
      <c r="I6">
        <v>1.96470588235294</v>
      </c>
      <c r="J6">
        <v>1.3206896551724101</v>
      </c>
      <c r="K6">
        <v>1.3772727272727201</v>
      </c>
      <c r="L6">
        <v>4.1680000000000001</v>
      </c>
      <c r="M6">
        <v>1.93333333333333</v>
      </c>
      <c r="O6">
        <v>4</v>
      </c>
      <c r="P6">
        <v>4.9972624433289496</v>
      </c>
      <c r="Q6">
        <v>4.6266971172714904</v>
      </c>
      <c r="R6">
        <v>5.5807338265087596</v>
      </c>
      <c r="S6">
        <v>4.4632480649158301</v>
      </c>
      <c r="T6">
        <v>4.6893309655458602</v>
      </c>
    </row>
    <row r="7" spans="1:27">
      <c r="A7">
        <v>5</v>
      </c>
      <c r="B7">
        <v>16.045588235294101</v>
      </c>
      <c r="C7">
        <v>17.658620689655098</v>
      </c>
      <c r="D7">
        <v>16.95</v>
      </c>
      <c r="E7">
        <v>14.975</v>
      </c>
      <c r="F7">
        <v>16.4166666666666</v>
      </c>
      <c r="H7">
        <v>5</v>
      </c>
      <c r="I7">
        <v>1.5588235294117601</v>
      </c>
      <c r="J7">
        <v>1.64137931034482</v>
      </c>
      <c r="K7">
        <v>0.513636363636363</v>
      </c>
      <c r="L7">
        <v>2.1520000000000001</v>
      </c>
      <c r="M7">
        <v>2.9833333333333298</v>
      </c>
      <c r="O7">
        <v>5</v>
      </c>
      <c r="P7">
        <v>5.1481016165606404</v>
      </c>
      <c r="Q7">
        <v>4.7524735832446101</v>
      </c>
      <c r="R7">
        <v>5.5138696286660904</v>
      </c>
      <c r="S7">
        <v>4.9404066497144798</v>
      </c>
      <c r="T7">
        <v>4.0957861961112103</v>
      </c>
    </row>
    <row r="8" spans="1:27">
      <c r="A8">
        <v>6</v>
      </c>
      <c r="B8">
        <v>16.1955882352941</v>
      </c>
      <c r="C8">
        <v>17.7431034482758</v>
      </c>
      <c r="D8">
        <v>17.2431818181818</v>
      </c>
      <c r="E8">
        <v>14.8261904761904</v>
      </c>
      <c r="F8">
        <v>17.629166666666599</v>
      </c>
      <c r="H8">
        <v>6</v>
      </c>
      <c r="I8">
        <v>0.438235294117647</v>
      </c>
      <c r="J8">
        <v>1.8206896551724101</v>
      </c>
      <c r="K8">
        <v>0.263636363636363</v>
      </c>
      <c r="L8">
        <v>3.01538461538461</v>
      </c>
      <c r="M8">
        <v>0.43333333333333302</v>
      </c>
      <c r="O8">
        <v>6</v>
      </c>
      <c r="P8">
        <v>5.1335474577147604</v>
      </c>
      <c r="Q8">
        <v>4.5675277776113097</v>
      </c>
      <c r="R8">
        <v>5.5457152204075504</v>
      </c>
      <c r="S8">
        <v>4.3756714557078196</v>
      </c>
      <c r="T8">
        <v>4.0765351917680999</v>
      </c>
    </row>
    <row r="9" spans="1:27">
      <c r="A9">
        <v>7</v>
      </c>
      <c r="B9">
        <v>17.395588235294099</v>
      </c>
      <c r="C9">
        <v>18.181034482758601</v>
      </c>
      <c r="D9">
        <v>18.231818181818099</v>
      </c>
      <c r="E9">
        <v>14.342857142857101</v>
      </c>
      <c r="F9">
        <v>17.004166666666599</v>
      </c>
      <c r="H9">
        <v>7</v>
      </c>
      <c r="I9">
        <v>0.92647058823529405</v>
      </c>
      <c r="J9">
        <v>1.4896551724137901</v>
      </c>
      <c r="K9">
        <v>0.45454545454545398</v>
      </c>
      <c r="L9">
        <v>4.3153846153846098</v>
      </c>
      <c r="M9">
        <v>2.7833333333333301</v>
      </c>
      <c r="O9">
        <v>7</v>
      </c>
      <c r="P9">
        <v>5.4532643793489903</v>
      </c>
      <c r="Q9">
        <v>4.0945523595888398</v>
      </c>
      <c r="R9">
        <v>5.2739991655865204</v>
      </c>
      <c r="S9">
        <v>4.1764003680813202</v>
      </c>
      <c r="T9">
        <v>3.5869881049730998</v>
      </c>
    </row>
    <row r="10" spans="1:27">
      <c r="A10">
        <v>8</v>
      </c>
      <c r="B10">
        <v>17.102249134948</v>
      </c>
      <c r="C10">
        <v>18.393103448275799</v>
      </c>
      <c r="D10">
        <v>18.6272727272727</v>
      </c>
      <c r="E10">
        <v>13.8761904761904</v>
      </c>
      <c r="F10">
        <v>17.433333333333302</v>
      </c>
      <c r="H10">
        <v>8</v>
      </c>
      <c r="I10">
        <v>2.3176470588235198</v>
      </c>
      <c r="J10">
        <v>2.69655172413793</v>
      </c>
      <c r="K10">
        <v>2.66363636363636</v>
      </c>
      <c r="L10">
        <v>4.2740740740740701</v>
      </c>
      <c r="M10">
        <v>2.3833333333333302</v>
      </c>
      <c r="O10">
        <v>8</v>
      </c>
      <c r="P10">
        <v>5.57690448669634</v>
      </c>
      <c r="Q10">
        <v>4.0360392602952304</v>
      </c>
      <c r="R10">
        <v>5.6732772805813596</v>
      </c>
      <c r="S10">
        <v>4.4751184437908202</v>
      </c>
      <c r="T10">
        <v>4.2605807421289903</v>
      </c>
    </row>
    <row r="11" spans="1:27">
      <c r="A11">
        <v>9</v>
      </c>
      <c r="B11">
        <v>16.213235294117599</v>
      </c>
      <c r="C11">
        <v>18.6103448275862</v>
      </c>
      <c r="D11">
        <v>17.629545454545401</v>
      </c>
      <c r="E11">
        <v>13.595238095238001</v>
      </c>
      <c r="F11">
        <v>17.0208333333333</v>
      </c>
      <c r="H11">
        <v>9</v>
      </c>
      <c r="I11">
        <v>0.90882352941176403</v>
      </c>
      <c r="J11">
        <v>3.0103448275861999</v>
      </c>
      <c r="K11">
        <v>0.62727272727272698</v>
      </c>
      <c r="L11">
        <v>6.8444444444444397</v>
      </c>
      <c r="M11">
        <v>0.3</v>
      </c>
      <c r="O11">
        <v>9</v>
      </c>
      <c r="P11">
        <v>5.14581424029529</v>
      </c>
      <c r="Q11">
        <v>4.1608753956650997</v>
      </c>
      <c r="R11">
        <v>4.90625391178797</v>
      </c>
      <c r="S11">
        <v>4.5434725233334001</v>
      </c>
      <c r="T11">
        <v>4.14669035003873</v>
      </c>
    </row>
    <row r="12" spans="1:27">
      <c r="A12">
        <v>10</v>
      </c>
      <c r="B12">
        <v>15.8947058823529</v>
      </c>
      <c r="C12">
        <v>18.453448275862002</v>
      </c>
      <c r="D12">
        <v>17.947727272727199</v>
      </c>
      <c r="E12">
        <v>13.529545454545399</v>
      </c>
      <c r="F12">
        <v>17.6041666666666</v>
      </c>
      <c r="H12">
        <v>10</v>
      </c>
      <c r="I12">
        <v>2.69999999999999</v>
      </c>
      <c r="J12">
        <v>1.2689655172413701</v>
      </c>
      <c r="K12">
        <v>2.44090909090909</v>
      </c>
      <c r="L12">
        <v>3.2962962962962901</v>
      </c>
      <c r="M12">
        <v>0.88333333333333297</v>
      </c>
      <c r="O12">
        <v>10</v>
      </c>
      <c r="P12">
        <v>4.7411675639454902</v>
      </c>
      <c r="Q12">
        <v>4.5179186785714496</v>
      </c>
      <c r="R12">
        <v>5.2305429510939803</v>
      </c>
      <c r="S12">
        <v>4.3406035827446301</v>
      </c>
      <c r="T12">
        <v>3.4815515936566799</v>
      </c>
    </row>
    <row r="13" spans="1:27">
      <c r="A13">
        <v>11</v>
      </c>
      <c r="B13">
        <v>16.250588235294099</v>
      </c>
      <c r="C13">
        <v>18.186206896551699</v>
      </c>
      <c r="D13">
        <v>17.4590909090909</v>
      </c>
      <c r="E13">
        <v>14.221739130434701</v>
      </c>
      <c r="F13">
        <v>17.654166666666601</v>
      </c>
      <c r="H13">
        <v>11</v>
      </c>
      <c r="I13">
        <v>2.3529411764705799</v>
      </c>
      <c r="J13">
        <v>1.3413793103448199</v>
      </c>
      <c r="K13">
        <v>0.72727272727272696</v>
      </c>
      <c r="L13">
        <v>2.8357142857142801</v>
      </c>
      <c r="M13">
        <v>0.33333333333333298</v>
      </c>
      <c r="O13">
        <v>11</v>
      </c>
      <c r="P13">
        <v>4.6490051927409599</v>
      </c>
      <c r="Q13">
        <v>4.5303746944186001</v>
      </c>
      <c r="R13">
        <v>5.0873053364071001</v>
      </c>
      <c r="S13">
        <v>4.2947966440234202</v>
      </c>
      <c r="T13">
        <v>4.1035718910061201</v>
      </c>
    </row>
    <row r="14" spans="1:27">
      <c r="A14">
        <v>12</v>
      </c>
      <c r="B14">
        <v>16.662352941176401</v>
      </c>
      <c r="C14">
        <v>18.314999999999898</v>
      </c>
      <c r="D14">
        <v>17.804545454545401</v>
      </c>
      <c r="E14">
        <v>14.328260869565201</v>
      </c>
      <c r="F14">
        <v>18.175000000000001</v>
      </c>
      <c r="H14">
        <v>12</v>
      </c>
      <c r="I14">
        <v>2.74705882352941</v>
      </c>
      <c r="J14">
        <v>0.95</v>
      </c>
      <c r="K14">
        <v>2.2409090909090899</v>
      </c>
      <c r="L14">
        <v>3.2428571428571402</v>
      </c>
      <c r="M14">
        <v>0.96666666666666601</v>
      </c>
      <c r="O14">
        <v>12</v>
      </c>
      <c r="P14">
        <v>4.8719680350014798</v>
      </c>
      <c r="Q14">
        <v>4.1021279144140701</v>
      </c>
      <c r="R14">
        <v>4.6794441425299196</v>
      </c>
      <c r="S14">
        <v>4.2502938829451997</v>
      </c>
      <c r="T14">
        <v>3.7942004669494902</v>
      </c>
    </row>
    <row r="15" spans="1:27">
      <c r="A15">
        <v>13</v>
      </c>
      <c r="B15">
        <v>16.830882352941099</v>
      </c>
      <c r="C15">
        <v>18.473333333333301</v>
      </c>
      <c r="D15">
        <v>17.6613636363636</v>
      </c>
      <c r="E15">
        <v>14.091304347826</v>
      </c>
      <c r="F15">
        <v>17.883333333333301</v>
      </c>
      <c r="H15">
        <v>13</v>
      </c>
      <c r="I15">
        <v>1.29411764705882</v>
      </c>
      <c r="J15">
        <v>3.7233333333333301</v>
      </c>
      <c r="K15">
        <v>0.38636363636363602</v>
      </c>
      <c r="L15">
        <v>4.0714285714285703</v>
      </c>
      <c r="M15">
        <v>3.0333333333333301</v>
      </c>
      <c r="O15">
        <v>13</v>
      </c>
      <c r="P15">
        <v>5.1562686308583903</v>
      </c>
      <c r="Q15">
        <v>4.3613860913388498</v>
      </c>
      <c r="R15">
        <v>5.1301329319532103</v>
      </c>
      <c r="S15">
        <v>4.1708461237910903</v>
      </c>
      <c r="T15">
        <v>3.9941259720520699</v>
      </c>
    </row>
    <row r="16" spans="1:27">
      <c r="A16">
        <v>14</v>
      </c>
      <c r="B16">
        <v>16.835294117646999</v>
      </c>
      <c r="C16">
        <v>18.684999999999999</v>
      </c>
      <c r="D16">
        <v>17.6272727272727</v>
      </c>
      <c r="E16">
        <v>14.1065217391304</v>
      </c>
      <c r="F16">
        <v>17.279166666666601</v>
      </c>
      <c r="H16">
        <v>14</v>
      </c>
      <c r="I16">
        <v>0.93823529411764695</v>
      </c>
      <c r="J16">
        <v>2.2466666666666599</v>
      </c>
      <c r="K16">
        <v>0.55454545454545401</v>
      </c>
      <c r="L16">
        <v>3.8642857142857099</v>
      </c>
      <c r="M16">
        <v>2.8833333333333302</v>
      </c>
      <c r="O16">
        <v>14</v>
      </c>
      <c r="P16">
        <v>5.3875143634853799</v>
      </c>
      <c r="Q16">
        <v>4.5029029229169799</v>
      </c>
      <c r="R16">
        <v>5.19744133974074</v>
      </c>
      <c r="S16">
        <v>4.2610769847391596</v>
      </c>
      <c r="T16">
        <v>4.3919546564694203</v>
      </c>
    </row>
    <row r="17" spans="1:20">
      <c r="A17">
        <v>15</v>
      </c>
      <c r="B17">
        <v>17.335294117646999</v>
      </c>
      <c r="C17">
        <v>18.661666666666601</v>
      </c>
      <c r="D17">
        <v>18.465909090909001</v>
      </c>
      <c r="E17">
        <v>13.960869565217299</v>
      </c>
      <c r="F17">
        <v>17.5208333333333</v>
      </c>
      <c r="H17">
        <v>15</v>
      </c>
      <c r="I17">
        <v>1.0911764705882301</v>
      </c>
      <c r="J17">
        <v>1.3333333333333299</v>
      </c>
      <c r="K17">
        <v>1.2318181818181799</v>
      </c>
      <c r="L17">
        <v>3.1214285714285701</v>
      </c>
      <c r="M17">
        <v>2.5833333333333299</v>
      </c>
      <c r="O17">
        <v>15</v>
      </c>
      <c r="P17">
        <v>5.8399033494252999</v>
      </c>
      <c r="Q17">
        <v>4.6368762557636201</v>
      </c>
      <c r="R17">
        <v>5.2671831121425399</v>
      </c>
      <c r="S17">
        <v>5.06768128899982</v>
      </c>
      <c r="T17">
        <v>4.2128718222508397</v>
      </c>
    </row>
    <row r="18" spans="1:20">
      <c r="A18">
        <v>16</v>
      </c>
      <c r="B18">
        <v>16.8279411764705</v>
      </c>
      <c r="C18">
        <v>18.636666666666599</v>
      </c>
      <c r="D18">
        <v>18.047727272727201</v>
      </c>
      <c r="E18">
        <v>13.783333333333299</v>
      </c>
      <c r="F18">
        <v>17.970833333333299</v>
      </c>
      <c r="H18">
        <v>16</v>
      </c>
      <c r="I18">
        <v>0.77647058823529402</v>
      </c>
      <c r="J18">
        <v>3.0133333333333301</v>
      </c>
      <c r="K18">
        <v>3.5545454545454498</v>
      </c>
      <c r="L18">
        <v>2.6206896551724101</v>
      </c>
      <c r="M18">
        <v>0.266666666666666</v>
      </c>
      <c r="O18">
        <v>16</v>
      </c>
      <c r="P18">
        <v>5.6587590306219901</v>
      </c>
      <c r="Q18">
        <v>4.4386060395545801</v>
      </c>
      <c r="R18">
        <v>5.35878162845927</v>
      </c>
      <c r="S18">
        <v>4.7085697473065098</v>
      </c>
      <c r="T18">
        <v>4.0252286180437302</v>
      </c>
    </row>
    <row r="19" spans="1:20">
      <c r="A19">
        <v>17</v>
      </c>
      <c r="B19">
        <v>16.722058823529402</v>
      </c>
      <c r="C19">
        <v>18.4233333333333</v>
      </c>
      <c r="D19">
        <v>17.588636363636301</v>
      </c>
      <c r="E19">
        <v>14.206250000000001</v>
      </c>
      <c r="F19">
        <v>18.2708333333333</v>
      </c>
      <c r="H19">
        <v>17</v>
      </c>
      <c r="I19">
        <v>0.57058823529411695</v>
      </c>
      <c r="J19">
        <v>2.7833333333333301</v>
      </c>
      <c r="K19">
        <v>3.2090909090909001</v>
      </c>
      <c r="L19">
        <v>5.8896551724137902</v>
      </c>
      <c r="M19">
        <v>1.81666666666666</v>
      </c>
      <c r="O19">
        <v>17</v>
      </c>
      <c r="P19">
        <v>5.3270431561074503</v>
      </c>
      <c r="Q19">
        <v>4.10260332014568</v>
      </c>
      <c r="R19">
        <v>5.2682852155127904</v>
      </c>
      <c r="S19">
        <v>4.4798656963229</v>
      </c>
      <c r="T19">
        <v>4.3125410240098896</v>
      </c>
    </row>
    <row r="20" spans="1:20">
      <c r="A20">
        <v>18</v>
      </c>
      <c r="B20">
        <v>17.301470588235201</v>
      </c>
      <c r="C20">
        <v>18.466666666666601</v>
      </c>
      <c r="D20">
        <v>17.822727272727199</v>
      </c>
      <c r="E20">
        <v>14.529166666666599</v>
      </c>
      <c r="F20">
        <v>17.954166666666602</v>
      </c>
      <c r="H20">
        <v>18</v>
      </c>
      <c r="I20">
        <v>3.48529411764705</v>
      </c>
      <c r="J20">
        <v>2.1566666666666601</v>
      </c>
      <c r="K20">
        <v>2.75454545454545</v>
      </c>
      <c r="L20">
        <v>1.8482758620689601</v>
      </c>
      <c r="M20">
        <v>4.1499999999999897</v>
      </c>
      <c r="O20">
        <v>18</v>
      </c>
      <c r="P20">
        <v>5.0203920634541701</v>
      </c>
      <c r="Q20">
        <v>4.3976375931712202</v>
      </c>
      <c r="R20">
        <v>4.8337628210664896</v>
      </c>
      <c r="S20">
        <v>4.64018022483409</v>
      </c>
      <c r="T20">
        <v>3.9046074195490301</v>
      </c>
    </row>
    <row r="21" spans="1:20">
      <c r="A21">
        <v>19</v>
      </c>
      <c r="B21">
        <v>17.052941176470501</v>
      </c>
      <c r="C21">
        <v>18.754999999999999</v>
      </c>
      <c r="D21">
        <v>18.402272727272699</v>
      </c>
      <c r="E21">
        <v>13.35</v>
      </c>
      <c r="F21">
        <v>18.454166666666602</v>
      </c>
      <c r="H21">
        <v>19</v>
      </c>
      <c r="I21">
        <v>0.99117647058823499</v>
      </c>
      <c r="J21">
        <v>2.2333333333333298</v>
      </c>
      <c r="K21">
        <v>2.7954545454545401</v>
      </c>
      <c r="L21">
        <v>4.5241379310344803</v>
      </c>
      <c r="M21">
        <v>2.5166666666666599</v>
      </c>
      <c r="O21">
        <v>19</v>
      </c>
      <c r="P21">
        <v>5.3707211610908496</v>
      </c>
      <c r="Q21">
        <v>4.5811789756342201</v>
      </c>
      <c r="R21">
        <v>5.0897381351700002</v>
      </c>
      <c r="S21">
        <v>4.0848780487065204</v>
      </c>
      <c r="T21">
        <v>4.0894627552594898</v>
      </c>
    </row>
    <row r="22" spans="1:20">
      <c r="A22">
        <v>20</v>
      </c>
      <c r="B22">
        <v>15.9367647058823</v>
      </c>
      <c r="C22">
        <v>18.6933333333333</v>
      </c>
      <c r="D22">
        <v>17.295454545454501</v>
      </c>
      <c r="E22">
        <v>14.018750000000001</v>
      </c>
      <c r="F22">
        <v>18.125</v>
      </c>
      <c r="H22">
        <v>20</v>
      </c>
      <c r="I22">
        <v>0.25588235294117601</v>
      </c>
      <c r="J22">
        <v>1.02666666666666</v>
      </c>
      <c r="K22">
        <v>1.7136363636363601</v>
      </c>
      <c r="L22">
        <v>0.52413793103448203</v>
      </c>
      <c r="M22">
        <v>3.3333333333333299</v>
      </c>
      <c r="O22">
        <v>20</v>
      </c>
      <c r="P22">
        <v>5.3547882621027503</v>
      </c>
      <c r="Q22">
        <v>4.23484882575071</v>
      </c>
      <c r="R22">
        <v>4.5915208711096902</v>
      </c>
      <c r="S22">
        <v>4.6771075386165597</v>
      </c>
      <c r="T22">
        <v>4.4627747616983804</v>
      </c>
    </row>
    <row r="23" spans="1:20">
      <c r="A23">
        <v>21</v>
      </c>
      <c r="B23">
        <v>17.475000000000001</v>
      </c>
      <c r="C23">
        <v>18.914999999999999</v>
      </c>
      <c r="D23">
        <v>17.945454545454499</v>
      </c>
      <c r="E23">
        <v>15.262</v>
      </c>
      <c r="F23">
        <v>17.6791666666666</v>
      </c>
      <c r="H23">
        <v>21</v>
      </c>
      <c r="I23">
        <v>0.35882352941176399</v>
      </c>
      <c r="J23">
        <v>8.4066666666666592</v>
      </c>
      <c r="K23">
        <v>2.53181818181818</v>
      </c>
      <c r="L23">
        <v>1.41333333333333</v>
      </c>
      <c r="M23">
        <v>2.4</v>
      </c>
      <c r="O23">
        <v>21</v>
      </c>
      <c r="P23">
        <v>5.3930487438230301</v>
      </c>
      <c r="Q23">
        <v>4.2358684276247196</v>
      </c>
      <c r="R23">
        <v>4.6867151111493701</v>
      </c>
      <c r="S23">
        <v>5.0178944944470398</v>
      </c>
      <c r="T23">
        <v>3.8954755691343999</v>
      </c>
    </row>
    <row r="24" spans="1:20">
      <c r="A24">
        <v>22</v>
      </c>
      <c r="B24">
        <v>18.2514705882352</v>
      </c>
      <c r="C24">
        <v>19.0133333333333</v>
      </c>
      <c r="D24">
        <v>18.527272727272699</v>
      </c>
      <c r="E24">
        <v>14.724</v>
      </c>
      <c r="F24">
        <v>17.350000000000001</v>
      </c>
      <c r="H24">
        <v>22</v>
      </c>
      <c r="I24">
        <v>1.94705882352941</v>
      </c>
      <c r="J24">
        <v>3.7366666666666601</v>
      </c>
      <c r="K24">
        <v>2.3954545454545402</v>
      </c>
      <c r="L24">
        <v>3.9266666666666601</v>
      </c>
      <c r="M24">
        <v>2.6333333333333302</v>
      </c>
      <c r="O24">
        <v>22</v>
      </c>
      <c r="P24">
        <v>5.5152286930917596</v>
      </c>
      <c r="Q24">
        <v>4.0376213451036698</v>
      </c>
      <c r="R24">
        <v>5.2880710984128898</v>
      </c>
      <c r="S24">
        <v>4.1738265399796699</v>
      </c>
      <c r="T24">
        <v>3.2997711779398098</v>
      </c>
    </row>
    <row r="25" spans="1:20">
      <c r="A25">
        <v>23</v>
      </c>
      <c r="B25">
        <v>17.176470588235201</v>
      </c>
      <c r="C25">
        <v>19.03</v>
      </c>
      <c r="D25">
        <v>18.188636363636299</v>
      </c>
      <c r="E25">
        <v>14.076000000000001</v>
      </c>
      <c r="F25">
        <v>17.504166666666599</v>
      </c>
      <c r="H25">
        <v>23</v>
      </c>
      <c r="I25">
        <v>0.744117647058823</v>
      </c>
      <c r="J25">
        <v>2.4266666666666601</v>
      </c>
      <c r="K25">
        <v>3.4090909090908998</v>
      </c>
      <c r="L25">
        <v>3.0533333333333301</v>
      </c>
      <c r="M25">
        <v>5.5166666666666604</v>
      </c>
      <c r="O25">
        <v>23</v>
      </c>
      <c r="P25">
        <v>5.2065069869691296</v>
      </c>
      <c r="Q25">
        <v>4.3725520099572401</v>
      </c>
      <c r="R25">
        <v>5.2992470732997701</v>
      </c>
      <c r="S25">
        <v>3.69481729139908</v>
      </c>
      <c r="T25">
        <v>3.46570930270954</v>
      </c>
    </row>
    <row r="26" spans="1:20">
      <c r="A26">
        <v>24</v>
      </c>
      <c r="B26">
        <v>16.835294117646999</v>
      </c>
      <c r="C26">
        <v>19.07</v>
      </c>
      <c r="D26">
        <v>18.277272727272699</v>
      </c>
      <c r="E26">
        <v>14.128</v>
      </c>
      <c r="F26">
        <v>17.713636363636301</v>
      </c>
      <c r="H26">
        <v>24</v>
      </c>
      <c r="I26">
        <v>1.4117647058823499</v>
      </c>
      <c r="J26">
        <v>3.4166666666666599</v>
      </c>
      <c r="K26">
        <v>0.34285714285714203</v>
      </c>
      <c r="L26">
        <v>2.1933333333333298</v>
      </c>
      <c r="M26">
        <v>1.3818181818181801</v>
      </c>
      <c r="O26">
        <v>24</v>
      </c>
      <c r="P26">
        <v>4.7133252171052504</v>
      </c>
      <c r="Q26">
        <v>4.19340465226154</v>
      </c>
      <c r="R26">
        <v>4.7594661928263404</v>
      </c>
      <c r="S26">
        <v>4.3056713260445303</v>
      </c>
      <c r="T26">
        <v>4.0186876239346203</v>
      </c>
    </row>
    <row r="27" spans="1:20">
      <c r="A27">
        <v>25</v>
      </c>
      <c r="B27">
        <v>16.6941176470588</v>
      </c>
      <c r="C27">
        <v>19.3</v>
      </c>
      <c r="D27">
        <v>18.572727272727199</v>
      </c>
      <c r="E27">
        <v>13.9439999999999</v>
      </c>
      <c r="F27">
        <v>17.8541666666666</v>
      </c>
      <c r="H27">
        <v>25</v>
      </c>
      <c r="I27">
        <v>1.25588235294117</v>
      </c>
      <c r="J27">
        <v>3.70333333333333</v>
      </c>
      <c r="K27">
        <v>2.1380952380952301</v>
      </c>
      <c r="L27">
        <v>1.84</v>
      </c>
      <c r="M27">
        <v>0.46666666666666601</v>
      </c>
      <c r="O27">
        <v>25</v>
      </c>
      <c r="P27">
        <v>4.3325050650897401</v>
      </c>
      <c r="Q27">
        <v>4.6119458181628401</v>
      </c>
      <c r="R27">
        <v>4.80624859628879</v>
      </c>
      <c r="S27">
        <v>3.6951015609470699</v>
      </c>
      <c r="T27">
        <v>4.1496250953293998</v>
      </c>
    </row>
    <row r="28" spans="1:20">
      <c r="A28">
        <v>26</v>
      </c>
      <c r="B28">
        <v>16.433823529411701</v>
      </c>
      <c r="C28">
        <v>19.418333333333301</v>
      </c>
      <c r="D28">
        <v>17.813636363636299</v>
      </c>
      <c r="E28">
        <v>14.082000000000001</v>
      </c>
      <c r="F28">
        <v>18.933333333333302</v>
      </c>
      <c r="H28">
        <v>26</v>
      </c>
      <c r="I28">
        <v>0.91470588235294104</v>
      </c>
      <c r="J28">
        <v>1.2566666666666599</v>
      </c>
      <c r="K28">
        <v>1.4142857142857099</v>
      </c>
      <c r="L28">
        <v>3.5333333333333301</v>
      </c>
      <c r="M28">
        <v>1.8</v>
      </c>
      <c r="O28">
        <v>26</v>
      </c>
      <c r="P28">
        <v>4.7335288521335803</v>
      </c>
      <c r="Q28">
        <v>4.4486726941054897</v>
      </c>
      <c r="R28">
        <v>4.5900785905512302</v>
      </c>
      <c r="S28">
        <v>4.0108675797292701</v>
      </c>
      <c r="T28">
        <v>4.1034832888531598</v>
      </c>
    </row>
    <row r="29" spans="1:20">
      <c r="A29">
        <v>27</v>
      </c>
      <c r="B29">
        <v>16.332352941176399</v>
      </c>
      <c r="C29">
        <v>19.086666666666599</v>
      </c>
      <c r="D29">
        <v>17.5386363636363</v>
      </c>
      <c r="E29">
        <v>14.061999999999999</v>
      </c>
      <c r="F29">
        <v>18.524999999999999</v>
      </c>
      <c r="H29">
        <v>27</v>
      </c>
      <c r="I29">
        <v>2.3441176470588201</v>
      </c>
      <c r="J29">
        <v>2.65</v>
      </c>
      <c r="K29">
        <v>1.29523809523809</v>
      </c>
      <c r="L29">
        <v>1.7466666666666599</v>
      </c>
      <c r="M29">
        <v>4.2166666666666597</v>
      </c>
      <c r="O29">
        <v>27</v>
      </c>
      <c r="P29">
        <v>4.92375694808094</v>
      </c>
      <c r="Q29">
        <v>4.6925683722845504</v>
      </c>
      <c r="R29">
        <v>4.2900508767835301</v>
      </c>
      <c r="S29">
        <v>4.1048046533981104</v>
      </c>
      <c r="T29">
        <v>3.2920480795367801</v>
      </c>
    </row>
    <row r="30" spans="1:20">
      <c r="A30">
        <v>28</v>
      </c>
      <c r="B30">
        <v>17.044117647058801</v>
      </c>
      <c r="C30">
        <v>19.248333333333299</v>
      </c>
      <c r="D30">
        <v>17.2931818181818</v>
      </c>
      <c r="E30">
        <v>14.754</v>
      </c>
      <c r="F30">
        <v>18.283333333333299</v>
      </c>
      <c r="H30">
        <v>28</v>
      </c>
      <c r="I30">
        <v>1.02941176470588</v>
      </c>
      <c r="J30">
        <v>1.81</v>
      </c>
      <c r="K30">
        <v>0.7</v>
      </c>
      <c r="L30">
        <v>0.76666666666666605</v>
      </c>
      <c r="M30">
        <v>0.96666666666666601</v>
      </c>
      <c r="O30">
        <v>28</v>
      </c>
      <c r="P30">
        <v>4.99641153289756</v>
      </c>
      <c r="Q30">
        <v>4.8021312602016</v>
      </c>
      <c r="R30">
        <v>4.7600303251450402</v>
      </c>
      <c r="S30">
        <v>4.0166623515260396</v>
      </c>
      <c r="T30">
        <v>3.7580315328576899</v>
      </c>
    </row>
    <row r="31" spans="1:20">
      <c r="A31">
        <v>29</v>
      </c>
      <c r="B31">
        <v>17.480882352941101</v>
      </c>
      <c r="C31">
        <v>19.486666666666601</v>
      </c>
      <c r="D31">
        <v>18.397727272727199</v>
      </c>
      <c r="E31">
        <v>15.247999999999999</v>
      </c>
      <c r="F31">
        <v>18.95</v>
      </c>
      <c r="H31">
        <v>29</v>
      </c>
      <c r="I31">
        <v>6.4705882352941099E-2</v>
      </c>
      <c r="J31">
        <v>2.1066666666666598</v>
      </c>
      <c r="K31">
        <v>7.6190476190476197E-2</v>
      </c>
      <c r="L31">
        <v>1.2333333333333301</v>
      </c>
      <c r="M31">
        <v>0.233333333333333</v>
      </c>
      <c r="O31">
        <v>29</v>
      </c>
      <c r="P31">
        <v>5.19563668339761</v>
      </c>
      <c r="Q31">
        <v>4.81456570354226</v>
      </c>
      <c r="R31">
        <v>4.9175211851141496</v>
      </c>
      <c r="S31">
        <v>4.5477935392619004</v>
      </c>
      <c r="T31">
        <v>4.4825712398856101</v>
      </c>
    </row>
    <row r="32" spans="1:20">
      <c r="A32">
        <v>30</v>
      </c>
      <c r="B32">
        <v>18.010294117647</v>
      </c>
      <c r="C32">
        <v>19.725000000000001</v>
      </c>
      <c r="D32">
        <v>18.840909090909001</v>
      </c>
      <c r="E32">
        <v>15.3479999999999</v>
      </c>
      <c r="F32">
        <v>19.070833333333301</v>
      </c>
      <c r="H32">
        <v>30</v>
      </c>
      <c r="I32">
        <v>0.61176470588235299</v>
      </c>
      <c r="J32">
        <v>3.1033333333333299</v>
      </c>
      <c r="K32">
        <v>0.128571428571428</v>
      </c>
      <c r="L32">
        <v>2.5933333333333302</v>
      </c>
      <c r="M32">
        <v>1.45</v>
      </c>
      <c r="O32">
        <v>30</v>
      </c>
      <c r="P32">
        <v>5.2986070991408996</v>
      </c>
      <c r="Q32">
        <v>4.4640725934925003</v>
      </c>
      <c r="R32">
        <v>5.0765637470404199</v>
      </c>
      <c r="S32">
        <v>4.3361172970357398</v>
      </c>
      <c r="T32">
        <v>4.1485395322845697</v>
      </c>
    </row>
    <row r="33" spans="1:20">
      <c r="A33">
        <v>31</v>
      </c>
      <c r="B33">
        <v>18.1264705882352</v>
      </c>
      <c r="C33">
        <v>19.670000000000002</v>
      </c>
      <c r="D33">
        <v>19.3363636363636</v>
      </c>
      <c r="E33">
        <v>14.858000000000001</v>
      </c>
      <c r="F33">
        <v>18.716666666666601</v>
      </c>
      <c r="H33">
        <v>31</v>
      </c>
      <c r="I33">
        <v>1.01176470588235</v>
      </c>
      <c r="J33">
        <v>2.7466666666666599</v>
      </c>
      <c r="K33">
        <v>2.8619047619047602</v>
      </c>
      <c r="L33">
        <v>3.1066666666666598</v>
      </c>
      <c r="M33">
        <v>1.6666666666666601E-2</v>
      </c>
      <c r="O33">
        <v>31</v>
      </c>
      <c r="P33">
        <v>5.6287813361802304</v>
      </c>
      <c r="Q33">
        <v>4.1799437739427896</v>
      </c>
      <c r="R33">
        <v>4.7663700449037103</v>
      </c>
      <c r="S33">
        <v>4.5817758046725903</v>
      </c>
      <c r="T33">
        <v>3.9002627778438899</v>
      </c>
    </row>
    <row r="34" spans="1:20">
      <c r="A34">
        <v>32</v>
      </c>
      <c r="B34">
        <v>17.5632352941176</v>
      </c>
      <c r="C34">
        <v>19.770689655172401</v>
      </c>
      <c r="D34">
        <v>19.163223140495798</v>
      </c>
      <c r="E34">
        <v>14.672000000000001</v>
      </c>
      <c r="F34">
        <v>18.720833333333299</v>
      </c>
      <c r="H34">
        <v>32</v>
      </c>
      <c r="I34">
        <v>0.26764705882352902</v>
      </c>
      <c r="J34">
        <v>1.1103448275862</v>
      </c>
      <c r="K34">
        <v>1.6818181818181801</v>
      </c>
      <c r="L34">
        <v>2.7466666666666599</v>
      </c>
      <c r="M34">
        <v>5.1333333333333302</v>
      </c>
      <c r="O34">
        <v>32</v>
      </c>
      <c r="P34">
        <v>5.5733898517327303</v>
      </c>
      <c r="Q34">
        <v>4.5867414057587403</v>
      </c>
      <c r="R34">
        <v>4.6529025662627701</v>
      </c>
      <c r="S34">
        <v>4.3319549187801902</v>
      </c>
      <c r="T34">
        <v>3.3425533464765702</v>
      </c>
    </row>
    <row r="35" spans="1:20">
      <c r="A35">
        <v>33</v>
      </c>
      <c r="B35">
        <v>16.530882352941099</v>
      </c>
      <c r="C35">
        <v>19.548275862068898</v>
      </c>
      <c r="D35">
        <v>18.263636363636301</v>
      </c>
      <c r="E35">
        <v>14.042</v>
      </c>
      <c r="F35">
        <v>18.558333333333302</v>
      </c>
      <c r="H35">
        <v>33</v>
      </c>
      <c r="I35">
        <v>1.22058823529411</v>
      </c>
      <c r="J35">
        <v>4.0620689655172404</v>
      </c>
      <c r="K35">
        <v>1.3090909090909</v>
      </c>
      <c r="L35">
        <v>2.04</v>
      </c>
      <c r="M35">
        <v>5.1666666666666599</v>
      </c>
      <c r="O35">
        <v>33</v>
      </c>
      <c r="P35">
        <v>4.8866884380741</v>
      </c>
      <c r="Q35">
        <v>4.65070177511826</v>
      </c>
      <c r="R35">
        <v>3.8964840182874299</v>
      </c>
      <c r="S35">
        <v>3.9776866067621199</v>
      </c>
      <c r="T35">
        <v>3.37031285883524</v>
      </c>
    </row>
    <row r="36" spans="1:20">
      <c r="A36">
        <v>34</v>
      </c>
      <c r="B36">
        <v>16.339705882352899</v>
      </c>
      <c r="C36">
        <v>19.325862068965499</v>
      </c>
      <c r="D36">
        <v>18.302272727272701</v>
      </c>
      <c r="E36">
        <v>14.7019999999999</v>
      </c>
      <c r="F36">
        <v>18.841666666666601</v>
      </c>
      <c r="H36">
        <v>34</v>
      </c>
      <c r="I36">
        <v>0.72352941176470498</v>
      </c>
      <c r="J36">
        <v>1.00344827586206</v>
      </c>
      <c r="K36">
        <v>0.42727272727272703</v>
      </c>
      <c r="L36">
        <v>2.0933333333333302</v>
      </c>
      <c r="M36">
        <v>0.483333333333333</v>
      </c>
      <c r="O36">
        <v>34</v>
      </c>
      <c r="P36">
        <v>4.6016509460585002</v>
      </c>
      <c r="Q36">
        <v>4.2568283320677196</v>
      </c>
      <c r="R36">
        <v>5.0181335019624198</v>
      </c>
      <c r="S36">
        <v>4.02727149032743</v>
      </c>
      <c r="T36">
        <v>4.5373745966907704</v>
      </c>
    </row>
    <row r="37" spans="1:20">
      <c r="A37">
        <v>35</v>
      </c>
      <c r="B37">
        <v>17.920588235294101</v>
      </c>
      <c r="C37">
        <v>18.712068965517201</v>
      </c>
      <c r="D37">
        <v>17.9113636363636</v>
      </c>
      <c r="E37">
        <v>14.68</v>
      </c>
      <c r="F37">
        <v>18.441666666666599</v>
      </c>
      <c r="H37">
        <v>35</v>
      </c>
      <c r="I37">
        <v>1.75294117647058</v>
      </c>
      <c r="J37">
        <v>4.7586206896551699</v>
      </c>
      <c r="K37">
        <v>1.63636363636363</v>
      </c>
      <c r="L37">
        <v>3.44</v>
      </c>
      <c r="M37">
        <v>4.8</v>
      </c>
      <c r="O37">
        <v>35</v>
      </c>
      <c r="P37">
        <v>5.2770860248475602</v>
      </c>
      <c r="Q37">
        <v>3.6726350990735899</v>
      </c>
      <c r="R37">
        <v>4.2368011111500996</v>
      </c>
      <c r="S37">
        <v>4.0155463003514704</v>
      </c>
      <c r="T37">
        <v>3.5125215918157</v>
      </c>
    </row>
    <row r="38" spans="1:20">
      <c r="A38">
        <v>36</v>
      </c>
      <c r="B38">
        <v>16.083823529411699</v>
      </c>
      <c r="C38">
        <v>19.178333333333299</v>
      </c>
      <c r="D38">
        <v>18.540909090909</v>
      </c>
      <c r="E38">
        <v>13.277999999999899</v>
      </c>
      <c r="F38">
        <v>17.975000000000001</v>
      </c>
      <c r="H38">
        <v>36</v>
      </c>
      <c r="I38">
        <v>2.20882352941176</v>
      </c>
      <c r="J38">
        <v>2.2833333333333301</v>
      </c>
      <c r="K38">
        <v>0.92727272727272703</v>
      </c>
      <c r="L38">
        <v>1.2666666666666599</v>
      </c>
      <c r="M38">
        <v>2.0166666666666599</v>
      </c>
      <c r="O38">
        <v>36</v>
      </c>
      <c r="P38">
        <v>4.27430593476155</v>
      </c>
      <c r="Q38">
        <v>4.0355922642947899</v>
      </c>
      <c r="R38">
        <v>4.95246132066816</v>
      </c>
      <c r="S38">
        <v>3.7161648586188898</v>
      </c>
      <c r="T38">
        <v>3.7922889429532498</v>
      </c>
    </row>
    <row r="39" spans="1:20">
      <c r="A39">
        <v>37</v>
      </c>
      <c r="B39">
        <v>16.539705882352902</v>
      </c>
      <c r="C39">
        <v>19.063333333333301</v>
      </c>
      <c r="D39">
        <v>18.007142857142799</v>
      </c>
      <c r="E39">
        <v>14.288</v>
      </c>
      <c r="F39">
        <v>17.383333333333301</v>
      </c>
      <c r="H39">
        <v>37</v>
      </c>
      <c r="I39">
        <v>0.49117647058823499</v>
      </c>
      <c r="J39">
        <v>0.35</v>
      </c>
      <c r="K39">
        <v>0.54545454545454497</v>
      </c>
      <c r="L39">
        <v>4.43333333333333</v>
      </c>
      <c r="M39">
        <v>0.15</v>
      </c>
      <c r="O39">
        <v>37</v>
      </c>
      <c r="P39">
        <v>4.96013704262971</v>
      </c>
      <c r="Q39">
        <v>4.5836031413853302</v>
      </c>
      <c r="R39">
        <v>4.65455297630242</v>
      </c>
      <c r="S39">
        <v>4.1235933840964503</v>
      </c>
      <c r="T39">
        <v>3.67022287265541</v>
      </c>
    </row>
    <row r="40" spans="1:20">
      <c r="A40">
        <v>38</v>
      </c>
      <c r="B40">
        <v>16.527941176470499</v>
      </c>
      <c r="C40">
        <v>19.164999999999999</v>
      </c>
      <c r="D40">
        <v>17.852380952380901</v>
      </c>
      <c r="E40">
        <v>13.712</v>
      </c>
      <c r="F40">
        <v>17.0416666666666</v>
      </c>
      <c r="H40">
        <v>38</v>
      </c>
      <c r="I40">
        <v>1.98235294117647</v>
      </c>
      <c r="J40">
        <v>0.80666666666666598</v>
      </c>
      <c r="K40">
        <v>1.7681818181818101</v>
      </c>
      <c r="L40">
        <v>3.26</v>
      </c>
      <c r="M40">
        <v>3.0166666666666599</v>
      </c>
      <c r="O40">
        <v>38</v>
      </c>
      <c r="P40">
        <v>4.6946370204271801</v>
      </c>
      <c r="Q40">
        <v>4.2844164584952198</v>
      </c>
      <c r="R40">
        <v>4.6944113449094598</v>
      </c>
      <c r="S40">
        <v>3.8637388883533799</v>
      </c>
      <c r="T40">
        <v>3.8754357428809398</v>
      </c>
    </row>
    <row r="41" spans="1:20">
      <c r="A41">
        <v>39</v>
      </c>
      <c r="B41">
        <v>16.855882352941101</v>
      </c>
      <c r="C41">
        <v>19.145</v>
      </c>
      <c r="D41">
        <v>17.657142857142802</v>
      </c>
      <c r="E41">
        <v>14.7919999999999</v>
      </c>
      <c r="F41">
        <v>17.483333333333299</v>
      </c>
      <c r="H41">
        <v>39</v>
      </c>
      <c r="I41">
        <v>0.79411764705882304</v>
      </c>
      <c r="J41">
        <v>2.1066666666666598</v>
      </c>
      <c r="K41">
        <v>2.8772727272727199</v>
      </c>
      <c r="L41">
        <v>2.1266666666666598</v>
      </c>
      <c r="M41">
        <v>2.69999999999999</v>
      </c>
      <c r="O41">
        <v>39</v>
      </c>
      <c r="P41">
        <v>5.0220708698278598</v>
      </c>
      <c r="Q41">
        <v>4.0819751344129296</v>
      </c>
      <c r="R41">
        <v>4.0795407136929196</v>
      </c>
      <c r="S41">
        <v>4.4234931604239298</v>
      </c>
      <c r="T41">
        <v>3.8024866154372199</v>
      </c>
    </row>
    <row r="42" spans="1:20">
      <c r="A42">
        <v>40</v>
      </c>
      <c r="B42">
        <v>16.957352941176399</v>
      </c>
      <c r="C42">
        <v>19.28</v>
      </c>
      <c r="D42">
        <v>17.938095238095201</v>
      </c>
      <c r="E42">
        <v>14.8708333333333</v>
      </c>
      <c r="F42">
        <v>17.5625</v>
      </c>
      <c r="H42">
        <v>40</v>
      </c>
      <c r="I42">
        <v>1.1352941176470499</v>
      </c>
      <c r="J42">
        <v>1.1200000000000001</v>
      </c>
      <c r="K42">
        <v>1.02272727272727</v>
      </c>
      <c r="L42">
        <v>3.6137931034482702</v>
      </c>
      <c r="M42">
        <v>0.51666666666666605</v>
      </c>
      <c r="O42">
        <v>40</v>
      </c>
      <c r="P42">
        <v>4.61421103176027</v>
      </c>
      <c r="Q42">
        <v>4.260490854165</v>
      </c>
      <c r="R42">
        <v>4.8241352001453901</v>
      </c>
      <c r="S42">
        <v>4.0829643850344599</v>
      </c>
      <c r="T42">
        <v>3.9226252937625699</v>
      </c>
    </row>
    <row r="43" spans="1:20">
      <c r="A43">
        <v>41</v>
      </c>
      <c r="B43">
        <v>16.866176470588201</v>
      </c>
      <c r="C43">
        <v>19.6533333333333</v>
      </c>
      <c r="D43">
        <v>18.578571428571401</v>
      </c>
      <c r="E43">
        <v>14.7916666666666</v>
      </c>
      <c r="F43">
        <v>17.7083333333333</v>
      </c>
      <c r="H43">
        <v>41</v>
      </c>
      <c r="I43">
        <v>0.77647058823529402</v>
      </c>
      <c r="J43">
        <v>1.4866666666666599</v>
      </c>
      <c r="K43">
        <v>1.2863636363636299</v>
      </c>
      <c r="L43">
        <v>1.3724137931034399</v>
      </c>
      <c r="M43">
        <v>2.7333333333333298</v>
      </c>
      <c r="O43">
        <v>41</v>
      </c>
      <c r="P43">
        <v>4.40551625163656</v>
      </c>
      <c r="Q43">
        <v>3.7833097987788902</v>
      </c>
      <c r="R43">
        <v>4.1270805984366898</v>
      </c>
      <c r="S43">
        <v>3.8540938646663601</v>
      </c>
      <c r="T43">
        <v>3.6312925833969301</v>
      </c>
    </row>
    <row r="44" spans="1:20">
      <c r="A44">
        <v>42</v>
      </c>
      <c r="B44">
        <v>17.485294117647001</v>
      </c>
      <c r="C44">
        <v>19.843333333333302</v>
      </c>
      <c r="D44">
        <v>18.902380952380899</v>
      </c>
      <c r="E44">
        <v>15.446</v>
      </c>
      <c r="F44">
        <v>17.654166666666601</v>
      </c>
      <c r="H44">
        <v>42</v>
      </c>
      <c r="I44">
        <v>1.0529411764705801</v>
      </c>
      <c r="J44">
        <v>2.3199999999999998</v>
      </c>
      <c r="K44">
        <v>3.2727272727272698</v>
      </c>
      <c r="L44">
        <v>2.1800000000000002</v>
      </c>
      <c r="M44">
        <v>5.3166666666666602</v>
      </c>
      <c r="O44">
        <v>42</v>
      </c>
      <c r="P44">
        <v>4.4685640225242098</v>
      </c>
      <c r="Q44">
        <v>3.6396000191553801</v>
      </c>
      <c r="R44">
        <v>3.62479226319034</v>
      </c>
      <c r="S44">
        <v>3.9715696567376901</v>
      </c>
      <c r="T44">
        <v>3.7825096271499201</v>
      </c>
    </row>
    <row r="45" spans="1:20">
      <c r="A45">
        <v>43</v>
      </c>
      <c r="B45">
        <v>17.980882352941101</v>
      </c>
      <c r="C45">
        <v>19.767241379310299</v>
      </c>
      <c r="D45">
        <v>19.242857142857101</v>
      </c>
      <c r="E45">
        <v>14.54</v>
      </c>
      <c r="F45">
        <v>18.245833333333302</v>
      </c>
      <c r="H45">
        <v>43</v>
      </c>
      <c r="I45">
        <v>2.1735294117646999</v>
      </c>
      <c r="J45">
        <v>2.6066666666666598</v>
      </c>
      <c r="K45">
        <v>3.2363636363636301</v>
      </c>
      <c r="L45">
        <v>2.39333333333333</v>
      </c>
      <c r="M45">
        <v>1.8</v>
      </c>
      <c r="O45">
        <v>43</v>
      </c>
      <c r="P45">
        <v>4.3571116145332098</v>
      </c>
      <c r="Q45">
        <v>3.70262305339519</v>
      </c>
      <c r="R45">
        <v>4.6645023009942204</v>
      </c>
      <c r="S45">
        <v>3.3699681861202002</v>
      </c>
      <c r="T45">
        <v>3.5345089397679601</v>
      </c>
    </row>
    <row r="46" spans="1:20">
      <c r="A46">
        <v>44</v>
      </c>
      <c r="B46">
        <v>16.401470588235199</v>
      </c>
      <c r="C46">
        <v>19.5672413793103</v>
      </c>
      <c r="D46">
        <v>18.5023809523809</v>
      </c>
      <c r="E46">
        <v>14.081999999999899</v>
      </c>
      <c r="F46">
        <v>18.674999999999901</v>
      </c>
      <c r="H46">
        <v>44</v>
      </c>
      <c r="I46">
        <v>1.78235294117647</v>
      </c>
      <c r="J46">
        <v>0.59</v>
      </c>
      <c r="K46">
        <v>3.7681818181818101</v>
      </c>
      <c r="L46">
        <v>4.0866666666666598</v>
      </c>
      <c r="M46">
        <v>0.44999999999999901</v>
      </c>
      <c r="O46">
        <v>44</v>
      </c>
      <c r="P46">
        <v>3.9824902366083998</v>
      </c>
      <c r="Q46">
        <v>4.0784584132757997</v>
      </c>
      <c r="R46">
        <v>4.6620900620686498</v>
      </c>
      <c r="S46">
        <v>3.5900874487366101</v>
      </c>
      <c r="T46">
        <v>3.2860966338213999</v>
      </c>
    </row>
    <row r="47" spans="1:20">
      <c r="A47">
        <v>45</v>
      </c>
      <c r="B47">
        <v>15.8867647058823</v>
      </c>
      <c r="C47">
        <v>19.5910714285714</v>
      </c>
      <c r="D47">
        <v>19.173809523809499</v>
      </c>
      <c r="E47">
        <v>13.542</v>
      </c>
      <c r="F47">
        <v>18.670833333333299</v>
      </c>
      <c r="H47">
        <v>45</v>
      </c>
      <c r="I47">
        <v>2.5647058823529401</v>
      </c>
      <c r="J47">
        <v>1.8724137931034399</v>
      </c>
      <c r="K47">
        <v>0.88181818181818095</v>
      </c>
      <c r="L47">
        <v>4.1666666666666599</v>
      </c>
      <c r="M47">
        <v>1.13333333333333</v>
      </c>
      <c r="O47">
        <v>45</v>
      </c>
      <c r="P47">
        <v>3.6699943049553201</v>
      </c>
      <c r="Q47">
        <v>4.0775156504528702</v>
      </c>
      <c r="R47">
        <v>4.6763077133246798</v>
      </c>
      <c r="S47">
        <v>3.5400214663159399</v>
      </c>
      <c r="T47">
        <v>3.8932908527116399</v>
      </c>
    </row>
    <row r="48" spans="1:20">
      <c r="A48">
        <v>46</v>
      </c>
      <c r="B48">
        <v>15.4705882352941</v>
      </c>
      <c r="C48">
        <v>19.355357142857098</v>
      </c>
      <c r="D48">
        <v>17.711904761904702</v>
      </c>
      <c r="E48">
        <v>13.713999999999899</v>
      </c>
      <c r="F48">
        <v>18.1666666666666</v>
      </c>
      <c r="H48">
        <v>46</v>
      </c>
      <c r="I48">
        <v>2.2558823529411698</v>
      </c>
      <c r="J48">
        <v>2.8206896551724099</v>
      </c>
      <c r="K48">
        <v>1.5772727272727201</v>
      </c>
      <c r="L48">
        <v>2.2666666666666599</v>
      </c>
      <c r="M48">
        <v>1.7333333333333301</v>
      </c>
      <c r="O48">
        <v>46</v>
      </c>
      <c r="P48">
        <v>4.0108603157722298</v>
      </c>
      <c r="Q48">
        <v>4.1796467400508099</v>
      </c>
      <c r="R48">
        <v>4.3146839003125104</v>
      </c>
      <c r="S48">
        <v>3.3317989721924901</v>
      </c>
      <c r="T48">
        <v>3.7918051722380999</v>
      </c>
    </row>
    <row r="49" spans="1:20">
      <c r="A49">
        <v>47</v>
      </c>
      <c r="B49">
        <v>16.035294117646998</v>
      </c>
      <c r="C49">
        <v>19.258928571428498</v>
      </c>
      <c r="D49">
        <v>17.540476190476099</v>
      </c>
      <c r="E49">
        <v>14.608000000000001</v>
      </c>
      <c r="F49">
        <v>17.879166666666599</v>
      </c>
      <c r="H49">
        <v>47</v>
      </c>
      <c r="I49">
        <v>1.3529411764705801</v>
      </c>
      <c r="J49">
        <v>1.80344827586206</v>
      </c>
      <c r="K49">
        <v>1.9636363636363601</v>
      </c>
      <c r="L49">
        <v>2.1066666666666598</v>
      </c>
      <c r="M49">
        <v>0.73333333333333295</v>
      </c>
      <c r="O49">
        <v>47</v>
      </c>
      <c r="P49">
        <v>4.2159434978261299</v>
      </c>
      <c r="Q49">
        <v>3.8490703816040499</v>
      </c>
      <c r="R49">
        <v>3.7637816856066002</v>
      </c>
      <c r="S49">
        <v>3.6023573994559999</v>
      </c>
      <c r="T49">
        <v>3.8813294167315999</v>
      </c>
    </row>
    <row r="50" spans="1:20">
      <c r="A50">
        <v>48</v>
      </c>
      <c r="B50">
        <v>17.155882352941099</v>
      </c>
      <c r="C50">
        <v>19.284482758620602</v>
      </c>
      <c r="D50">
        <v>17.480952380952299</v>
      </c>
      <c r="E50">
        <v>15.504</v>
      </c>
      <c r="F50">
        <v>18.2083333333333</v>
      </c>
      <c r="H50">
        <v>48</v>
      </c>
      <c r="I50">
        <v>1.3794117647058799</v>
      </c>
      <c r="J50">
        <v>4.5</v>
      </c>
      <c r="K50">
        <v>2.00454545454545</v>
      </c>
      <c r="L50">
        <v>3.78</v>
      </c>
      <c r="M50">
        <v>2.8833333333333302</v>
      </c>
      <c r="O50">
        <v>48</v>
      </c>
      <c r="P50">
        <v>4.4742152890515898</v>
      </c>
      <c r="Q50">
        <v>3.7481412243719401</v>
      </c>
      <c r="R50">
        <v>3.8261001998958202</v>
      </c>
      <c r="S50">
        <v>3.6842369372969901</v>
      </c>
      <c r="T50">
        <v>3.5062121478789399</v>
      </c>
    </row>
    <row r="51" spans="1:20">
      <c r="A51">
        <v>49</v>
      </c>
      <c r="B51">
        <v>17.5720588235294</v>
      </c>
      <c r="C51">
        <v>19.415517241379298</v>
      </c>
      <c r="D51">
        <v>18.180952380952299</v>
      </c>
      <c r="E51">
        <v>14.836</v>
      </c>
      <c r="F51">
        <v>18.529166666666601</v>
      </c>
      <c r="H51">
        <v>49</v>
      </c>
      <c r="I51">
        <v>2.15</v>
      </c>
      <c r="J51">
        <v>1.4</v>
      </c>
      <c r="K51">
        <v>1.4090909090909001</v>
      </c>
      <c r="L51">
        <v>4.38</v>
      </c>
      <c r="M51">
        <v>2.85</v>
      </c>
      <c r="O51">
        <v>49</v>
      </c>
      <c r="P51">
        <v>4.8952010783751296</v>
      </c>
      <c r="Q51">
        <v>3.8682529987421499</v>
      </c>
      <c r="R51">
        <v>4.1914732089855402</v>
      </c>
      <c r="S51">
        <v>3.5970705080862801</v>
      </c>
      <c r="T51">
        <v>3.5342235016405201</v>
      </c>
    </row>
    <row r="52" spans="1:20">
      <c r="A52">
        <v>50</v>
      </c>
      <c r="B52">
        <v>16.991176470588201</v>
      </c>
      <c r="C52">
        <v>19.4189655172413</v>
      </c>
      <c r="D52">
        <v>18.052499999999998</v>
      </c>
      <c r="E52">
        <v>14.367999999999901</v>
      </c>
      <c r="F52">
        <v>18.925000000000001</v>
      </c>
      <c r="H52">
        <v>50</v>
      </c>
      <c r="I52">
        <v>0.64117647058823501</v>
      </c>
      <c r="J52">
        <v>1.4655172413793101</v>
      </c>
      <c r="K52">
        <v>1.3636363636363599E-2</v>
      </c>
      <c r="L52">
        <v>3.26</v>
      </c>
      <c r="M52">
        <v>3.86666666666666</v>
      </c>
      <c r="O52">
        <v>50</v>
      </c>
      <c r="P52">
        <v>4.3668387336618597</v>
      </c>
      <c r="Q52">
        <v>3.6105345286952</v>
      </c>
      <c r="R52">
        <v>4.4113204300391198</v>
      </c>
      <c r="S52">
        <v>3.9692907037805099</v>
      </c>
      <c r="T52">
        <v>3.6338116563958698</v>
      </c>
    </row>
    <row r="53" spans="1:20">
      <c r="A53">
        <v>51</v>
      </c>
      <c r="B53">
        <v>16.655882352941099</v>
      </c>
      <c r="C53">
        <v>19.5068965517241</v>
      </c>
      <c r="D53">
        <v>18.1325</v>
      </c>
      <c r="E53">
        <v>14.052</v>
      </c>
      <c r="F53">
        <v>19.195833333333301</v>
      </c>
      <c r="H53">
        <v>51</v>
      </c>
      <c r="I53">
        <v>2.5705882352941098</v>
      </c>
      <c r="J53">
        <v>3.8517241379310301</v>
      </c>
      <c r="K53">
        <v>1.02272727272727</v>
      </c>
      <c r="L53">
        <v>2.8866666666666601</v>
      </c>
      <c r="M53">
        <v>1.18333333333333</v>
      </c>
      <c r="O53">
        <v>51</v>
      </c>
      <c r="P53">
        <v>4.6555880727780803</v>
      </c>
      <c r="Q53">
        <v>3.6240453059598501</v>
      </c>
      <c r="R53">
        <v>4.3841376554355804</v>
      </c>
      <c r="S53">
        <v>3.73946860322968</v>
      </c>
      <c r="T53">
        <v>3.7477053916930299</v>
      </c>
    </row>
    <row r="54" spans="1:20">
      <c r="A54">
        <v>52</v>
      </c>
      <c r="B54">
        <v>16.6955882352941</v>
      </c>
      <c r="C54">
        <v>19.441666666666599</v>
      </c>
      <c r="D54">
        <v>18.647619047618999</v>
      </c>
      <c r="E54">
        <v>14.202</v>
      </c>
      <c r="F54">
        <v>18.945833333333301</v>
      </c>
      <c r="H54">
        <v>52</v>
      </c>
      <c r="I54">
        <v>0.76470588235294101</v>
      </c>
      <c r="J54">
        <v>3</v>
      </c>
      <c r="K54">
        <v>8.6363636363636295E-2</v>
      </c>
      <c r="L54">
        <v>2.1800000000000002</v>
      </c>
      <c r="M54">
        <v>1.3333333333333299</v>
      </c>
      <c r="O54">
        <v>52</v>
      </c>
      <c r="P54">
        <v>4.46937460417998</v>
      </c>
      <c r="Q54">
        <v>3.73403385362748</v>
      </c>
      <c r="R54">
        <v>4.9693259437908699</v>
      </c>
      <c r="S54">
        <v>3.9756634479393602</v>
      </c>
      <c r="T54">
        <v>3.7395681594102799</v>
      </c>
    </row>
    <row r="55" spans="1:20">
      <c r="A55">
        <v>53</v>
      </c>
      <c r="B55">
        <v>16.394117647058799</v>
      </c>
      <c r="C55">
        <v>19.231666666666602</v>
      </c>
      <c r="D55">
        <v>17.936363636363598</v>
      </c>
      <c r="E55">
        <v>14.043749999999999</v>
      </c>
      <c r="F55">
        <v>18.912499999999898</v>
      </c>
      <c r="H55">
        <v>53</v>
      </c>
      <c r="I55">
        <v>1.52647058823529</v>
      </c>
      <c r="J55">
        <v>1.5333333333333301</v>
      </c>
      <c r="K55">
        <v>0.33636363636363598</v>
      </c>
      <c r="L55">
        <v>2.2827586206896502</v>
      </c>
      <c r="M55">
        <v>6.18333333333333</v>
      </c>
      <c r="O55">
        <v>53</v>
      </c>
      <c r="P55">
        <v>4.4113780272088796</v>
      </c>
      <c r="Q55">
        <v>3.6261565374234999</v>
      </c>
      <c r="R55">
        <v>4.7878861075128398</v>
      </c>
      <c r="S55">
        <v>3.4093034749851601</v>
      </c>
      <c r="T55">
        <v>3.0629444033618198</v>
      </c>
    </row>
    <row r="56" spans="1:20">
      <c r="A56">
        <v>54</v>
      </c>
      <c r="B56">
        <v>16.088235294117599</v>
      </c>
      <c r="C56">
        <v>19.22</v>
      </c>
      <c r="D56">
        <v>17.645454545454498</v>
      </c>
      <c r="E56">
        <v>13.1826086956521</v>
      </c>
      <c r="F56">
        <v>17.745833333333302</v>
      </c>
      <c r="H56">
        <v>54</v>
      </c>
      <c r="I56">
        <v>1.78529411764705</v>
      </c>
      <c r="J56">
        <v>3.06</v>
      </c>
      <c r="K56">
        <v>1.0181818181818101</v>
      </c>
      <c r="L56">
        <v>6.8142857142857096</v>
      </c>
      <c r="M56">
        <v>0.7</v>
      </c>
      <c r="O56">
        <v>54</v>
      </c>
      <c r="P56">
        <v>3.9052160279772399</v>
      </c>
      <c r="Q56">
        <v>3.6095974227769201</v>
      </c>
      <c r="R56">
        <v>4.0222279504458101</v>
      </c>
      <c r="S56">
        <v>3.3865998720646702</v>
      </c>
      <c r="T56">
        <v>3.7397228058893299</v>
      </c>
    </row>
    <row r="57" spans="1:20">
      <c r="A57">
        <v>55</v>
      </c>
      <c r="B57">
        <v>16.782352941176399</v>
      </c>
      <c r="C57">
        <v>18.793333333333301</v>
      </c>
      <c r="D57">
        <v>16.713636363636301</v>
      </c>
      <c r="E57">
        <v>13.121739130434699</v>
      </c>
      <c r="F57">
        <v>16.945833333333301</v>
      </c>
      <c r="H57">
        <v>55</v>
      </c>
      <c r="I57">
        <v>1.6794117647058799</v>
      </c>
      <c r="J57">
        <v>1.73</v>
      </c>
      <c r="K57">
        <v>2.4</v>
      </c>
      <c r="L57">
        <v>1.6071428571428501</v>
      </c>
      <c r="M57">
        <v>1.5999999999999901</v>
      </c>
      <c r="O57">
        <v>55</v>
      </c>
      <c r="P57">
        <v>4.8281000917338197</v>
      </c>
      <c r="Q57">
        <v>3.9865323105658801</v>
      </c>
      <c r="R57">
        <v>4.2280532549353298</v>
      </c>
      <c r="S57">
        <v>3.7871816958122699</v>
      </c>
      <c r="T57">
        <v>3.5683594386422701</v>
      </c>
    </row>
    <row r="58" spans="1:20">
      <c r="A58">
        <v>56</v>
      </c>
      <c r="B58">
        <v>16.1897058823529</v>
      </c>
      <c r="C58">
        <v>18.3</v>
      </c>
      <c r="D58">
        <v>16.613636363636299</v>
      </c>
      <c r="E58">
        <v>12.899999999999901</v>
      </c>
      <c r="F58">
        <v>17.495833333333302</v>
      </c>
      <c r="H58">
        <v>56</v>
      </c>
      <c r="I58">
        <v>0.59411764705882297</v>
      </c>
      <c r="J58">
        <v>1.1766666666666601</v>
      </c>
      <c r="K58">
        <v>0.65454545454545399</v>
      </c>
      <c r="L58">
        <v>2.8714285714285701</v>
      </c>
      <c r="M58">
        <v>0.86666666666666603</v>
      </c>
      <c r="O58">
        <v>56</v>
      </c>
      <c r="P58">
        <v>4.4819172090086496</v>
      </c>
      <c r="Q58">
        <v>3.88204927928038</v>
      </c>
      <c r="R58">
        <v>4.1972566837463097</v>
      </c>
      <c r="S58">
        <v>3.5490353016013598</v>
      </c>
      <c r="T58">
        <v>3.5556810366886502</v>
      </c>
    </row>
    <row r="59" spans="1:20">
      <c r="A59">
        <v>57</v>
      </c>
      <c r="B59">
        <v>16.1941176470588</v>
      </c>
      <c r="C59">
        <v>18.41</v>
      </c>
      <c r="D59">
        <v>17.136363636363601</v>
      </c>
      <c r="E59">
        <v>13.972916666666601</v>
      </c>
      <c r="F59">
        <v>16.954166666666602</v>
      </c>
      <c r="H59">
        <v>57</v>
      </c>
      <c r="I59">
        <v>1.93333333333333</v>
      </c>
      <c r="J59">
        <v>2.0233333333333299</v>
      </c>
      <c r="K59">
        <v>0.177272727272727</v>
      </c>
      <c r="L59">
        <v>1.46896551724137</v>
      </c>
      <c r="M59">
        <v>0.93333333333333302</v>
      </c>
      <c r="O59">
        <v>57</v>
      </c>
      <c r="P59">
        <v>4.3896941334323998</v>
      </c>
      <c r="Q59">
        <v>4.05937925457948</v>
      </c>
      <c r="R59">
        <v>3.7180503043386799</v>
      </c>
      <c r="S59">
        <v>3.9921631522056402</v>
      </c>
      <c r="T59">
        <v>3.6102637976598602</v>
      </c>
    </row>
    <row r="60" spans="1:20">
      <c r="A60">
        <v>58</v>
      </c>
      <c r="B60">
        <v>16.208823529411699</v>
      </c>
      <c r="C60">
        <v>18.516666666666602</v>
      </c>
      <c r="D60">
        <v>17.429545454545401</v>
      </c>
      <c r="E60">
        <v>13.691666666666601</v>
      </c>
      <c r="F60">
        <v>16.829166666666602</v>
      </c>
      <c r="H60">
        <v>58</v>
      </c>
      <c r="I60">
        <v>1.1676470588235199</v>
      </c>
      <c r="J60">
        <v>1.5499999999999901</v>
      </c>
      <c r="K60">
        <v>0.45</v>
      </c>
      <c r="L60">
        <v>4</v>
      </c>
      <c r="M60">
        <v>0.41666666666666602</v>
      </c>
      <c r="O60">
        <v>58</v>
      </c>
      <c r="P60">
        <v>4.0964729959716299</v>
      </c>
      <c r="Q60">
        <v>3.8269283002116601</v>
      </c>
      <c r="R60">
        <v>4.1978361035629597</v>
      </c>
      <c r="S60">
        <v>3.2903793264861498</v>
      </c>
      <c r="T60">
        <v>3.6752740997587301</v>
      </c>
    </row>
    <row r="61" spans="1:20">
      <c r="A61">
        <v>59</v>
      </c>
      <c r="B61">
        <v>16.074999999999999</v>
      </c>
      <c r="C61">
        <v>18.253571428571401</v>
      </c>
      <c r="D61">
        <v>17.274999999999999</v>
      </c>
      <c r="E61">
        <v>14.056249999999901</v>
      </c>
      <c r="F61">
        <v>17.512499999999999</v>
      </c>
      <c r="H61">
        <v>59</v>
      </c>
      <c r="I61">
        <v>1.3352941176470501</v>
      </c>
      <c r="J61">
        <v>3.4793103448275802</v>
      </c>
      <c r="K61">
        <v>3.4545454545454501</v>
      </c>
      <c r="L61">
        <v>1.97241379310344</v>
      </c>
      <c r="M61">
        <v>0.38333333333333303</v>
      </c>
      <c r="O61">
        <v>59</v>
      </c>
      <c r="P61">
        <v>4.1211840462926297</v>
      </c>
      <c r="Q61">
        <v>3.4828962462929298</v>
      </c>
      <c r="R61">
        <v>3.7969828325823598</v>
      </c>
      <c r="S61">
        <v>4.1833671251183402</v>
      </c>
      <c r="T61">
        <v>3.6973328494211302</v>
      </c>
    </row>
    <row r="62" spans="1:20">
      <c r="A62">
        <v>60</v>
      </c>
      <c r="B62">
        <v>16.264705882352899</v>
      </c>
      <c r="C62">
        <v>18.313793103448202</v>
      </c>
      <c r="D62">
        <v>17.365909090909</v>
      </c>
      <c r="E62">
        <v>13.167999999999999</v>
      </c>
      <c r="F62">
        <v>17.1166666666666</v>
      </c>
      <c r="H62">
        <v>60</v>
      </c>
      <c r="I62">
        <v>0.48235294117646998</v>
      </c>
      <c r="J62">
        <v>4.1758620689655102</v>
      </c>
      <c r="K62">
        <v>0.131818181818181</v>
      </c>
      <c r="L62">
        <v>3.6551724137931001</v>
      </c>
      <c r="M62">
        <v>2.3166666666666602</v>
      </c>
      <c r="O62">
        <v>60</v>
      </c>
      <c r="P62">
        <v>4.4835430215906102</v>
      </c>
      <c r="Q62">
        <v>3.6905226687271502</v>
      </c>
      <c r="R62">
        <v>4.1908681950652404</v>
      </c>
      <c r="S62">
        <v>2.9701613981980799</v>
      </c>
      <c r="T62">
        <v>3.5365052642272401</v>
      </c>
    </row>
    <row r="63" spans="1:20">
      <c r="A63">
        <v>61</v>
      </c>
      <c r="B63">
        <v>15.9727272727272</v>
      </c>
      <c r="C63">
        <v>18.701724137930999</v>
      </c>
      <c r="D63">
        <v>17.965909090909001</v>
      </c>
      <c r="E63">
        <v>12.925000000000001</v>
      </c>
      <c r="F63">
        <v>17.037500000000001</v>
      </c>
      <c r="H63">
        <v>61</v>
      </c>
      <c r="I63">
        <v>1.65151515151515</v>
      </c>
      <c r="J63">
        <v>2.4379310344827498</v>
      </c>
      <c r="K63">
        <v>0.42272727272727201</v>
      </c>
      <c r="L63">
        <v>3.3285714285714199</v>
      </c>
      <c r="M63">
        <v>2.18333333333333</v>
      </c>
      <c r="O63">
        <v>61</v>
      </c>
      <c r="P63">
        <v>4.3251674269725902</v>
      </c>
      <c r="Q63">
        <v>3.7650592582328399</v>
      </c>
      <c r="R63">
        <v>4.2196048881349899</v>
      </c>
      <c r="S63">
        <v>3.4240311955877401</v>
      </c>
      <c r="T63">
        <v>3.0680063753167199</v>
      </c>
    </row>
    <row r="64" spans="1:20">
      <c r="A64">
        <v>62</v>
      </c>
      <c r="B64">
        <v>15.216666666666599</v>
      </c>
      <c r="C64">
        <v>18.759999999999899</v>
      </c>
      <c r="D64">
        <v>17.652272727272699</v>
      </c>
      <c r="E64">
        <v>12.220833333333299</v>
      </c>
      <c r="F64">
        <v>17.204166666666602</v>
      </c>
      <c r="H64">
        <v>62</v>
      </c>
      <c r="I64">
        <v>3.5272727272727198</v>
      </c>
      <c r="J64">
        <v>3.53666666666666</v>
      </c>
      <c r="K64">
        <v>1.3181818181818099</v>
      </c>
      <c r="L64">
        <v>2.3172413793103401</v>
      </c>
      <c r="M64">
        <v>0.61666666666666603</v>
      </c>
      <c r="O64">
        <v>62</v>
      </c>
      <c r="P64">
        <v>3.8149865129266902</v>
      </c>
      <c r="Q64">
        <v>3.6493457095997699</v>
      </c>
      <c r="R64">
        <v>3.8343705070364198</v>
      </c>
      <c r="S64">
        <v>3.2847618844763802</v>
      </c>
      <c r="T64">
        <v>3.2161744467378801</v>
      </c>
    </row>
    <row r="65" spans="1:20">
      <c r="A65">
        <v>63</v>
      </c>
      <c r="B65">
        <v>14.612121212121201</v>
      </c>
      <c r="C65">
        <v>18.0322580645161</v>
      </c>
      <c r="D65">
        <v>16.143181818181802</v>
      </c>
      <c r="E65">
        <v>12.49375</v>
      </c>
      <c r="F65">
        <v>16.720833333333299</v>
      </c>
      <c r="H65">
        <v>63</v>
      </c>
      <c r="I65">
        <v>2.1212121212121202</v>
      </c>
      <c r="J65">
        <v>5.3612903225806399</v>
      </c>
      <c r="K65">
        <v>0.89545454545454495</v>
      </c>
      <c r="L65">
        <v>0.74482758620689604</v>
      </c>
      <c r="M65">
        <v>2.93333333333333</v>
      </c>
      <c r="O65">
        <v>63</v>
      </c>
      <c r="P65">
        <v>3.8891905260327699</v>
      </c>
      <c r="Q65">
        <v>3.6858306163975501</v>
      </c>
      <c r="R65">
        <v>4.2591322338139097</v>
      </c>
      <c r="S65">
        <v>3.5803336332636402</v>
      </c>
      <c r="T65">
        <v>2.8476580172568502</v>
      </c>
    </row>
    <row r="66" spans="1:20">
      <c r="A66">
        <v>64</v>
      </c>
      <c r="B66">
        <v>15.7681818181818</v>
      </c>
      <c r="C66">
        <v>17.95</v>
      </c>
      <c r="D66">
        <v>15.940909090909001</v>
      </c>
      <c r="E66">
        <v>13.4270833333333</v>
      </c>
      <c r="F66">
        <v>17.05</v>
      </c>
      <c r="H66">
        <v>64</v>
      </c>
      <c r="I66">
        <v>2.5606060606060601</v>
      </c>
      <c r="J66">
        <v>2.5580645161290301</v>
      </c>
      <c r="K66">
        <v>1.5136363636363599</v>
      </c>
      <c r="L66">
        <v>1</v>
      </c>
      <c r="M66">
        <v>3.5</v>
      </c>
      <c r="O66">
        <v>64</v>
      </c>
      <c r="P66">
        <v>4.10786263681889</v>
      </c>
      <c r="Q66">
        <v>3.6617176102227802</v>
      </c>
      <c r="R66">
        <v>3.8930077454368801</v>
      </c>
      <c r="S66">
        <v>3.4371457147158</v>
      </c>
      <c r="T66">
        <v>3.0856400612975601</v>
      </c>
    </row>
    <row r="67" spans="1:20">
      <c r="A67">
        <v>65</v>
      </c>
      <c r="B67">
        <v>15.9954545454545</v>
      </c>
      <c r="C67">
        <v>18.361290322580601</v>
      </c>
      <c r="D67">
        <v>17.093181818181801</v>
      </c>
      <c r="E67">
        <v>13.106249999999999</v>
      </c>
      <c r="F67">
        <v>16.5625</v>
      </c>
      <c r="H67">
        <v>65</v>
      </c>
      <c r="I67">
        <v>0.50303030303030305</v>
      </c>
      <c r="J67">
        <v>2.3129032258064499</v>
      </c>
      <c r="K67">
        <v>1.5909090909090899</v>
      </c>
      <c r="L67">
        <v>2.6357142857142799</v>
      </c>
      <c r="M67">
        <v>1.9166666666666601</v>
      </c>
      <c r="O67">
        <v>65</v>
      </c>
      <c r="P67">
        <v>4.0766889307448597</v>
      </c>
      <c r="Q67">
        <v>3.8548213926682098</v>
      </c>
      <c r="R67">
        <v>3.79195345193494</v>
      </c>
      <c r="S67">
        <v>3.22427246002459</v>
      </c>
      <c r="T67">
        <v>2.4477007585282702</v>
      </c>
    </row>
    <row r="68" spans="1:20">
      <c r="A68">
        <v>66</v>
      </c>
      <c r="B68">
        <v>15.0166666666666</v>
      </c>
      <c r="C68">
        <v>17.7903225806451</v>
      </c>
      <c r="D68">
        <v>17.238636363636299</v>
      </c>
      <c r="E68">
        <v>12.665217391304299</v>
      </c>
      <c r="F68">
        <v>16.349999999999898</v>
      </c>
      <c r="H68">
        <v>66</v>
      </c>
      <c r="I68">
        <v>0.884848484848484</v>
      </c>
      <c r="J68">
        <v>2.88709677419354</v>
      </c>
      <c r="K68">
        <v>1.8590909090909</v>
      </c>
      <c r="L68">
        <v>4.2285714285714198</v>
      </c>
      <c r="M68">
        <v>5.4</v>
      </c>
      <c r="O68">
        <v>66</v>
      </c>
      <c r="P68">
        <v>3.8855543781492301</v>
      </c>
      <c r="Q68">
        <v>3.4909393601542198</v>
      </c>
      <c r="R68">
        <v>3.9659981524960299</v>
      </c>
      <c r="S68">
        <v>2.9828730007155602</v>
      </c>
      <c r="T68">
        <v>3.2051572713162999</v>
      </c>
    </row>
    <row r="69" spans="1:20">
      <c r="A69">
        <v>67</v>
      </c>
      <c r="B69">
        <v>15.3257575757575</v>
      </c>
      <c r="C69">
        <v>18.141379310344799</v>
      </c>
      <c r="D69">
        <v>17.193181818181799</v>
      </c>
      <c r="E69">
        <v>13.006521739130401</v>
      </c>
      <c r="F69">
        <v>16.404166666666601</v>
      </c>
      <c r="H69">
        <v>67</v>
      </c>
      <c r="I69">
        <v>0.98787878787878702</v>
      </c>
      <c r="J69">
        <v>1.0379310344827499</v>
      </c>
      <c r="K69">
        <v>3.69545454545454</v>
      </c>
      <c r="L69">
        <v>3.7857142857142798</v>
      </c>
      <c r="M69">
        <v>1.7666666666666599</v>
      </c>
      <c r="O69">
        <v>67</v>
      </c>
      <c r="P69">
        <v>3.6905019360086202</v>
      </c>
      <c r="Q69">
        <v>3.8084649299222599</v>
      </c>
      <c r="R69">
        <v>3.9291055796836201</v>
      </c>
      <c r="S69">
        <v>2.9698999884512198</v>
      </c>
      <c r="T69">
        <v>3.3473688975414899</v>
      </c>
    </row>
    <row r="70" spans="1:20">
      <c r="A70">
        <v>68</v>
      </c>
      <c r="B70">
        <v>14.630303030303001</v>
      </c>
      <c r="C70">
        <v>18.3816666666666</v>
      </c>
      <c r="D70">
        <v>16.588636363636301</v>
      </c>
      <c r="E70">
        <v>12.5934782608695</v>
      </c>
      <c r="F70">
        <v>16.174999999999901</v>
      </c>
      <c r="H70">
        <v>68</v>
      </c>
      <c r="I70">
        <v>0.82121212121212095</v>
      </c>
      <c r="J70">
        <v>3.2766666666666602</v>
      </c>
      <c r="K70">
        <v>1.3090909090909</v>
      </c>
      <c r="L70">
        <v>2.2428571428571402</v>
      </c>
      <c r="M70">
        <v>0.54999999999999905</v>
      </c>
      <c r="O70">
        <v>68</v>
      </c>
      <c r="P70">
        <v>3.5528537387163399</v>
      </c>
      <c r="Q70">
        <v>3.6161533155938699</v>
      </c>
      <c r="R70">
        <v>3.3788058605810001</v>
      </c>
      <c r="S70">
        <v>2.6481871933319998</v>
      </c>
      <c r="T70">
        <v>3.3552920602916099</v>
      </c>
    </row>
    <row r="71" spans="1:20">
      <c r="A71">
        <v>69</v>
      </c>
      <c r="B71">
        <v>15.7924242424242</v>
      </c>
      <c r="C71">
        <v>18.100000000000001</v>
      </c>
      <c r="D71">
        <v>16.607142857142801</v>
      </c>
      <c r="E71">
        <v>13.710869565217299</v>
      </c>
      <c r="F71">
        <v>16.625</v>
      </c>
      <c r="H71">
        <v>69</v>
      </c>
      <c r="I71">
        <v>1.4909090909090901</v>
      </c>
      <c r="J71">
        <v>1.75</v>
      </c>
      <c r="K71">
        <v>0.25</v>
      </c>
      <c r="L71">
        <v>3.3</v>
      </c>
      <c r="M71">
        <v>2.0666666666666602</v>
      </c>
      <c r="O71">
        <v>69</v>
      </c>
      <c r="P71">
        <v>3.7245673615528201</v>
      </c>
      <c r="Q71">
        <v>3.9222011256035199</v>
      </c>
      <c r="R71">
        <v>3.8466114707676198</v>
      </c>
      <c r="S71">
        <v>2.9401346482464801</v>
      </c>
      <c r="T71">
        <v>3.2920876744510998</v>
      </c>
    </row>
    <row r="72" spans="1:20">
      <c r="A72">
        <v>70</v>
      </c>
      <c r="B72">
        <v>15.055882352941101</v>
      </c>
      <c r="C72">
        <v>17.931666666666601</v>
      </c>
      <c r="D72">
        <v>16.871428571428499</v>
      </c>
      <c r="E72">
        <v>12.684782608695601</v>
      </c>
      <c r="F72">
        <v>16.266666666666602</v>
      </c>
      <c r="H72">
        <v>70</v>
      </c>
      <c r="I72">
        <v>1.93823529411764</v>
      </c>
      <c r="J72">
        <v>6.9499999999999904</v>
      </c>
      <c r="K72">
        <v>2.5181818181818101</v>
      </c>
      <c r="L72">
        <v>3.77857142857142</v>
      </c>
      <c r="M72">
        <v>3.44999999999999</v>
      </c>
      <c r="O72">
        <v>70</v>
      </c>
      <c r="P72">
        <v>3.2545752102886598</v>
      </c>
      <c r="Q72">
        <v>3.4661109817168501</v>
      </c>
      <c r="R72">
        <v>3.4183641296980598</v>
      </c>
      <c r="S72">
        <v>2.5522208475113501</v>
      </c>
      <c r="T72">
        <v>2.5592177640993499</v>
      </c>
    </row>
    <row r="73" spans="1:20">
      <c r="A73">
        <v>71</v>
      </c>
      <c r="B73">
        <v>14.958823529411699</v>
      </c>
      <c r="C73">
        <v>18.11</v>
      </c>
      <c r="D73">
        <v>16.204761904761899</v>
      </c>
      <c r="E73">
        <v>13.618749999999901</v>
      </c>
      <c r="F73">
        <v>16.404166666666601</v>
      </c>
      <c r="H73">
        <v>71</v>
      </c>
      <c r="I73">
        <v>3.24705882352941</v>
      </c>
      <c r="J73">
        <v>3.0533333333333301</v>
      </c>
      <c r="K73">
        <v>1.39090909090909</v>
      </c>
      <c r="L73">
        <v>2.5793103448275798</v>
      </c>
      <c r="M73">
        <v>1.5833333333333299</v>
      </c>
      <c r="O73">
        <v>71</v>
      </c>
      <c r="P73">
        <v>3.17975180664317</v>
      </c>
      <c r="Q73">
        <v>3.54178935257598</v>
      </c>
      <c r="R73">
        <v>3.3942883486787001</v>
      </c>
      <c r="S73">
        <v>3.20860667383237</v>
      </c>
      <c r="T73">
        <v>2.85115032224514</v>
      </c>
    </row>
    <row r="74" spans="1:20">
      <c r="A74">
        <v>72</v>
      </c>
      <c r="B74">
        <v>15.205882352941099</v>
      </c>
      <c r="C74">
        <v>17.7392857142857</v>
      </c>
      <c r="D74">
        <v>16.140692640692599</v>
      </c>
      <c r="E74">
        <v>13.960869565217299</v>
      </c>
      <c r="F74">
        <v>15.324999999999999</v>
      </c>
      <c r="H74">
        <v>72</v>
      </c>
      <c r="I74">
        <v>2.9088235294117601</v>
      </c>
      <c r="J74">
        <v>1.6892857142857101</v>
      </c>
      <c r="K74">
        <v>1.64090909090909</v>
      </c>
      <c r="L74">
        <v>2.4214285714285699</v>
      </c>
      <c r="M74">
        <v>1.38333333333333</v>
      </c>
      <c r="O74">
        <v>72</v>
      </c>
      <c r="P74">
        <v>3.3146668186599602</v>
      </c>
      <c r="Q74">
        <v>3.3591305391228099</v>
      </c>
      <c r="R74">
        <v>3.4277069220468301</v>
      </c>
      <c r="S74">
        <v>3.1232373886222802</v>
      </c>
      <c r="T74">
        <v>2.7545575054438101</v>
      </c>
    </row>
    <row r="75" spans="1:20">
      <c r="A75">
        <v>73</v>
      </c>
      <c r="B75">
        <v>14.888235294117599</v>
      </c>
      <c r="C75">
        <v>17.7431034482758</v>
      </c>
      <c r="D75">
        <v>15.6681818181818</v>
      </c>
      <c r="E75">
        <v>13.0104166666666</v>
      </c>
      <c r="F75">
        <v>15.8333333333333</v>
      </c>
      <c r="H75">
        <v>73</v>
      </c>
      <c r="I75">
        <v>2.2999999999999998</v>
      </c>
      <c r="J75">
        <v>1.84</v>
      </c>
      <c r="K75">
        <v>1.2909090909090899</v>
      </c>
      <c r="L75">
        <v>2.4827586206896499</v>
      </c>
      <c r="M75">
        <v>0.483333333333333</v>
      </c>
      <c r="O75">
        <v>73</v>
      </c>
      <c r="P75">
        <v>3.3312157637355302</v>
      </c>
      <c r="Q75">
        <v>3.37236322021164</v>
      </c>
      <c r="R75">
        <v>3.1165170781020999</v>
      </c>
      <c r="S75">
        <v>3.21700716289685</v>
      </c>
      <c r="T75">
        <v>2.9925841251346701</v>
      </c>
    </row>
    <row r="76" spans="1:20">
      <c r="A76">
        <v>74</v>
      </c>
      <c r="B76">
        <v>14.9794117647058</v>
      </c>
      <c r="C76">
        <v>17.582758620689599</v>
      </c>
      <c r="D76">
        <v>15.9727272727272</v>
      </c>
      <c r="E76">
        <v>12.216666666666599</v>
      </c>
      <c r="F76">
        <v>16.966666666666601</v>
      </c>
      <c r="H76">
        <v>74</v>
      </c>
      <c r="I76">
        <v>0.34411764705882297</v>
      </c>
      <c r="J76">
        <v>3.1862068965517198</v>
      </c>
      <c r="K76">
        <v>3.1136363636363602</v>
      </c>
      <c r="L76">
        <v>3.2</v>
      </c>
      <c r="M76">
        <v>0.31666666666666599</v>
      </c>
      <c r="O76">
        <v>74</v>
      </c>
      <c r="P76">
        <v>3.9291146060483402</v>
      </c>
      <c r="Q76">
        <v>3.1968269295082399</v>
      </c>
      <c r="R76">
        <v>3.3698852758339299</v>
      </c>
      <c r="S76">
        <v>3.0392687362129198</v>
      </c>
      <c r="T76">
        <v>2.9125814341448</v>
      </c>
    </row>
    <row r="77" spans="1:20">
      <c r="A77">
        <v>75</v>
      </c>
      <c r="B77">
        <v>15</v>
      </c>
      <c r="C77">
        <v>17.724137931034399</v>
      </c>
      <c r="D77">
        <v>17.070454545454499</v>
      </c>
      <c r="E77">
        <v>11.934782608695601</v>
      </c>
      <c r="F77">
        <v>17.766666666666602</v>
      </c>
      <c r="H77">
        <v>75</v>
      </c>
      <c r="I77">
        <v>1.3499999999999901</v>
      </c>
      <c r="J77">
        <v>2.9633333333333298</v>
      </c>
      <c r="K77">
        <v>1.25</v>
      </c>
      <c r="L77">
        <v>3.2482758620689598</v>
      </c>
      <c r="M77">
        <v>2.25</v>
      </c>
      <c r="O77">
        <v>75</v>
      </c>
      <c r="P77">
        <v>3.4649343661814198</v>
      </c>
      <c r="Q77">
        <v>3.15313078143424</v>
      </c>
      <c r="R77">
        <v>3.5584139488044402</v>
      </c>
      <c r="S77">
        <v>2.8693274271571001</v>
      </c>
      <c r="T77">
        <v>2.3685635659939601</v>
      </c>
    </row>
    <row r="78" spans="1:20">
      <c r="A78">
        <v>76</v>
      </c>
      <c r="B78">
        <v>14.8191176470588</v>
      </c>
      <c r="C78">
        <v>17.698333333333299</v>
      </c>
      <c r="D78">
        <v>16.222727272727202</v>
      </c>
      <c r="E78">
        <v>11.064</v>
      </c>
      <c r="F78">
        <v>16.100000000000001</v>
      </c>
      <c r="H78">
        <v>76</v>
      </c>
      <c r="I78">
        <v>1.49117647058823</v>
      </c>
      <c r="J78">
        <v>2.61666666666666</v>
      </c>
      <c r="K78">
        <v>3.50454545454545</v>
      </c>
      <c r="L78">
        <v>4.28666666666666</v>
      </c>
      <c r="M78">
        <v>1.4</v>
      </c>
      <c r="O78">
        <v>76</v>
      </c>
      <c r="P78">
        <v>3.6481150031845502</v>
      </c>
      <c r="Q78">
        <v>3.4068572568745799</v>
      </c>
      <c r="R78">
        <v>3.18857314125921</v>
      </c>
      <c r="S78">
        <v>2.5989578210029398</v>
      </c>
      <c r="T78">
        <v>2.7759280674014901</v>
      </c>
    </row>
    <row r="79" spans="1:20">
      <c r="A79">
        <v>77</v>
      </c>
      <c r="B79">
        <v>13.742647058823501</v>
      </c>
      <c r="C79">
        <v>17.62</v>
      </c>
      <c r="D79">
        <v>16.545454545454501</v>
      </c>
      <c r="E79">
        <v>10.734</v>
      </c>
      <c r="F79">
        <v>15.379166666666601</v>
      </c>
      <c r="H79">
        <v>77</v>
      </c>
      <c r="I79">
        <v>1.8470588235294101</v>
      </c>
      <c r="J79">
        <v>1.69</v>
      </c>
      <c r="K79">
        <v>1.0772727272727201</v>
      </c>
      <c r="L79">
        <v>2.4866666666666601</v>
      </c>
      <c r="M79">
        <v>3.68333333333333</v>
      </c>
      <c r="O79">
        <v>77</v>
      </c>
      <c r="P79">
        <v>3.23711449028497</v>
      </c>
      <c r="Q79">
        <v>3.17632774581707</v>
      </c>
      <c r="R79">
        <v>3.4210119301426598</v>
      </c>
      <c r="S79">
        <v>2.8517585529116598</v>
      </c>
      <c r="T79">
        <v>2.7162290778951999</v>
      </c>
    </row>
    <row r="80" spans="1:20">
      <c r="A80">
        <v>78</v>
      </c>
      <c r="B80">
        <v>14.5911764705882</v>
      </c>
      <c r="C80">
        <v>17.170000000000002</v>
      </c>
      <c r="D80">
        <v>15.986363636363601</v>
      </c>
      <c r="E80">
        <v>11.872</v>
      </c>
      <c r="F80">
        <v>15.858333333333301</v>
      </c>
      <c r="H80">
        <v>78</v>
      </c>
      <c r="I80">
        <v>1.1617647058823499</v>
      </c>
      <c r="J80">
        <v>1.5166666666666599</v>
      </c>
      <c r="K80">
        <v>0.79545454545454497</v>
      </c>
      <c r="L80">
        <v>1.94</v>
      </c>
      <c r="M80">
        <v>0.85</v>
      </c>
      <c r="O80">
        <v>78</v>
      </c>
      <c r="P80">
        <v>3.5497173485221101</v>
      </c>
      <c r="Q80">
        <v>3.38121466442426</v>
      </c>
      <c r="R80">
        <v>3.79269498125822</v>
      </c>
      <c r="S80">
        <v>3.0060581481435098</v>
      </c>
      <c r="T80">
        <v>2.8216063312721902</v>
      </c>
    </row>
    <row r="81" spans="1:20">
      <c r="A81">
        <v>79</v>
      </c>
      <c r="B81">
        <v>15.358823529411699</v>
      </c>
      <c r="C81">
        <v>17.223333333333301</v>
      </c>
      <c r="D81">
        <v>15.9792207792207</v>
      </c>
      <c r="E81">
        <v>12.266</v>
      </c>
      <c r="F81">
        <v>16.216666666666601</v>
      </c>
      <c r="H81">
        <v>79</v>
      </c>
      <c r="I81">
        <v>0.66176470588235203</v>
      </c>
      <c r="J81">
        <v>3.56451612903225</v>
      </c>
      <c r="K81">
        <v>1.9363636363636301</v>
      </c>
      <c r="L81">
        <v>2.5066666666666602</v>
      </c>
      <c r="M81">
        <v>8.3333333333333301E-2</v>
      </c>
      <c r="O81">
        <v>79</v>
      </c>
      <c r="P81">
        <v>3.6735377917360399</v>
      </c>
      <c r="Q81">
        <v>3.2035769560803802</v>
      </c>
      <c r="R81">
        <v>3.4054288221587101</v>
      </c>
      <c r="S81">
        <v>2.9219821631104002</v>
      </c>
      <c r="T81">
        <v>2.7500481593686201</v>
      </c>
    </row>
    <row r="82" spans="1:20">
      <c r="A82">
        <v>80</v>
      </c>
      <c r="B82">
        <v>14.954411764705799</v>
      </c>
      <c r="C82">
        <v>17.498333333333299</v>
      </c>
      <c r="D82">
        <v>16.5023809523809</v>
      </c>
      <c r="E82">
        <v>12.571999999999999</v>
      </c>
      <c r="F82">
        <v>16.483333333333299</v>
      </c>
      <c r="H82">
        <v>80</v>
      </c>
      <c r="I82">
        <v>0.95588235294117596</v>
      </c>
      <c r="J82">
        <v>0.80645161290322498</v>
      </c>
      <c r="K82">
        <v>3.2409090909090899</v>
      </c>
      <c r="L82">
        <v>1.78666666666666</v>
      </c>
      <c r="M82">
        <v>1.11666666666666</v>
      </c>
      <c r="O82">
        <v>80</v>
      </c>
      <c r="P82">
        <v>3.2764370104371201</v>
      </c>
      <c r="Q82">
        <v>3.31927458571925</v>
      </c>
      <c r="R82">
        <v>3.3571266588973399</v>
      </c>
      <c r="S82">
        <v>2.7671344483574698</v>
      </c>
      <c r="T82">
        <v>2.6292753041097501</v>
      </c>
    </row>
    <row r="83" spans="1:20">
      <c r="A83">
        <v>81</v>
      </c>
      <c r="B83">
        <v>14.5426470588235</v>
      </c>
      <c r="C83">
        <v>17.390322580645101</v>
      </c>
      <c r="D83">
        <v>16.8</v>
      </c>
      <c r="E83">
        <v>12.03125</v>
      </c>
      <c r="F83">
        <v>16.6791666666666</v>
      </c>
      <c r="H83">
        <v>81</v>
      </c>
      <c r="I83">
        <v>1.0823529411764701</v>
      </c>
      <c r="J83">
        <v>2.8516129032258002</v>
      </c>
      <c r="K83">
        <v>2.9045454545454499</v>
      </c>
      <c r="L83">
        <v>2.0344827586206802</v>
      </c>
      <c r="M83">
        <v>1.63333333333333</v>
      </c>
      <c r="O83">
        <v>81</v>
      </c>
      <c r="P83">
        <v>3.2063273498641101</v>
      </c>
      <c r="Q83">
        <v>3.3284502448926401</v>
      </c>
      <c r="R83">
        <v>3.2321957628537499</v>
      </c>
      <c r="S83">
        <v>2.6678979676134</v>
      </c>
      <c r="T83">
        <v>2.3413673129625598</v>
      </c>
    </row>
    <row r="84" spans="1:20">
      <c r="A84">
        <v>82</v>
      </c>
      <c r="B84">
        <v>13.9808823529411</v>
      </c>
      <c r="C84">
        <v>17.053333333333299</v>
      </c>
      <c r="D84">
        <v>16.269047619047601</v>
      </c>
      <c r="E84">
        <v>12.4333333333333</v>
      </c>
      <c r="F84">
        <v>16.8</v>
      </c>
      <c r="H84">
        <v>82</v>
      </c>
      <c r="I84">
        <v>2.1911764705882302</v>
      </c>
      <c r="J84">
        <v>2.9933333333333301</v>
      </c>
      <c r="K84">
        <v>2.94545454545454</v>
      </c>
      <c r="L84">
        <v>2.6758620689655102</v>
      </c>
      <c r="M84">
        <v>2.2833333333333301</v>
      </c>
      <c r="O84">
        <v>82</v>
      </c>
      <c r="P84">
        <v>2.9655145666728702</v>
      </c>
      <c r="Q84">
        <v>3.1676733133647299</v>
      </c>
      <c r="R84">
        <v>3.2609796819303298</v>
      </c>
      <c r="S84">
        <v>2.9320257091030602</v>
      </c>
      <c r="T84">
        <v>2.7038604411954998</v>
      </c>
    </row>
    <row r="85" spans="1:20">
      <c r="A85">
        <v>83</v>
      </c>
      <c r="B85">
        <v>14.1040998217468</v>
      </c>
      <c r="C85">
        <v>16.973333333333301</v>
      </c>
      <c r="D85">
        <v>15.6261904761904</v>
      </c>
      <c r="E85">
        <v>12.039130434782599</v>
      </c>
      <c r="F85">
        <v>16.237500000000001</v>
      </c>
      <c r="H85">
        <v>83</v>
      </c>
      <c r="I85">
        <v>1.0235294117647</v>
      </c>
      <c r="J85">
        <v>1.83666666666666</v>
      </c>
      <c r="K85">
        <v>0.70909090909090899</v>
      </c>
      <c r="L85">
        <v>1.8785714285714199</v>
      </c>
      <c r="M85">
        <v>3.7833333333333301</v>
      </c>
      <c r="O85">
        <v>83</v>
      </c>
      <c r="P85">
        <v>3.1669873410987299</v>
      </c>
      <c r="Q85">
        <v>3.1307694102164598</v>
      </c>
      <c r="R85">
        <v>2.92138938940926</v>
      </c>
      <c r="S85">
        <v>2.6169076952642101</v>
      </c>
      <c r="T85">
        <v>2.1387131538714801</v>
      </c>
    </row>
    <row r="86" spans="1:20">
      <c r="A86">
        <v>84</v>
      </c>
      <c r="B86">
        <v>14.397058823529401</v>
      </c>
      <c r="C86">
        <v>16.984999999999999</v>
      </c>
      <c r="D86">
        <v>16.123809523809499</v>
      </c>
      <c r="E86">
        <v>11.65</v>
      </c>
      <c r="F86">
        <v>16.875</v>
      </c>
      <c r="H86">
        <v>84</v>
      </c>
      <c r="I86">
        <v>2.0852941176470501</v>
      </c>
      <c r="J86">
        <v>1.7666666666666599</v>
      </c>
      <c r="K86">
        <v>1.64090909090909</v>
      </c>
      <c r="L86">
        <v>4.6933333333333298</v>
      </c>
      <c r="M86">
        <v>2.9</v>
      </c>
      <c r="O86">
        <v>84</v>
      </c>
      <c r="P86">
        <v>3.15831903524233</v>
      </c>
      <c r="Q86">
        <v>2.9971927749729499</v>
      </c>
      <c r="R86">
        <v>3.2424051327299499</v>
      </c>
      <c r="S86">
        <v>2.4359462718904501</v>
      </c>
      <c r="T86">
        <v>2.4308063740099</v>
      </c>
    </row>
    <row r="87" spans="1:20">
      <c r="A87">
        <v>85</v>
      </c>
      <c r="B87">
        <v>13.613235294117599</v>
      </c>
      <c r="C87">
        <v>17.064516129032199</v>
      </c>
      <c r="D87">
        <v>15.8095238095238</v>
      </c>
      <c r="E87">
        <v>12.1</v>
      </c>
      <c r="F87">
        <v>17.024999999999999</v>
      </c>
      <c r="H87">
        <v>85</v>
      </c>
      <c r="I87">
        <v>0.36764705882352899</v>
      </c>
      <c r="J87">
        <v>3.4354838709677402</v>
      </c>
      <c r="K87">
        <v>2.8818181818181801</v>
      </c>
      <c r="L87">
        <v>1.28666666666666</v>
      </c>
      <c r="M87">
        <v>3.7333333333333298</v>
      </c>
      <c r="O87">
        <v>85</v>
      </c>
      <c r="P87">
        <v>2.9834653601225298</v>
      </c>
      <c r="Q87">
        <v>3.1405308327099699</v>
      </c>
      <c r="R87">
        <v>2.9456158663745402</v>
      </c>
      <c r="S87">
        <v>2.6792023074030098</v>
      </c>
      <c r="T87">
        <v>2.3866525377963699</v>
      </c>
    </row>
    <row r="88" spans="1:20">
      <c r="A88">
        <v>86</v>
      </c>
      <c r="B88">
        <v>14.4676470588235</v>
      </c>
      <c r="C88">
        <v>17.208064516128999</v>
      </c>
      <c r="D88">
        <v>16.542857142857098</v>
      </c>
      <c r="E88">
        <v>13.327999999999999</v>
      </c>
      <c r="F88">
        <v>17.3</v>
      </c>
      <c r="H88">
        <v>86</v>
      </c>
      <c r="I88">
        <v>1.0823529411764701</v>
      </c>
      <c r="J88">
        <v>0.97419354838709604</v>
      </c>
      <c r="K88">
        <v>1.95</v>
      </c>
      <c r="L88">
        <v>1.3333333333333299</v>
      </c>
      <c r="M88">
        <v>1.93333333333333</v>
      </c>
      <c r="O88">
        <v>86</v>
      </c>
      <c r="P88">
        <v>2.8333092043964401</v>
      </c>
      <c r="Q88">
        <v>3.1295018555019598</v>
      </c>
      <c r="R88">
        <v>2.9966187246243599</v>
      </c>
      <c r="S88">
        <v>3.3011659577436401</v>
      </c>
      <c r="T88">
        <v>2.6501779961824399</v>
      </c>
    </row>
    <row r="89" spans="1:20">
      <c r="A89">
        <v>87</v>
      </c>
      <c r="B89">
        <v>14.926470588235199</v>
      </c>
      <c r="C89">
        <v>17.141666666666602</v>
      </c>
      <c r="D89">
        <v>16.4522727272727</v>
      </c>
      <c r="E89">
        <v>12.539583333333301</v>
      </c>
      <c r="F89">
        <v>15.983333333333301</v>
      </c>
      <c r="H89">
        <v>87</v>
      </c>
      <c r="I89">
        <v>0.94705882352941095</v>
      </c>
      <c r="J89">
        <v>2.43225806451612</v>
      </c>
      <c r="K89">
        <v>0.37272727272727202</v>
      </c>
      <c r="L89">
        <v>2.6137931034482702</v>
      </c>
      <c r="M89">
        <v>1.2166666666666599</v>
      </c>
      <c r="O89">
        <v>87</v>
      </c>
      <c r="P89">
        <v>3.21972745270357</v>
      </c>
      <c r="Q89">
        <v>2.6600638405747499</v>
      </c>
      <c r="R89">
        <v>2.8295483165886499</v>
      </c>
      <c r="S89">
        <v>2.8770809353010498</v>
      </c>
      <c r="T89">
        <v>2.2352735074469998</v>
      </c>
    </row>
    <row r="90" spans="1:20">
      <c r="A90">
        <v>88</v>
      </c>
      <c r="B90">
        <v>14.8691176470588</v>
      </c>
      <c r="C90">
        <v>17.338333333333299</v>
      </c>
      <c r="D90">
        <v>16.672727272727201</v>
      </c>
      <c r="E90">
        <v>12.689583333333299</v>
      </c>
      <c r="F90">
        <v>16.404166666666601</v>
      </c>
      <c r="H90">
        <v>88</v>
      </c>
      <c r="I90">
        <v>1.0558823529411701</v>
      </c>
      <c r="J90">
        <v>2.8193548387096699</v>
      </c>
      <c r="K90">
        <v>1.17272727272727</v>
      </c>
      <c r="L90">
        <v>2.4</v>
      </c>
      <c r="M90">
        <v>2.3333333333333299</v>
      </c>
      <c r="O90">
        <v>88</v>
      </c>
      <c r="P90">
        <v>3.2466735955910102</v>
      </c>
      <c r="Q90">
        <v>2.7816184084358899</v>
      </c>
      <c r="R90">
        <v>3.3611895298550398</v>
      </c>
      <c r="S90">
        <v>2.9907588646450001</v>
      </c>
      <c r="T90">
        <v>2.3461969045698901</v>
      </c>
    </row>
    <row r="91" spans="1:20">
      <c r="A91">
        <v>89</v>
      </c>
      <c r="B91">
        <v>14.9382352941176</v>
      </c>
      <c r="C91">
        <v>17.136206896551698</v>
      </c>
      <c r="D91">
        <v>16.197727272727199</v>
      </c>
      <c r="E91">
        <v>12.311999999999999</v>
      </c>
      <c r="F91">
        <v>16.629166666666599</v>
      </c>
      <c r="H91">
        <v>89</v>
      </c>
      <c r="I91">
        <v>2.7852941176470498</v>
      </c>
      <c r="J91">
        <v>1.15333333333333</v>
      </c>
      <c r="K91">
        <v>0.35</v>
      </c>
      <c r="L91">
        <v>2.7666666666666599</v>
      </c>
      <c r="M91">
        <v>2.2333333333333298</v>
      </c>
      <c r="O91">
        <v>89</v>
      </c>
      <c r="P91">
        <v>3.4072037420100298</v>
      </c>
      <c r="Q91">
        <v>3.16549451986696</v>
      </c>
      <c r="R91">
        <v>3.37042335958796</v>
      </c>
      <c r="S91">
        <v>2.6910401266418802</v>
      </c>
      <c r="T91">
        <v>2.5330458314755799</v>
      </c>
    </row>
    <row r="92" spans="1:20">
      <c r="A92">
        <v>90</v>
      </c>
      <c r="B92">
        <v>14.0308823529411</v>
      </c>
      <c r="C92">
        <v>16.922413793103399</v>
      </c>
      <c r="D92">
        <v>15.659090909090899</v>
      </c>
      <c r="E92">
        <v>11.952</v>
      </c>
      <c r="F92">
        <v>16.112499999999901</v>
      </c>
      <c r="H92">
        <v>90</v>
      </c>
      <c r="I92">
        <v>1.8794117647058799</v>
      </c>
      <c r="J92">
        <v>2.9733333333333301</v>
      </c>
      <c r="K92">
        <v>0.65454545454545399</v>
      </c>
      <c r="L92">
        <v>1.63333333333333</v>
      </c>
      <c r="M92">
        <v>2.0833333333333299</v>
      </c>
      <c r="O92">
        <v>90</v>
      </c>
      <c r="P92">
        <v>3.0552812923505202</v>
      </c>
      <c r="Q92">
        <v>2.84233525233393</v>
      </c>
      <c r="R92">
        <v>3.0211095467674101</v>
      </c>
      <c r="S92">
        <v>2.4834444848680701</v>
      </c>
      <c r="T92">
        <v>2.4661161715906501</v>
      </c>
    </row>
    <row r="93" spans="1:20">
      <c r="A93">
        <v>91</v>
      </c>
      <c r="B93">
        <v>13.4647058823529</v>
      </c>
      <c r="C93">
        <v>16.63</v>
      </c>
      <c r="D93">
        <v>15.4340909090909</v>
      </c>
      <c r="E93">
        <v>11.666</v>
      </c>
      <c r="F93">
        <v>15.862500000000001</v>
      </c>
      <c r="H93">
        <v>91</v>
      </c>
      <c r="I93">
        <v>1.0852941176470501</v>
      </c>
      <c r="J93">
        <v>1.76451612903225</v>
      </c>
      <c r="K93">
        <v>0.59090909090909005</v>
      </c>
      <c r="L93">
        <v>2.3333333333333299</v>
      </c>
      <c r="M93">
        <v>1.3333333333333299</v>
      </c>
      <c r="O93">
        <v>91</v>
      </c>
      <c r="P93">
        <v>3.01312511683413</v>
      </c>
      <c r="Q93">
        <v>2.8748972399291501</v>
      </c>
      <c r="R93">
        <v>2.9286124171635399</v>
      </c>
      <c r="S93">
        <v>2.6439430533652102</v>
      </c>
      <c r="T93">
        <v>2.3173978620084501</v>
      </c>
    </row>
    <row r="94" spans="1:20">
      <c r="A94">
        <v>92</v>
      </c>
      <c r="B94">
        <v>14.017647058823499</v>
      </c>
      <c r="C94">
        <v>16.5379310344827</v>
      </c>
      <c r="D94">
        <v>14.9068181818181</v>
      </c>
      <c r="E94">
        <v>11.8020833333333</v>
      </c>
      <c r="F94">
        <v>15.299999999999899</v>
      </c>
      <c r="H94">
        <v>92</v>
      </c>
      <c r="I94">
        <v>0.94117647058823495</v>
      </c>
      <c r="J94">
        <v>3.32258064516129</v>
      </c>
      <c r="K94">
        <v>0.50909090909090904</v>
      </c>
      <c r="L94">
        <v>1.6</v>
      </c>
      <c r="M94">
        <v>0.36666666666666597</v>
      </c>
      <c r="O94">
        <v>92</v>
      </c>
      <c r="P94">
        <v>3.2186093862229201</v>
      </c>
      <c r="Q94">
        <v>2.5469261916112398</v>
      </c>
      <c r="R94">
        <v>2.6357211651872801</v>
      </c>
      <c r="S94">
        <v>2.8020435565495698</v>
      </c>
      <c r="T94">
        <v>2.1311275850035698</v>
      </c>
    </row>
    <row r="95" spans="1:20">
      <c r="A95">
        <v>93</v>
      </c>
      <c r="B95">
        <v>13.6090909090909</v>
      </c>
      <c r="C95">
        <v>16.693103448275799</v>
      </c>
      <c r="D95">
        <v>15.745238095237999</v>
      </c>
      <c r="E95">
        <v>11.683999999999999</v>
      </c>
      <c r="F95">
        <v>16.266666666666602</v>
      </c>
      <c r="H95">
        <v>93</v>
      </c>
      <c r="I95">
        <v>1.49117647058823</v>
      </c>
      <c r="J95">
        <v>2.8064516129032202</v>
      </c>
      <c r="K95">
        <v>1.3772727272727201</v>
      </c>
      <c r="L95">
        <v>3.84</v>
      </c>
      <c r="M95">
        <v>4.36666666666666</v>
      </c>
      <c r="O95">
        <v>93</v>
      </c>
      <c r="P95">
        <v>3.07176916757397</v>
      </c>
      <c r="Q95">
        <v>2.8493466745517901</v>
      </c>
      <c r="R95">
        <v>3.0848116914344001</v>
      </c>
      <c r="S95">
        <v>2.7279110182902602</v>
      </c>
      <c r="T95">
        <v>2.1942415542804201</v>
      </c>
    </row>
    <row r="96" spans="1:20">
      <c r="A96">
        <v>94</v>
      </c>
      <c r="B96">
        <v>13.085294117647001</v>
      </c>
      <c r="C96">
        <v>16.29</v>
      </c>
      <c r="D96">
        <v>15.7068181818181</v>
      </c>
      <c r="E96">
        <v>10.448</v>
      </c>
      <c r="F96">
        <v>16.008333333333301</v>
      </c>
      <c r="H96">
        <v>94</v>
      </c>
      <c r="I96">
        <v>1.72941176470588</v>
      </c>
      <c r="J96">
        <v>1.4483870967741901</v>
      </c>
      <c r="K96">
        <v>2.9590909090909001</v>
      </c>
      <c r="L96">
        <v>3.4666666666666601</v>
      </c>
      <c r="M96">
        <v>5.5833333333333304</v>
      </c>
      <c r="O96">
        <v>94</v>
      </c>
      <c r="P96">
        <v>2.7784232053438802</v>
      </c>
      <c r="Q96">
        <v>3.04847392107171</v>
      </c>
      <c r="R96">
        <v>3.1643365321727002</v>
      </c>
      <c r="S96">
        <v>2.4436788319378602</v>
      </c>
      <c r="T96">
        <v>2.18875214188912</v>
      </c>
    </row>
    <row r="97" spans="1:20">
      <c r="A97">
        <v>95</v>
      </c>
      <c r="B97">
        <v>12.85</v>
      </c>
      <c r="C97">
        <v>16.28</v>
      </c>
      <c r="D97">
        <v>14.572727272727199</v>
      </c>
      <c r="E97">
        <v>10.462</v>
      </c>
      <c r="F97">
        <v>14.8083333333333</v>
      </c>
      <c r="H97">
        <v>95</v>
      </c>
      <c r="I97">
        <v>1.3441176470588201</v>
      </c>
      <c r="J97">
        <v>1.6838709677419299</v>
      </c>
      <c r="K97">
        <v>4.3227272727272696</v>
      </c>
      <c r="L97">
        <v>3.9066666666666601</v>
      </c>
      <c r="M97">
        <v>3.93333333333333</v>
      </c>
      <c r="O97">
        <v>95</v>
      </c>
      <c r="P97">
        <v>2.61431180626996</v>
      </c>
      <c r="Q97">
        <v>2.9631357104845102</v>
      </c>
      <c r="R97">
        <v>2.51177424210639</v>
      </c>
      <c r="S97">
        <v>2.4401977677314601</v>
      </c>
      <c r="T97">
        <v>2.25899576438928</v>
      </c>
    </row>
    <row r="98" spans="1:20">
      <c r="A98">
        <v>96</v>
      </c>
      <c r="B98">
        <v>12.9941176470588</v>
      </c>
      <c r="C98">
        <v>16.288333333333298</v>
      </c>
      <c r="D98">
        <v>14.770238095238</v>
      </c>
      <c r="E98">
        <v>10.786</v>
      </c>
      <c r="F98">
        <v>14.283333333333299</v>
      </c>
      <c r="H98">
        <v>96</v>
      </c>
      <c r="I98">
        <v>2.2911764705882298</v>
      </c>
      <c r="J98">
        <v>3.1066666666666598</v>
      </c>
      <c r="K98">
        <v>3.1136363636363602</v>
      </c>
      <c r="L98">
        <v>1.91333333333333</v>
      </c>
      <c r="M98">
        <v>1.2666666666666599</v>
      </c>
      <c r="O98">
        <v>96</v>
      </c>
      <c r="P98">
        <v>2.55102036350638</v>
      </c>
      <c r="Q98">
        <v>2.8364094228266699</v>
      </c>
      <c r="R98">
        <v>2.6567476060047199</v>
      </c>
      <c r="S98">
        <v>2.48493592911516</v>
      </c>
      <c r="T98">
        <v>2.2952223200603901</v>
      </c>
    </row>
    <row r="99" spans="1:20">
      <c r="A99">
        <v>97</v>
      </c>
      <c r="B99">
        <v>12.891176470588199</v>
      </c>
      <c r="C99">
        <v>16.247502601456802</v>
      </c>
      <c r="D99">
        <v>14.7797619047619</v>
      </c>
      <c r="E99">
        <v>11.13125</v>
      </c>
      <c r="F99">
        <v>13.258333333333301</v>
      </c>
      <c r="H99">
        <v>97</v>
      </c>
      <c r="I99">
        <v>3.5058823529411698</v>
      </c>
      <c r="J99">
        <v>2.3033333333333301</v>
      </c>
      <c r="K99">
        <v>1.89090909090909</v>
      </c>
      <c r="L99">
        <v>1.7655172413793101</v>
      </c>
      <c r="M99">
        <v>1.18333333333333</v>
      </c>
      <c r="O99">
        <v>97</v>
      </c>
      <c r="P99">
        <v>2.5900977274770201</v>
      </c>
      <c r="Q99">
        <v>2.7733248568186499</v>
      </c>
      <c r="R99">
        <v>2.7120896444228899</v>
      </c>
      <c r="S99">
        <v>2.0579722898164099</v>
      </c>
      <c r="T99">
        <v>1.94562323949851</v>
      </c>
    </row>
    <row r="100" spans="1:20">
      <c r="A100">
        <v>98</v>
      </c>
      <c r="B100">
        <v>12.924999999999899</v>
      </c>
      <c r="C100">
        <v>15.9919354838709</v>
      </c>
      <c r="D100">
        <v>14.023809523809501</v>
      </c>
      <c r="E100">
        <v>10.869565217391299</v>
      </c>
      <c r="F100">
        <v>13.8666666666666</v>
      </c>
      <c r="H100">
        <v>98</v>
      </c>
      <c r="I100">
        <v>2.1029411764705799</v>
      </c>
      <c r="J100">
        <v>3.04</v>
      </c>
      <c r="K100">
        <v>2.9</v>
      </c>
      <c r="L100">
        <v>2.77857142857142</v>
      </c>
      <c r="M100">
        <v>4.7333333333333298</v>
      </c>
      <c r="O100">
        <v>98</v>
      </c>
      <c r="P100">
        <v>2.6944935581784701</v>
      </c>
      <c r="Q100">
        <v>2.4928303491288801</v>
      </c>
      <c r="R100">
        <v>2.2411583493472298</v>
      </c>
      <c r="S100">
        <v>2.1007041099705202</v>
      </c>
      <c r="T100">
        <v>1.65226329552866</v>
      </c>
    </row>
    <row r="101" spans="1:20">
      <c r="A101">
        <v>99</v>
      </c>
      <c r="B101">
        <v>12.363235294117599</v>
      </c>
      <c r="C101">
        <v>15.7</v>
      </c>
      <c r="D101">
        <v>13.889502164502099</v>
      </c>
      <c r="E101">
        <v>9.5043478260869492</v>
      </c>
      <c r="F101">
        <v>14.404166666666599</v>
      </c>
      <c r="H101">
        <v>99</v>
      </c>
      <c r="I101">
        <v>2.8117647058823501</v>
      </c>
      <c r="J101">
        <v>4.67</v>
      </c>
      <c r="K101">
        <v>3.44090909090909</v>
      </c>
      <c r="L101">
        <v>2.3481481481481401</v>
      </c>
      <c r="M101">
        <v>4.3166666666666602</v>
      </c>
      <c r="O101">
        <v>99</v>
      </c>
      <c r="P101">
        <v>2.27410330215878</v>
      </c>
      <c r="Q101">
        <v>2.4645244256425198</v>
      </c>
      <c r="R101">
        <v>2.0977189438604098</v>
      </c>
      <c r="S101">
        <v>1.8428455965425199</v>
      </c>
      <c r="T101">
        <v>1.8668252234765801</v>
      </c>
    </row>
    <row r="102" spans="1:20">
      <c r="A102">
        <v>100</v>
      </c>
      <c r="B102">
        <v>11.3573529411764</v>
      </c>
      <c r="C102">
        <v>15.6066666666666</v>
      </c>
      <c r="D102">
        <v>13.756818181818099</v>
      </c>
      <c r="E102">
        <v>9.8772727272727199</v>
      </c>
      <c r="F102">
        <v>14.5416666666666</v>
      </c>
      <c r="H102">
        <v>100</v>
      </c>
      <c r="I102">
        <v>2.0676470588235198</v>
      </c>
      <c r="J102">
        <v>2.9099999999999899</v>
      </c>
      <c r="K102">
        <v>3.1545454545454499</v>
      </c>
      <c r="L102">
        <v>1.8384615384615299</v>
      </c>
      <c r="M102">
        <v>4.43333333333333</v>
      </c>
      <c r="O102">
        <v>100</v>
      </c>
      <c r="P102">
        <v>2.42845739075634</v>
      </c>
      <c r="Q102">
        <v>2.6085032852196299</v>
      </c>
      <c r="R102">
        <v>2.3517659430234299</v>
      </c>
      <c r="S102">
        <v>2.0448295204184301</v>
      </c>
      <c r="T102">
        <v>1.97301093095216</v>
      </c>
    </row>
    <row r="103" spans="1:20">
      <c r="A103">
        <v>101</v>
      </c>
      <c r="B103">
        <v>11.6044117647058</v>
      </c>
      <c r="C103">
        <v>15.335000000000001</v>
      </c>
      <c r="D103">
        <v>13.3296536796536</v>
      </c>
      <c r="E103">
        <v>10.3785714285714</v>
      </c>
      <c r="F103">
        <v>14.279166666666599</v>
      </c>
      <c r="H103">
        <v>101</v>
      </c>
      <c r="I103">
        <v>1.3794117647058799</v>
      </c>
      <c r="J103">
        <v>2.68333333333333</v>
      </c>
      <c r="K103">
        <v>3.97272727272727</v>
      </c>
      <c r="L103">
        <v>1.472</v>
      </c>
      <c r="M103">
        <v>1.3333333333333299</v>
      </c>
      <c r="O103">
        <v>101</v>
      </c>
      <c r="P103">
        <v>2.30587050945396</v>
      </c>
      <c r="Q103">
        <v>2.45140037536581</v>
      </c>
      <c r="R103">
        <v>2.2588212121252198</v>
      </c>
      <c r="S103">
        <v>2.2058062408458601</v>
      </c>
      <c r="T103">
        <v>1.63836682585681</v>
      </c>
    </row>
    <row r="104" spans="1:20">
      <c r="A104">
        <v>102</v>
      </c>
      <c r="B104">
        <v>11.445454545454499</v>
      </c>
      <c r="C104">
        <v>15.3916666666666</v>
      </c>
      <c r="D104">
        <v>13.866785714285699</v>
      </c>
      <c r="E104">
        <v>10.0674999999999</v>
      </c>
      <c r="F104">
        <v>15.1666666666666</v>
      </c>
      <c r="H104">
        <v>102</v>
      </c>
      <c r="I104">
        <v>1.8117647058823501</v>
      </c>
      <c r="J104">
        <v>4.07</v>
      </c>
      <c r="K104">
        <v>2.0772727272727201</v>
      </c>
      <c r="L104">
        <v>2.56</v>
      </c>
      <c r="M104">
        <v>3.7833333333333301</v>
      </c>
      <c r="O104">
        <v>102</v>
      </c>
      <c r="P104">
        <v>2.1258259155745698</v>
      </c>
      <c r="Q104">
        <v>2.54129590695179</v>
      </c>
      <c r="R104">
        <v>2.3979149458025599</v>
      </c>
      <c r="S104">
        <v>1.74963192967944</v>
      </c>
      <c r="T104">
        <v>1.8936832301932101</v>
      </c>
    </row>
    <row r="105" spans="1:20">
      <c r="A105">
        <v>103</v>
      </c>
      <c r="B105">
        <v>11.897058823529401</v>
      </c>
      <c r="C105">
        <v>15.6451612903225</v>
      </c>
      <c r="D105">
        <v>13.820454545454499</v>
      </c>
      <c r="E105">
        <v>9.4659090909090899</v>
      </c>
      <c r="F105">
        <v>14.675000000000001</v>
      </c>
      <c r="H105">
        <v>103</v>
      </c>
      <c r="I105">
        <v>1.4117647058823499</v>
      </c>
      <c r="J105">
        <v>2.43333333333333</v>
      </c>
      <c r="K105">
        <v>2.4227272727272702</v>
      </c>
      <c r="L105">
        <v>2.0962962962962899</v>
      </c>
      <c r="M105">
        <v>4.5166666666666604</v>
      </c>
      <c r="O105">
        <v>103</v>
      </c>
      <c r="P105">
        <v>2.2855460299238599</v>
      </c>
      <c r="Q105">
        <v>2.5074868670786801</v>
      </c>
      <c r="R105">
        <v>2.2709154699981902</v>
      </c>
      <c r="S105">
        <v>1.9863014700113699</v>
      </c>
      <c r="T105">
        <v>1.6971366028359001</v>
      </c>
    </row>
    <row r="106" spans="1:20">
      <c r="A106">
        <v>104</v>
      </c>
      <c r="B106">
        <v>11.5014705882352</v>
      </c>
      <c r="C106">
        <v>15.3435483870967</v>
      </c>
      <c r="D106">
        <v>13.2340909090909</v>
      </c>
      <c r="E106">
        <v>10.4</v>
      </c>
      <c r="F106">
        <v>13.504166666666601</v>
      </c>
      <c r="H106">
        <v>104</v>
      </c>
      <c r="I106">
        <v>1.26470588235294</v>
      </c>
      <c r="J106">
        <v>3.5533333333333301</v>
      </c>
      <c r="K106">
        <v>0.6</v>
      </c>
      <c r="L106">
        <v>1.5</v>
      </c>
      <c r="M106">
        <v>4.5</v>
      </c>
      <c r="O106">
        <v>104</v>
      </c>
      <c r="P106">
        <v>2.1675311808748998</v>
      </c>
      <c r="Q106">
        <v>2.53164431510397</v>
      </c>
      <c r="R106">
        <v>2.5064670669161502</v>
      </c>
      <c r="S106">
        <v>2.1272661269222999</v>
      </c>
      <c r="T106">
        <v>1.6970685904410301</v>
      </c>
    </row>
    <row r="107" spans="1:20">
      <c r="A107">
        <v>105</v>
      </c>
      <c r="B107">
        <v>12.461764705882301</v>
      </c>
      <c r="C107">
        <v>15.1612903225806</v>
      </c>
      <c r="D107">
        <v>13.206601731601699</v>
      </c>
      <c r="E107">
        <v>10.731249999999999</v>
      </c>
      <c r="F107">
        <v>13.779166666666599</v>
      </c>
      <c r="H107">
        <v>105</v>
      </c>
      <c r="I107">
        <v>0.48529411764705799</v>
      </c>
      <c r="J107">
        <v>2.7451612903225802</v>
      </c>
      <c r="K107">
        <v>0.54090909090909001</v>
      </c>
      <c r="L107">
        <v>1.1310344827586201</v>
      </c>
      <c r="M107">
        <v>0.9</v>
      </c>
      <c r="O107">
        <v>105</v>
      </c>
      <c r="P107">
        <v>2.6480171040382698</v>
      </c>
      <c r="Q107">
        <v>2.2462315590791202</v>
      </c>
      <c r="R107">
        <v>2.5162030654259699</v>
      </c>
      <c r="S107">
        <v>2.0933842605353901</v>
      </c>
      <c r="T107">
        <v>2.0649391337631702</v>
      </c>
    </row>
    <row r="108" spans="1:20">
      <c r="A108">
        <v>106</v>
      </c>
      <c r="B108">
        <v>12.083823529411699</v>
      </c>
      <c r="C108">
        <v>15.658064516129</v>
      </c>
      <c r="D108">
        <v>13.5619047619047</v>
      </c>
      <c r="E108">
        <v>10.7145833333333</v>
      </c>
      <c r="F108">
        <v>13.920833333333301</v>
      </c>
      <c r="H108">
        <v>106</v>
      </c>
      <c r="I108">
        <v>1.1558823529411699</v>
      </c>
      <c r="J108">
        <v>3.7677419354838699</v>
      </c>
      <c r="K108">
        <v>3.0590909090909002</v>
      </c>
      <c r="L108">
        <v>2.3172413793103401</v>
      </c>
      <c r="M108">
        <v>7.6</v>
      </c>
      <c r="O108">
        <v>106</v>
      </c>
      <c r="P108">
        <v>2.1774423034333599</v>
      </c>
      <c r="Q108">
        <v>2.3441419540899799</v>
      </c>
      <c r="R108">
        <v>2.19476983281527</v>
      </c>
      <c r="S108">
        <v>2.2171041919747001</v>
      </c>
      <c r="T108">
        <v>1.7084212444020199</v>
      </c>
    </row>
    <row r="109" spans="1:20">
      <c r="A109">
        <v>107</v>
      </c>
      <c r="B109">
        <v>12.307352941176401</v>
      </c>
      <c r="C109">
        <v>15.408064516129</v>
      </c>
      <c r="D109">
        <v>13.6272727272727</v>
      </c>
      <c r="E109">
        <v>10.143750000000001</v>
      </c>
      <c r="F109">
        <v>13.6416666666666</v>
      </c>
      <c r="H109">
        <v>107</v>
      </c>
      <c r="I109">
        <v>1.68823529411764</v>
      </c>
      <c r="J109">
        <v>2.6870967741935399</v>
      </c>
      <c r="K109">
        <v>3.8636363636363602</v>
      </c>
      <c r="L109">
        <v>4.6068965517241303</v>
      </c>
      <c r="M109">
        <v>3.44999999999999</v>
      </c>
      <c r="O109">
        <v>107</v>
      </c>
      <c r="P109">
        <v>2.0825962231468602</v>
      </c>
      <c r="Q109">
        <v>2.0871356285448601</v>
      </c>
      <c r="R109">
        <v>2.34491602590957</v>
      </c>
      <c r="S109">
        <v>1.7501181306570499</v>
      </c>
      <c r="T109">
        <v>1.46996077972592</v>
      </c>
    </row>
    <row r="110" spans="1:20">
      <c r="A110">
        <v>108</v>
      </c>
      <c r="B110">
        <v>11.5970588235294</v>
      </c>
      <c r="C110">
        <v>15.420967741935399</v>
      </c>
      <c r="D110">
        <v>13.259090909090901</v>
      </c>
      <c r="E110">
        <v>9.8456521739130398</v>
      </c>
      <c r="F110">
        <v>13.6833333333333</v>
      </c>
      <c r="H110">
        <v>108</v>
      </c>
      <c r="I110">
        <v>1.19117647058823</v>
      </c>
      <c r="J110">
        <v>2.8516129032258002</v>
      </c>
      <c r="K110">
        <v>1.3727272727272699</v>
      </c>
      <c r="L110">
        <v>3.2642857142857098</v>
      </c>
      <c r="M110">
        <v>2.4166666666666599</v>
      </c>
      <c r="O110">
        <v>108</v>
      </c>
      <c r="P110">
        <v>1.83123332157564</v>
      </c>
      <c r="Q110">
        <v>2.1715863377271001</v>
      </c>
      <c r="R110">
        <v>2.1220514695153998</v>
      </c>
      <c r="S110">
        <v>1.7436107608554301</v>
      </c>
      <c r="T110">
        <v>1.64274717869015</v>
      </c>
    </row>
    <row r="111" spans="1:20">
      <c r="A111">
        <v>109</v>
      </c>
      <c r="B111">
        <v>11.710294117647001</v>
      </c>
      <c r="C111">
        <v>15.193548387096699</v>
      </c>
      <c r="D111">
        <v>12.815909090909001</v>
      </c>
      <c r="E111">
        <v>9.9812499999999993</v>
      </c>
      <c r="F111">
        <v>12.945833333333301</v>
      </c>
      <c r="H111">
        <v>109</v>
      </c>
      <c r="I111">
        <v>0.876470588235294</v>
      </c>
      <c r="J111">
        <v>2.4258064516129001</v>
      </c>
      <c r="K111">
        <v>0.222727272727272</v>
      </c>
      <c r="L111">
        <v>1.86206896551724</v>
      </c>
      <c r="M111">
        <v>1.5999999999999901</v>
      </c>
      <c r="O111">
        <v>109</v>
      </c>
      <c r="P111">
        <v>1.9918324383127699</v>
      </c>
      <c r="Q111">
        <v>2.2979139363353802</v>
      </c>
      <c r="R111">
        <v>2.36973632406472</v>
      </c>
      <c r="S111">
        <v>1.94114548314883</v>
      </c>
      <c r="T111">
        <v>1.70342846945819</v>
      </c>
    </row>
    <row r="112" spans="1:20">
      <c r="A112">
        <v>110</v>
      </c>
      <c r="B112">
        <v>12.0897058823529</v>
      </c>
      <c r="C112">
        <v>15.4096774193548</v>
      </c>
      <c r="D112">
        <v>12.6386363636363</v>
      </c>
      <c r="E112">
        <v>9.7791666666666597</v>
      </c>
      <c r="F112">
        <v>14.2875</v>
      </c>
      <c r="H112">
        <v>110</v>
      </c>
      <c r="I112">
        <v>1.6147058823529401</v>
      </c>
      <c r="J112">
        <v>1.7322580645161201</v>
      </c>
      <c r="K112">
        <v>1.1227272727272699</v>
      </c>
      <c r="L112">
        <v>2.72413793103448</v>
      </c>
      <c r="M112">
        <v>1.1499999999999999</v>
      </c>
      <c r="O112">
        <v>110</v>
      </c>
      <c r="P112">
        <v>2.3214267905608299</v>
      </c>
      <c r="Q112">
        <v>2.3194627801487999</v>
      </c>
      <c r="R112">
        <v>2.2601466686618701</v>
      </c>
      <c r="S112">
        <v>1.8378726172436499</v>
      </c>
      <c r="T112">
        <v>1.68674688590323</v>
      </c>
    </row>
    <row r="113" spans="1:20">
      <c r="A113">
        <v>111</v>
      </c>
      <c r="B113">
        <v>11.1882352941176</v>
      </c>
      <c r="C113">
        <v>15.261666666666599</v>
      </c>
      <c r="D113">
        <v>13.093181818181799</v>
      </c>
      <c r="E113">
        <v>8.9375</v>
      </c>
      <c r="F113">
        <v>14.275</v>
      </c>
      <c r="H113">
        <v>111</v>
      </c>
      <c r="I113">
        <v>1.6352941176470499</v>
      </c>
      <c r="J113">
        <v>4.0161290322580596</v>
      </c>
      <c r="K113">
        <v>1.0954545454545399</v>
      </c>
      <c r="L113">
        <v>2.2689655172413699</v>
      </c>
      <c r="M113">
        <v>2.0833333333333299</v>
      </c>
      <c r="O113">
        <v>111</v>
      </c>
      <c r="P113">
        <v>1.88439420500637</v>
      </c>
      <c r="Q113">
        <v>2.3321304827068001</v>
      </c>
      <c r="R113">
        <v>2.2442512042574001</v>
      </c>
      <c r="S113">
        <v>1.5587016680299901</v>
      </c>
      <c r="T113">
        <v>1.5152419322458901</v>
      </c>
    </row>
    <row r="114" spans="1:20">
      <c r="A114">
        <v>112</v>
      </c>
      <c r="B114">
        <v>11.0044117647058</v>
      </c>
      <c r="C114">
        <v>14.5283333333333</v>
      </c>
      <c r="D114">
        <v>12.938095238095199</v>
      </c>
      <c r="E114">
        <v>9.2208333333333297</v>
      </c>
      <c r="F114">
        <v>13.595833333333299</v>
      </c>
      <c r="H114">
        <v>112</v>
      </c>
      <c r="I114">
        <v>0.81176470588235194</v>
      </c>
      <c r="J114">
        <v>3.5258064516129002</v>
      </c>
      <c r="K114">
        <v>2.7909090909090901</v>
      </c>
      <c r="L114">
        <v>1.17241379310344</v>
      </c>
      <c r="M114">
        <v>0.76666666666666605</v>
      </c>
      <c r="O114">
        <v>112</v>
      </c>
      <c r="P114">
        <v>1.9179571566201901</v>
      </c>
      <c r="Q114">
        <v>2.2184505421646001</v>
      </c>
      <c r="R114">
        <v>1.9658167048849999</v>
      </c>
      <c r="S114">
        <v>1.6548621732230999</v>
      </c>
      <c r="T114">
        <v>1.65518894118648</v>
      </c>
    </row>
    <row r="115" spans="1:20">
      <c r="A115">
        <v>113</v>
      </c>
      <c r="B115">
        <v>11.586764705882301</v>
      </c>
      <c r="C115">
        <v>14.68</v>
      </c>
      <c r="D115">
        <v>12.8654761904761</v>
      </c>
      <c r="E115">
        <v>9.42916666666666</v>
      </c>
      <c r="F115">
        <v>13.9125</v>
      </c>
      <c r="H115">
        <v>113</v>
      </c>
      <c r="I115">
        <v>0.77352941176470502</v>
      </c>
      <c r="J115">
        <v>2.28709677419354</v>
      </c>
      <c r="K115">
        <v>2.9909090909090899</v>
      </c>
      <c r="L115">
        <v>2.77931034482758</v>
      </c>
      <c r="M115">
        <v>0.3</v>
      </c>
      <c r="O115">
        <v>113</v>
      </c>
      <c r="P115">
        <v>2.1115808573458499</v>
      </c>
      <c r="Q115">
        <v>2.2540363688604601</v>
      </c>
      <c r="R115">
        <v>2.0567605620447602</v>
      </c>
      <c r="S115">
        <v>1.5674434370038399</v>
      </c>
      <c r="T115">
        <v>1.66585763602601</v>
      </c>
    </row>
    <row r="116" spans="1:20">
      <c r="A116">
        <v>114</v>
      </c>
      <c r="B116">
        <v>10.9985294117647</v>
      </c>
      <c r="C116">
        <v>14.4933333333333</v>
      </c>
      <c r="D116">
        <v>13.697727272727199</v>
      </c>
      <c r="E116">
        <v>9.6895833333333297</v>
      </c>
      <c r="F116">
        <v>14.820833333333301</v>
      </c>
      <c r="H116">
        <v>114</v>
      </c>
      <c r="I116">
        <v>1.75294117647058</v>
      </c>
      <c r="J116">
        <v>4.3387096774193497</v>
      </c>
      <c r="K116">
        <v>1.36363636363636</v>
      </c>
      <c r="L116">
        <v>2.08965517241379</v>
      </c>
      <c r="M116">
        <v>2.5333333333333301</v>
      </c>
      <c r="O116">
        <v>114</v>
      </c>
      <c r="P116">
        <v>1.81614923585608</v>
      </c>
      <c r="Q116">
        <v>2.2396347152399998</v>
      </c>
      <c r="R116">
        <v>2.2494957423800601</v>
      </c>
      <c r="S116">
        <v>1.61335756462753</v>
      </c>
      <c r="T116">
        <v>1.5754379638326901</v>
      </c>
    </row>
    <row r="117" spans="1:20">
      <c r="A117">
        <v>115</v>
      </c>
      <c r="B117">
        <v>11.547058823529399</v>
      </c>
      <c r="C117">
        <v>14.7733333333333</v>
      </c>
      <c r="D117">
        <v>13.3666666666666</v>
      </c>
      <c r="E117">
        <v>9.625</v>
      </c>
      <c r="F117">
        <v>14.4166666666666</v>
      </c>
      <c r="H117">
        <v>115</v>
      </c>
      <c r="I117">
        <v>1.70294117647058</v>
      </c>
      <c r="J117">
        <v>6.4580645161290304</v>
      </c>
      <c r="K117">
        <v>2.1590909090908998</v>
      </c>
      <c r="L117">
        <v>2.8827586206896498</v>
      </c>
      <c r="M117">
        <v>7.3833333333333302</v>
      </c>
      <c r="O117">
        <v>115</v>
      </c>
      <c r="P117">
        <v>1.8798608741396901</v>
      </c>
      <c r="Q117">
        <v>2.0110185254269899</v>
      </c>
      <c r="R117">
        <v>2.0637937831644799</v>
      </c>
      <c r="S117">
        <v>1.5027011278143001</v>
      </c>
      <c r="T117">
        <v>1.4622003711311999</v>
      </c>
    </row>
    <row r="118" spans="1:20">
      <c r="A118">
        <v>116</v>
      </c>
      <c r="B118">
        <v>11.6955882352941</v>
      </c>
      <c r="C118">
        <v>14.998333333333299</v>
      </c>
      <c r="D118">
        <v>12.558549783549701</v>
      </c>
      <c r="E118">
        <v>9.6312499999999996</v>
      </c>
      <c r="F118">
        <v>13.9375</v>
      </c>
      <c r="H118">
        <v>116</v>
      </c>
      <c r="I118">
        <v>0.41176470588235198</v>
      </c>
      <c r="J118">
        <v>3.1903225806451601</v>
      </c>
      <c r="K118">
        <v>4.1090909090908996</v>
      </c>
      <c r="L118">
        <v>2.6137931034482702</v>
      </c>
      <c r="M118">
        <v>0.7</v>
      </c>
      <c r="O118">
        <v>116</v>
      </c>
      <c r="P118">
        <v>1.88699621875139</v>
      </c>
      <c r="Q118">
        <v>2.1294944258891699</v>
      </c>
      <c r="R118">
        <v>2.1193650497328802</v>
      </c>
      <c r="S118">
        <v>1.69066110021306</v>
      </c>
      <c r="T118">
        <v>1.4965322621758601</v>
      </c>
    </row>
    <row r="119" spans="1:20">
      <c r="A119">
        <v>117</v>
      </c>
      <c r="B119">
        <v>11.833823529411699</v>
      </c>
      <c r="C119">
        <v>15.395</v>
      </c>
      <c r="D119">
        <v>13.529545454545399</v>
      </c>
      <c r="E119">
        <v>9.9895833333333304</v>
      </c>
      <c r="F119">
        <v>14.8045454545454</v>
      </c>
      <c r="H119">
        <v>117</v>
      </c>
      <c r="I119">
        <v>1.79705882352941</v>
      </c>
      <c r="J119">
        <v>2.8516129032258002</v>
      </c>
      <c r="K119">
        <v>3.5363636363636299</v>
      </c>
      <c r="L119">
        <v>2.0413793103448201</v>
      </c>
      <c r="M119">
        <v>4.5818181818181802</v>
      </c>
      <c r="O119">
        <v>117</v>
      </c>
      <c r="P119">
        <v>1.76466679700699</v>
      </c>
      <c r="Q119">
        <v>2.1336270025185899</v>
      </c>
      <c r="R119">
        <v>2.2092145763574398</v>
      </c>
      <c r="S119">
        <v>1.68723575343912</v>
      </c>
      <c r="T119">
        <v>1.5702581753512701</v>
      </c>
    </row>
    <row r="120" spans="1:20">
      <c r="A120">
        <v>118</v>
      </c>
      <c r="B120">
        <v>12.1279411764705</v>
      </c>
      <c r="C120">
        <v>15.641379310344799</v>
      </c>
      <c r="D120">
        <v>14.0386363636363</v>
      </c>
      <c r="E120">
        <v>10.15</v>
      </c>
      <c r="F120">
        <v>14.1090909090909</v>
      </c>
      <c r="H120">
        <v>118</v>
      </c>
      <c r="I120">
        <v>2.1588235294117601</v>
      </c>
      <c r="J120">
        <v>3.74193548387096</v>
      </c>
      <c r="K120">
        <v>2.3727272727272699</v>
      </c>
      <c r="L120">
        <v>2.5793103448275798</v>
      </c>
      <c r="M120">
        <v>5.5454545454545396</v>
      </c>
      <c r="O120">
        <v>118</v>
      </c>
      <c r="P120">
        <v>1.95217239254561</v>
      </c>
      <c r="Q120">
        <v>2.0365768668725401</v>
      </c>
      <c r="R120">
        <v>2.0221121462673199</v>
      </c>
      <c r="S120">
        <v>1.8103293855916101</v>
      </c>
      <c r="T120">
        <v>1.27231342308323</v>
      </c>
    </row>
    <row r="121" spans="1:20">
      <c r="A121">
        <v>119</v>
      </c>
      <c r="B121">
        <v>10.824999999999999</v>
      </c>
      <c r="C121">
        <v>14.7327586206896</v>
      </c>
      <c r="D121">
        <v>13.595454545454499</v>
      </c>
      <c r="E121">
        <v>9.65</v>
      </c>
      <c r="F121">
        <v>13.8375</v>
      </c>
      <c r="H121">
        <v>119</v>
      </c>
      <c r="I121">
        <v>5.4352941176470502</v>
      </c>
      <c r="J121">
        <v>3.3129032258064499</v>
      </c>
      <c r="K121">
        <v>3.1318181818181801</v>
      </c>
      <c r="L121">
        <v>2.47586206896551</v>
      </c>
      <c r="M121">
        <v>4.68333333333333</v>
      </c>
      <c r="O121">
        <v>119</v>
      </c>
      <c r="P121">
        <v>1.6384329462009699</v>
      </c>
      <c r="Q121">
        <v>2.1199579861729001</v>
      </c>
      <c r="R121">
        <v>2.0398713196239799</v>
      </c>
      <c r="S121">
        <v>1.6816877659343401</v>
      </c>
      <c r="T121">
        <v>1.5077932055652401</v>
      </c>
    </row>
    <row r="122" spans="1:20">
      <c r="A122">
        <v>120</v>
      </c>
      <c r="B122">
        <v>10.554411764705799</v>
      </c>
      <c r="C122">
        <v>14.332758620689599</v>
      </c>
      <c r="D122">
        <v>13.049999999999899</v>
      </c>
      <c r="E122">
        <v>8.7749999999999897</v>
      </c>
      <c r="F122">
        <v>13.6458333333333</v>
      </c>
      <c r="H122">
        <v>120</v>
      </c>
      <c r="I122">
        <v>2.5852941176470501</v>
      </c>
      <c r="J122">
        <v>4.4322580645161196</v>
      </c>
      <c r="K122">
        <v>3.7454545454545398</v>
      </c>
      <c r="L122">
        <v>1.24827586206896</v>
      </c>
      <c r="M122">
        <v>5.3999999999999897</v>
      </c>
      <c r="O122">
        <v>120</v>
      </c>
      <c r="P122">
        <v>1.6462620711534199</v>
      </c>
      <c r="Q122">
        <v>1.7270113091402699</v>
      </c>
      <c r="R122">
        <v>1.96924916616884</v>
      </c>
      <c r="S122">
        <v>1.6696155313270999</v>
      </c>
      <c r="T122">
        <v>1.60300410285803</v>
      </c>
    </row>
    <row r="123" spans="1:20">
      <c r="A123">
        <v>121</v>
      </c>
      <c r="B123">
        <v>10.2014705882352</v>
      </c>
      <c r="C123">
        <v>14.3982758620689</v>
      </c>
      <c r="D123">
        <v>12.733333333333301</v>
      </c>
      <c r="E123">
        <v>8.28125</v>
      </c>
      <c r="F123">
        <v>11.883333333333301</v>
      </c>
      <c r="H123">
        <v>121</v>
      </c>
      <c r="I123">
        <v>1.01176470588235</v>
      </c>
      <c r="J123">
        <v>3.1838709677419299</v>
      </c>
      <c r="K123">
        <v>2.47272727272727</v>
      </c>
      <c r="L123">
        <v>3.1655172413793098</v>
      </c>
      <c r="M123">
        <v>0.25</v>
      </c>
      <c r="O123">
        <v>121</v>
      </c>
      <c r="P123">
        <v>1.5886994013641</v>
      </c>
      <c r="Q123">
        <v>1.93510583623638</v>
      </c>
      <c r="R123">
        <v>2.0921052723020299</v>
      </c>
      <c r="S123">
        <v>1.66970422509512</v>
      </c>
      <c r="T123">
        <v>1.67837953393642</v>
      </c>
    </row>
    <row r="124" spans="1:20">
      <c r="A124">
        <v>122</v>
      </c>
      <c r="B124">
        <v>10.3191176470588</v>
      </c>
      <c r="C124">
        <v>14.296666666666599</v>
      </c>
      <c r="D124">
        <v>12.1863636363636</v>
      </c>
      <c r="E124">
        <v>8.6854166666666597</v>
      </c>
      <c r="F124">
        <v>11.8541666666666</v>
      </c>
      <c r="H124">
        <v>122</v>
      </c>
      <c r="I124">
        <v>0.91470588235294104</v>
      </c>
      <c r="J124">
        <v>6.4709677419354801</v>
      </c>
      <c r="K124">
        <v>2.5136363636363601</v>
      </c>
      <c r="L124">
        <v>2.6758620689655102</v>
      </c>
      <c r="M124">
        <v>0.133333333333333</v>
      </c>
      <c r="O124">
        <v>122</v>
      </c>
      <c r="P124">
        <v>1.52724346363737</v>
      </c>
      <c r="Q124">
        <v>1.84994231207221</v>
      </c>
      <c r="R124">
        <v>1.87402399448046</v>
      </c>
      <c r="S124">
        <v>1.56591133355906</v>
      </c>
      <c r="T124">
        <v>1.44561782365903</v>
      </c>
    </row>
    <row r="125" spans="1:20">
      <c r="A125">
        <v>123</v>
      </c>
      <c r="B125">
        <v>10.267647058823499</v>
      </c>
      <c r="C125">
        <v>14.1866666666666</v>
      </c>
      <c r="D125">
        <v>12.2068181818181</v>
      </c>
      <c r="E125">
        <v>9.7062499999999901</v>
      </c>
      <c r="F125">
        <v>13.0875</v>
      </c>
      <c r="H125">
        <v>123</v>
      </c>
      <c r="I125">
        <v>0.91764705882352904</v>
      </c>
      <c r="J125">
        <v>2.59032258064516</v>
      </c>
      <c r="K125">
        <v>3.8272727272727201</v>
      </c>
      <c r="L125">
        <v>2.8482758620689599</v>
      </c>
      <c r="M125">
        <v>2.1333333333333302</v>
      </c>
      <c r="O125">
        <v>123</v>
      </c>
      <c r="P125">
        <v>1.7604236957874</v>
      </c>
      <c r="Q125">
        <v>1.8652259443704999</v>
      </c>
      <c r="R125">
        <v>1.91768219321378</v>
      </c>
      <c r="S125">
        <v>1.8153605066996401</v>
      </c>
      <c r="T125">
        <v>1.4319782957140901</v>
      </c>
    </row>
    <row r="126" spans="1:20">
      <c r="A126">
        <v>124</v>
      </c>
      <c r="B126">
        <v>10.807352941176401</v>
      </c>
      <c r="C126">
        <v>13.9112903225806</v>
      </c>
      <c r="D126">
        <v>12.772727272727201</v>
      </c>
      <c r="E126">
        <v>9.3062500000000004</v>
      </c>
      <c r="F126">
        <v>13.137499999999999</v>
      </c>
      <c r="H126">
        <v>124</v>
      </c>
      <c r="I126">
        <v>1.78529411764705</v>
      </c>
      <c r="J126">
        <v>2.2741935483870899</v>
      </c>
      <c r="K126">
        <v>1.5409090909090899</v>
      </c>
      <c r="L126">
        <v>2.6214285714285701</v>
      </c>
      <c r="M126">
        <v>3</v>
      </c>
      <c r="O126">
        <v>124</v>
      </c>
      <c r="P126">
        <v>1.87410891042832</v>
      </c>
      <c r="Q126">
        <v>1.88347487361168</v>
      </c>
      <c r="R126">
        <v>2.3208598202331299</v>
      </c>
      <c r="S126">
        <v>1.4246680557347999</v>
      </c>
      <c r="T126">
        <v>1.16413167388704</v>
      </c>
    </row>
    <row r="127" spans="1:20">
      <c r="A127">
        <v>125</v>
      </c>
      <c r="B127">
        <v>10.7742424242424</v>
      </c>
      <c r="C127">
        <v>13.9966666666666</v>
      </c>
      <c r="D127">
        <v>11.6095238095238</v>
      </c>
      <c r="E127">
        <v>9.4208333333333307</v>
      </c>
      <c r="F127">
        <v>13.591666666666599</v>
      </c>
      <c r="H127">
        <v>125</v>
      </c>
      <c r="I127">
        <v>1.0941176470588201</v>
      </c>
      <c r="J127">
        <v>3.2548387096774101</v>
      </c>
      <c r="K127">
        <v>1.08636363636363</v>
      </c>
      <c r="L127">
        <v>2.7103448275862001</v>
      </c>
      <c r="M127">
        <v>4.8499999999999996</v>
      </c>
      <c r="O127">
        <v>125</v>
      </c>
      <c r="P127">
        <v>1.5837713381857701</v>
      </c>
      <c r="Q127">
        <v>1.9813737718090501</v>
      </c>
      <c r="R127">
        <v>1.9503363862698699</v>
      </c>
      <c r="S127">
        <v>1.39686817987717</v>
      </c>
      <c r="T127">
        <v>1.3049016144750001</v>
      </c>
    </row>
    <row r="128" spans="1:20">
      <c r="A128">
        <v>126</v>
      </c>
      <c r="B128">
        <v>11.583823529411699</v>
      </c>
      <c r="C128">
        <v>14.1596774193548</v>
      </c>
      <c r="D128">
        <v>12.3136363636363</v>
      </c>
      <c r="E128">
        <v>9.3416666666666597</v>
      </c>
      <c r="F128">
        <v>13.2708333333333</v>
      </c>
      <c r="H128">
        <v>126</v>
      </c>
      <c r="I128">
        <v>3.2617647058823498</v>
      </c>
      <c r="J128">
        <v>3.4483870967741899</v>
      </c>
      <c r="K128">
        <v>1.7954545454545401</v>
      </c>
      <c r="L128">
        <v>2.1862068965517198</v>
      </c>
      <c r="M128">
        <v>2.36666666666666</v>
      </c>
      <c r="O128">
        <v>126</v>
      </c>
      <c r="P128">
        <v>1.9285474517201799</v>
      </c>
      <c r="Q128">
        <v>1.78778032014411</v>
      </c>
      <c r="R128">
        <v>2.0088196138202101</v>
      </c>
      <c r="S128">
        <v>1.46409646474203</v>
      </c>
      <c r="T128">
        <v>1.29751787384439</v>
      </c>
    </row>
    <row r="129" spans="1:20">
      <c r="A129">
        <v>127</v>
      </c>
      <c r="B129">
        <v>11.138235294117599</v>
      </c>
      <c r="C129">
        <v>13.8403225806451</v>
      </c>
      <c r="D129">
        <v>12.261363636363599</v>
      </c>
      <c r="E129">
        <v>9.0062499999999996</v>
      </c>
      <c r="F129">
        <v>12.6791666666666</v>
      </c>
      <c r="H129">
        <v>127</v>
      </c>
      <c r="I129">
        <v>1.1176470588235199</v>
      </c>
      <c r="J129">
        <v>1.8387096774193501</v>
      </c>
      <c r="K129">
        <v>1.72272727272727</v>
      </c>
      <c r="L129">
        <v>2.5310344827586202</v>
      </c>
      <c r="M129">
        <v>5.4166666666666599</v>
      </c>
      <c r="O129">
        <v>127</v>
      </c>
      <c r="P129">
        <v>1.69465579062546</v>
      </c>
      <c r="Q129">
        <v>1.87782016455675</v>
      </c>
      <c r="R129">
        <v>1.94260799792165</v>
      </c>
      <c r="S129">
        <v>1.4345521583508201</v>
      </c>
      <c r="T129">
        <v>1.3071916611718599</v>
      </c>
    </row>
    <row r="130" spans="1:20">
      <c r="A130">
        <v>128</v>
      </c>
      <c r="B130">
        <v>10.079411764705799</v>
      </c>
      <c r="C130">
        <v>13.5774193548387</v>
      </c>
      <c r="D130">
        <v>11.9340909090909</v>
      </c>
      <c r="E130">
        <v>9.0187500000000007</v>
      </c>
      <c r="F130">
        <v>12.799999999999899</v>
      </c>
      <c r="H130">
        <v>128</v>
      </c>
      <c r="I130">
        <v>3.0588235294117601</v>
      </c>
      <c r="J130">
        <v>3.4064516129032198</v>
      </c>
      <c r="K130">
        <v>0.104545454545454</v>
      </c>
      <c r="L130">
        <v>2.0137931034482701</v>
      </c>
      <c r="M130">
        <v>2.1666666666666599</v>
      </c>
      <c r="O130">
        <v>128</v>
      </c>
      <c r="P130">
        <v>1.6998944555739099</v>
      </c>
      <c r="Q130">
        <v>1.84976774954056</v>
      </c>
      <c r="R130">
        <v>2.0536834161317898</v>
      </c>
      <c r="S130">
        <v>1.6428334879601501</v>
      </c>
      <c r="T130">
        <v>1.27112414081248</v>
      </c>
    </row>
    <row r="131" spans="1:20">
      <c r="A131">
        <v>129</v>
      </c>
      <c r="B131">
        <v>10.2279411764705</v>
      </c>
      <c r="C131">
        <v>13.1612903225806</v>
      </c>
      <c r="D131">
        <v>11.540909090909</v>
      </c>
      <c r="E131">
        <v>9.3520833333333293</v>
      </c>
      <c r="F131">
        <v>14.1</v>
      </c>
      <c r="H131">
        <v>129</v>
      </c>
      <c r="I131">
        <v>0.78235294117647003</v>
      </c>
      <c r="J131">
        <v>2.3258064516129</v>
      </c>
      <c r="K131">
        <v>0.20909090909090899</v>
      </c>
      <c r="L131">
        <v>2.2689655172413699</v>
      </c>
      <c r="M131">
        <v>1.2333333333333301</v>
      </c>
      <c r="O131">
        <v>129</v>
      </c>
      <c r="P131">
        <v>1.6080556103689001</v>
      </c>
      <c r="Q131">
        <v>1.7318330822852801</v>
      </c>
      <c r="R131">
        <v>1.91307238826314</v>
      </c>
      <c r="S131">
        <v>1.6510387271701701</v>
      </c>
      <c r="T131">
        <v>1.3593529897032299</v>
      </c>
    </row>
    <row r="132" spans="1:20">
      <c r="A132">
        <v>130</v>
      </c>
      <c r="B132">
        <v>10.1044117647058</v>
      </c>
      <c r="C132">
        <v>13.291935483870899</v>
      </c>
      <c r="D132">
        <v>11.902272727272701</v>
      </c>
      <c r="E132">
        <v>8.6750000000000007</v>
      </c>
      <c r="F132">
        <v>13.7416666666666</v>
      </c>
      <c r="H132">
        <v>130</v>
      </c>
      <c r="I132">
        <v>1.99411764705882</v>
      </c>
      <c r="J132">
        <v>3.1733333333333298</v>
      </c>
      <c r="K132">
        <v>0.99090909090909096</v>
      </c>
      <c r="L132">
        <v>1.17241379310344</v>
      </c>
      <c r="M132">
        <v>1.56666666666666</v>
      </c>
      <c r="O132">
        <v>130</v>
      </c>
      <c r="P132">
        <v>1.41413311869791</v>
      </c>
      <c r="Q132">
        <v>1.6655372035048599</v>
      </c>
      <c r="R132">
        <v>1.6201345164829699</v>
      </c>
      <c r="S132">
        <v>1.6034624895771801</v>
      </c>
      <c r="T132">
        <v>1.1980493949464299</v>
      </c>
    </row>
    <row r="133" spans="1:20">
      <c r="A133">
        <v>131</v>
      </c>
      <c r="B133">
        <v>10.4441176470588</v>
      </c>
      <c r="C133">
        <v>13.5774193548387</v>
      </c>
      <c r="D133">
        <v>12.381818181818099</v>
      </c>
      <c r="E133">
        <v>8.9804347826086897</v>
      </c>
      <c r="F133">
        <v>13.1</v>
      </c>
      <c r="H133">
        <v>131</v>
      </c>
      <c r="I133">
        <v>0.92058823529411704</v>
      </c>
      <c r="J133">
        <v>2.4225806451612901</v>
      </c>
      <c r="K133">
        <v>1.63636363636363</v>
      </c>
      <c r="L133">
        <v>2.44285714285714</v>
      </c>
      <c r="M133">
        <v>3.7166666666666601</v>
      </c>
      <c r="O133">
        <v>131</v>
      </c>
      <c r="P133">
        <v>1.66219643843515</v>
      </c>
      <c r="Q133">
        <v>1.82340706114468</v>
      </c>
      <c r="R133">
        <v>1.80696864272368</v>
      </c>
      <c r="S133">
        <v>1.57329696635336</v>
      </c>
      <c r="T133">
        <v>1.0818629782871001</v>
      </c>
    </row>
    <row r="134" spans="1:20">
      <c r="A134">
        <v>132</v>
      </c>
      <c r="B134">
        <v>10.801470588235199</v>
      </c>
      <c r="C134">
        <v>13.898387096774099</v>
      </c>
      <c r="D134">
        <v>12.35</v>
      </c>
      <c r="E134">
        <v>9.6043478260869506</v>
      </c>
      <c r="F134">
        <v>13.566666666666601</v>
      </c>
      <c r="H134">
        <v>132</v>
      </c>
      <c r="I134">
        <v>1.73823529411764</v>
      </c>
      <c r="J134">
        <v>3.56129032258064</v>
      </c>
      <c r="K134">
        <v>2.7863636363636299</v>
      </c>
      <c r="L134">
        <v>2.4214285714285699</v>
      </c>
      <c r="M134">
        <v>5.86666666666666</v>
      </c>
      <c r="O134">
        <v>132</v>
      </c>
      <c r="P134">
        <v>1.5723667757897</v>
      </c>
      <c r="Q134">
        <v>1.58246048642455</v>
      </c>
      <c r="R134">
        <v>1.4913730014274</v>
      </c>
      <c r="S134">
        <v>1.5218514318470999</v>
      </c>
      <c r="T134">
        <v>0.93360919947406795</v>
      </c>
    </row>
    <row r="135" spans="1:20">
      <c r="A135">
        <v>133</v>
      </c>
      <c r="B135">
        <v>10.149999999999901</v>
      </c>
      <c r="C135">
        <v>13.8193548387096</v>
      </c>
      <c r="D135">
        <v>11.884090909090901</v>
      </c>
      <c r="E135">
        <v>8.5217391304347796</v>
      </c>
      <c r="F135">
        <v>12.887499999999999</v>
      </c>
      <c r="H135">
        <v>133</v>
      </c>
      <c r="I135">
        <v>1.23235294117647</v>
      </c>
      <c r="J135">
        <v>3.2677419354838699</v>
      </c>
      <c r="K135">
        <v>3.3136363636363599</v>
      </c>
      <c r="L135">
        <v>3.9928571428571402</v>
      </c>
      <c r="M135">
        <v>5.1666666666666599</v>
      </c>
      <c r="O135">
        <v>133</v>
      </c>
      <c r="P135">
        <v>1.62543661304557</v>
      </c>
      <c r="Q135">
        <v>1.6419912913333301</v>
      </c>
      <c r="R135">
        <v>1.62678039483797</v>
      </c>
      <c r="S135">
        <v>1.46991319246861</v>
      </c>
      <c r="T135">
        <v>1.3361527471355901</v>
      </c>
    </row>
    <row r="136" spans="1:20">
      <c r="A136">
        <v>134</v>
      </c>
      <c r="B136">
        <v>10.029411764705801</v>
      </c>
      <c r="C136">
        <v>13.49</v>
      </c>
      <c r="D136">
        <v>11.861363636363601</v>
      </c>
      <c r="E136">
        <v>9</v>
      </c>
      <c r="F136">
        <v>13</v>
      </c>
      <c r="H136">
        <v>134</v>
      </c>
      <c r="I136">
        <v>1.69705882352941</v>
      </c>
      <c r="J136">
        <v>2.96129032258064</v>
      </c>
      <c r="K136">
        <v>0.94090909090909003</v>
      </c>
      <c r="L136">
        <v>2.9793103448275802</v>
      </c>
      <c r="M136">
        <v>4.86666666666666</v>
      </c>
      <c r="O136">
        <v>134</v>
      </c>
      <c r="P136">
        <v>1.6139957133282601</v>
      </c>
      <c r="Q136">
        <v>1.7493116405284199</v>
      </c>
      <c r="R136">
        <v>1.8201981788969901</v>
      </c>
      <c r="S136">
        <v>1.7335034977139201</v>
      </c>
      <c r="T136">
        <v>1.1907632624443201</v>
      </c>
    </row>
    <row r="137" spans="1:20">
      <c r="A137">
        <v>135</v>
      </c>
      <c r="B137">
        <v>9.6235294117647001</v>
      </c>
      <c r="C137">
        <v>13.408064516129</v>
      </c>
      <c r="D137">
        <v>12.3318181818181</v>
      </c>
      <c r="E137">
        <v>8.2979166666666604</v>
      </c>
      <c r="F137">
        <v>13.470833333333299</v>
      </c>
      <c r="H137">
        <v>135</v>
      </c>
      <c r="I137">
        <v>1.51764705882352</v>
      </c>
      <c r="J137">
        <v>3.9032258064516099</v>
      </c>
      <c r="K137">
        <v>1.69545454545454</v>
      </c>
      <c r="L137">
        <v>2.9310344827586201</v>
      </c>
      <c r="M137">
        <v>8.7833333333333297</v>
      </c>
      <c r="O137">
        <v>135</v>
      </c>
      <c r="P137">
        <v>1.6005498237626701</v>
      </c>
      <c r="Q137">
        <v>1.5662445189592999</v>
      </c>
      <c r="R137">
        <v>1.8529395882884601</v>
      </c>
      <c r="S137">
        <v>1.3542864080452801</v>
      </c>
      <c r="T137">
        <v>1.16840876605303</v>
      </c>
    </row>
    <row r="138" spans="1:20">
      <c r="A138">
        <v>136</v>
      </c>
      <c r="B138">
        <v>10.177941176470499</v>
      </c>
      <c r="C138">
        <v>13.4193548387096</v>
      </c>
      <c r="D138">
        <v>12.0795454545454</v>
      </c>
      <c r="E138">
        <v>7.59375</v>
      </c>
      <c r="F138">
        <v>12.8666666666666</v>
      </c>
      <c r="H138">
        <v>136</v>
      </c>
      <c r="I138">
        <v>2.0147058823529398</v>
      </c>
      <c r="J138">
        <v>4.1322580645161198</v>
      </c>
      <c r="K138">
        <v>1.2090909090908999</v>
      </c>
      <c r="L138">
        <v>4.6137931034482698</v>
      </c>
      <c r="M138">
        <v>4.86666666666666</v>
      </c>
      <c r="O138">
        <v>136</v>
      </c>
      <c r="P138">
        <v>1.76114821084059</v>
      </c>
      <c r="Q138">
        <v>1.7909891224832299</v>
      </c>
      <c r="R138">
        <v>2.29628762636644</v>
      </c>
      <c r="S138">
        <v>1.4285530568691001</v>
      </c>
      <c r="T138">
        <v>1.23845839693481</v>
      </c>
    </row>
    <row r="139" spans="1:20">
      <c r="A139">
        <v>137</v>
      </c>
      <c r="B139">
        <v>9.2779411764705806</v>
      </c>
      <c r="C139">
        <v>13.0177419354838</v>
      </c>
      <c r="D139">
        <v>11.25</v>
      </c>
      <c r="E139">
        <v>7.17916666666666</v>
      </c>
      <c r="F139">
        <v>12.237499999999899</v>
      </c>
      <c r="H139">
        <v>137</v>
      </c>
      <c r="I139">
        <v>2.7235294117647002</v>
      </c>
      <c r="J139">
        <v>3.8645161290322498</v>
      </c>
      <c r="K139">
        <v>1.42272727272727</v>
      </c>
      <c r="L139">
        <v>4.4068965517241301</v>
      </c>
      <c r="M139">
        <v>3.7166666666666601</v>
      </c>
      <c r="O139">
        <v>137</v>
      </c>
      <c r="P139">
        <v>1.51265723824432</v>
      </c>
      <c r="Q139">
        <v>1.67932593217038</v>
      </c>
      <c r="R139">
        <v>2.1065655537435402</v>
      </c>
      <c r="S139">
        <v>1.2668202686791701</v>
      </c>
      <c r="T139">
        <v>1.3074898165915401</v>
      </c>
    </row>
    <row r="140" spans="1:20">
      <c r="A140">
        <v>138</v>
      </c>
      <c r="B140">
        <v>9.0485294117647008</v>
      </c>
      <c r="C140">
        <v>12.8774193548387</v>
      </c>
      <c r="D140">
        <v>9.9250000000000007</v>
      </c>
      <c r="E140">
        <v>7.6749999999999998</v>
      </c>
      <c r="F140">
        <v>11.595833333333299</v>
      </c>
      <c r="H140">
        <v>138</v>
      </c>
      <c r="I140">
        <v>1.5</v>
      </c>
      <c r="J140">
        <v>3.7967741935483801</v>
      </c>
      <c r="K140">
        <v>0.88636363636363602</v>
      </c>
      <c r="L140">
        <v>2.5103448275861999</v>
      </c>
      <c r="M140">
        <v>2.61666666666666</v>
      </c>
      <c r="O140">
        <v>138</v>
      </c>
      <c r="P140">
        <v>1.42917243065086</v>
      </c>
      <c r="Q140">
        <v>1.7647102566828801</v>
      </c>
      <c r="R140">
        <v>1.6558155698505901</v>
      </c>
      <c r="S140">
        <v>1.36111403075621</v>
      </c>
      <c r="T140">
        <v>1.3321153360432201</v>
      </c>
    </row>
    <row r="141" spans="1:20">
      <c r="A141">
        <v>139</v>
      </c>
      <c r="B141">
        <v>9.3647058823529399</v>
      </c>
      <c r="C141">
        <v>13.3629032258064</v>
      </c>
      <c r="D141">
        <v>10.8318181818181</v>
      </c>
      <c r="E141">
        <v>7.8624999999999998</v>
      </c>
      <c r="F141">
        <v>11.904166666666599</v>
      </c>
      <c r="H141">
        <v>139</v>
      </c>
      <c r="I141">
        <v>1.5735294117647001</v>
      </c>
      <c r="J141">
        <v>1.4774193548387</v>
      </c>
      <c r="K141">
        <v>1.27272727272727</v>
      </c>
      <c r="L141">
        <v>2.5241379310344798</v>
      </c>
      <c r="M141">
        <v>2.35</v>
      </c>
      <c r="O141">
        <v>139</v>
      </c>
      <c r="P141">
        <v>1.4324355889067</v>
      </c>
      <c r="Q141">
        <v>1.8502469543140301</v>
      </c>
      <c r="R141">
        <v>1.6792496107302399</v>
      </c>
      <c r="S141">
        <v>1.21011672141106</v>
      </c>
      <c r="T141">
        <v>1.2961776408629699</v>
      </c>
    </row>
    <row r="142" spans="1:20">
      <c r="A142">
        <v>140</v>
      </c>
      <c r="B142">
        <v>9.4352941176470502</v>
      </c>
      <c r="C142">
        <v>13.314516129032199</v>
      </c>
      <c r="D142">
        <v>10.945454545454499</v>
      </c>
      <c r="E142">
        <v>7.84375</v>
      </c>
      <c r="F142">
        <v>11.762499999999999</v>
      </c>
      <c r="H142">
        <v>140</v>
      </c>
      <c r="I142">
        <v>1.9352941176470499</v>
      </c>
      <c r="J142">
        <v>5.2193548387096698</v>
      </c>
      <c r="K142">
        <v>0.45</v>
      </c>
      <c r="L142">
        <v>4.0896551724137904</v>
      </c>
      <c r="M142">
        <v>0.31666666666666599</v>
      </c>
      <c r="O142">
        <v>140</v>
      </c>
      <c r="P142">
        <v>1.4124835611223401</v>
      </c>
      <c r="Q142">
        <v>1.4599096570605601</v>
      </c>
      <c r="R142">
        <v>1.97950041857592</v>
      </c>
      <c r="S142">
        <v>1.1647209471819799</v>
      </c>
      <c r="T142">
        <v>1.26598619456247</v>
      </c>
    </row>
    <row r="143" spans="1:20">
      <c r="A143">
        <v>141</v>
      </c>
      <c r="B143">
        <v>9.1705882352941099</v>
      </c>
      <c r="C143">
        <v>13.598387096774101</v>
      </c>
      <c r="D143">
        <v>11.1818181818181</v>
      </c>
      <c r="E143">
        <v>7.05416666666666</v>
      </c>
      <c r="F143">
        <v>11.612500000000001</v>
      </c>
      <c r="H143">
        <v>141</v>
      </c>
      <c r="I143">
        <v>2.3529411764705799</v>
      </c>
      <c r="J143">
        <v>5.1451612903225801</v>
      </c>
      <c r="K143">
        <v>1.4045454545454501</v>
      </c>
      <c r="L143">
        <v>2.63448275862069</v>
      </c>
      <c r="M143">
        <v>2</v>
      </c>
      <c r="O143">
        <v>141</v>
      </c>
      <c r="P143">
        <v>1.2765511235284199</v>
      </c>
      <c r="Q143">
        <v>1.48780958137737</v>
      </c>
      <c r="R143">
        <v>1.81223057849349</v>
      </c>
      <c r="S143">
        <v>1.09887850259451</v>
      </c>
      <c r="T143">
        <v>1.0607063970516699</v>
      </c>
    </row>
    <row r="144" spans="1:20">
      <c r="A144">
        <v>142</v>
      </c>
      <c r="B144">
        <v>8.3529411764705799</v>
      </c>
      <c r="C144">
        <v>13.074193548387001</v>
      </c>
      <c r="D144">
        <v>10.756818181818099</v>
      </c>
      <c r="E144">
        <v>7.6083333333333298</v>
      </c>
      <c r="F144">
        <v>10.174999999999899</v>
      </c>
      <c r="H144">
        <v>142</v>
      </c>
      <c r="I144">
        <v>1.5852941176470501</v>
      </c>
      <c r="J144">
        <v>4.73548387096774</v>
      </c>
      <c r="K144">
        <v>1.02727272727272</v>
      </c>
      <c r="L144">
        <v>2.0206896551724101</v>
      </c>
      <c r="M144">
        <v>2.93333333333333</v>
      </c>
      <c r="O144">
        <v>142</v>
      </c>
      <c r="P144">
        <v>1.1618550175400399</v>
      </c>
      <c r="Q144">
        <v>1.4103441752322401</v>
      </c>
      <c r="R144">
        <v>1.6546472122340701</v>
      </c>
      <c r="S144">
        <v>1.2439224602750001</v>
      </c>
      <c r="T144">
        <v>1.10734547072848</v>
      </c>
    </row>
    <row r="145" spans="1:20">
      <c r="A145">
        <v>143</v>
      </c>
      <c r="B145">
        <v>9.0132352941176404</v>
      </c>
      <c r="C145">
        <v>12.8338709677419</v>
      </c>
      <c r="D145">
        <v>10.147727272727201</v>
      </c>
      <c r="E145">
        <v>7.4833333333333298</v>
      </c>
      <c r="F145">
        <v>10.7416666666666</v>
      </c>
      <c r="H145">
        <v>143</v>
      </c>
      <c r="I145">
        <v>1.6205882352941099</v>
      </c>
      <c r="J145">
        <v>7.7677419354838699</v>
      </c>
      <c r="K145">
        <v>2.3545454545454501</v>
      </c>
      <c r="L145">
        <v>3.69655172413793</v>
      </c>
      <c r="M145">
        <v>2.8</v>
      </c>
      <c r="O145">
        <v>143</v>
      </c>
      <c r="P145">
        <v>1.3880525200190601</v>
      </c>
      <c r="Q145">
        <v>1.40773401519768</v>
      </c>
      <c r="R145">
        <v>1.2227208339676301</v>
      </c>
      <c r="S145">
        <v>1.21768712617834</v>
      </c>
      <c r="T145">
        <v>0.94921082080766905</v>
      </c>
    </row>
    <row r="146" spans="1:20">
      <c r="A146">
        <v>144</v>
      </c>
      <c r="B146">
        <v>8.7911764705882298</v>
      </c>
      <c r="C146">
        <v>12.761290322580599</v>
      </c>
      <c r="D146">
        <v>10.890909090909</v>
      </c>
      <c r="E146">
        <v>6.7208333333333297</v>
      </c>
      <c r="F146">
        <v>10.983333333333301</v>
      </c>
      <c r="H146">
        <v>144</v>
      </c>
      <c r="I146">
        <v>3.3764705882352901</v>
      </c>
      <c r="J146">
        <v>5.3612903225806399</v>
      </c>
      <c r="K146">
        <v>6.2954545454545396</v>
      </c>
      <c r="L146">
        <v>1.52413793103448</v>
      </c>
      <c r="M146">
        <v>5.61666666666666</v>
      </c>
      <c r="O146">
        <v>144</v>
      </c>
      <c r="P146">
        <v>1.28085602366637</v>
      </c>
      <c r="Q146">
        <v>1.5324788885576901</v>
      </c>
      <c r="R146">
        <v>1.7602180234501701</v>
      </c>
      <c r="S146">
        <v>1.12929990529715</v>
      </c>
      <c r="T146">
        <v>0.95593712910075901</v>
      </c>
    </row>
    <row r="147" spans="1:20">
      <c r="A147">
        <v>145</v>
      </c>
      <c r="B147">
        <v>8.3720588235294109</v>
      </c>
      <c r="C147">
        <v>13.04</v>
      </c>
      <c r="D147">
        <v>10.35</v>
      </c>
      <c r="E147">
        <v>7.1956521739130404</v>
      </c>
      <c r="F147">
        <v>10.7666666666666</v>
      </c>
      <c r="H147">
        <v>145</v>
      </c>
      <c r="I147">
        <v>1.9058823529411699</v>
      </c>
      <c r="J147">
        <v>5.8233333333333297</v>
      </c>
      <c r="K147">
        <v>3.8181818181818099</v>
      </c>
      <c r="L147">
        <v>3.5586206896551702</v>
      </c>
      <c r="M147">
        <v>3.1666666666666599</v>
      </c>
      <c r="O147">
        <v>145</v>
      </c>
      <c r="P147">
        <v>1.28602442078779</v>
      </c>
      <c r="Q147">
        <v>1.3513771562845001</v>
      </c>
      <c r="R147">
        <v>1.6400789643331</v>
      </c>
      <c r="S147">
        <v>1.26831102365746</v>
      </c>
      <c r="T147">
        <v>0.98597820560947502</v>
      </c>
    </row>
    <row r="148" spans="1:20">
      <c r="A148">
        <v>146</v>
      </c>
      <c r="B148">
        <v>8.5632352941176393</v>
      </c>
      <c r="C148">
        <v>13.44</v>
      </c>
      <c r="D148">
        <v>10.795454545454501</v>
      </c>
      <c r="E148">
        <v>6.1826086956521698</v>
      </c>
      <c r="F148">
        <v>11.1833333333333</v>
      </c>
      <c r="H148">
        <v>146</v>
      </c>
      <c r="I148">
        <v>4.3794117647058801</v>
      </c>
      <c r="J148">
        <v>6.9099999999999904</v>
      </c>
      <c r="K148">
        <v>3.8</v>
      </c>
      <c r="L148">
        <v>4.2428571428571402</v>
      </c>
      <c r="M148">
        <v>6.1499999999999897</v>
      </c>
      <c r="O148">
        <v>146</v>
      </c>
      <c r="P148">
        <v>1.33540018897607</v>
      </c>
      <c r="Q148">
        <v>1.45255211799902</v>
      </c>
      <c r="R148">
        <v>1.6905392810155</v>
      </c>
      <c r="S148">
        <v>1.1170446337672499</v>
      </c>
      <c r="T148">
        <v>1.02530679052105</v>
      </c>
    </row>
    <row r="149" spans="1:20">
      <c r="A149">
        <v>147</v>
      </c>
      <c r="B149">
        <v>8.4573529411764703</v>
      </c>
      <c r="C149">
        <v>12.8183333333333</v>
      </c>
      <c r="D149">
        <v>10.8363636363636</v>
      </c>
      <c r="E149">
        <v>6.0386363636363596</v>
      </c>
      <c r="F149">
        <v>10.566666666666601</v>
      </c>
      <c r="H149">
        <v>147</v>
      </c>
      <c r="I149">
        <v>0.997058823529411</v>
      </c>
      <c r="J149">
        <v>4.4066666666666601</v>
      </c>
      <c r="K149">
        <v>0.79090909090909101</v>
      </c>
      <c r="L149">
        <v>2.6888888888888798</v>
      </c>
      <c r="M149">
        <v>2.7666666666666599</v>
      </c>
      <c r="O149">
        <v>147</v>
      </c>
      <c r="P149">
        <v>1.45727309162839</v>
      </c>
      <c r="Q149">
        <v>1.5797115913466899</v>
      </c>
      <c r="R149">
        <v>1.69802252680614</v>
      </c>
      <c r="S149">
        <v>1.15391802031854</v>
      </c>
      <c r="T149">
        <v>1.05508542906727</v>
      </c>
    </row>
    <row r="150" spans="1:20">
      <c r="A150">
        <v>148</v>
      </c>
      <c r="B150">
        <v>8.1897058823529392</v>
      </c>
      <c r="C150">
        <v>12.088333333333299</v>
      </c>
      <c r="D150">
        <v>9.9977272727272695</v>
      </c>
      <c r="E150">
        <v>6.2409090909090903</v>
      </c>
      <c r="F150">
        <v>10.283333333333299</v>
      </c>
      <c r="H150">
        <v>148</v>
      </c>
      <c r="I150">
        <v>2.3676470588235201</v>
      </c>
      <c r="J150">
        <v>3.84666666666666</v>
      </c>
      <c r="K150">
        <v>1.6818181818181801</v>
      </c>
      <c r="L150">
        <v>2.3142857142857101</v>
      </c>
      <c r="M150">
        <v>2.7333333333333298</v>
      </c>
      <c r="O150">
        <v>148</v>
      </c>
      <c r="P150">
        <v>1.60616595463803</v>
      </c>
      <c r="Q150">
        <v>1.52168431166894</v>
      </c>
      <c r="R150">
        <v>1.8350053101302899</v>
      </c>
      <c r="S150">
        <v>1.24241439726467</v>
      </c>
      <c r="T150">
        <v>0.96273544691676505</v>
      </c>
    </row>
    <row r="151" spans="1:20">
      <c r="A151">
        <v>149</v>
      </c>
      <c r="B151">
        <v>8.3764705882352892</v>
      </c>
      <c r="C151">
        <v>11.7193548387096</v>
      </c>
      <c r="D151">
        <v>10.025</v>
      </c>
      <c r="E151">
        <v>6.6673913043478201</v>
      </c>
      <c r="F151">
        <v>10.8</v>
      </c>
      <c r="H151">
        <v>149</v>
      </c>
      <c r="I151">
        <v>2.75</v>
      </c>
      <c r="J151">
        <v>4.8161290322580603</v>
      </c>
      <c r="K151">
        <v>3.9</v>
      </c>
      <c r="L151">
        <v>3.0642857142857101</v>
      </c>
      <c r="M151">
        <v>3.2333333333333298</v>
      </c>
      <c r="O151">
        <v>149</v>
      </c>
      <c r="P151">
        <v>1.41028048478178</v>
      </c>
      <c r="Q151">
        <v>1.3043403353641301</v>
      </c>
      <c r="R151">
        <v>1.62840235536504</v>
      </c>
      <c r="S151">
        <v>1.27848911262641</v>
      </c>
      <c r="T151">
        <v>1.08816831727148</v>
      </c>
    </row>
    <row r="152" spans="1:20">
      <c r="A152">
        <v>150</v>
      </c>
      <c r="B152">
        <v>7.9235294117646999</v>
      </c>
      <c r="C152">
        <v>12.024193548387</v>
      </c>
      <c r="D152">
        <v>9.4727272727272709</v>
      </c>
      <c r="E152">
        <v>7.2043478260869502</v>
      </c>
      <c r="F152">
        <v>9.6624999999999996</v>
      </c>
      <c r="H152">
        <v>150</v>
      </c>
      <c r="I152">
        <v>1.52647058823529</v>
      </c>
      <c r="J152">
        <v>5.4032258064516103</v>
      </c>
      <c r="K152">
        <v>1.7090909090908999</v>
      </c>
      <c r="L152">
        <v>2.5655172413793101</v>
      </c>
      <c r="M152">
        <v>1.88333333333333</v>
      </c>
      <c r="O152">
        <v>150</v>
      </c>
      <c r="P152">
        <v>1.2181769845433199</v>
      </c>
      <c r="Q152">
        <v>1.3290261075951599</v>
      </c>
      <c r="R152">
        <v>1.48107398503486</v>
      </c>
      <c r="S152">
        <v>1.2346891579071999</v>
      </c>
      <c r="T152">
        <v>1.0187040175234601</v>
      </c>
    </row>
    <row r="153" spans="1:20">
      <c r="A153">
        <v>151</v>
      </c>
      <c r="B153">
        <v>7.9742424242424201</v>
      </c>
      <c r="C153">
        <v>11.7258064516129</v>
      </c>
      <c r="D153">
        <v>9.3613636363636292</v>
      </c>
      <c r="E153">
        <v>7.1826086956521698</v>
      </c>
      <c r="F153">
        <v>9.7166666666666597</v>
      </c>
      <c r="H153">
        <v>151</v>
      </c>
      <c r="I153">
        <v>0.65454545454545399</v>
      </c>
      <c r="J153">
        <v>5.6354838709677404</v>
      </c>
      <c r="K153">
        <v>0.78181818181818097</v>
      </c>
      <c r="L153">
        <v>3.6137931034482702</v>
      </c>
      <c r="M153">
        <v>4.7</v>
      </c>
      <c r="O153">
        <v>151</v>
      </c>
      <c r="P153">
        <v>1.4140792042866701</v>
      </c>
      <c r="Q153">
        <v>1.39784343044145</v>
      </c>
      <c r="R153">
        <v>1.6246462048877199</v>
      </c>
      <c r="S153">
        <v>1.2920775625224401</v>
      </c>
      <c r="T153">
        <v>1.10197006718848</v>
      </c>
    </row>
    <row r="154" spans="1:20">
      <c r="A154">
        <v>152</v>
      </c>
      <c r="B154">
        <v>8.0696969696969596</v>
      </c>
      <c r="C154">
        <v>11.7564516129032</v>
      </c>
      <c r="D154">
        <v>8.8113636363636303</v>
      </c>
      <c r="E154">
        <v>6.96521739130434</v>
      </c>
      <c r="F154">
        <v>10.004166666666601</v>
      </c>
      <c r="H154">
        <v>152</v>
      </c>
      <c r="I154">
        <v>2.6606060606060602</v>
      </c>
      <c r="J154">
        <v>4.3451612903225802</v>
      </c>
      <c r="K154">
        <v>1.94090909090909</v>
      </c>
      <c r="L154">
        <v>4.5586206896551698</v>
      </c>
      <c r="M154">
        <v>2.5</v>
      </c>
      <c r="O154">
        <v>152</v>
      </c>
      <c r="P154">
        <v>1.3648777039729501</v>
      </c>
      <c r="Q154">
        <v>1.4712646827298701</v>
      </c>
      <c r="R154">
        <v>1.4479727769359401</v>
      </c>
      <c r="S154">
        <v>1.24207436800048</v>
      </c>
      <c r="T154">
        <v>1.1690097853574</v>
      </c>
    </row>
    <row r="155" spans="1:20">
      <c r="A155">
        <v>153</v>
      </c>
      <c r="B155">
        <v>7.75</v>
      </c>
      <c r="C155">
        <v>11.6033333333333</v>
      </c>
      <c r="D155">
        <v>10.022727272727201</v>
      </c>
      <c r="E155">
        <v>6.3260869565217304</v>
      </c>
      <c r="F155">
        <v>9.99583333333333</v>
      </c>
      <c r="H155">
        <v>153</v>
      </c>
      <c r="I155">
        <v>1.6818181818181801</v>
      </c>
      <c r="J155">
        <v>5.12</v>
      </c>
      <c r="K155">
        <v>1.47727272727272</v>
      </c>
      <c r="L155">
        <v>4.7586206896551699</v>
      </c>
      <c r="M155">
        <v>2.7833333333333301</v>
      </c>
      <c r="O155">
        <v>153</v>
      </c>
      <c r="P155">
        <v>1.1270486273289499</v>
      </c>
      <c r="Q155">
        <v>1.30717057222476</v>
      </c>
      <c r="R155">
        <v>1.5523899836253201</v>
      </c>
      <c r="S155">
        <v>0.87616298324624498</v>
      </c>
      <c r="T155">
        <v>1.0280895768516001</v>
      </c>
    </row>
    <row r="156" spans="1:20">
      <c r="A156">
        <v>154</v>
      </c>
      <c r="B156">
        <v>7.4484848484848403</v>
      </c>
      <c r="C156">
        <v>11.056666666666599</v>
      </c>
      <c r="D156">
        <v>9.2272727272727195</v>
      </c>
      <c r="E156">
        <v>5.8586956521739104</v>
      </c>
      <c r="F156">
        <v>9.8999999999999897</v>
      </c>
      <c r="H156">
        <v>154</v>
      </c>
      <c r="I156">
        <v>1.9090909090909001</v>
      </c>
      <c r="J156">
        <v>2.78666666666666</v>
      </c>
      <c r="K156">
        <v>2.2363636363636301</v>
      </c>
      <c r="L156">
        <v>2.3357142857142801</v>
      </c>
      <c r="M156">
        <v>1.7833333333333301</v>
      </c>
      <c r="O156">
        <v>154</v>
      </c>
      <c r="P156">
        <v>1.25249803659369</v>
      </c>
      <c r="Q156">
        <v>1.4941006859236099</v>
      </c>
      <c r="R156">
        <v>1.4778493727814399</v>
      </c>
      <c r="S156">
        <v>1.0884608983492099</v>
      </c>
      <c r="T156">
        <v>0.97110296937720297</v>
      </c>
    </row>
    <row r="157" spans="1:20">
      <c r="A157">
        <v>155</v>
      </c>
      <c r="B157">
        <v>7.27424242424242</v>
      </c>
      <c r="C157">
        <v>11.1733333333333</v>
      </c>
      <c r="D157">
        <v>9.1909090909090896</v>
      </c>
      <c r="E157">
        <v>6.80217391304347</v>
      </c>
      <c r="F157">
        <v>10.95</v>
      </c>
      <c r="H157">
        <v>155</v>
      </c>
      <c r="I157">
        <v>2.05151515151515</v>
      </c>
      <c r="J157">
        <v>4.3899999999999997</v>
      </c>
      <c r="K157">
        <v>3.4</v>
      </c>
      <c r="L157">
        <v>2.8</v>
      </c>
      <c r="M157">
        <v>2.44999999999999</v>
      </c>
      <c r="O157">
        <v>155</v>
      </c>
      <c r="P157">
        <v>1.2350476326500801</v>
      </c>
      <c r="Q157">
        <v>1.35454855749501</v>
      </c>
      <c r="R157">
        <v>1.26059886003919</v>
      </c>
      <c r="S157">
        <v>0.94029294743459702</v>
      </c>
      <c r="T157">
        <v>0.960770877493487</v>
      </c>
    </row>
    <row r="158" spans="1:20">
      <c r="A158">
        <v>156</v>
      </c>
      <c r="B158">
        <v>7.1969696969696901</v>
      </c>
      <c r="C158">
        <v>11.3016666666666</v>
      </c>
      <c r="D158">
        <v>8.9022727272727202</v>
      </c>
      <c r="E158">
        <v>6.5326086956521703</v>
      </c>
      <c r="F158">
        <v>10.6875</v>
      </c>
      <c r="H158">
        <v>156</v>
      </c>
      <c r="I158">
        <v>1.2333333333333301</v>
      </c>
      <c r="J158">
        <v>3.3633333333333302</v>
      </c>
      <c r="K158">
        <v>5.6590909090909003</v>
      </c>
      <c r="L158">
        <v>1.78571428571428</v>
      </c>
      <c r="M158">
        <v>4.1333333333333302</v>
      </c>
      <c r="O158">
        <v>156</v>
      </c>
      <c r="P158">
        <v>1.1815334376359199</v>
      </c>
      <c r="Q158">
        <v>1.3233452483653401</v>
      </c>
      <c r="R158">
        <v>1.320066085238</v>
      </c>
      <c r="S158">
        <v>1.0138654033396699</v>
      </c>
      <c r="T158">
        <v>0.84332690198160198</v>
      </c>
    </row>
    <row r="159" spans="1:20">
      <c r="A159">
        <v>157</v>
      </c>
      <c r="B159">
        <v>6.8636363636363598</v>
      </c>
      <c r="C159">
        <v>11.2416666666666</v>
      </c>
      <c r="D159">
        <v>9.3249999999999993</v>
      </c>
      <c r="E159">
        <v>5.6369565217391298</v>
      </c>
      <c r="F159">
        <v>10.5625</v>
      </c>
      <c r="H159">
        <v>157</v>
      </c>
      <c r="I159">
        <v>1.3454545454545399</v>
      </c>
      <c r="J159">
        <v>3.4666666666666601</v>
      </c>
      <c r="K159">
        <v>0.98181818181818103</v>
      </c>
      <c r="L159">
        <v>1.8827586206896501</v>
      </c>
      <c r="M159">
        <v>5.3</v>
      </c>
      <c r="O159">
        <v>157</v>
      </c>
      <c r="P159">
        <v>1.11819764768331</v>
      </c>
      <c r="Q159">
        <v>1.31169017597242</v>
      </c>
      <c r="R159">
        <v>1.6759638089176501</v>
      </c>
      <c r="S159">
        <v>0.93833896014180795</v>
      </c>
      <c r="T159">
        <v>0.93242759876210701</v>
      </c>
    </row>
    <row r="160" spans="1:20">
      <c r="A160">
        <v>158</v>
      </c>
      <c r="B160">
        <v>7.0772727272727201</v>
      </c>
      <c r="C160">
        <v>11.3533333333333</v>
      </c>
      <c r="D160">
        <v>8.8249999999999993</v>
      </c>
      <c r="E160">
        <v>5.8954545454545402</v>
      </c>
      <c r="F160">
        <v>10.4625</v>
      </c>
      <c r="H160">
        <v>158</v>
      </c>
      <c r="I160">
        <v>2.1393939393939299</v>
      </c>
      <c r="J160">
        <v>3.12333333333333</v>
      </c>
      <c r="K160">
        <v>0.81363636363636305</v>
      </c>
      <c r="L160">
        <v>2.4071428571428499</v>
      </c>
      <c r="M160">
        <v>2.44999999999999</v>
      </c>
      <c r="O160">
        <v>158</v>
      </c>
      <c r="P160">
        <v>1.2201388257180199</v>
      </c>
      <c r="Q160">
        <v>1.3774495437093499</v>
      </c>
      <c r="R160">
        <v>1.7295701835949699</v>
      </c>
      <c r="S160">
        <v>1.1096922270407199</v>
      </c>
      <c r="T160">
        <v>0.99912564942381998</v>
      </c>
    </row>
    <row r="161" spans="1:20">
      <c r="A161">
        <v>159</v>
      </c>
      <c r="B161">
        <v>7.6151515151515099</v>
      </c>
      <c r="C161">
        <v>11.6383333333333</v>
      </c>
      <c r="D161">
        <v>8.7545454545454504</v>
      </c>
      <c r="E161">
        <v>6.2239130434782597</v>
      </c>
      <c r="F161">
        <v>9.5875000000000004</v>
      </c>
      <c r="H161">
        <v>159</v>
      </c>
      <c r="I161">
        <v>2.0727272727272701</v>
      </c>
      <c r="J161">
        <v>2.8</v>
      </c>
      <c r="K161">
        <v>1.08181818181818</v>
      </c>
      <c r="L161">
        <v>2.6413793103448202</v>
      </c>
      <c r="M161">
        <v>1.7333333333333301</v>
      </c>
      <c r="O161">
        <v>159</v>
      </c>
      <c r="P161">
        <v>1.26531828522689</v>
      </c>
      <c r="Q161">
        <v>1.37514607405536</v>
      </c>
      <c r="R161">
        <v>1.6447533684492099</v>
      </c>
      <c r="S161">
        <v>1.04164916114671</v>
      </c>
      <c r="T161">
        <v>1.0839051549829499</v>
      </c>
    </row>
    <row r="162" spans="1:20">
      <c r="A162">
        <v>160</v>
      </c>
      <c r="B162">
        <v>7.8272727272727201</v>
      </c>
      <c r="C162">
        <v>12.033333333333299</v>
      </c>
      <c r="D162">
        <v>8.4977272727272695</v>
      </c>
      <c r="E162">
        <v>6.17173913043478</v>
      </c>
      <c r="F162">
        <v>9.4875000000000007</v>
      </c>
      <c r="H162">
        <v>160</v>
      </c>
      <c r="I162">
        <v>1.4757575757575701</v>
      </c>
      <c r="J162">
        <v>5.1033333333333299</v>
      </c>
      <c r="K162">
        <v>1.44545454545454</v>
      </c>
      <c r="L162">
        <v>3.0965517241379299</v>
      </c>
      <c r="M162">
        <v>1.55</v>
      </c>
      <c r="O162">
        <v>160</v>
      </c>
      <c r="P162">
        <v>1.2369277599155599</v>
      </c>
      <c r="Q162">
        <v>1.2907055368786999</v>
      </c>
      <c r="R162">
        <v>1.43090516688798</v>
      </c>
      <c r="S162">
        <v>0.95873258954107099</v>
      </c>
      <c r="T162">
        <v>0.94567596592895498</v>
      </c>
    </row>
    <row r="163" spans="1:20">
      <c r="A163">
        <v>161</v>
      </c>
      <c r="B163">
        <v>7.8272727272727201</v>
      </c>
      <c r="C163">
        <v>12.0483333333333</v>
      </c>
      <c r="D163">
        <v>9.8119047619047599</v>
      </c>
      <c r="E163">
        <v>5.7826086956521703</v>
      </c>
      <c r="F163">
        <v>10.9</v>
      </c>
      <c r="H163">
        <v>161</v>
      </c>
      <c r="I163">
        <v>1.8848484848484801</v>
      </c>
      <c r="J163">
        <v>7.0566666666666604</v>
      </c>
      <c r="K163">
        <v>2.7727272727272698</v>
      </c>
      <c r="L163">
        <v>2.17241379310344</v>
      </c>
      <c r="M163">
        <v>4.8363636363636298</v>
      </c>
      <c r="O163">
        <v>161</v>
      </c>
      <c r="P163">
        <v>1.0943317227835101</v>
      </c>
      <c r="Q163">
        <v>1.1704038738008</v>
      </c>
      <c r="R163">
        <v>1.30055224789721</v>
      </c>
      <c r="S163">
        <v>0.93064135902708001</v>
      </c>
      <c r="T163">
        <v>0.77149259834587403</v>
      </c>
    </row>
    <row r="164" spans="1:20">
      <c r="A164">
        <v>162</v>
      </c>
      <c r="B164">
        <v>7.6075757575757503</v>
      </c>
      <c r="C164">
        <v>12.105</v>
      </c>
      <c r="D164">
        <v>10.1785714285714</v>
      </c>
      <c r="E164">
        <v>5.7717391304347796</v>
      </c>
      <c r="F164">
        <v>10.8954545454545</v>
      </c>
      <c r="H164">
        <v>162</v>
      </c>
      <c r="I164">
        <v>1.28484848484848</v>
      </c>
      <c r="J164">
        <v>4.8199999999999896</v>
      </c>
      <c r="K164">
        <v>5.6772727272727197</v>
      </c>
      <c r="L164">
        <v>1.9655172413793101</v>
      </c>
      <c r="M164">
        <v>7.1454545454545402</v>
      </c>
      <c r="O164">
        <v>162</v>
      </c>
      <c r="P164">
        <v>1.2594125286590201</v>
      </c>
      <c r="Q164">
        <v>1.2848931912011301</v>
      </c>
      <c r="R164">
        <v>1.4033197828361399</v>
      </c>
      <c r="S164">
        <v>1.07358015967061</v>
      </c>
      <c r="T164">
        <v>0.76887644299908198</v>
      </c>
    </row>
    <row r="165" spans="1:20">
      <c r="A165">
        <v>163</v>
      </c>
      <c r="B165">
        <v>7.7030303030302996</v>
      </c>
      <c r="C165">
        <v>11.93</v>
      </c>
      <c r="D165">
        <v>10.6</v>
      </c>
      <c r="E165">
        <v>5.6869565217391296</v>
      </c>
      <c r="F165">
        <v>11.8375</v>
      </c>
      <c r="H165">
        <v>163</v>
      </c>
      <c r="I165">
        <v>3.9121212121212099</v>
      </c>
      <c r="J165">
        <v>4.05</v>
      </c>
      <c r="K165">
        <v>3.03181818181818</v>
      </c>
      <c r="L165">
        <v>3.3172413793103401</v>
      </c>
      <c r="M165">
        <v>0.88333333333333297</v>
      </c>
      <c r="O165">
        <v>163</v>
      </c>
      <c r="P165">
        <v>1.3128498286819099</v>
      </c>
      <c r="Q165">
        <v>1.2113320799843399</v>
      </c>
      <c r="R165">
        <v>1.6272038754899101</v>
      </c>
      <c r="S165">
        <v>1.22848092579364</v>
      </c>
      <c r="T165">
        <v>0.886573255907814</v>
      </c>
    </row>
    <row r="166" spans="1:20">
      <c r="A166">
        <v>164</v>
      </c>
      <c r="B166">
        <v>6.8681818181818102</v>
      </c>
      <c r="C166">
        <v>11.734999999999999</v>
      </c>
      <c r="D166">
        <v>9.9095238095238098</v>
      </c>
      <c r="E166">
        <v>5.4086956521739102</v>
      </c>
      <c r="F166">
        <v>10.4916666666666</v>
      </c>
      <c r="H166">
        <v>164</v>
      </c>
      <c r="I166">
        <v>2.0303030303030298</v>
      </c>
      <c r="J166">
        <v>3.5866666666666598</v>
      </c>
      <c r="K166">
        <v>4.2181818181818098</v>
      </c>
      <c r="L166">
        <v>1.9793103448275799</v>
      </c>
      <c r="M166">
        <v>5.3166666666666602</v>
      </c>
      <c r="O166">
        <v>164</v>
      </c>
      <c r="P166">
        <v>1.1474480520873001</v>
      </c>
      <c r="Q166">
        <v>1.4600871377923801</v>
      </c>
      <c r="R166">
        <v>1.4692387224691099</v>
      </c>
      <c r="S166">
        <v>1.0811345381111901</v>
      </c>
      <c r="T166">
        <v>0.75300621765048603</v>
      </c>
    </row>
    <row r="167" spans="1:20">
      <c r="A167">
        <v>165</v>
      </c>
      <c r="B167">
        <v>7.2318181818181797</v>
      </c>
      <c r="C167">
        <v>11.1666666666666</v>
      </c>
      <c r="D167">
        <v>9.4833333333333307</v>
      </c>
      <c r="E167">
        <v>6.0304347826086904</v>
      </c>
      <c r="F167">
        <v>10.133333333333301</v>
      </c>
      <c r="H167">
        <v>165</v>
      </c>
      <c r="I167">
        <v>1.5575757575757501</v>
      </c>
      <c r="J167">
        <v>3.2966666666666602</v>
      </c>
      <c r="K167">
        <v>2.6727272727272702</v>
      </c>
      <c r="L167">
        <v>2</v>
      </c>
      <c r="M167">
        <v>1.2</v>
      </c>
      <c r="O167">
        <v>165</v>
      </c>
      <c r="P167">
        <v>1.2613045443409601</v>
      </c>
      <c r="Q167">
        <v>1.34458805503312</v>
      </c>
      <c r="R167">
        <v>1.58157755284307</v>
      </c>
      <c r="S167">
        <v>1.31116085629705</v>
      </c>
      <c r="T167">
        <v>1.0949815777606999</v>
      </c>
    </row>
    <row r="168" spans="1:20">
      <c r="A168">
        <v>166</v>
      </c>
      <c r="B168">
        <v>7.3390624999999998</v>
      </c>
      <c r="C168">
        <v>11.2283333333333</v>
      </c>
      <c r="D168">
        <v>8.9738095238095195</v>
      </c>
      <c r="E168">
        <v>5.8521739130434698</v>
      </c>
      <c r="F168">
        <v>9.0291666666666597</v>
      </c>
      <c r="H168">
        <v>166</v>
      </c>
      <c r="I168">
        <v>3.41818181818181</v>
      </c>
      <c r="J168">
        <v>6.4733333333333301</v>
      </c>
      <c r="K168">
        <v>0.55454545454545401</v>
      </c>
      <c r="L168">
        <v>2.8758620689655099</v>
      </c>
      <c r="M168">
        <v>2.0499999999999998</v>
      </c>
      <c r="O168">
        <v>166</v>
      </c>
      <c r="P168">
        <v>1.17147222127628</v>
      </c>
      <c r="Q168">
        <v>1.38085812732775</v>
      </c>
      <c r="R168">
        <v>1.6211076900811601</v>
      </c>
      <c r="S168">
        <v>1.1021264469123799</v>
      </c>
      <c r="T168">
        <v>0.76363291076582096</v>
      </c>
    </row>
    <row r="169" spans="1:20">
      <c r="A169">
        <v>167</v>
      </c>
      <c r="B169">
        <v>6.6624999999999996</v>
      </c>
      <c r="C169">
        <v>10.6586206896551</v>
      </c>
      <c r="D169">
        <v>9.1873376623376597</v>
      </c>
      <c r="E169">
        <v>5.9782608695652097</v>
      </c>
      <c r="F169">
        <v>10.125</v>
      </c>
      <c r="H169">
        <v>167</v>
      </c>
      <c r="I169">
        <v>2.5727272727272701</v>
      </c>
      <c r="J169">
        <v>4.2733333333333299</v>
      </c>
      <c r="K169">
        <v>1.86818181818181</v>
      </c>
      <c r="L169">
        <v>2.5793103448275798</v>
      </c>
      <c r="M169">
        <v>2.68333333333333</v>
      </c>
      <c r="O169">
        <v>167</v>
      </c>
      <c r="P169">
        <v>1.0572111213197799</v>
      </c>
      <c r="Q169">
        <v>1.38162675040215</v>
      </c>
      <c r="R169">
        <v>1.5640581536651701</v>
      </c>
      <c r="S169">
        <v>1.18509865412074</v>
      </c>
      <c r="T169">
        <v>0.84633721178312304</v>
      </c>
    </row>
    <row r="170" spans="1:20">
      <c r="A170">
        <v>168</v>
      </c>
      <c r="B170">
        <v>6.015625</v>
      </c>
      <c r="C170">
        <v>10.7310344827586</v>
      </c>
      <c r="D170">
        <v>9.3000000000000007</v>
      </c>
      <c r="E170">
        <v>5.9340909090908998</v>
      </c>
      <c r="F170">
        <v>10.2291666666666</v>
      </c>
      <c r="H170">
        <v>168</v>
      </c>
      <c r="I170">
        <v>3.0060606060606001</v>
      </c>
      <c r="J170">
        <v>4.5699999999999896</v>
      </c>
      <c r="K170">
        <v>0.86818181818181805</v>
      </c>
      <c r="L170">
        <v>3.7642857142857098</v>
      </c>
      <c r="M170">
        <v>2.5333333333333301</v>
      </c>
      <c r="O170">
        <v>168</v>
      </c>
      <c r="P170">
        <v>1.0716644953435599</v>
      </c>
      <c r="Q170">
        <v>1.17648432087559</v>
      </c>
      <c r="R170">
        <v>1.5179935350500799</v>
      </c>
      <c r="S170">
        <v>1.20835211487642</v>
      </c>
      <c r="T170">
        <v>0.91611783655738799</v>
      </c>
    </row>
    <row r="171" spans="1:20">
      <c r="A171">
        <v>169</v>
      </c>
      <c r="B171">
        <v>6.4772727272727204</v>
      </c>
      <c r="C171">
        <v>11.2603448275862</v>
      </c>
      <c r="D171">
        <v>9.0485930735930697</v>
      </c>
      <c r="E171">
        <v>5.67173913043478</v>
      </c>
      <c r="F171">
        <v>10.316666666666601</v>
      </c>
      <c r="H171">
        <v>169</v>
      </c>
      <c r="I171">
        <v>2.2727272727272698</v>
      </c>
      <c r="J171">
        <v>4.72</v>
      </c>
      <c r="K171">
        <v>1.8227272727272701</v>
      </c>
      <c r="L171">
        <v>2.8</v>
      </c>
      <c r="M171">
        <v>5.5</v>
      </c>
      <c r="O171">
        <v>169</v>
      </c>
      <c r="P171">
        <v>1.12776465530811</v>
      </c>
      <c r="Q171">
        <v>1.1014836099696199</v>
      </c>
      <c r="R171">
        <v>1.38485437425936</v>
      </c>
      <c r="S171">
        <v>1.18779083629558</v>
      </c>
      <c r="T171">
        <v>0.749895043982166</v>
      </c>
    </row>
    <row r="172" spans="1:20">
      <c r="A172">
        <v>170</v>
      </c>
      <c r="B172">
        <v>6.3803030303030299</v>
      </c>
      <c r="C172">
        <v>10.906896551724101</v>
      </c>
      <c r="D172">
        <v>9.3318181818181802</v>
      </c>
      <c r="E172">
        <v>4.92173913043478</v>
      </c>
      <c r="F172">
        <v>10.6666666666666</v>
      </c>
      <c r="H172">
        <v>170</v>
      </c>
      <c r="I172">
        <v>2.1939393939393899</v>
      </c>
      <c r="J172">
        <v>4.07</v>
      </c>
      <c r="K172">
        <v>1.3136363636363599</v>
      </c>
      <c r="L172">
        <v>3.8758620689655099</v>
      </c>
      <c r="M172">
        <v>11.883333333333301</v>
      </c>
      <c r="O172">
        <v>170</v>
      </c>
      <c r="P172">
        <v>1.1020204232536399</v>
      </c>
      <c r="Q172">
        <v>1.1347149368896201</v>
      </c>
      <c r="R172">
        <v>1.5433225842782901</v>
      </c>
      <c r="S172">
        <v>0.90133502683518196</v>
      </c>
      <c r="T172">
        <v>0.72031723210574305</v>
      </c>
    </row>
    <row r="173" spans="1:20">
      <c r="A173">
        <v>171</v>
      </c>
      <c r="B173">
        <v>6.4439393939393899</v>
      </c>
      <c r="C173">
        <v>11.072413793103401</v>
      </c>
      <c r="D173">
        <v>8.5568181818181799</v>
      </c>
      <c r="E173">
        <v>4.7863636363636299</v>
      </c>
      <c r="F173">
        <v>10.6181818181818</v>
      </c>
      <c r="H173">
        <v>171</v>
      </c>
      <c r="I173">
        <v>2.1121212121212101</v>
      </c>
      <c r="J173">
        <v>5.89333333333333</v>
      </c>
      <c r="K173">
        <v>2.6772727272727201</v>
      </c>
      <c r="L173">
        <v>1.6357142857142799</v>
      </c>
      <c r="M173">
        <v>9.0181818181818105</v>
      </c>
      <c r="O173">
        <v>171</v>
      </c>
      <c r="P173">
        <v>1.0991176814324299</v>
      </c>
      <c r="Q173">
        <v>1.25671546368113</v>
      </c>
      <c r="R173">
        <v>1.3535722743469101</v>
      </c>
      <c r="S173">
        <v>1.0492049061848401</v>
      </c>
      <c r="T173">
        <v>0.829345309973199</v>
      </c>
    </row>
    <row r="174" spans="1:20">
      <c r="A174">
        <v>172</v>
      </c>
      <c r="B174">
        <v>6.5606060606060597</v>
      </c>
      <c r="C174">
        <v>11.1844827586206</v>
      </c>
      <c r="D174">
        <v>9.0977272727272709</v>
      </c>
      <c r="E174">
        <v>4.4522727272727201</v>
      </c>
      <c r="F174">
        <v>10.0318181818181</v>
      </c>
      <c r="H174">
        <v>172</v>
      </c>
      <c r="I174">
        <v>2.0333333333333301</v>
      </c>
      <c r="J174">
        <v>2.27</v>
      </c>
      <c r="K174">
        <v>2.4636363636363598</v>
      </c>
      <c r="L174">
        <v>2.2071428571428502</v>
      </c>
      <c r="M174">
        <v>1.9090909090909001</v>
      </c>
      <c r="O174">
        <v>172</v>
      </c>
      <c r="P174">
        <v>1.06265243044536</v>
      </c>
      <c r="Q174">
        <v>1.3590610231009399</v>
      </c>
      <c r="R174">
        <v>1.5425551512791</v>
      </c>
      <c r="S174">
        <v>0.95506489587569499</v>
      </c>
      <c r="T174">
        <v>0.90574236110997597</v>
      </c>
    </row>
    <row r="175" spans="1:20">
      <c r="A175">
        <v>173</v>
      </c>
      <c r="B175">
        <v>6.1424242424242399</v>
      </c>
      <c r="C175">
        <v>10.84</v>
      </c>
      <c r="D175">
        <v>8.1601731601731604</v>
      </c>
      <c r="E175">
        <v>4.80217391304347</v>
      </c>
      <c r="F175">
        <v>8.9727272727272709</v>
      </c>
      <c r="H175">
        <v>173</v>
      </c>
      <c r="I175">
        <v>2.0939393939393902</v>
      </c>
      <c r="J175">
        <v>2.2633333333333301</v>
      </c>
      <c r="K175">
        <v>1.5</v>
      </c>
      <c r="L175">
        <v>2.4620689655172399</v>
      </c>
      <c r="M175">
        <v>1.9636363636363601</v>
      </c>
      <c r="O175">
        <v>173</v>
      </c>
      <c r="P175">
        <v>1.01861486176599</v>
      </c>
      <c r="Q175">
        <v>1.3770648366319</v>
      </c>
      <c r="R175">
        <v>1.4887775037816799</v>
      </c>
      <c r="S175">
        <v>0.85292639212578802</v>
      </c>
      <c r="T175">
        <v>0.89904843691310898</v>
      </c>
    </row>
    <row r="176" spans="1:20">
      <c r="A176">
        <v>174</v>
      </c>
      <c r="B176">
        <v>6.20757575757575</v>
      </c>
      <c r="C176">
        <v>10.578333333333299</v>
      </c>
      <c r="D176">
        <v>8.8409090909090899</v>
      </c>
      <c r="E176">
        <v>5.2086956521739101</v>
      </c>
      <c r="F176">
        <v>9.0227272727272698</v>
      </c>
      <c r="H176">
        <v>174</v>
      </c>
      <c r="I176">
        <v>1.41818181818181</v>
      </c>
      <c r="J176">
        <v>4.8499999999999996</v>
      </c>
      <c r="K176">
        <v>2.2409090909090899</v>
      </c>
      <c r="L176">
        <v>2.4827586206896499</v>
      </c>
      <c r="M176">
        <v>3.0181818181818101</v>
      </c>
      <c r="O176">
        <v>174</v>
      </c>
      <c r="P176">
        <v>1.17304690631908</v>
      </c>
      <c r="Q176">
        <v>1.14995789296724</v>
      </c>
      <c r="R176">
        <v>1.5466702174373801</v>
      </c>
      <c r="S176">
        <v>0.98199358344277898</v>
      </c>
      <c r="T176">
        <v>0.82913615112138495</v>
      </c>
    </row>
    <row r="177" spans="1:20">
      <c r="A177">
        <v>175</v>
      </c>
      <c r="B177">
        <v>6.5106060606060598</v>
      </c>
      <c r="C177">
        <v>10.6928571428571</v>
      </c>
      <c r="D177">
        <v>8.4772727272727195</v>
      </c>
      <c r="E177">
        <v>5.4739130434782597</v>
      </c>
      <c r="F177">
        <v>10.3590909090909</v>
      </c>
      <c r="H177">
        <v>175</v>
      </c>
      <c r="I177">
        <v>1.78484848484848</v>
      </c>
      <c r="J177">
        <v>6.4607142857142801</v>
      </c>
      <c r="K177">
        <v>2.0409090909090901</v>
      </c>
      <c r="L177">
        <v>3.1241379310344799</v>
      </c>
      <c r="M177">
        <v>3.7454545454545398</v>
      </c>
      <c r="O177">
        <v>175</v>
      </c>
      <c r="P177">
        <v>1.05340987186552</v>
      </c>
      <c r="Q177">
        <v>1.1771575957217399</v>
      </c>
      <c r="R177">
        <v>1.3429029563591199</v>
      </c>
      <c r="S177">
        <v>0.94656468510129799</v>
      </c>
      <c r="T177">
        <v>0.88746237543267503</v>
      </c>
    </row>
    <row r="178" spans="1:20">
      <c r="A178">
        <v>176</v>
      </c>
      <c r="B178">
        <v>6.4439393939393899</v>
      </c>
      <c r="C178">
        <v>10.8642857142857</v>
      </c>
      <c r="D178">
        <v>8.4992424242424196</v>
      </c>
      <c r="E178">
        <v>5.7891304347826003</v>
      </c>
      <c r="F178">
        <v>9.5090909090909097</v>
      </c>
      <c r="H178">
        <v>176</v>
      </c>
      <c r="I178">
        <v>1.4909090909090901</v>
      </c>
      <c r="J178">
        <v>8.7785714285714196</v>
      </c>
      <c r="K178">
        <v>2.28181818181818</v>
      </c>
      <c r="L178">
        <v>4.4137931034482696</v>
      </c>
      <c r="M178">
        <v>3.1090909090909</v>
      </c>
      <c r="O178">
        <v>176</v>
      </c>
      <c r="P178">
        <v>1.1237466528878399</v>
      </c>
      <c r="Q178">
        <v>1.3519764431878101</v>
      </c>
      <c r="R178">
        <v>1.4992065977426601</v>
      </c>
      <c r="S178">
        <v>1.0889747979077</v>
      </c>
      <c r="T178">
        <v>0.97866599470650895</v>
      </c>
    </row>
    <row r="179" spans="1:20">
      <c r="A179">
        <v>177</v>
      </c>
      <c r="B179">
        <v>6.6909090909090896</v>
      </c>
      <c r="C179">
        <v>10.492857142857099</v>
      </c>
      <c r="D179">
        <v>8.1190476190476097</v>
      </c>
      <c r="E179">
        <v>5.8195652173913004</v>
      </c>
      <c r="F179">
        <v>9.1272727272727199</v>
      </c>
      <c r="H179">
        <v>177</v>
      </c>
      <c r="I179">
        <v>1.3090909090909</v>
      </c>
      <c r="J179">
        <v>3.8</v>
      </c>
      <c r="K179">
        <v>1.6318181818181801</v>
      </c>
      <c r="L179">
        <v>2.36551724137931</v>
      </c>
      <c r="M179">
        <v>1.25454545454545</v>
      </c>
      <c r="O179">
        <v>177</v>
      </c>
      <c r="P179">
        <v>1.1592232631741799</v>
      </c>
      <c r="Q179">
        <v>1.34392263247945</v>
      </c>
      <c r="R179">
        <v>1.60432792469186</v>
      </c>
      <c r="S179">
        <v>1.0208048810716099</v>
      </c>
      <c r="T179">
        <v>1.0040569739087299</v>
      </c>
    </row>
    <row r="180" spans="1:20">
      <c r="A180">
        <v>178</v>
      </c>
      <c r="B180">
        <v>6.1848484848484802</v>
      </c>
      <c r="C180">
        <v>10.592857142857101</v>
      </c>
      <c r="D180">
        <v>8.35</v>
      </c>
      <c r="E180">
        <v>5.0173913043478198</v>
      </c>
      <c r="F180">
        <v>8.7727272727272698</v>
      </c>
      <c r="H180">
        <v>178</v>
      </c>
      <c r="I180">
        <v>1.8060606060605999</v>
      </c>
      <c r="J180">
        <v>2.81785714285714</v>
      </c>
      <c r="K180">
        <v>0.16818181818181799</v>
      </c>
      <c r="L180">
        <v>2.8206896551724099</v>
      </c>
      <c r="M180">
        <v>2.9818181818181801</v>
      </c>
      <c r="O180">
        <v>178</v>
      </c>
      <c r="P180">
        <v>1.0801233950998499</v>
      </c>
      <c r="Q180">
        <v>1.47912334327964</v>
      </c>
      <c r="R180">
        <v>1.6258138520821599</v>
      </c>
      <c r="S180">
        <v>0.97810658795429595</v>
      </c>
      <c r="T180">
        <v>0.89055521132494797</v>
      </c>
    </row>
    <row r="181" spans="1:20">
      <c r="A181">
        <v>179</v>
      </c>
      <c r="B181">
        <v>5.9242424242424203</v>
      </c>
      <c r="C181">
        <v>10.465517241379301</v>
      </c>
      <c r="D181">
        <v>8.0295454545454508</v>
      </c>
      <c r="E181">
        <v>4.7282608695652097</v>
      </c>
      <c r="F181">
        <v>8.8363636363636306</v>
      </c>
      <c r="H181">
        <v>179</v>
      </c>
      <c r="I181">
        <v>1.7121212121212099</v>
      </c>
      <c r="J181">
        <v>5.6517241379310299</v>
      </c>
      <c r="K181">
        <v>2.22727272727272</v>
      </c>
      <c r="L181">
        <v>2.1931034482758598</v>
      </c>
      <c r="M181">
        <v>0.90909090909090895</v>
      </c>
      <c r="O181">
        <v>179</v>
      </c>
      <c r="P181">
        <v>1.01058351362291</v>
      </c>
      <c r="Q181">
        <v>1.2990420850019999</v>
      </c>
      <c r="R181">
        <v>1.44171784861906</v>
      </c>
      <c r="S181">
        <v>0.90457648507279298</v>
      </c>
      <c r="T181">
        <v>0.949335994975394</v>
      </c>
    </row>
    <row r="182" spans="1:20">
      <c r="A182">
        <v>180</v>
      </c>
      <c r="B182">
        <v>6.1499999999999897</v>
      </c>
      <c r="C182">
        <v>10.572413793103401</v>
      </c>
      <c r="D182">
        <v>8.7095238095238106</v>
      </c>
      <c r="E182">
        <v>4.8673913043478203</v>
      </c>
      <c r="F182">
        <v>8.7136363636363594</v>
      </c>
      <c r="H182">
        <v>180</v>
      </c>
      <c r="I182">
        <v>3.14848484848484</v>
      </c>
      <c r="J182">
        <v>5.2517241379310304</v>
      </c>
      <c r="K182">
        <v>4.39047619047619</v>
      </c>
      <c r="L182">
        <v>2.77931034482758</v>
      </c>
      <c r="M182">
        <v>1.7833333333333301</v>
      </c>
      <c r="O182">
        <v>180</v>
      </c>
      <c r="P182">
        <v>1.0356452508213501</v>
      </c>
      <c r="Q182">
        <v>1.2839514040086699</v>
      </c>
      <c r="R182">
        <v>1.53093050374257</v>
      </c>
      <c r="S182">
        <v>0.98962724918159894</v>
      </c>
      <c r="T182">
        <v>0.92539172734817898</v>
      </c>
    </row>
    <row r="183" spans="1:20">
      <c r="A183">
        <v>181</v>
      </c>
      <c r="B183">
        <v>6.4909090909090903</v>
      </c>
      <c r="C183">
        <v>10.655357142857101</v>
      </c>
      <c r="D183">
        <v>8.2333333333333307</v>
      </c>
      <c r="E183">
        <v>5.5354166666666602</v>
      </c>
      <c r="F183">
        <v>8.5291666666666597</v>
      </c>
      <c r="H183">
        <v>181</v>
      </c>
      <c r="I183">
        <v>2.17575757575757</v>
      </c>
      <c r="J183">
        <v>7.4689655172413696</v>
      </c>
      <c r="K183">
        <v>3.09523809523809</v>
      </c>
      <c r="L183">
        <v>2.1857142857142802</v>
      </c>
      <c r="M183">
        <v>2.5833333333333299</v>
      </c>
      <c r="O183">
        <v>181</v>
      </c>
      <c r="P183">
        <v>1.2161265984409499</v>
      </c>
      <c r="Q183">
        <v>1.3058632096396601</v>
      </c>
      <c r="R183">
        <v>1.3371187077731701</v>
      </c>
      <c r="S183">
        <v>1.2219726743936601</v>
      </c>
      <c r="T183">
        <v>0.82623977006466498</v>
      </c>
    </row>
    <row r="184" spans="1:20">
      <c r="A184">
        <v>182</v>
      </c>
      <c r="B184">
        <v>5.80151515151515</v>
      </c>
      <c r="C184">
        <v>10.0517857142857</v>
      </c>
      <c r="D184">
        <v>8.6285714285714192</v>
      </c>
      <c r="E184">
        <v>4.2979166666666604</v>
      </c>
      <c r="F184">
        <v>8.8208333333333293</v>
      </c>
      <c r="H184">
        <v>182</v>
      </c>
      <c r="I184">
        <v>1.3575757575757501</v>
      </c>
      <c r="J184">
        <v>3.5392857142857101</v>
      </c>
      <c r="K184">
        <v>7.7666666666666604</v>
      </c>
      <c r="L184">
        <v>1.4285714285714199</v>
      </c>
      <c r="M184">
        <v>2.1333333333333302</v>
      </c>
      <c r="O184">
        <v>182</v>
      </c>
      <c r="P184">
        <v>1.0914719035015701</v>
      </c>
      <c r="Q184">
        <v>1.4482050520096601</v>
      </c>
      <c r="R184">
        <v>1.3410226797210301</v>
      </c>
      <c r="S184">
        <v>1.13403924306215</v>
      </c>
      <c r="T184">
        <v>0.80690048817841498</v>
      </c>
    </row>
    <row r="185" spans="1:20">
      <c r="A185">
        <v>183</v>
      </c>
      <c r="B185">
        <v>5.4696969696969697</v>
      </c>
      <c r="C185">
        <v>9.5678571428571395</v>
      </c>
      <c r="D185">
        <v>8.3523809523809494</v>
      </c>
      <c r="E185">
        <v>3.7374999999999998</v>
      </c>
      <c r="F185">
        <v>8.2249999999999996</v>
      </c>
      <c r="H185">
        <v>183</v>
      </c>
      <c r="I185">
        <v>1.66363636363636</v>
      </c>
      <c r="J185">
        <v>4.33928571428571</v>
      </c>
      <c r="K185">
        <v>1.3476190476190399</v>
      </c>
      <c r="L185">
        <v>3.0714285714285698</v>
      </c>
      <c r="M185">
        <v>0.83333333333333304</v>
      </c>
      <c r="O185">
        <v>183</v>
      </c>
      <c r="P185">
        <v>1.0977706117478601</v>
      </c>
      <c r="Q185">
        <v>1.3964370426983801</v>
      </c>
      <c r="R185">
        <v>1.6511527695703201</v>
      </c>
      <c r="S185">
        <v>1.03182731120008</v>
      </c>
      <c r="T185">
        <v>1.0149186441071101</v>
      </c>
    </row>
    <row r="186" spans="1:20">
      <c r="A186">
        <v>184</v>
      </c>
      <c r="B186">
        <v>6.01212121212121</v>
      </c>
      <c r="C186">
        <v>9.7035714285714292</v>
      </c>
      <c r="D186">
        <v>8.2065476190476101</v>
      </c>
      <c r="E186">
        <v>4.34375</v>
      </c>
      <c r="F186">
        <v>8.8333333333333304</v>
      </c>
      <c r="H186">
        <v>184</v>
      </c>
      <c r="I186">
        <v>1.73030303030303</v>
      </c>
      <c r="J186">
        <v>3.2666666666666599</v>
      </c>
      <c r="K186">
        <v>1.25714285714285</v>
      </c>
      <c r="L186">
        <v>2.6571428571428499</v>
      </c>
      <c r="M186">
        <v>3.5666666666666602</v>
      </c>
      <c r="O186">
        <v>184</v>
      </c>
      <c r="P186">
        <v>1.17483894696367</v>
      </c>
      <c r="Q186">
        <v>1.2730824905906899</v>
      </c>
      <c r="R186">
        <v>1.6041576036456699</v>
      </c>
      <c r="S186">
        <v>1.1585335138072801</v>
      </c>
      <c r="T186">
        <v>0.89125379504041602</v>
      </c>
    </row>
    <row r="187" spans="1:20">
      <c r="A187">
        <v>185</v>
      </c>
      <c r="B187">
        <v>6.2727272727272698</v>
      </c>
      <c r="C187">
        <v>10.1785714285714</v>
      </c>
      <c r="D187">
        <v>8.4166666666666607</v>
      </c>
      <c r="E187">
        <v>4.6729166666666604</v>
      </c>
      <c r="F187">
        <v>8.6</v>
      </c>
      <c r="H187">
        <v>185</v>
      </c>
      <c r="I187">
        <v>1.39393939393939</v>
      </c>
      <c r="J187">
        <v>5.2555555555555502</v>
      </c>
      <c r="K187">
        <v>2.4904761904761901</v>
      </c>
      <c r="L187">
        <v>2.3142857142857101</v>
      </c>
      <c r="M187">
        <v>0.73333333333333295</v>
      </c>
      <c r="O187">
        <v>185</v>
      </c>
      <c r="P187">
        <v>1.1350548695748499</v>
      </c>
      <c r="Q187">
        <v>1.2896889465411501</v>
      </c>
      <c r="R187">
        <v>1.38875386402851</v>
      </c>
      <c r="S187">
        <v>1.13165778379763</v>
      </c>
      <c r="T187">
        <v>0.87224086772784204</v>
      </c>
    </row>
    <row r="188" spans="1:20">
      <c r="A188">
        <v>186</v>
      </c>
      <c r="B188">
        <v>6.5393939393939302</v>
      </c>
      <c r="C188">
        <v>10.675000000000001</v>
      </c>
      <c r="D188">
        <v>8.3928571428571406</v>
      </c>
      <c r="E188">
        <v>4.7</v>
      </c>
      <c r="F188">
        <v>9.4</v>
      </c>
      <c r="H188">
        <v>186</v>
      </c>
      <c r="I188">
        <v>1.2030303030303</v>
      </c>
      <c r="J188">
        <v>2.9892857142857099</v>
      </c>
      <c r="K188">
        <v>7.0857142857142801</v>
      </c>
      <c r="L188">
        <v>2.6357142857142799</v>
      </c>
      <c r="M188">
        <v>9.9999999999999895E-2</v>
      </c>
      <c r="O188">
        <v>186</v>
      </c>
      <c r="P188">
        <v>1.3082124240908799</v>
      </c>
      <c r="Q188">
        <v>1.4660191910043801</v>
      </c>
      <c r="R188">
        <v>1.27084263397786</v>
      </c>
      <c r="S188">
        <v>1.1549653440790799</v>
      </c>
      <c r="T188">
        <v>0.96939333533810901</v>
      </c>
    </row>
    <row r="189" spans="1:20">
      <c r="A189">
        <v>187</v>
      </c>
      <c r="B189">
        <v>6.3272727272727201</v>
      </c>
      <c r="C189">
        <v>10.6303571428571</v>
      </c>
      <c r="D189">
        <v>8.5049999999999901</v>
      </c>
      <c r="E189">
        <v>4.3108695652173896</v>
      </c>
      <c r="F189">
        <v>9.12083333333333</v>
      </c>
      <c r="H189">
        <v>187</v>
      </c>
      <c r="I189">
        <v>3.2515151515151501</v>
      </c>
      <c r="J189">
        <v>4.4413793103448196</v>
      </c>
      <c r="K189">
        <v>5.5476190476190403</v>
      </c>
      <c r="L189">
        <v>1.8592592592592501</v>
      </c>
      <c r="M189">
        <v>2.18333333333333</v>
      </c>
      <c r="O189">
        <v>187</v>
      </c>
      <c r="P189">
        <v>1.1532462604149001</v>
      </c>
      <c r="Q189">
        <v>1.3068901655768601</v>
      </c>
      <c r="R189">
        <v>1.5105981415105201</v>
      </c>
      <c r="S189">
        <v>1.0467158284672899</v>
      </c>
      <c r="T189">
        <v>0.851628840058262</v>
      </c>
    </row>
    <row r="190" spans="1:20">
      <c r="A190">
        <v>188</v>
      </c>
      <c r="B190">
        <v>5.5742424242424198</v>
      </c>
      <c r="C190">
        <v>10.5714285714285</v>
      </c>
      <c r="D190">
        <v>9.11666666666666</v>
      </c>
      <c r="E190">
        <v>3.5999999999999899</v>
      </c>
      <c r="F190">
        <v>9.6583333333333297</v>
      </c>
      <c r="H190">
        <v>188</v>
      </c>
      <c r="I190">
        <v>1.1151515151515099</v>
      </c>
      <c r="J190">
        <v>2.8758620689655099</v>
      </c>
      <c r="K190">
        <v>4.1095238095238003</v>
      </c>
      <c r="L190">
        <v>2.5407407407407399</v>
      </c>
      <c r="M190">
        <v>4.5666666666666602</v>
      </c>
      <c r="O190">
        <v>188</v>
      </c>
      <c r="P190">
        <v>1.1860865780805001</v>
      </c>
      <c r="Q190">
        <v>1.41669004164846</v>
      </c>
      <c r="R190">
        <v>1.83531261271716</v>
      </c>
      <c r="S190">
        <v>1.0495959399025301</v>
      </c>
      <c r="T190">
        <v>0.80851868655974801</v>
      </c>
    </row>
    <row r="191" spans="1:20">
      <c r="A191">
        <v>189</v>
      </c>
      <c r="B191">
        <v>5.2243939393939298</v>
      </c>
      <c r="C191">
        <v>10.2685185185185</v>
      </c>
      <c r="D191">
        <v>8.6547619047618998</v>
      </c>
      <c r="E191">
        <v>3.2913043478260802</v>
      </c>
      <c r="F191">
        <v>8.5291666666666597</v>
      </c>
      <c r="H191">
        <v>189</v>
      </c>
      <c r="I191">
        <v>1.7878787878787801</v>
      </c>
      <c r="J191">
        <v>3.7892857142857101</v>
      </c>
      <c r="K191">
        <v>1.51428571428571</v>
      </c>
      <c r="L191">
        <v>2.6071428571428501</v>
      </c>
      <c r="M191">
        <v>3.7833333333333301</v>
      </c>
      <c r="O191">
        <v>189</v>
      </c>
      <c r="P191">
        <v>1.0756170169258299</v>
      </c>
      <c r="Q191">
        <v>1.3370081337281099</v>
      </c>
      <c r="R191">
        <v>1.64852961418123</v>
      </c>
      <c r="S191">
        <v>0.87212342362085105</v>
      </c>
      <c r="T191">
        <v>1.09493770994468</v>
      </c>
    </row>
    <row r="192" spans="1:20">
      <c r="A192">
        <v>190</v>
      </c>
      <c r="B192">
        <v>5.4590909090909001</v>
      </c>
      <c r="C192">
        <v>10.4166666666666</v>
      </c>
      <c r="D192">
        <v>8.3523809523809494</v>
      </c>
      <c r="E192">
        <v>4.0478260869565199</v>
      </c>
      <c r="F192">
        <v>8.1583333333333297</v>
      </c>
      <c r="H192">
        <v>190</v>
      </c>
      <c r="I192">
        <v>1.32424242424242</v>
      </c>
      <c r="J192">
        <v>4.8428571428571399</v>
      </c>
      <c r="K192">
        <v>4.0714285714285703</v>
      </c>
      <c r="L192">
        <v>2.4785714285714202</v>
      </c>
      <c r="M192">
        <v>4.18333333333333</v>
      </c>
      <c r="O192">
        <v>190</v>
      </c>
      <c r="P192">
        <v>1.1571191090080499</v>
      </c>
      <c r="Q192">
        <v>1.6936819221313</v>
      </c>
      <c r="R192">
        <v>1.7168616095922999</v>
      </c>
      <c r="S192">
        <v>0.963711059373207</v>
      </c>
      <c r="T192">
        <v>0.89025740200721304</v>
      </c>
    </row>
    <row r="193" spans="1:20">
      <c r="A193">
        <v>191</v>
      </c>
      <c r="B193">
        <v>5.67121212121212</v>
      </c>
      <c r="C193">
        <v>9.7703703703703706</v>
      </c>
      <c r="D193">
        <v>8.1119047619047606</v>
      </c>
      <c r="E193">
        <v>3.81739130434782</v>
      </c>
      <c r="F193">
        <v>8.24166666666666</v>
      </c>
      <c r="H193">
        <v>191</v>
      </c>
      <c r="I193">
        <v>1.1303030303030299</v>
      </c>
      <c r="J193">
        <v>2.27857142857142</v>
      </c>
      <c r="K193">
        <v>3.88095238095238</v>
      </c>
      <c r="L193">
        <v>2.2428571428571402</v>
      </c>
      <c r="M193">
        <v>2.2666666666666599</v>
      </c>
      <c r="O193">
        <v>191</v>
      </c>
      <c r="P193">
        <v>1.1823583053236399</v>
      </c>
      <c r="Q193">
        <v>1.4303197134636301</v>
      </c>
      <c r="R193">
        <v>1.4547167208326199</v>
      </c>
      <c r="S193">
        <v>0.94572547363132997</v>
      </c>
      <c r="T193">
        <v>1.06467045295546</v>
      </c>
    </row>
    <row r="194" spans="1:20">
      <c r="A194">
        <v>192</v>
      </c>
      <c r="B194">
        <v>5.5803030303030301</v>
      </c>
      <c r="C194">
        <v>9.4057692307692307</v>
      </c>
      <c r="D194">
        <v>8.3619047619047606</v>
      </c>
      <c r="E194">
        <v>3.9520833333333298</v>
      </c>
      <c r="F194">
        <v>8.0333333333333297</v>
      </c>
      <c r="H194">
        <v>192</v>
      </c>
      <c r="I194">
        <v>1.71818181818181</v>
      </c>
      <c r="J194">
        <v>4.05</v>
      </c>
      <c r="K194">
        <v>2.7380952380952301</v>
      </c>
      <c r="L194">
        <v>1.55862068965517</v>
      </c>
      <c r="M194">
        <v>4.6500000000000004</v>
      </c>
      <c r="O194">
        <v>192</v>
      </c>
      <c r="P194">
        <v>1.1413084648267999</v>
      </c>
      <c r="Q194">
        <v>1.34234874078288</v>
      </c>
      <c r="R194">
        <v>1.58252040740123</v>
      </c>
      <c r="S194">
        <v>0.928909310391834</v>
      </c>
      <c r="T194">
        <v>1.03430816091664</v>
      </c>
    </row>
    <row r="195" spans="1:20">
      <c r="A195">
        <v>193</v>
      </c>
      <c r="B195">
        <v>5.8181818181818103</v>
      </c>
      <c r="C195">
        <v>9.7037037037037006</v>
      </c>
      <c r="D195">
        <v>8.4476190476190407</v>
      </c>
      <c r="E195">
        <v>3.76249999999999</v>
      </c>
      <c r="F195">
        <v>8.37083333333333</v>
      </c>
      <c r="H195">
        <v>193</v>
      </c>
      <c r="I195">
        <v>1.27272727272727</v>
      </c>
      <c r="J195">
        <v>7.2038461538461496</v>
      </c>
      <c r="K195">
        <v>2.8571428571428501</v>
      </c>
      <c r="L195">
        <v>1.9862068965517199</v>
      </c>
      <c r="M195">
        <v>1.61666666666666</v>
      </c>
      <c r="O195">
        <v>193</v>
      </c>
      <c r="P195">
        <v>1.2366027185060899</v>
      </c>
      <c r="Q195">
        <v>1.4005767318328199</v>
      </c>
      <c r="R195">
        <v>1.4896061771534901</v>
      </c>
      <c r="S195">
        <v>1.0025561080527401</v>
      </c>
      <c r="T195">
        <v>1.0039262064680501</v>
      </c>
    </row>
    <row r="196" spans="1:20">
      <c r="A196">
        <v>194</v>
      </c>
      <c r="B196">
        <v>5.8984848484848396</v>
      </c>
      <c r="C196">
        <v>9.875</v>
      </c>
      <c r="D196">
        <v>8.0047619047618994</v>
      </c>
      <c r="E196">
        <v>4.242</v>
      </c>
      <c r="F196">
        <v>8.0916666666666597</v>
      </c>
      <c r="H196">
        <v>194</v>
      </c>
      <c r="I196">
        <v>1.44545454545454</v>
      </c>
      <c r="J196">
        <v>2.7366666666666601</v>
      </c>
      <c r="K196">
        <v>2.5571428571428498</v>
      </c>
      <c r="L196">
        <v>1.04</v>
      </c>
      <c r="M196">
        <v>5.0666666666666602</v>
      </c>
      <c r="O196">
        <v>194</v>
      </c>
      <c r="P196">
        <v>1.20462827119224</v>
      </c>
      <c r="Q196">
        <v>1.5241946960031101</v>
      </c>
      <c r="R196">
        <v>1.56286173199885</v>
      </c>
      <c r="S196">
        <v>1.1392988578041701</v>
      </c>
      <c r="T196">
        <v>0.87492032925951801</v>
      </c>
    </row>
    <row r="197" spans="1:20">
      <c r="A197">
        <v>195</v>
      </c>
      <c r="B197">
        <v>6.1590909090909003</v>
      </c>
      <c r="C197">
        <v>9.4732142857142794</v>
      </c>
      <c r="D197">
        <v>7.5666666666666602</v>
      </c>
      <c r="E197">
        <v>4.67</v>
      </c>
      <c r="F197">
        <v>7.9156250000000004</v>
      </c>
      <c r="H197">
        <v>195</v>
      </c>
      <c r="I197">
        <v>0.93333333333333302</v>
      </c>
      <c r="J197">
        <v>4.4607142857142801</v>
      </c>
      <c r="K197">
        <v>2.5571428571428498</v>
      </c>
      <c r="L197">
        <v>1.32666666666666</v>
      </c>
      <c r="M197">
        <v>4.1666666666666599</v>
      </c>
      <c r="O197">
        <v>195</v>
      </c>
      <c r="P197">
        <v>1.08107866384151</v>
      </c>
      <c r="Q197">
        <v>1.1833728950226901</v>
      </c>
      <c r="R197">
        <v>1.4107478527239601</v>
      </c>
      <c r="S197">
        <v>1.2061106074183101</v>
      </c>
      <c r="T197">
        <v>0.80250527716076203</v>
      </c>
    </row>
    <row r="198" spans="1:20">
      <c r="A198">
        <v>196</v>
      </c>
      <c r="B198">
        <v>5.8606060606060604</v>
      </c>
      <c r="C198">
        <v>10.3732142857142</v>
      </c>
      <c r="D198">
        <v>8.4499999999999993</v>
      </c>
      <c r="E198">
        <v>5.2020833333333298</v>
      </c>
      <c r="F198">
        <v>8.8590909090909093</v>
      </c>
      <c r="H198">
        <v>196</v>
      </c>
      <c r="I198">
        <v>0.95454545454545403</v>
      </c>
      <c r="J198">
        <v>6.4071428571428504</v>
      </c>
      <c r="K198">
        <v>5.4714285714285698</v>
      </c>
      <c r="L198">
        <v>1.08965517241379</v>
      </c>
      <c r="M198">
        <v>2.0666666666666602</v>
      </c>
      <c r="O198">
        <v>196</v>
      </c>
      <c r="P198">
        <v>1.0543699556166799</v>
      </c>
      <c r="Q198">
        <v>1.32556972588678</v>
      </c>
      <c r="R198">
        <v>1.4112498820533601</v>
      </c>
      <c r="S198">
        <v>1.08772148944397</v>
      </c>
      <c r="T198">
        <v>0.97822362204517799</v>
      </c>
    </row>
    <row r="199" spans="1:20">
      <c r="A199">
        <v>197</v>
      </c>
      <c r="B199">
        <v>6.3318181818181802</v>
      </c>
      <c r="C199">
        <v>10.9428571428571</v>
      </c>
      <c r="D199">
        <v>8.6999999999999993</v>
      </c>
      <c r="E199">
        <v>4.3833333333333302</v>
      </c>
      <c r="F199">
        <v>8.8590909090909093</v>
      </c>
      <c r="H199">
        <v>197</v>
      </c>
      <c r="I199">
        <v>1.9030303030303</v>
      </c>
      <c r="J199">
        <v>5.1392857142857098</v>
      </c>
      <c r="K199">
        <v>4.5142857142857098</v>
      </c>
      <c r="L199">
        <v>2.2758620689655098</v>
      </c>
      <c r="M199">
        <v>6.0666666666666602</v>
      </c>
      <c r="O199">
        <v>197</v>
      </c>
      <c r="P199">
        <v>1.0854702771695099</v>
      </c>
      <c r="Q199">
        <v>1.2285245260717499</v>
      </c>
      <c r="R199">
        <v>1.10904778031504</v>
      </c>
      <c r="S199">
        <v>0.94193825817400201</v>
      </c>
      <c r="T199">
        <v>0.78802331007485205</v>
      </c>
    </row>
    <row r="200" spans="1:20">
      <c r="A200">
        <v>198</v>
      </c>
      <c r="B200">
        <v>6.4424242424242397</v>
      </c>
      <c r="C200">
        <v>10.689655172413699</v>
      </c>
      <c r="D200">
        <v>9.1380952380952305</v>
      </c>
      <c r="E200">
        <v>5.2039999999999997</v>
      </c>
      <c r="F200">
        <v>9.5909090909090899</v>
      </c>
      <c r="H200">
        <v>198</v>
      </c>
      <c r="I200">
        <v>2.3454545454545399</v>
      </c>
      <c r="J200">
        <v>7.5433333333333303</v>
      </c>
      <c r="K200">
        <v>4.1666666666666599</v>
      </c>
      <c r="L200">
        <v>0.49333333333333301</v>
      </c>
      <c r="M200">
        <v>4.5999999999999996</v>
      </c>
      <c r="O200">
        <v>198</v>
      </c>
      <c r="P200">
        <v>0.98557119798157899</v>
      </c>
      <c r="Q200">
        <v>1.11837858032715</v>
      </c>
      <c r="R200">
        <v>1.2449247672958601</v>
      </c>
      <c r="S200">
        <v>1.1589647191816199</v>
      </c>
      <c r="T200">
        <v>0.944748845250029</v>
      </c>
    </row>
    <row r="201" spans="1:20">
      <c r="A201">
        <v>199</v>
      </c>
      <c r="B201">
        <v>6.3242424242424198</v>
      </c>
      <c r="C201">
        <v>10.322413793103401</v>
      </c>
      <c r="D201">
        <v>8.3357142857142801</v>
      </c>
      <c r="E201">
        <v>5.1437499999999998</v>
      </c>
      <c r="F201">
        <v>8.8450000000000006</v>
      </c>
      <c r="H201">
        <v>199</v>
      </c>
      <c r="I201">
        <v>3.6</v>
      </c>
      <c r="J201">
        <v>7.7933333333333303</v>
      </c>
      <c r="K201">
        <v>5.3190476190476099</v>
      </c>
      <c r="L201">
        <v>2.1800000000000002</v>
      </c>
      <c r="M201">
        <v>1.1000000000000001</v>
      </c>
      <c r="O201">
        <v>199</v>
      </c>
      <c r="P201">
        <v>1.0101770597585</v>
      </c>
      <c r="Q201">
        <v>1.2757644672773201</v>
      </c>
      <c r="R201">
        <v>1.206604977459</v>
      </c>
      <c r="S201">
        <v>1.0460247979900501</v>
      </c>
      <c r="T201">
        <v>1.0240187106181899</v>
      </c>
    </row>
    <row r="202" spans="1:20">
      <c r="A202">
        <v>200</v>
      </c>
      <c r="B202">
        <v>6.5333333333333297</v>
      </c>
      <c r="C202">
        <v>10.189655172413699</v>
      </c>
      <c r="D202">
        <v>7.9571428571428502</v>
      </c>
      <c r="E202">
        <v>5.2139999999999898</v>
      </c>
      <c r="F202">
        <v>8.99166666666666</v>
      </c>
      <c r="H202">
        <v>200</v>
      </c>
      <c r="I202">
        <v>1.92121212121212</v>
      </c>
      <c r="J202">
        <v>4.3533333333333299</v>
      </c>
      <c r="K202">
        <v>3.21428571428571</v>
      </c>
      <c r="L202">
        <v>1.37333333333333</v>
      </c>
      <c r="M202">
        <v>1.3499999999999901</v>
      </c>
      <c r="O202">
        <v>200</v>
      </c>
      <c r="P202">
        <v>1.0019139083521</v>
      </c>
      <c r="Q202">
        <v>1.3903947480338801</v>
      </c>
      <c r="R202">
        <v>1.3495100791313701</v>
      </c>
      <c r="S202">
        <v>1.1888499073482</v>
      </c>
      <c r="T202">
        <v>1.16174529470798</v>
      </c>
    </row>
    <row r="203" spans="1:20">
      <c r="A203">
        <v>201</v>
      </c>
      <c r="B203">
        <v>6.70757575757575</v>
      </c>
      <c r="C203">
        <v>10.668333333333299</v>
      </c>
      <c r="D203">
        <v>8.3547619047619008</v>
      </c>
      <c r="E203">
        <v>5.7160000000000002</v>
      </c>
      <c r="F203">
        <v>9.5</v>
      </c>
      <c r="H203">
        <v>201</v>
      </c>
      <c r="I203">
        <v>1.76969696969696</v>
      </c>
      <c r="J203">
        <v>2.8833333333333302</v>
      </c>
      <c r="K203">
        <v>5.4476190476190398</v>
      </c>
      <c r="L203">
        <v>1.84</v>
      </c>
      <c r="M203">
        <v>2.75</v>
      </c>
      <c r="O203">
        <v>201</v>
      </c>
      <c r="P203">
        <v>1.1757544824616699</v>
      </c>
      <c r="Q203">
        <v>1.4312964730661999</v>
      </c>
      <c r="R203">
        <v>1.42057967743019</v>
      </c>
      <c r="S203">
        <v>1.4082710112286101</v>
      </c>
      <c r="T203">
        <v>0.94669865516537999</v>
      </c>
    </row>
    <row r="204" spans="1:20">
      <c r="A204">
        <v>202</v>
      </c>
      <c r="B204">
        <v>6.2909090909090901</v>
      </c>
      <c r="C204">
        <v>10.181666666666599</v>
      </c>
      <c r="D204">
        <v>8.2880952380952309</v>
      </c>
      <c r="E204">
        <v>5.3780000000000001</v>
      </c>
      <c r="F204">
        <v>9.8333333333333304</v>
      </c>
      <c r="H204">
        <v>202</v>
      </c>
      <c r="I204">
        <v>2.1</v>
      </c>
      <c r="J204">
        <v>4.64333333333333</v>
      </c>
      <c r="K204">
        <v>1.02380952380952</v>
      </c>
      <c r="L204">
        <v>2.08</v>
      </c>
      <c r="M204">
        <v>3.6333333333333302</v>
      </c>
      <c r="O204">
        <v>202</v>
      </c>
      <c r="P204">
        <v>1.0943315234208899</v>
      </c>
      <c r="Q204">
        <v>1.23251722447282</v>
      </c>
      <c r="R204">
        <v>1.6762293048007399</v>
      </c>
      <c r="S204">
        <v>1.2501919514791699</v>
      </c>
      <c r="T204">
        <v>1.0815395194790001</v>
      </c>
    </row>
    <row r="205" spans="1:20">
      <c r="A205">
        <v>203</v>
      </c>
      <c r="B205">
        <v>6.5757575757575699</v>
      </c>
      <c r="C205">
        <v>10.761666666666599</v>
      </c>
      <c r="D205">
        <v>9.11666666666666</v>
      </c>
      <c r="E205">
        <v>5.0419999999999998</v>
      </c>
      <c r="F205">
        <v>10.029166666666599</v>
      </c>
      <c r="H205">
        <v>203</v>
      </c>
      <c r="I205">
        <v>2.55151515151515</v>
      </c>
      <c r="J205">
        <v>5.7333333333333298</v>
      </c>
      <c r="K205">
        <v>4.0190476190476101</v>
      </c>
      <c r="L205">
        <v>1.66</v>
      </c>
      <c r="M205">
        <v>4.68333333333333</v>
      </c>
      <c r="O205">
        <v>203</v>
      </c>
      <c r="P205">
        <v>1.2263410572015001</v>
      </c>
      <c r="Q205">
        <v>1.55725377410155</v>
      </c>
      <c r="R205">
        <v>1.7998370791859599</v>
      </c>
      <c r="S205">
        <v>1.0544491767950099</v>
      </c>
      <c r="T205">
        <v>1.0771273773513399</v>
      </c>
    </row>
    <row r="206" spans="1:20">
      <c r="A206">
        <v>204</v>
      </c>
      <c r="B206">
        <v>6.8424242424242401</v>
      </c>
      <c r="C206">
        <v>10.623333333333299</v>
      </c>
      <c r="D206">
        <v>8.4619047619047603</v>
      </c>
      <c r="E206">
        <v>5.1739999999999897</v>
      </c>
      <c r="F206">
        <v>9.4250000000000007</v>
      </c>
      <c r="H206">
        <v>204</v>
      </c>
      <c r="I206">
        <v>0.84545454545454501</v>
      </c>
      <c r="J206">
        <v>7.9733333333333301</v>
      </c>
      <c r="K206">
        <v>3.4523809523809499</v>
      </c>
      <c r="L206">
        <v>1.8333333333333299</v>
      </c>
      <c r="M206">
        <v>5.2666666666666604</v>
      </c>
      <c r="O206">
        <v>204</v>
      </c>
      <c r="P206">
        <v>1.3752263361541199</v>
      </c>
      <c r="Q206">
        <v>1.24522053814258</v>
      </c>
      <c r="R206">
        <v>1.4408664399009901</v>
      </c>
      <c r="S206">
        <v>1.35056989970224</v>
      </c>
      <c r="T206">
        <v>0.87955885998233896</v>
      </c>
    </row>
    <row r="207" spans="1:20">
      <c r="A207">
        <v>205</v>
      </c>
      <c r="B207">
        <v>6.7236363636363601</v>
      </c>
      <c r="C207">
        <v>10.654999999999999</v>
      </c>
      <c r="D207">
        <v>9.2261904761904692</v>
      </c>
      <c r="E207">
        <v>5.1770833333333304</v>
      </c>
      <c r="F207">
        <v>9.4</v>
      </c>
      <c r="H207">
        <v>205</v>
      </c>
      <c r="I207">
        <v>0.62727272727272698</v>
      </c>
      <c r="J207">
        <v>4.2566666666666597</v>
      </c>
      <c r="K207">
        <v>3.8</v>
      </c>
      <c r="L207">
        <v>1.9586206896551701</v>
      </c>
      <c r="M207">
        <v>2.0499999999999998</v>
      </c>
      <c r="O207">
        <v>205</v>
      </c>
      <c r="P207">
        <v>1.3244433723498701</v>
      </c>
      <c r="Q207">
        <v>1.3859271813606999</v>
      </c>
      <c r="R207">
        <v>1.64390262873787</v>
      </c>
      <c r="S207">
        <v>1.1816936268934299</v>
      </c>
      <c r="T207">
        <v>0.953998897248024</v>
      </c>
    </row>
    <row r="208" spans="1:20">
      <c r="A208">
        <v>206</v>
      </c>
      <c r="B208">
        <v>6.8075757575757496</v>
      </c>
      <c r="C208">
        <v>10.085000000000001</v>
      </c>
      <c r="D208">
        <v>8.6071428571428505</v>
      </c>
      <c r="E208">
        <v>5.18</v>
      </c>
      <c r="F208">
        <v>8.92916666666666</v>
      </c>
      <c r="H208">
        <v>206</v>
      </c>
      <c r="I208">
        <v>2.63636363636363</v>
      </c>
      <c r="J208">
        <v>4.9833333333333298</v>
      </c>
      <c r="K208">
        <v>1.24285714285714</v>
      </c>
      <c r="L208">
        <v>3.28</v>
      </c>
      <c r="M208">
        <v>1.1499999999999999</v>
      </c>
      <c r="O208">
        <v>206</v>
      </c>
      <c r="P208">
        <v>1.44760057498724</v>
      </c>
      <c r="Q208">
        <v>1.45895733681155</v>
      </c>
      <c r="R208">
        <v>1.7057047707753099</v>
      </c>
      <c r="S208">
        <v>1.1271393467631201</v>
      </c>
      <c r="T208">
        <v>1.2467505566806001</v>
      </c>
    </row>
    <row r="209" spans="1:20">
      <c r="A209">
        <v>207</v>
      </c>
      <c r="B209">
        <v>6.7636363636363601</v>
      </c>
      <c r="C209">
        <v>9.99</v>
      </c>
      <c r="D209">
        <v>8.2261904761904692</v>
      </c>
      <c r="E209">
        <v>5.83</v>
      </c>
      <c r="F209">
        <v>8.7624999999999993</v>
      </c>
      <c r="H209">
        <v>207</v>
      </c>
      <c r="I209">
        <v>1.49696969696969</v>
      </c>
      <c r="J209">
        <v>3.5266666666666602</v>
      </c>
      <c r="K209">
        <v>2.1142857142857099</v>
      </c>
      <c r="L209">
        <v>1.82666666666666</v>
      </c>
      <c r="M209">
        <v>0.45</v>
      </c>
      <c r="O209">
        <v>207</v>
      </c>
      <c r="P209">
        <v>1.60850212631903</v>
      </c>
      <c r="Q209">
        <v>1.3793054622795899</v>
      </c>
      <c r="R209">
        <v>1.6268596641547299</v>
      </c>
      <c r="S209">
        <v>1.4369147078942399</v>
      </c>
      <c r="T209">
        <v>1.3150067848265401</v>
      </c>
    </row>
    <row r="210" spans="1:20">
      <c r="A210">
        <v>208</v>
      </c>
      <c r="B210">
        <v>7.0954545454545404</v>
      </c>
      <c r="C210">
        <v>10.4116666666666</v>
      </c>
      <c r="D210">
        <v>8.1785714285714199</v>
      </c>
      <c r="E210">
        <v>5.98</v>
      </c>
      <c r="F210">
        <v>9.3333333333333304</v>
      </c>
      <c r="H210">
        <v>208</v>
      </c>
      <c r="I210">
        <v>2.4303030303030302</v>
      </c>
      <c r="J210">
        <v>5.38</v>
      </c>
      <c r="K210">
        <v>2.2952380952380902</v>
      </c>
      <c r="L210">
        <v>1.38</v>
      </c>
      <c r="M210">
        <v>2.0166666666666599</v>
      </c>
      <c r="O210">
        <v>208</v>
      </c>
      <c r="P210">
        <v>1.55883335001025</v>
      </c>
      <c r="Q210">
        <v>1.53088528913385</v>
      </c>
      <c r="R210">
        <v>1.6761260921749099</v>
      </c>
      <c r="S210">
        <v>1.3226527145016</v>
      </c>
      <c r="T210">
        <v>1.11956275252086</v>
      </c>
    </row>
    <row r="211" spans="1:20">
      <c r="A211">
        <v>209</v>
      </c>
      <c r="B211">
        <v>7.0287878787878704</v>
      </c>
      <c r="C211">
        <v>10.494999999999999</v>
      </c>
      <c r="D211">
        <v>8.9785714285714207</v>
      </c>
      <c r="E211">
        <v>6.125</v>
      </c>
      <c r="F211">
        <v>8.9875000000000007</v>
      </c>
      <c r="H211">
        <v>209</v>
      </c>
      <c r="I211">
        <v>0.79090909090909101</v>
      </c>
      <c r="J211">
        <v>3.6033333333333299</v>
      </c>
      <c r="K211">
        <v>1.2047619047619</v>
      </c>
      <c r="L211">
        <v>1.22068965517241</v>
      </c>
      <c r="M211">
        <v>1.2666666666666599</v>
      </c>
      <c r="O211">
        <v>209</v>
      </c>
      <c r="P211">
        <v>1.4832490994765199</v>
      </c>
      <c r="Q211">
        <v>1.5836053821317999</v>
      </c>
      <c r="R211">
        <v>1.9416095139368701</v>
      </c>
      <c r="S211">
        <v>1.40868014829115</v>
      </c>
      <c r="T211">
        <v>1.28515382274214</v>
      </c>
    </row>
    <row r="212" spans="1:20">
      <c r="A212">
        <v>210</v>
      </c>
      <c r="B212">
        <v>7.4492424242424198</v>
      </c>
      <c r="C212">
        <v>10.685</v>
      </c>
      <c r="D212">
        <v>8.7595238095238095</v>
      </c>
      <c r="E212">
        <v>6.2229166666666602</v>
      </c>
      <c r="F212">
        <v>9.0374999999999996</v>
      </c>
      <c r="H212">
        <v>210</v>
      </c>
      <c r="I212">
        <v>0.79696969696969699</v>
      </c>
      <c r="J212">
        <v>5.83</v>
      </c>
      <c r="K212">
        <v>0.90476190476190399</v>
      </c>
      <c r="L212">
        <v>1.5724137931034401</v>
      </c>
      <c r="M212">
        <v>2.7999999999999901</v>
      </c>
      <c r="O212">
        <v>210</v>
      </c>
      <c r="P212">
        <v>1.5379059871907199</v>
      </c>
      <c r="Q212">
        <v>1.6019548518300599</v>
      </c>
      <c r="R212">
        <v>1.71125659523228</v>
      </c>
      <c r="S212">
        <v>1.2683308435204901</v>
      </c>
      <c r="T212">
        <v>1.1959337492079301</v>
      </c>
    </row>
    <row r="213" spans="1:20">
      <c r="A213">
        <v>211</v>
      </c>
      <c r="B213">
        <v>6.8409090909090899</v>
      </c>
      <c r="C213">
        <v>10.678333333333301</v>
      </c>
      <c r="D213">
        <v>8.9523809523809508</v>
      </c>
      <c r="E213">
        <v>5.2895833333333302</v>
      </c>
      <c r="F213">
        <v>8.17916666666666</v>
      </c>
      <c r="H213">
        <v>211</v>
      </c>
      <c r="I213">
        <v>1.59393939393939</v>
      </c>
      <c r="J213">
        <v>2.98</v>
      </c>
      <c r="K213">
        <v>1.56666666666666</v>
      </c>
      <c r="L213">
        <v>1.8413793103448199</v>
      </c>
      <c r="M213">
        <v>1.55</v>
      </c>
      <c r="O213">
        <v>211</v>
      </c>
      <c r="P213">
        <v>1.61262260286068</v>
      </c>
      <c r="Q213">
        <v>1.6077513956073599</v>
      </c>
      <c r="R213">
        <v>1.89731414629641</v>
      </c>
      <c r="S213">
        <v>1.31760658963864</v>
      </c>
      <c r="T213">
        <v>1.3658842309244701</v>
      </c>
    </row>
    <row r="214" spans="1:20">
      <c r="A214">
        <v>212</v>
      </c>
      <c r="B214">
        <v>7.1918181818181797</v>
      </c>
      <c r="C214">
        <v>10.767241379310301</v>
      </c>
      <c r="D214">
        <v>8.6119047619047606</v>
      </c>
      <c r="E214">
        <v>5.8780000000000001</v>
      </c>
      <c r="F214">
        <v>8.75</v>
      </c>
      <c r="H214">
        <v>212</v>
      </c>
      <c r="I214">
        <v>0.86060606060606004</v>
      </c>
      <c r="J214">
        <v>4.4285714285714199</v>
      </c>
      <c r="K214">
        <v>3.05238095238095</v>
      </c>
      <c r="L214">
        <v>1.42</v>
      </c>
      <c r="M214">
        <v>2.44999999999999</v>
      </c>
      <c r="O214">
        <v>212</v>
      </c>
      <c r="P214">
        <v>1.7014054560095799</v>
      </c>
      <c r="Q214">
        <v>1.4764466109261301</v>
      </c>
      <c r="R214">
        <v>1.73331506262782</v>
      </c>
      <c r="S214">
        <v>1.57403379553346</v>
      </c>
      <c r="T214">
        <v>0.89818915942500899</v>
      </c>
    </row>
    <row r="215" spans="1:20">
      <c r="A215">
        <v>213</v>
      </c>
      <c r="B215">
        <v>7.4148484848484797</v>
      </c>
      <c r="C215">
        <v>10.815</v>
      </c>
      <c r="D215">
        <v>9.4261904761904702</v>
      </c>
      <c r="E215">
        <v>6.1219999999999999</v>
      </c>
      <c r="F215">
        <v>10.3375</v>
      </c>
      <c r="H215">
        <v>213</v>
      </c>
      <c r="I215">
        <v>1.7787878787878699</v>
      </c>
      <c r="J215">
        <v>3.8533333333333299</v>
      </c>
      <c r="K215">
        <v>2.0904761904761902</v>
      </c>
      <c r="L215">
        <v>2.1866666666666599</v>
      </c>
      <c r="M215">
        <v>5.2666666666666604</v>
      </c>
      <c r="O215">
        <v>213</v>
      </c>
      <c r="P215">
        <v>1.57863389711225</v>
      </c>
      <c r="Q215">
        <v>1.4161434812322</v>
      </c>
      <c r="R215">
        <v>1.72617171841124</v>
      </c>
      <c r="S215">
        <v>1.60032210621773</v>
      </c>
      <c r="T215">
        <v>0.94454335980482496</v>
      </c>
    </row>
    <row r="216" spans="1:20">
      <c r="A216">
        <v>214</v>
      </c>
      <c r="B216">
        <v>7.1409090909090898</v>
      </c>
      <c r="C216">
        <v>11.156666666666601</v>
      </c>
      <c r="D216">
        <v>9.6904761904761898</v>
      </c>
      <c r="E216">
        <v>5.6145833333333304</v>
      </c>
      <c r="F216">
        <v>10.595454545454499</v>
      </c>
      <c r="H216">
        <v>214</v>
      </c>
      <c r="I216">
        <v>1.47272727272727</v>
      </c>
      <c r="J216">
        <v>5.7666666666666604</v>
      </c>
      <c r="K216">
        <v>1.24285714285714</v>
      </c>
      <c r="L216">
        <v>2.9666666666666601</v>
      </c>
      <c r="M216">
        <v>4.4166666666666599</v>
      </c>
      <c r="O216">
        <v>214</v>
      </c>
      <c r="P216">
        <v>1.5098843625253899</v>
      </c>
      <c r="Q216">
        <v>1.4216364054283901</v>
      </c>
      <c r="R216">
        <v>1.83242552461789</v>
      </c>
      <c r="S216">
        <v>1.18863883509873</v>
      </c>
      <c r="T216">
        <v>1.0832642567801201</v>
      </c>
    </row>
    <row r="217" spans="1:20">
      <c r="A217">
        <v>215</v>
      </c>
      <c r="B217">
        <v>6.7681818181818096</v>
      </c>
      <c r="C217">
        <v>11.0879310344827</v>
      </c>
      <c r="D217">
        <v>9.2023809523809508</v>
      </c>
      <c r="E217">
        <v>5.9160000000000004</v>
      </c>
      <c r="F217">
        <v>10.1041666666666</v>
      </c>
      <c r="H217">
        <v>215</v>
      </c>
      <c r="I217">
        <v>0.76666666666666605</v>
      </c>
      <c r="J217">
        <v>3.2896551724137901</v>
      </c>
      <c r="K217">
        <v>2.4</v>
      </c>
      <c r="L217">
        <v>1.41333333333333</v>
      </c>
      <c r="M217">
        <v>2.0833333333333299</v>
      </c>
      <c r="O217">
        <v>215</v>
      </c>
      <c r="P217">
        <v>1.28491883482887</v>
      </c>
      <c r="Q217">
        <v>1.4857250646951901</v>
      </c>
      <c r="R217">
        <v>1.58831779694192</v>
      </c>
      <c r="S217">
        <v>1.54884825313339</v>
      </c>
      <c r="T217">
        <v>1.39183263100002</v>
      </c>
    </row>
    <row r="218" spans="1:20">
      <c r="A218">
        <v>216</v>
      </c>
      <c r="B218">
        <v>7.2015151515151503</v>
      </c>
      <c r="C218">
        <v>10.9965517241379</v>
      </c>
      <c r="D218">
        <v>9.5428571428571392</v>
      </c>
      <c r="E218">
        <v>5.6680000000000001</v>
      </c>
      <c r="F218">
        <v>10.1833333333333</v>
      </c>
      <c r="H218">
        <v>216</v>
      </c>
      <c r="I218">
        <v>1.47272727272727</v>
      </c>
      <c r="J218">
        <v>5.08275862068965</v>
      </c>
      <c r="K218">
        <v>3.2666666666666599</v>
      </c>
      <c r="L218">
        <v>1.5066666666666599</v>
      </c>
      <c r="M218">
        <v>5.9833333333333298</v>
      </c>
      <c r="O218">
        <v>216</v>
      </c>
      <c r="P218">
        <v>1.3386149785468899</v>
      </c>
      <c r="Q218">
        <v>1.4618721174640501</v>
      </c>
      <c r="R218">
        <v>1.7771406396973799</v>
      </c>
      <c r="S218">
        <v>1.3135892156242499</v>
      </c>
      <c r="T218">
        <v>1.0301492818772899</v>
      </c>
    </row>
    <row r="219" spans="1:20">
      <c r="A219">
        <v>217</v>
      </c>
      <c r="B219">
        <v>7.3742424242424196</v>
      </c>
      <c r="C219">
        <v>10.706395995550601</v>
      </c>
      <c r="D219">
        <v>8.5904761904761902</v>
      </c>
      <c r="E219">
        <v>6.5540000000000003</v>
      </c>
      <c r="F219">
        <v>9.7708333333333304</v>
      </c>
      <c r="H219">
        <v>217</v>
      </c>
      <c r="I219">
        <v>1.75757575757575</v>
      </c>
      <c r="J219">
        <v>4.8827586206896498</v>
      </c>
      <c r="K219">
        <v>1.43333333333333</v>
      </c>
      <c r="L219">
        <v>1.28666666666666</v>
      </c>
      <c r="M219">
        <v>2.9833333333333298</v>
      </c>
      <c r="O219">
        <v>217</v>
      </c>
      <c r="P219">
        <v>1.55222576978494</v>
      </c>
      <c r="Q219">
        <v>1.3278392687764899</v>
      </c>
      <c r="R219">
        <v>1.61509194777145</v>
      </c>
      <c r="S219">
        <v>1.6217906530713</v>
      </c>
      <c r="T219">
        <v>1.3432284560273799</v>
      </c>
    </row>
    <row r="220" spans="1:20">
      <c r="A220">
        <v>218</v>
      </c>
      <c r="B220">
        <v>7.4590909090909001</v>
      </c>
      <c r="C220">
        <v>10.6327586206896</v>
      </c>
      <c r="D220">
        <v>8.6952380952380892</v>
      </c>
      <c r="E220">
        <v>6.3519999999999897</v>
      </c>
      <c r="F220">
        <v>9.8791666666666593</v>
      </c>
      <c r="H220">
        <v>218</v>
      </c>
      <c r="I220">
        <v>0.60909090909090902</v>
      </c>
      <c r="J220">
        <v>4.1724137931034404</v>
      </c>
      <c r="K220">
        <v>4.4238095238095196</v>
      </c>
      <c r="L220">
        <v>1.5933333333333299</v>
      </c>
      <c r="M220">
        <v>4.4833333333333298</v>
      </c>
      <c r="O220">
        <v>218</v>
      </c>
      <c r="P220">
        <v>1.4979769801628799</v>
      </c>
      <c r="Q220">
        <v>1.47551454127292</v>
      </c>
      <c r="R220">
        <v>1.7087780032575901</v>
      </c>
      <c r="S220">
        <v>1.4575923970919999</v>
      </c>
      <c r="T220">
        <v>1.0259838566514501</v>
      </c>
    </row>
    <row r="221" spans="1:20">
      <c r="A221">
        <v>219</v>
      </c>
      <c r="B221">
        <v>7.5939393939393902</v>
      </c>
      <c r="C221">
        <v>10.7362068965517</v>
      </c>
      <c r="D221">
        <v>9.5452380952380906</v>
      </c>
      <c r="E221">
        <v>5.8639999999999999</v>
      </c>
      <c r="F221">
        <v>9.9874999999999901</v>
      </c>
      <c r="H221">
        <v>219</v>
      </c>
      <c r="I221">
        <v>3.3848484848484799</v>
      </c>
      <c r="J221">
        <v>3.27241379310344</v>
      </c>
      <c r="K221">
        <v>4.5952380952380896</v>
      </c>
      <c r="L221">
        <v>1.89333333333333</v>
      </c>
      <c r="M221">
        <v>2.2000000000000002</v>
      </c>
      <c r="O221">
        <v>219</v>
      </c>
      <c r="P221">
        <v>1.51963915749211</v>
      </c>
      <c r="Q221">
        <v>1.4915207810797499</v>
      </c>
      <c r="R221">
        <v>1.8664400981707201</v>
      </c>
      <c r="S221">
        <v>1.46027059163204</v>
      </c>
      <c r="T221">
        <v>1.1029484647982599</v>
      </c>
    </row>
    <row r="222" spans="1:20">
      <c r="A222">
        <v>220</v>
      </c>
      <c r="B222">
        <v>7.3257575757575699</v>
      </c>
      <c r="C222">
        <v>10.733333333333301</v>
      </c>
      <c r="D222">
        <v>9.0214285714285705</v>
      </c>
      <c r="E222">
        <v>5.5708333333333302</v>
      </c>
      <c r="F222">
        <v>9.4625000000000004</v>
      </c>
      <c r="H222">
        <v>220</v>
      </c>
      <c r="I222">
        <v>3.2363636363636301</v>
      </c>
      <c r="J222">
        <v>2.4066666666666601</v>
      </c>
      <c r="K222">
        <v>0.97619047619047605</v>
      </c>
      <c r="L222">
        <v>1.63448275862068</v>
      </c>
      <c r="M222">
        <v>3.61666666666666</v>
      </c>
      <c r="O222">
        <v>220</v>
      </c>
      <c r="P222">
        <v>1.7182656587563401</v>
      </c>
      <c r="Q222">
        <v>1.7881547154649999</v>
      </c>
      <c r="R222">
        <v>1.9472768551550801</v>
      </c>
      <c r="S222">
        <v>1.5284089220343899</v>
      </c>
      <c r="T222">
        <v>1.10790183862933</v>
      </c>
    </row>
    <row r="223" spans="1:20">
      <c r="A223">
        <v>221</v>
      </c>
      <c r="B223">
        <v>6.6333333333333302</v>
      </c>
      <c r="C223">
        <v>10.86</v>
      </c>
      <c r="D223">
        <v>8.4976190476190396</v>
      </c>
      <c r="E223">
        <v>5.2624999999999904</v>
      </c>
      <c r="F223">
        <v>8.42916666666666</v>
      </c>
      <c r="H223">
        <v>221</v>
      </c>
      <c r="I223">
        <v>1.55151515151515</v>
      </c>
      <c r="J223">
        <v>4.66</v>
      </c>
      <c r="K223">
        <v>0.78095238095237995</v>
      </c>
      <c r="L223">
        <v>1.7862068965517199</v>
      </c>
      <c r="M223">
        <v>3.4</v>
      </c>
      <c r="O223">
        <v>221</v>
      </c>
      <c r="P223">
        <v>1.45992841951307</v>
      </c>
      <c r="Q223">
        <v>1.7221488940763401</v>
      </c>
      <c r="R223">
        <v>1.8723506748779699</v>
      </c>
      <c r="S223">
        <v>1.39717935133021</v>
      </c>
      <c r="T223">
        <v>1.32402542664303</v>
      </c>
    </row>
    <row r="224" spans="1:20">
      <c r="A224">
        <v>222</v>
      </c>
      <c r="B224">
        <v>7.0696969696969703</v>
      </c>
      <c r="C224">
        <v>10.6416666666666</v>
      </c>
      <c r="D224">
        <v>8.2119047619047603</v>
      </c>
      <c r="E224">
        <v>5.8879999999999999</v>
      </c>
      <c r="F224">
        <v>7.8416666666666597</v>
      </c>
      <c r="H224">
        <v>222</v>
      </c>
      <c r="I224">
        <v>1.4545454545454499</v>
      </c>
      <c r="J224">
        <v>4.53666666666666</v>
      </c>
      <c r="K224">
        <v>2.41904761904761</v>
      </c>
      <c r="L224">
        <v>2.08</v>
      </c>
      <c r="M224">
        <v>1.38333333333333</v>
      </c>
      <c r="O224">
        <v>222</v>
      </c>
      <c r="P224">
        <v>1.43429877915796</v>
      </c>
      <c r="Q224">
        <v>1.78798041526371</v>
      </c>
      <c r="R224">
        <v>1.9363195360085901</v>
      </c>
      <c r="S224">
        <v>1.3668494947183301</v>
      </c>
      <c r="T224">
        <v>1.2882274194230801</v>
      </c>
    </row>
    <row r="225" spans="1:20">
      <c r="A225">
        <v>223</v>
      </c>
      <c r="B225">
        <v>7.5106060606060598</v>
      </c>
      <c r="C225">
        <v>10.8983333333333</v>
      </c>
      <c r="D225">
        <v>8.5904761904761902</v>
      </c>
      <c r="E225">
        <v>6.2720000000000002</v>
      </c>
      <c r="F225">
        <v>8.7916666666666607</v>
      </c>
      <c r="H225">
        <v>223</v>
      </c>
      <c r="I225">
        <v>1.6030303030302999</v>
      </c>
      <c r="J225">
        <v>5.7266666666666604</v>
      </c>
      <c r="K225">
        <v>1.6142857142857101</v>
      </c>
      <c r="L225">
        <v>1.68</v>
      </c>
      <c r="M225">
        <v>4.7</v>
      </c>
      <c r="O225">
        <v>223</v>
      </c>
      <c r="P225">
        <v>1.4617211304547399</v>
      </c>
      <c r="Q225">
        <v>1.78444613895236</v>
      </c>
      <c r="R225">
        <v>1.8227006055745001</v>
      </c>
      <c r="S225">
        <v>1.6178270964270001</v>
      </c>
      <c r="T225">
        <v>1.2700812995642401</v>
      </c>
    </row>
    <row r="226" spans="1:20">
      <c r="A226">
        <v>224</v>
      </c>
      <c r="B226">
        <v>7.7378787878787803</v>
      </c>
      <c r="C226">
        <v>10.62</v>
      </c>
      <c r="D226">
        <v>9.3119047619047599</v>
      </c>
      <c r="E226">
        <v>5.7480000000000002</v>
      </c>
      <c r="F226">
        <v>9.2041666666666604</v>
      </c>
      <c r="H226">
        <v>224</v>
      </c>
      <c r="I226">
        <v>1.2</v>
      </c>
      <c r="J226">
        <v>3.95333333333333</v>
      </c>
      <c r="K226">
        <v>0.47142857142857097</v>
      </c>
      <c r="L226">
        <v>2.1933333333333298</v>
      </c>
      <c r="M226">
        <v>4.9666666666666597</v>
      </c>
      <c r="O226">
        <v>224</v>
      </c>
      <c r="P226">
        <v>1.64327704752056</v>
      </c>
      <c r="Q226">
        <v>1.79702295751458</v>
      </c>
      <c r="R226">
        <v>2.2797009902415901</v>
      </c>
      <c r="S226">
        <v>1.4130590805332399</v>
      </c>
      <c r="T226">
        <v>1.216678160996</v>
      </c>
    </row>
    <row r="227" spans="1:20">
      <c r="A227">
        <v>225</v>
      </c>
      <c r="B227">
        <v>7.4378787878787804</v>
      </c>
      <c r="C227">
        <v>10.851666666666601</v>
      </c>
      <c r="D227">
        <v>9.1738095238095205</v>
      </c>
      <c r="E227">
        <v>5.6059999999999999</v>
      </c>
      <c r="F227">
        <v>9.49583333333333</v>
      </c>
      <c r="H227">
        <v>225</v>
      </c>
      <c r="I227">
        <v>2.0151515151515098</v>
      </c>
      <c r="J227">
        <v>4.43</v>
      </c>
      <c r="K227">
        <v>1.0190476190476101</v>
      </c>
      <c r="L227">
        <v>2.7933333333333299</v>
      </c>
      <c r="M227">
        <v>3.11666666666666</v>
      </c>
      <c r="O227">
        <v>225</v>
      </c>
      <c r="P227">
        <v>1.7219137683755099</v>
      </c>
      <c r="Q227">
        <v>1.75622712343688</v>
      </c>
      <c r="R227">
        <v>2.13023616344638</v>
      </c>
      <c r="S227">
        <v>1.5593133289510299</v>
      </c>
      <c r="T227">
        <v>1.2041756804414001</v>
      </c>
    </row>
    <row r="228" spans="1:20">
      <c r="A228">
        <v>226</v>
      </c>
      <c r="B228">
        <v>7.3203125</v>
      </c>
      <c r="C228">
        <v>10.715517241379301</v>
      </c>
      <c r="D228">
        <v>9.0904761904761902</v>
      </c>
      <c r="E228">
        <v>5.6139999999999999</v>
      </c>
      <c r="F228">
        <v>9.7791666666666597</v>
      </c>
      <c r="H228">
        <v>226</v>
      </c>
      <c r="I228">
        <v>2.2093750000000001</v>
      </c>
      <c r="J228">
        <v>5.1034482758620596</v>
      </c>
      <c r="K228">
        <v>1.9238095238095201</v>
      </c>
      <c r="L228">
        <v>2.4733333333333301</v>
      </c>
      <c r="M228">
        <v>6.7</v>
      </c>
      <c r="O228">
        <v>226</v>
      </c>
      <c r="P228">
        <v>1.6752410691035</v>
      </c>
      <c r="Q228">
        <v>1.8143744354657301</v>
      </c>
      <c r="R228">
        <v>1.9689576221043901</v>
      </c>
      <c r="S228">
        <v>1.69407925358724</v>
      </c>
      <c r="T228">
        <v>1.1357294741412001</v>
      </c>
    </row>
    <row r="229" spans="1:20">
      <c r="A229">
        <v>227</v>
      </c>
      <c r="B229">
        <v>6.9593749999999996</v>
      </c>
      <c r="C229">
        <v>10.171666666666599</v>
      </c>
      <c r="D229">
        <v>9.0095238095238095</v>
      </c>
      <c r="E229">
        <v>6.1740000000000004</v>
      </c>
      <c r="F229">
        <v>9.4375</v>
      </c>
      <c r="H229">
        <v>227</v>
      </c>
      <c r="I229">
        <v>2.0531250000000001</v>
      </c>
      <c r="J229">
        <v>5.0933333333333302</v>
      </c>
      <c r="K229">
        <v>3.6857142857142802</v>
      </c>
      <c r="L229">
        <v>2.5066666666666602</v>
      </c>
      <c r="M229">
        <v>3.2833333333333301</v>
      </c>
      <c r="O229">
        <v>227</v>
      </c>
      <c r="P229">
        <v>1.6478784943890401</v>
      </c>
      <c r="Q229">
        <v>1.7504322855227901</v>
      </c>
      <c r="R229">
        <v>1.9543624302211</v>
      </c>
      <c r="S229">
        <v>1.5389997246256699</v>
      </c>
      <c r="T229">
        <v>1.2410385498851699</v>
      </c>
    </row>
    <row r="230" spans="1:20">
      <c r="A230">
        <v>228</v>
      </c>
      <c r="B230">
        <v>7.1937499999999996</v>
      </c>
      <c r="C230">
        <v>10.203333333333299</v>
      </c>
      <c r="D230">
        <v>8.9619047619047603</v>
      </c>
      <c r="E230">
        <v>6.5880000000000001</v>
      </c>
      <c r="F230">
        <v>9.6999999999999993</v>
      </c>
      <c r="H230">
        <v>228</v>
      </c>
      <c r="I230">
        <v>2.03125</v>
      </c>
      <c r="J230">
        <v>4.3433333333333302</v>
      </c>
      <c r="K230">
        <v>1.9047619047619</v>
      </c>
      <c r="L230">
        <v>1.86</v>
      </c>
      <c r="M230">
        <v>1.5999999999999901</v>
      </c>
      <c r="O230">
        <v>228</v>
      </c>
      <c r="P230">
        <v>1.7164445634915999</v>
      </c>
      <c r="Q230">
        <v>1.72694084936311</v>
      </c>
      <c r="R230">
        <v>2.0643711322192999</v>
      </c>
      <c r="S230">
        <v>1.78615290887678</v>
      </c>
      <c r="T230">
        <v>1.30158376837533</v>
      </c>
    </row>
    <row r="231" spans="1:20">
      <c r="A231">
        <v>229</v>
      </c>
      <c r="B231">
        <v>7.7437500000000004</v>
      </c>
      <c r="C231">
        <v>10.0833333333333</v>
      </c>
      <c r="D231">
        <v>9.1857142857142797</v>
      </c>
      <c r="E231">
        <v>6.6179999999999897</v>
      </c>
      <c r="F231">
        <v>9.61666666666666</v>
      </c>
      <c r="H231">
        <v>229</v>
      </c>
      <c r="I231">
        <v>2.4874999999999998</v>
      </c>
      <c r="J231">
        <v>5.3333333333333304</v>
      </c>
      <c r="K231">
        <v>2.53809523809523</v>
      </c>
      <c r="L231">
        <v>3.0965517241379299</v>
      </c>
      <c r="M231">
        <v>6.5999999999999899</v>
      </c>
      <c r="O231">
        <v>229</v>
      </c>
      <c r="P231">
        <v>1.83858279668266</v>
      </c>
      <c r="Q231">
        <v>1.9911176675537099</v>
      </c>
      <c r="R231">
        <v>2.0498151508424001</v>
      </c>
      <c r="S231">
        <v>1.7515241968414399</v>
      </c>
      <c r="T231">
        <v>1.3713845776081399</v>
      </c>
    </row>
    <row r="232" spans="1:20">
      <c r="A232">
        <v>230</v>
      </c>
      <c r="B232">
        <v>7.8</v>
      </c>
      <c r="C232">
        <v>10.0833333333333</v>
      </c>
      <c r="D232">
        <v>8.3095238095238102</v>
      </c>
      <c r="E232">
        <v>6.63</v>
      </c>
      <c r="F232">
        <v>8.8333333333333304</v>
      </c>
      <c r="H232">
        <v>230</v>
      </c>
      <c r="I232">
        <v>2.4656250000000002</v>
      </c>
      <c r="J232">
        <v>3.9433333333333298</v>
      </c>
      <c r="K232">
        <v>1.4</v>
      </c>
      <c r="L232">
        <v>2.7266666666666599</v>
      </c>
      <c r="M232">
        <v>3.3</v>
      </c>
      <c r="O232">
        <v>230</v>
      </c>
      <c r="P232">
        <v>1.65941446777998</v>
      </c>
      <c r="Q232">
        <v>1.888960132222</v>
      </c>
      <c r="R232">
        <v>2.0924687547980598</v>
      </c>
      <c r="S232">
        <v>1.6880320740680801</v>
      </c>
      <c r="T232">
        <v>1.38797998518043</v>
      </c>
    </row>
    <row r="233" spans="1:20">
      <c r="A233">
        <v>231</v>
      </c>
      <c r="B233">
        <v>7.5171875000000004</v>
      </c>
      <c r="C233">
        <v>10.1383333333333</v>
      </c>
      <c r="D233">
        <v>8.7857142857142794</v>
      </c>
      <c r="E233">
        <v>6.16</v>
      </c>
      <c r="F233">
        <v>9.4833333333333307</v>
      </c>
      <c r="H233">
        <v>231</v>
      </c>
      <c r="I233">
        <v>2.0375000000000001</v>
      </c>
      <c r="J233">
        <v>3.5733333333333301</v>
      </c>
      <c r="K233">
        <v>3.8095238095238</v>
      </c>
      <c r="L233">
        <v>1.52</v>
      </c>
      <c r="M233">
        <v>2.1333333333333302</v>
      </c>
      <c r="O233">
        <v>231</v>
      </c>
      <c r="P233">
        <v>1.8302956478085199</v>
      </c>
      <c r="Q233">
        <v>1.8335933724759199</v>
      </c>
      <c r="R233">
        <v>1.8877164659625201</v>
      </c>
      <c r="S233">
        <v>1.63576948348863</v>
      </c>
      <c r="T233">
        <v>1.56092628574794</v>
      </c>
    </row>
    <row r="234" spans="1:20">
      <c r="A234">
        <v>232</v>
      </c>
      <c r="B234">
        <v>7.5671875000000002</v>
      </c>
      <c r="C234">
        <v>10.421666666666599</v>
      </c>
      <c r="D234">
        <v>8.9404761904761898</v>
      </c>
      <c r="E234">
        <v>6.3380000000000001</v>
      </c>
      <c r="F234">
        <v>9.2583333333333293</v>
      </c>
      <c r="H234">
        <v>232</v>
      </c>
      <c r="I234">
        <v>1.278125</v>
      </c>
      <c r="J234">
        <v>4.8033333333333301</v>
      </c>
      <c r="K234">
        <v>1.85238095238095</v>
      </c>
      <c r="L234">
        <v>1.02</v>
      </c>
      <c r="M234">
        <v>3.65</v>
      </c>
      <c r="O234">
        <v>232</v>
      </c>
      <c r="P234">
        <v>1.86992300057723</v>
      </c>
      <c r="Q234">
        <v>1.7788236818437999</v>
      </c>
      <c r="R234">
        <v>2.1151951861259302</v>
      </c>
      <c r="S234">
        <v>1.7292609655947899</v>
      </c>
      <c r="T234">
        <v>1.4422774750484899</v>
      </c>
    </row>
    <row r="235" spans="1:20">
      <c r="A235">
        <v>233</v>
      </c>
      <c r="B235">
        <v>7.2593750000000004</v>
      </c>
      <c r="C235">
        <v>10.703333333333299</v>
      </c>
      <c r="D235">
        <v>9.1261904761904695</v>
      </c>
      <c r="E235">
        <v>6.0579999999999998</v>
      </c>
      <c r="F235">
        <v>9.7708333333333304</v>
      </c>
      <c r="H235">
        <v>233</v>
      </c>
      <c r="I235">
        <v>2.7843749999999998</v>
      </c>
      <c r="J235">
        <v>3.9833333333333298</v>
      </c>
      <c r="K235">
        <v>0.79523809523809497</v>
      </c>
      <c r="L235">
        <v>1.26</v>
      </c>
      <c r="M235">
        <v>2.36666666666666</v>
      </c>
      <c r="O235">
        <v>233</v>
      </c>
      <c r="P235">
        <v>1.7326605302545099</v>
      </c>
      <c r="Q235">
        <v>1.7879198703522201</v>
      </c>
      <c r="R235">
        <v>2.3019869482036999</v>
      </c>
      <c r="S235">
        <v>1.58922724062089</v>
      </c>
      <c r="T235">
        <v>1.70464821639982</v>
      </c>
    </row>
    <row r="236" spans="1:20">
      <c r="A236">
        <v>234</v>
      </c>
      <c r="B236">
        <v>7.5062499999999996</v>
      </c>
      <c r="C236">
        <v>10.8266666666666</v>
      </c>
      <c r="D236">
        <v>8.4119047619047596</v>
      </c>
      <c r="E236">
        <v>5.9799999999999898</v>
      </c>
      <c r="F236">
        <v>9.5208333333333304</v>
      </c>
      <c r="H236">
        <v>234</v>
      </c>
      <c r="I236">
        <v>3.6281249999999998</v>
      </c>
      <c r="J236">
        <v>3.93</v>
      </c>
      <c r="K236">
        <v>1.44761904761904</v>
      </c>
      <c r="L236">
        <v>2.0666666666666602</v>
      </c>
      <c r="M236">
        <v>4.4666666666666597</v>
      </c>
      <c r="O236">
        <v>234</v>
      </c>
      <c r="P236">
        <v>1.7739522546512301</v>
      </c>
      <c r="Q236">
        <v>1.8884109943012299</v>
      </c>
      <c r="R236">
        <v>2.1134173464686099</v>
      </c>
      <c r="S236">
        <v>1.6049253554031699</v>
      </c>
      <c r="T236">
        <v>1.6762831823304301</v>
      </c>
    </row>
    <row r="237" spans="1:20">
      <c r="A237">
        <v>235</v>
      </c>
      <c r="B237">
        <v>7.6363636363636296</v>
      </c>
      <c r="C237">
        <v>11.0766666666666</v>
      </c>
      <c r="D237">
        <v>8.3904761904761909</v>
      </c>
      <c r="E237">
        <v>6.444</v>
      </c>
      <c r="F237">
        <v>9.5791666666666604</v>
      </c>
      <c r="H237">
        <v>235</v>
      </c>
      <c r="I237">
        <v>2.0787878787878702</v>
      </c>
      <c r="J237">
        <v>3.45</v>
      </c>
      <c r="K237">
        <v>2.5666666666666602</v>
      </c>
      <c r="L237">
        <v>1.28</v>
      </c>
      <c r="M237">
        <v>1.4833333333333301</v>
      </c>
      <c r="O237">
        <v>235</v>
      </c>
      <c r="P237">
        <v>1.8600874849981099</v>
      </c>
      <c r="Q237">
        <v>2.20927169374758</v>
      </c>
      <c r="R237">
        <v>2.14466626973543</v>
      </c>
      <c r="S237">
        <v>1.7549417911581799</v>
      </c>
      <c r="T237">
        <v>1.44273965203753</v>
      </c>
    </row>
    <row r="238" spans="1:20">
      <c r="A238">
        <v>236</v>
      </c>
      <c r="B238">
        <v>8.1045454545454501</v>
      </c>
      <c r="C238">
        <v>11.088333333333299</v>
      </c>
      <c r="D238">
        <v>9.2833333333333297</v>
      </c>
      <c r="E238">
        <v>6.8220000000000001</v>
      </c>
      <c r="F238">
        <v>9.8874999999999993</v>
      </c>
      <c r="H238">
        <v>236</v>
      </c>
      <c r="I238">
        <v>0.324242424242424</v>
      </c>
      <c r="J238">
        <v>3.2366666666666601</v>
      </c>
      <c r="K238">
        <v>1.16190476190476</v>
      </c>
      <c r="L238">
        <v>2.0333333333333301</v>
      </c>
      <c r="M238">
        <v>0.56666666666666599</v>
      </c>
      <c r="O238">
        <v>236</v>
      </c>
      <c r="P238">
        <v>1.9096330242923301</v>
      </c>
      <c r="Q238">
        <v>1.9660073359530601</v>
      </c>
      <c r="R238">
        <v>2.2125723940533</v>
      </c>
      <c r="S238">
        <v>1.8149377274360901</v>
      </c>
      <c r="T238">
        <v>1.7386735184612501</v>
      </c>
    </row>
    <row r="239" spans="1:20">
      <c r="A239">
        <v>237</v>
      </c>
      <c r="B239">
        <v>8.2954545454545396</v>
      </c>
      <c r="C239">
        <v>11.283333333333299</v>
      </c>
      <c r="D239">
        <v>9.4809523809523792</v>
      </c>
      <c r="E239">
        <v>7.242</v>
      </c>
      <c r="F239">
        <v>9.7208333333333297</v>
      </c>
      <c r="H239">
        <v>237</v>
      </c>
      <c r="I239">
        <v>1.3424242424242401</v>
      </c>
      <c r="J239">
        <v>7.0266666666666602</v>
      </c>
      <c r="K239">
        <v>1.01428571428571</v>
      </c>
      <c r="L239">
        <v>2.1866666666666599</v>
      </c>
      <c r="M239">
        <v>2.4666666666666601</v>
      </c>
      <c r="O239">
        <v>237</v>
      </c>
      <c r="P239">
        <v>1.9397244182821201</v>
      </c>
      <c r="Q239">
        <v>1.72961358813406</v>
      </c>
      <c r="R239">
        <v>2.3561946917588301</v>
      </c>
      <c r="S239">
        <v>1.9393466505642201</v>
      </c>
      <c r="T239">
        <v>1.45538034550647</v>
      </c>
    </row>
    <row r="240" spans="1:20">
      <c r="A240">
        <v>238</v>
      </c>
      <c r="B240">
        <v>8.2378787878787794</v>
      </c>
      <c r="C240">
        <v>11.1383333333333</v>
      </c>
      <c r="D240">
        <v>9.46904761904762</v>
      </c>
      <c r="E240">
        <v>7.6020000000000003</v>
      </c>
      <c r="F240">
        <v>10.716666666666599</v>
      </c>
      <c r="H240">
        <v>238</v>
      </c>
      <c r="I240">
        <v>2.47272727272727</v>
      </c>
      <c r="J240">
        <v>4.5666666666666602</v>
      </c>
      <c r="K240">
        <v>0.53809523809523796</v>
      </c>
      <c r="L240">
        <v>1.3133333333333299</v>
      </c>
      <c r="M240">
        <v>3.0666666666666602</v>
      </c>
      <c r="O240">
        <v>238</v>
      </c>
      <c r="P240">
        <v>1.7062659547971699</v>
      </c>
      <c r="Q240">
        <v>2.0311984249146202</v>
      </c>
      <c r="R240">
        <v>2.4191416182710301</v>
      </c>
      <c r="S240">
        <v>1.9791350802630601</v>
      </c>
      <c r="T240">
        <v>1.4899612238642299</v>
      </c>
    </row>
    <row r="241" spans="1:20">
      <c r="A241">
        <v>239</v>
      </c>
      <c r="B241">
        <v>8.2484848484848392</v>
      </c>
      <c r="C241">
        <v>11.1133333333333</v>
      </c>
      <c r="D241">
        <v>9.4833333333333307</v>
      </c>
      <c r="E241">
        <v>7</v>
      </c>
      <c r="F241">
        <v>10.754166666666601</v>
      </c>
      <c r="H241">
        <v>239</v>
      </c>
      <c r="I241">
        <v>2.9151515151515102</v>
      </c>
      <c r="J241">
        <v>2.8866666666666601</v>
      </c>
      <c r="K241">
        <v>1.7619047619047601</v>
      </c>
      <c r="L241">
        <v>1.4066666666666601</v>
      </c>
      <c r="M241">
        <v>1.0333333333333301</v>
      </c>
      <c r="O241">
        <v>239</v>
      </c>
      <c r="P241">
        <v>1.9297175584059301</v>
      </c>
      <c r="Q241">
        <v>2.0005217214048798</v>
      </c>
      <c r="R241">
        <v>2.1900862213159198</v>
      </c>
      <c r="S241">
        <v>1.7204160934621899</v>
      </c>
      <c r="T241">
        <v>1.6543487023337</v>
      </c>
    </row>
    <row r="242" spans="1:20">
      <c r="A242">
        <v>240</v>
      </c>
      <c r="B242">
        <v>8.5593939393939298</v>
      </c>
      <c r="C242">
        <v>10.7724137931034</v>
      </c>
      <c r="D242">
        <v>9.8380952380952298</v>
      </c>
      <c r="E242">
        <v>7.4740000000000002</v>
      </c>
      <c r="F242">
        <v>11.0833333333333</v>
      </c>
      <c r="H242">
        <v>240</v>
      </c>
      <c r="I242">
        <v>1.8696969696969601</v>
      </c>
      <c r="J242">
        <v>2.4862068965517201</v>
      </c>
      <c r="K242">
        <v>1.03809523809523</v>
      </c>
      <c r="L242">
        <v>1.32666666666666</v>
      </c>
      <c r="M242">
        <v>1.9</v>
      </c>
      <c r="O242">
        <v>240</v>
      </c>
      <c r="P242">
        <v>2.0109048192884398</v>
      </c>
      <c r="Q242">
        <v>2.19808146037672</v>
      </c>
      <c r="R242">
        <v>2.3383458574959501</v>
      </c>
      <c r="S242">
        <v>1.9649277738886799</v>
      </c>
      <c r="T242">
        <v>1.6425180639822501</v>
      </c>
    </row>
    <row r="243" spans="1:20">
      <c r="A243">
        <v>241</v>
      </c>
      <c r="B243">
        <v>8.2121212121212093</v>
      </c>
      <c r="C243">
        <v>10.753448275862</v>
      </c>
      <c r="D243">
        <v>9.7714285714285705</v>
      </c>
      <c r="E243">
        <v>7.5380000000000003</v>
      </c>
      <c r="F243">
        <v>10.5791666666666</v>
      </c>
      <c r="H243">
        <v>241</v>
      </c>
      <c r="I243">
        <v>2.1333333333333302</v>
      </c>
      <c r="J243">
        <v>2.4068965517241301</v>
      </c>
      <c r="K243">
        <v>0.82380952380952299</v>
      </c>
      <c r="L243">
        <v>1.9866666666666599</v>
      </c>
      <c r="M243">
        <v>3.0166666666666599</v>
      </c>
      <c r="O243">
        <v>241</v>
      </c>
      <c r="P243">
        <v>1.9004966666128</v>
      </c>
      <c r="Q243">
        <v>2.1823268558862501</v>
      </c>
      <c r="R243">
        <v>2.4321543276915598</v>
      </c>
      <c r="S243">
        <v>1.8027656213366201</v>
      </c>
      <c r="T243">
        <v>1.5065040723285099</v>
      </c>
    </row>
    <row r="244" spans="1:20">
      <c r="A244">
        <v>242</v>
      </c>
      <c r="B244">
        <v>8.8015151515151508</v>
      </c>
      <c r="C244">
        <v>10.891379310344799</v>
      </c>
      <c r="D244">
        <v>9.6738095238095205</v>
      </c>
      <c r="E244">
        <v>7.79</v>
      </c>
      <c r="F244">
        <v>11.1208333333333</v>
      </c>
      <c r="H244">
        <v>242</v>
      </c>
      <c r="I244">
        <v>1.3060606060605999</v>
      </c>
      <c r="J244">
        <v>2.9931034482758601</v>
      </c>
      <c r="K244">
        <v>1.58095238095238</v>
      </c>
      <c r="L244">
        <v>1.34666666666666</v>
      </c>
      <c r="M244">
        <v>1.56666666666666</v>
      </c>
      <c r="O244">
        <v>242</v>
      </c>
      <c r="P244">
        <v>2.0203052831425601</v>
      </c>
      <c r="Q244">
        <v>1.8307871864441201</v>
      </c>
      <c r="R244">
        <v>2.1868077925067202</v>
      </c>
      <c r="S244">
        <v>1.92594524401446</v>
      </c>
      <c r="T244">
        <v>1.7782422370636499</v>
      </c>
    </row>
    <row r="245" spans="1:20">
      <c r="A245">
        <v>243</v>
      </c>
      <c r="B245">
        <v>7.8968181818181797</v>
      </c>
      <c r="C245">
        <v>10.953448275862</v>
      </c>
      <c r="D245">
        <v>10.1238095238095</v>
      </c>
      <c r="E245">
        <v>6.9139999999999997</v>
      </c>
      <c r="F245">
        <v>10.6666666666666</v>
      </c>
      <c r="H245">
        <v>243</v>
      </c>
      <c r="I245">
        <v>0.73030303030303001</v>
      </c>
      <c r="J245">
        <v>4.8862068965517196</v>
      </c>
      <c r="K245">
        <v>2.1333333333333302</v>
      </c>
      <c r="L245">
        <v>0.78666666666666596</v>
      </c>
      <c r="M245">
        <v>1.7333333333333301</v>
      </c>
      <c r="O245">
        <v>243</v>
      </c>
      <c r="P245">
        <v>2.13768236411026</v>
      </c>
      <c r="Q245">
        <v>2.1498109306225701</v>
      </c>
      <c r="R245">
        <v>2.2509303121036002</v>
      </c>
      <c r="S245">
        <v>1.9272884798321399</v>
      </c>
      <c r="T245">
        <v>1.8075127039194601</v>
      </c>
    </row>
    <row r="246" spans="1:20">
      <c r="A246">
        <v>244</v>
      </c>
      <c r="B246">
        <v>8.5848484848484805</v>
      </c>
      <c r="C246">
        <v>10.803333333333301</v>
      </c>
      <c r="D246">
        <v>9.1642857142857093</v>
      </c>
      <c r="E246">
        <v>6.7519999999999998</v>
      </c>
      <c r="F246">
        <v>10.1208333333333</v>
      </c>
      <c r="H246">
        <v>244</v>
      </c>
      <c r="I246">
        <v>1.66363636363636</v>
      </c>
      <c r="J246">
        <v>3.05</v>
      </c>
      <c r="K246">
        <v>1.2749999999999999</v>
      </c>
      <c r="L246">
        <v>2.1333333333333302</v>
      </c>
      <c r="M246">
        <v>0.8</v>
      </c>
      <c r="O246">
        <v>244</v>
      </c>
      <c r="P246">
        <v>2.4306848632987301</v>
      </c>
      <c r="Q246">
        <v>2.1147026396135802</v>
      </c>
      <c r="R246">
        <v>2.1770674954127398</v>
      </c>
      <c r="S246">
        <v>1.78083884928638</v>
      </c>
      <c r="T246">
        <v>1.80445161149383</v>
      </c>
    </row>
    <row r="247" spans="1:20">
      <c r="A247">
        <v>245</v>
      </c>
      <c r="B247">
        <v>9.0333333333333297</v>
      </c>
      <c r="C247">
        <v>10.862068965517199</v>
      </c>
      <c r="D247">
        <v>9.4690476190476094</v>
      </c>
      <c r="E247">
        <v>7.5749999999999904</v>
      </c>
      <c r="F247">
        <v>9.6624999999999996</v>
      </c>
      <c r="H247">
        <v>245</v>
      </c>
      <c r="I247">
        <v>1.2393939393939299</v>
      </c>
      <c r="J247">
        <v>2.8035714285714199</v>
      </c>
      <c r="K247">
        <v>1.1399999999999999</v>
      </c>
      <c r="L247">
        <v>1.7931034482758601</v>
      </c>
      <c r="M247">
        <v>3.0833333333333299</v>
      </c>
      <c r="O247">
        <v>245</v>
      </c>
      <c r="P247">
        <v>2.2838857553046599</v>
      </c>
      <c r="Q247">
        <v>2.04836351360946</v>
      </c>
      <c r="R247">
        <v>2.3636160622397799</v>
      </c>
      <c r="S247">
        <v>1.9439199208192099</v>
      </c>
      <c r="T247">
        <v>1.4517482623371101</v>
      </c>
    </row>
    <row r="248" spans="1:20">
      <c r="A248">
        <v>246</v>
      </c>
      <c r="B248">
        <v>8.7469696969696908</v>
      </c>
      <c r="C248">
        <v>11.4379310344827</v>
      </c>
      <c r="D248">
        <v>10.2071428571428</v>
      </c>
      <c r="E248">
        <v>7.6020833333333302</v>
      </c>
      <c r="F248">
        <v>9.7541666666666593</v>
      </c>
      <c r="H248">
        <v>246</v>
      </c>
      <c r="I248">
        <v>1.06969696969696</v>
      </c>
      <c r="J248">
        <v>2.2964285714285699</v>
      </c>
      <c r="K248">
        <v>0.33</v>
      </c>
      <c r="L248">
        <v>2.4896551724137899</v>
      </c>
      <c r="M248">
        <v>1.0833333333333299</v>
      </c>
      <c r="O248">
        <v>246</v>
      </c>
      <c r="P248">
        <v>2.13744572746974</v>
      </c>
      <c r="Q248">
        <v>2.1933906940536101</v>
      </c>
      <c r="R248">
        <v>2.6605142190284399</v>
      </c>
      <c r="S248">
        <v>1.97341557241084</v>
      </c>
      <c r="T248">
        <v>1.75831978881469</v>
      </c>
    </row>
    <row r="249" spans="1:20">
      <c r="A249">
        <v>247</v>
      </c>
      <c r="B249">
        <v>8.7227272727272709</v>
      </c>
      <c r="C249">
        <v>11.5448275862068</v>
      </c>
      <c r="D249">
        <v>10.3119047619047</v>
      </c>
      <c r="E249">
        <v>7.8958333333333304</v>
      </c>
      <c r="F249">
        <v>10.0583333333333</v>
      </c>
      <c r="H249">
        <v>247</v>
      </c>
      <c r="I249">
        <v>1.0878787878787799</v>
      </c>
      <c r="J249">
        <v>3.6892857142857101</v>
      </c>
      <c r="K249">
        <v>1.3149999999999999</v>
      </c>
      <c r="L249">
        <v>1.2413793103448201</v>
      </c>
      <c r="M249">
        <v>2.44999999999999</v>
      </c>
      <c r="O249">
        <v>247</v>
      </c>
      <c r="P249">
        <v>2.20158976988608</v>
      </c>
      <c r="Q249">
        <v>2.0025541274337399</v>
      </c>
      <c r="R249">
        <v>2.3679466170247401</v>
      </c>
      <c r="S249">
        <v>2.2015057722122902</v>
      </c>
      <c r="T249">
        <v>1.8005069619965</v>
      </c>
    </row>
    <row r="250" spans="1:20">
      <c r="A250">
        <v>248</v>
      </c>
      <c r="B250">
        <v>8.4803030303030305</v>
      </c>
      <c r="C250">
        <v>11.734482758620601</v>
      </c>
      <c r="D250">
        <v>9.7476190476190396</v>
      </c>
      <c r="E250">
        <v>8.3479166666666593</v>
      </c>
      <c r="F250">
        <v>9.7750000000000004</v>
      </c>
      <c r="H250">
        <v>248</v>
      </c>
      <c r="I250">
        <v>0.95151515151515098</v>
      </c>
      <c r="J250">
        <v>5.6892857142857096</v>
      </c>
      <c r="K250">
        <v>2.8699999999999899</v>
      </c>
      <c r="L250">
        <v>1.33793103448275</v>
      </c>
      <c r="M250">
        <v>3.2</v>
      </c>
      <c r="O250">
        <v>248</v>
      </c>
      <c r="P250">
        <v>2.0118416889679498</v>
      </c>
      <c r="Q250">
        <v>2.0261980789565999</v>
      </c>
      <c r="R250">
        <v>2.3589463989639601</v>
      </c>
      <c r="S250">
        <v>2.2638263663836899</v>
      </c>
      <c r="T250">
        <v>1.49919962363172</v>
      </c>
    </row>
    <row r="251" spans="1:20">
      <c r="A251">
        <v>249</v>
      </c>
      <c r="B251">
        <v>8.9078125000000004</v>
      </c>
      <c r="C251">
        <v>11.682758620689601</v>
      </c>
      <c r="D251">
        <v>11.288095238095201</v>
      </c>
      <c r="E251">
        <v>8.0979166666666593</v>
      </c>
      <c r="F251">
        <v>10.3333333333333</v>
      </c>
      <c r="H251">
        <v>249</v>
      </c>
      <c r="I251">
        <v>1.4151515151515099</v>
      </c>
      <c r="J251">
        <v>3.97586206896551</v>
      </c>
      <c r="K251">
        <v>0.99</v>
      </c>
      <c r="L251">
        <v>2.8689655172413699</v>
      </c>
      <c r="M251">
        <v>5.93333333333333</v>
      </c>
      <c r="O251">
        <v>249</v>
      </c>
      <c r="P251">
        <v>2.43907717587116</v>
      </c>
      <c r="Q251">
        <v>2.26836536246158</v>
      </c>
      <c r="R251">
        <v>2.7068441321453398</v>
      </c>
      <c r="S251">
        <v>2.1741303115466799</v>
      </c>
      <c r="T251">
        <v>1.4735664157819599</v>
      </c>
    </row>
    <row r="252" spans="1:20">
      <c r="A252">
        <v>250</v>
      </c>
      <c r="B252">
        <v>8.9656249999999993</v>
      </c>
      <c r="C252">
        <v>11.389655172413701</v>
      </c>
      <c r="D252">
        <v>10.159523809523799</v>
      </c>
      <c r="E252">
        <v>8.1083333333333307</v>
      </c>
      <c r="F252">
        <v>10.7708333333333</v>
      </c>
      <c r="H252">
        <v>250</v>
      </c>
      <c r="I252">
        <v>0.51818181818181797</v>
      </c>
      <c r="J252">
        <v>2.6793103448275799</v>
      </c>
      <c r="K252">
        <v>1.5249999999999999</v>
      </c>
      <c r="L252">
        <v>2.75172413793103</v>
      </c>
      <c r="M252">
        <v>1.2</v>
      </c>
      <c r="O252">
        <v>250</v>
      </c>
      <c r="P252">
        <v>2.4631446914892501</v>
      </c>
      <c r="Q252">
        <v>2.1403968231495001</v>
      </c>
      <c r="R252">
        <v>2.3451869084018599</v>
      </c>
      <c r="S252">
        <v>2.6372999572181599</v>
      </c>
      <c r="T252">
        <v>1.8170202832795099</v>
      </c>
    </row>
    <row r="253" spans="1:20">
      <c r="A253">
        <v>251</v>
      </c>
      <c r="B253">
        <v>8.6015625</v>
      </c>
      <c r="C253">
        <v>11.834482758620601</v>
      </c>
      <c r="D253">
        <v>10.3904761904761</v>
      </c>
      <c r="E253">
        <v>7.1020833333333302</v>
      </c>
      <c r="F253">
        <v>10.5791666666666</v>
      </c>
      <c r="H253">
        <v>251</v>
      </c>
      <c r="I253">
        <v>1.0757575757575699</v>
      </c>
      <c r="J253">
        <v>4.4310344827586201</v>
      </c>
      <c r="K253">
        <v>0.36</v>
      </c>
      <c r="L253">
        <v>3.5142857142857098</v>
      </c>
      <c r="M253">
        <v>0.88333333333333297</v>
      </c>
      <c r="O253">
        <v>251</v>
      </c>
      <c r="P253">
        <v>2.5132482169425701</v>
      </c>
      <c r="Q253">
        <v>2.4179314095726698</v>
      </c>
      <c r="R253">
        <v>2.8017883777366399</v>
      </c>
      <c r="S253">
        <v>2.2590968955806598</v>
      </c>
      <c r="T253">
        <v>1.8773510693625799</v>
      </c>
    </row>
    <row r="254" spans="1:20">
      <c r="A254">
        <v>252</v>
      </c>
      <c r="B254">
        <v>8.0227272727272698</v>
      </c>
      <c r="C254">
        <v>11.465</v>
      </c>
      <c r="D254">
        <v>10.269047619047599</v>
      </c>
      <c r="E254">
        <v>7.2645833333333298</v>
      </c>
      <c r="F254">
        <v>9.6125000000000007</v>
      </c>
      <c r="H254">
        <v>252</v>
      </c>
      <c r="I254">
        <v>1.0878787878787799</v>
      </c>
      <c r="J254">
        <v>3.6827586206896501</v>
      </c>
      <c r="K254">
        <v>2.5350000000000001</v>
      </c>
      <c r="L254">
        <v>0.92857142857142805</v>
      </c>
      <c r="M254">
        <v>4.36666666666666</v>
      </c>
      <c r="O254">
        <v>252</v>
      </c>
      <c r="P254">
        <v>2.2941202547295898</v>
      </c>
      <c r="Q254">
        <v>2.2362909221430498</v>
      </c>
      <c r="R254">
        <v>2.7160333670291199</v>
      </c>
      <c r="S254">
        <v>2.3905628846276699</v>
      </c>
      <c r="T254">
        <v>1.8525160666589899</v>
      </c>
    </row>
    <row r="255" spans="1:20">
      <c r="A255">
        <v>253</v>
      </c>
      <c r="B255">
        <v>9.0060606060606005</v>
      </c>
      <c r="C255">
        <v>11.62</v>
      </c>
      <c r="D255">
        <v>9.8571428571428505</v>
      </c>
      <c r="E255">
        <v>8.3520833333333293</v>
      </c>
      <c r="F255">
        <v>10.0875</v>
      </c>
      <c r="H255">
        <v>253</v>
      </c>
      <c r="I255">
        <v>1.08181818181818</v>
      </c>
      <c r="J255">
        <v>1.66333333333333</v>
      </c>
      <c r="K255">
        <v>4.3250000000000002</v>
      </c>
      <c r="L255">
        <v>2.2827586206896502</v>
      </c>
      <c r="M255">
        <v>3.44999999999999</v>
      </c>
      <c r="O255">
        <v>253</v>
      </c>
      <c r="P255">
        <v>2.6251015131954198</v>
      </c>
      <c r="Q255">
        <v>2.5120136328346701</v>
      </c>
      <c r="R255">
        <v>2.40359264277707</v>
      </c>
      <c r="S255">
        <v>2.3402307138221299</v>
      </c>
      <c r="T255">
        <v>1.67590206119575</v>
      </c>
    </row>
    <row r="256" spans="1:20">
      <c r="A256">
        <v>254</v>
      </c>
      <c r="B256">
        <v>9.7090909090909001</v>
      </c>
      <c r="C256">
        <v>11.7633333333333</v>
      </c>
      <c r="D256">
        <v>10.383333333333301</v>
      </c>
      <c r="E256">
        <v>8.6645833333333293</v>
      </c>
      <c r="F256">
        <v>10.6416666666666</v>
      </c>
      <c r="H256">
        <v>254</v>
      </c>
      <c r="I256">
        <v>2.0393939393939302</v>
      </c>
      <c r="J256">
        <v>3.2833333333333301</v>
      </c>
      <c r="K256">
        <v>0.76</v>
      </c>
      <c r="L256">
        <v>1.7586206896551699</v>
      </c>
      <c r="M256">
        <v>6.4666666666666597</v>
      </c>
      <c r="O256">
        <v>254</v>
      </c>
      <c r="P256">
        <v>2.7986809667616899</v>
      </c>
      <c r="Q256">
        <v>2.3151045080086101</v>
      </c>
      <c r="R256">
        <v>2.7631827362986501</v>
      </c>
      <c r="S256">
        <v>2.4658456438424698</v>
      </c>
      <c r="T256">
        <v>1.7070370554204599</v>
      </c>
    </row>
    <row r="257" spans="1:20">
      <c r="A257">
        <v>255</v>
      </c>
      <c r="B257">
        <v>9.6212121212121193</v>
      </c>
      <c r="C257">
        <v>12.158333333333299</v>
      </c>
      <c r="D257">
        <v>10.8886363636363</v>
      </c>
      <c r="E257">
        <v>8.2229166666666593</v>
      </c>
      <c r="F257">
        <v>10.4541666666666</v>
      </c>
      <c r="H257">
        <v>255</v>
      </c>
      <c r="I257">
        <v>1.4424242424242399</v>
      </c>
      <c r="J257">
        <v>3.8833333333333302</v>
      </c>
      <c r="K257">
        <v>1.27142857142857</v>
      </c>
      <c r="L257">
        <v>2.8620689655172402</v>
      </c>
      <c r="M257">
        <v>2.0166666666666599</v>
      </c>
      <c r="O257">
        <v>255</v>
      </c>
      <c r="P257">
        <v>2.6610711999077199</v>
      </c>
      <c r="Q257">
        <v>2.3727724062230302</v>
      </c>
      <c r="R257">
        <v>2.7733516827554299</v>
      </c>
      <c r="S257">
        <v>2.5203759274511199</v>
      </c>
      <c r="T257">
        <v>1.9219866027073</v>
      </c>
    </row>
    <row r="258" spans="1:20">
      <c r="A258">
        <v>256</v>
      </c>
      <c r="B258">
        <v>9.3833333333333293</v>
      </c>
      <c r="C258">
        <v>11.908333333333299</v>
      </c>
      <c r="D258">
        <v>10.647727272727201</v>
      </c>
      <c r="E258">
        <v>8.5708333333333293</v>
      </c>
      <c r="F258">
        <v>11.216666666666599</v>
      </c>
      <c r="H258">
        <v>256</v>
      </c>
      <c r="I258">
        <v>1.5181818181818101</v>
      </c>
      <c r="J258">
        <v>5.26</v>
      </c>
      <c r="K258">
        <v>1.3095238095238</v>
      </c>
      <c r="L258">
        <v>1.66206896551724</v>
      </c>
      <c r="M258">
        <v>1.4833333333333301</v>
      </c>
      <c r="O258">
        <v>256</v>
      </c>
      <c r="P258">
        <v>2.3076791368567799</v>
      </c>
      <c r="Q258">
        <v>2.4036248389024699</v>
      </c>
      <c r="R258">
        <v>2.8499681861117399</v>
      </c>
      <c r="S258">
        <v>2.4561551460720801</v>
      </c>
      <c r="T258">
        <v>1.86072433418519</v>
      </c>
    </row>
    <row r="259" spans="1:20">
      <c r="A259">
        <v>257</v>
      </c>
      <c r="B259">
        <v>9.8590909090909093</v>
      </c>
      <c r="C259">
        <v>12.074999999999999</v>
      </c>
      <c r="D259">
        <v>10.4023809523809</v>
      </c>
      <c r="E259">
        <v>8.5645833333333297</v>
      </c>
      <c r="F259">
        <v>11.1</v>
      </c>
      <c r="H259">
        <v>257</v>
      </c>
      <c r="I259">
        <v>1.0060606060606001</v>
      </c>
      <c r="J259">
        <v>3.6933333333333298</v>
      </c>
      <c r="K259">
        <v>1.5761904761904699</v>
      </c>
      <c r="L259">
        <v>0.86206896551724099</v>
      </c>
      <c r="M259">
        <v>2.4166666666666599</v>
      </c>
      <c r="O259">
        <v>257</v>
      </c>
      <c r="P259">
        <v>2.7166636421386499</v>
      </c>
      <c r="Q259">
        <v>2.56639010677653</v>
      </c>
      <c r="R259">
        <v>2.8229621746536102</v>
      </c>
      <c r="S259">
        <v>2.7321673997665901</v>
      </c>
      <c r="T259">
        <v>1.6515892534407901</v>
      </c>
    </row>
    <row r="260" spans="1:20">
      <c r="A260">
        <v>258</v>
      </c>
      <c r="B260">
        <v>10.654545454545399</v>
      </c>
      <c r="C260">
        <v>12.3883333333333</v>
      </c>
      <c r="D260">
        <v>11.1642857142857</v>
      </c>
      <c r="E260">
        <v>8.9979166666666597</v>
      </c>
      <c r="F260">
        <v>11.3708333333333</v>
      </c>
      <c r="H260">
        <v>258</v>
      </c>
      <c r="I260">
        <v>0.69090909090909003</v>
      </c>
      <c r="J260">
        <v>3.26</v>
      </c>
      <c r="K260">
        <v>0.338095238095238</v>
      </c>
      <c r="L260">
        <v>2.4275862068965499</v>
      </c>
      <c r="M260">
        <v>1.3</v>
      </c>
      <c r="O260">
        <v>258</v>
      </c>
      <c r="P260">
        <v>2.8776450917507499</v>
      </c>
      <c r="Q260">
        <v>2.3157931057843801</v>
      </c>
      <c r="R260">
        <v>2.9948545462146399</v>
      </c>
      <c r="S260">
        <v>2.7805604536575501</v>
      </c>
      <c r="T260">
        <v>1.8040111781852</v>
      </c>
    </row>
    <row r="261" spans="1:20">
      <c r="A261">
        <v>259</v>
      </c>
      <c r="B261">
        <v>10.4757575757575</v>
      </c>
      <c r="C261">
        <v>12.5766666666666</v>
      </c>
      <c r="D261">
        <v>11.395238095238</v>
      </c>
      <c r="E261">
        <v>8.46041666666666</v>
      </c>
      <c r="F261">
        <v>11.2916666666666</v>
      </c>
      <c r="H261">
        <v>259</v>
      </c>
      <c r="I261">
        <v>0.112121212121212</v>
      </c>
      <c r="J261">
        <v>3.5999999999999899</v>
      </c>
      <c r="K261">
        <v>0.709523809523809</v>
      </c>
      <c r="L261">
        <v>2.4896551724137899</v>
      </c>
      <c r="M261">
        <v>2.6</v>
      </c>
      <c r="O261">
        <v>259</v>
      </c>
      <c r="P261">
        <v>2.9007479200825799</v>
      </c>
      <c r="Q261">
        <v>2.2894884287258899</v>
      </c>
      <c r="R261">
        <v>3.0958983181372601</v>
      </c>
      <c r="S261">
        <v>2.8536961428385701</v>
      </c>
      <c r="T261">
        <v>1.8880733064353601</v>
      </c>
    </row>
    <row r="262" spans="1:20">
      <c r="A262">
        <v>260</v>
      </c>
      <c r="B262">
        <v>9.8469696969696905</v>
      </c>
      <c r="C262">
        <v>12.482258064516101</v>
      </c>
      <c r="D262">
        <v>11.885714285714201</v>
      </c>
      <c r="E262">
        <v>8.3640000000000008</v>
      </c>
      <c r="F262">
        <v>12.2125</v>
      </c>
      <c r="H262">
        <v>260</v>
      </c>
      <c r="I262">
        <v>0.26969696969696899</v>
      </c>
      <c r="J262">
        <v>2.73870967741935</v>
      </c>
      <c r="K262">
        <v>0.19523809523809499</v>
      </c>
      <c r="L262">
        <v>1.8333333333333299</v>
      </c>
      <c r="M262">
        <v>4.5999999999999996</v>
      </c>
      <c r="O262">
        <v>260</v>
      </c>
      <c r="P262">
        <v>2.7216431909543002</v>
      </c>
      <c r="Q262">
        <v>2.42321708135252</v>
      </c>
      <c r="R262">
        <v>3.31558731154874</v>
      </c>
      <c r="S262">
        <v>2.7448495155489501</v>
      </c>
      <c r="T262">
        <v>2.0382752192881299</v>
      </c>
    </row>
    <row r="263" spans="1:20">
      <c r="A263">
        <v>261</v>
      </c>
      <c r="B263">
        <v>9.6045454545454501</v>
      </c>
      <c r="C263">
        <v>12.261290322580599</v>
      </c>
      <c r="D263">
        <v>11.6181818181818</v>
      </c>
      <c r="E263">
        <v>7.8980769230769203</v>
      </c>
      <c r="F263">
        <v>11.35</v>
      </c>
      <c r="H263">
        <v>261</v>
      </c>
      <c r="I263">
        <v>1.3212121212121199</v>
      </c>
      <c r="J263">
        <v>2.5741935483870901</v>
      </c>
      <c r="K263">
        <v>1.3714285714285701</v>
      </c>
      <c r="L263">
        <v>1.76129032258064</v>
      </c>
      <c r="M263">
        <v>3.93333333333333</v>
      </c>
      <c r="O263">
        <v>261</v>
      </c>
      <c r="P263">
        <v>2.6828140641286899</v>
      </c>
      <c r="Q263">
        <v>2.45933848636487</v>
      </c>
      <c r="R263">
        <v>3.33309051929669</v>
      </c>
      <c r="S263">
        <v>2.3038394037521801</v>
      </c>
      <c r="T263">
        <v>2.00744960029109</v>
      </c>
    </row>
    <row r="264" spans="1:20">
      <c r="A264">
        <v>262</v>
      </c>
      <c r="B264">
        <v>9.8772727272727199</v>
      </c>
      <c r="C264">
        <v>12.1677419354838</v>
      </c>
      <c r="D264">
        <v>10.754761904761899</v>
      </c>
      <c r="E264">
        <v>8.6442307692307701</v>
      </c>
      <c r="F264">
        <v>10.504166666666601</v>
      </c>
      <c r="H264">
        <v>262</v>
      </c>
      <c r="I264">
        <v>1.83636363636363</v>
      </c>
      <c r="J264">
        <v>3.5774193548387001</v>
      </c>
      <c r="K264">
        <v>1.4047619047619</v>
      </c>
      <c r="L264">
        <v>2.3548387096774102</v>
      </c>
      <c r="M264">
        <v>8.7333333333333307</v>
      </c>
      <c r="O264">
        <v>262</v>
      </c>
      <c r="P264">
        <v>2.84418375617479</v>
      </c>
      <c r="Q264">
        <v>2.2883058912546601</v>
      </c>
      <c r="R264">
        <v>2.8466418319640399</v>
      </c>
      <c r="S264">
        <v>2.4895045267515798</v>
      </c>
      <c r="T264">
        <v>1.9387559167362001</v>
      </c>
    </row>
    <row r="265" spans="1:20">
      <c r="A265">
        <v>263</v>
      </c>
      <c r="B265">
        <v>9.4984848484848392</v>
      </c>
      <c r="C265">
        <v>12.1064516129032</v>
      </c>
      <c r="D265">
        <v>11.2022727272727</v>
      </c>
      <c r="E265">
        <v>8.9499999999999993</v>
      </c>
      <c r="F265">
        <v>10.387499999999999</v>
      </c>
      <c r="H265">
        <v>263</v>
      </c>
      <c r="I265">
        <v>1.47272727272727</v>
      </c>
      <c r="J265">
        <v>2.6774193548387002</v>
      </c>
      <c r="K265">
        <v>3.3333333333333299</v>
      </c>
      <c r="L265">
        <v>1.4</v>
      </c>
      <c r="M265">
        <v>3.85</v>
      </c>
      <c r="O265">
        <v>263</v>
      </c>
      <c r="P265">
        <v>2.76130603025703</v>
      </c>
      <c r="Q265">
        <v>2.6656714596224198</v>
      </c>
      <c r="R265">
        <v>3.5361842394573402</v>
      </c>
      <c r="S265">
        <v>2.9524226155234001</v>
      </c>
      <c r="T265">
        <v>2.0861830094945102</v>
      </c>
    </row>
    <row r="266" spans="1:20">
      <c r="A266">
        <v>264</v>
      </c>
      <c r="B266">
        <v>9.9712121212121207</v>
      </c>
      <c r="C266">
        <v>12.012903225806401</v>
      </c>
      <c r="D266">
        <v>10.9977272727272</v>
      </c>
      <c r="E266">
        <v>8.5057692307692303</v>
      </c>
      <c r="F266">
        <v>9.85</v>
      </c>
      <c r="H266">
        <v>264</v>
      </c>
      <c r="I266">
        <v>1.39090909090909</v>
      </c>
      <c r="J266">
        <v>2.8193548387096699</v>
      </c>
      <c r="K266">
        <v>2.0619047619047599</v>
      </c>
      <c r="L266">
        <v>2.2903225806451601</v>
      </c>
      <c r="M266">
        <v>1.7999999999999901</v>
      </c>
      <c r="O266">
        <v>264</v>
      </c>
      <c r="P266">
        <v>2.9434337638791899</v>
      </c>
      <c r="Q266">
        <v>2.6640837362866301</v>
      </c>
      <c r="R266">
        <v>3.5048009940199498</v>
      </c>
      <c r="S266">
        <v>2.6079852685953799</v>
      </c>
      <c r="T266">
        <v>2.1398164486974101</v>
      </c>
    </row>
    <row r="267" spans="1:20">
      <c r="A267">
        <v>265</v>
      </c>
      <c r="B267">
        <v>9.6348484848484794</v>
      </c>
      <c r="C267">
        <v>12.1612903225806</v>
      </c>
      <c r="D267">
        <v>10.736363636363601</v>
      </c>
      <c r="E267">
        <v>7.8634615384615296</v>
      </c>
      <c r="F267">
        <v>10.158333333333299</v>
      </c>
      <c r="H267">
        <v>265</v>
      </c>
      <c r="I267">
        <v>1.4060606060606</v>
      </c>
      <c r="J267">
        <v>4.2935483870967701</v>
      </c>
      <c r="K267">
        <v>1.5</v>
      </c>
      <c r="L267">
        <v>3.2193548387096702</v>
      </c>
      <c r="M267">
        <v>3.93333333333333</v>
      </c>
      <c r="O267">
        <v>265</v>
      </c>
      <c r="P267">
        <v>2.8650949205126</v>
      </c>
      <c r="Q267">
        <v>2.5405503102234701</v>
      </c>
      <c r="R267">
        <v>3.2502854852365299</v>
      </c>
      <c r="S267">
        <v>2.5291808949805898</v>
      </c>
      <c r="T267">
        <v>2.31412085445224</v>
      </c>
    </row>
    <row r="268" spans="1:20">
      <c r="A268">
        <v>266</v>
      </c>
      <c r="B268">
        <v>9.4318181818181799</v>
      </c>
      <c r="C268">
        <v>12.285483870967701</v>
      </c>
      <c r="D268">
        <v>10.981818181818101</v>
      </c>
      <c r="E268">
        <v>8.3846153846153797</v>
      </c>
      <c r="F268">
        <v>10.9625</v>
      </c>
      <c r="H268">
        <v>266</v>
      </c>
      <c r="I268">
        <v>0.86060606060606004</v>
      </c>
      <c r="J268">
        <v>3.69677419354838</v>
      </c>
      <c r="K268">
        <v>2.4380952380952299</v>
      </c>
      <c r="L268">
        <v>2.04516129032258</v>
      </c>
      <c r="M268">
        <v>1.86666666666666</v>
      </c>
      <c r="O268">
        <v>266</v>
      </c>
      <c r="P268">
        <v>2.84690777824148</v>
      </c>
      <c r="Q268">
        <v>2.75659518409562</v>
      </c>
      <c r="R268">
        <v>3.1532466580707901</v>
      </c>
      <c r="S268">
        <v>2.7731427501422199</v>
      </c>
      <c r="T268">
        <v>2.2059606634486699</v>
      </c>
    </row>
    <row r="269" spans="1:20">
      <c r="A269">
        <v>267</v>
      </c>
      <c r="B269">
        <v>9.9181818181818109</v>
      </c>
      <c r="C269">
        <v>12.7274193548387</v>
      </c>
      <c r="D269">
        <v>11.2477272727272</v>
      </c>
      <c r="E269">
        <v>8.5134615384615309</v>
      </c>
      <c r="F269">
        <v>11.6458333333333</v>
      </c>
      <c r="H269">
        <v>267</v>
      </c>
      <c r="I269">
        <v>2.1454545454545402</v>
      </c>
      <c r="J269">
        <v>4.4354838709677402</v>
      </c>
      <c r="K269">
        <v>4.0047619047619003</v>
      </c>
      <c r="L269">
        <v>2.7096774193548301</v>
      </c>
      <c r="M269">
        <v>5.5166666666666604</v>
      </c>
      <c r="O269">
        <v>267</v>
      </c>
      <c r="P269">
        <v>2.75735755546836</v>
      </c>
      <c r="Q269">
        <v>2.4043238309259301</v>
      </c>
      <c r="R269">
        <v>2.9848355719023001</v>
      </c>
      <c r="S269">
        <v>2.9074888272075099</v>
      </c>
      <c r="T269">
        <v>1.6755097599300399</v>
      </c>
    </row>
    <row r="270" spans="1:20">
      <c r="A270">
        <v>268</v>
      </c>
      <c r="B270">
        <v>9.4424242424242397</v>
      </c>
      <c r="C270">
        <v>12.4338709677419</v>
      </c>
      <c r="D270">
        <v>12.106818181818101</v>
      </c>
      <c r="E270">
        <v>8.2539999999999996</v>
      </c>
      <c r="F270">
        <v>12.112500000000001</v>
      </c>
      <c r="H270">
        <v>268</v>
      </c>
      <c r="I270">
        <v>2.4363636363636298</v>
      </c>
      <c r="J270">
        <v>3.1290322580645098</v>
      </c>
      <c r="K270">
        <v>3.6761904761904698</v>
      </c>
      <c r="L270">
        <v>1.17333333333333</v>
      </c>
      <c r="M270">
        <v>1.56666666666666</v>
      </c>
      <c r="O270">
        <v>268</v>
      </c>
      <c r="P270">
        <v>2.5822558734868299</v>
      </c>
      <c r="Q270">
        <v>2.32653952570764</v>
      </c>
      <c r="R270">
        <v>3.2472235152550302</v>
      </c>
      <c r="S270">
        <v>2.6482824209583402</v>
      </c>
      <c r="T270">
        <v>2.1669648664524801</v>
      </c>
    </row>
    <row r="271" spans="1:20">
      <c r="A271">
        <v>269</v>
      </c>
      <c r="B271">
        <v>10.2424242424242</v>
      </c>
      <c r="C271">
        <v>12.341666666666599</v>
      </c>
      <c r="D271">
        <v>11.213636363636301</v>
      </c>
      <c r="E271">
        <v>9.2057692307692296</v>
      </c>
      <c r="F271">
        <v>11.6875</v>
      </c>
      <c r="H271">
        <v>269</v>
      </c>
      <c r="I271">
        <v>1.5363636363636299</v>
      </c>
      <c r="J271">
        <v>4.32666666666666</v>
      </c>
      <c r="K271">
        <v>2.0809523809523802</v>
      </c>
      <c r="L271">
        <v>1.7096774193548301</v>
      </c>
      <c r="M271">
        <v>1.0833333333333299</v>
      </c>
      <c r="O271">
        <v>269</v>
      </c>
      <c r="P271">
        <v>3.0759435950739098</v>
      </c>
      <c r="Q271">
        <v>2.5198296361703401</v>
      </c>
      <c r="R271">
        <v>3.0194712909896202</v>
      </c>
      <c r="S271">
        <v>2.77163138127296</v>
      </c>
      <c r="T271">
        <v>2.2423317945335</v>
      </c>
    </row>
    <row r="272" spans="1:20">
      <c r="A272">
        <v>270</v>
      </c>
      <c r="B272">
        <v>10.445454545454499</v>
      </c>
      <c r="C272">
        <v>12.7183333333333</v>
      </c>
      <c r="D272">
        <v>12.027272727272701</v>
      </c>
      <c r="E272">
        <v>9.0634615384615298</v>
      </c>
      <c r="F272">
        <v>12.0541666666666</v>
      </c>
      <c r="H272">
        <v>270</v>
      </c>
      <c r="I272">
        <v>0.384848484848484</v>
      </c>
      <c r="J272">
        <v>2.83</v>
      </c>
      <c r="K272">
        <v>1.3428571428571401</v>
      </c>
      <c r="L272">
        <v>1.6193548387096699</v>
      </c>
      <c r="M272">
        <v>1.05</v>
      </c>
      <c r="O272">
        <v>270</v>
      </c>
      <c r="P272">
        <v>3.0351526425456301</v>
      </c>
      <c r="Q272">
        <v>2.6371707298843199</v>
      </c>
      <c r="R272">
        <v>3.690897059004</v>
      </c>
      <c r="S272">
        <v>2.7514934617631002</v>
      </c>
      <c r="T272">
        <v>2.4484809787012698</v>
      </c>
    </row>
    <row r="273" spans="1:20">
      <c r="A273">
        <v>271</v>
      </c>
      <c r="B273">
        <v>10.198484848484799</v>
      </c>
      <c r="C273">
        <v>13.04</v>
      </c>
      <c r="D273">
        <v>11.4977272727272</v>
      </c>
      <c r="E273">
        <v>8.8788461538461494</v>
      </c>
      <c r="F273">
        <v>12.3291666666666</v>
      </c>
      <c r="H273">
        <v>271</v>
      </c>
      <c r="I273">
        <v>2.6393939393939299</v>
      </c>
      <c r="J273">
        <v>4.2233333333333301</v>
      </c>
      <c r="K273">
        <v>2.1590909090908998</v>
      </c>
      <c r="L273">
        <v>2.5354838709677399</v>
      </c>
      <c r="M273">
        <v>5.1499999999999897</v>
      </c>
      <c r="O273">
        <v>271</v>
      </c>
      <c r="P273">
        <v>2.92273242129352</v>
      </c>
      <c r="Q273">
        <v>2.4067153885809098</v>
      </c>
      <c r="R273">
        <v>3.0825243500204902</v>
      </c>
      <c r="S273">
        <v>2.5239789777356298</v>
      </c>
      <c r="T273">
        <v>2.13295390564413</v>
      </c>
    </row>
    <row r="274" spans="1:20">
      <c r="A274">
        <v>272</v>
      </c>
      <c r="B274">
        <v>10.072727272727199</v>
      </c>
      <c r="C274">
        <v>13.381034482758601</v>
      </c>
      <c r="D274">
        <v>11.3095238095238</v>
      </c>
      <c r="E274">
        <v>8.9442307692307601</v>
      </c>
      <c r="F274">
        <v>12.65</v>
      </c>
      <c r="H274">
        <v>272</v>
      </c>
      <c r="I274">
        <v>2.21515151515151</v>
      </c>
      <c r="J274">
        <v>3.7620689655172401</v>
      </c>
      <c r="K274">
        <v>1.89545454545454</v>
      </c>
      <c r="L274">
        <v>0.72258064516128995</v>
      </c>
      <c r="M274">
        <v>2.15</v>
      </c>
      <c r="O274">
        <v>272</v>
      </c>
      <c r="P274">
        <v>3.0079671587405801</v>
      </c>
      <c r="Q274">
        <v>2.71659484771267</v>
      </c>
      <c r="R274">
        <v>3.2680039216479599</v>
      </c>
      <c r="S274">
        <v>2.9124688274201902</v>
      </c>
      <c r="T274">
        <v>2.3067555107961</v>
      </c>
    </row>
    <row r="275" spans="1:20">
      <c r="A275">
        <v>273</v>
      </c>
      <c r="B275">
        <v>11.2515151515151</v>
      </c>
      <c r="C275">
        <v>13.274137931034399</v>
      </c>
      <c r="D275">
        <v>11.7666666666666</v>
      </c>
      <c r="E275">
        <v>9.8192307692307601</v>
      </c>
      <c r="F275">
        <v>12.5208333333333</v>
      </c>
      <c r="H275">
        <v>273</v>
      </c>
      <c r="I275">
        <v>0.33939393939393903</v>
      </c>
      <c r="J275">
        <v>5.4793103448275797</v>
      </c>
      <c r="K275">
        <v>1.9318181818181801</v>
      </c>
      <c r="L275">
        <v>2.87096774193548</v>
      </c>
      <c r="M275">
        <v>5.61666666666666</v>
      </c>
      <c r="O275">
        <v>273</v>
      </c>
      <c r="P275">
        <v>3.4114061949116499</v>
      </c>
      <c r="Q275">
        <v>2.6496213239398698</v>
      </c>
      <c r="R275">
        <v>3.1221011462077599</v>
      </c>
      <c r="S275">
        <v>3.0301169839706499</v>
      </c>
      <c r="T275">
        <v>2.4465918649770302</v>
      </c>
    </row>
    <row r="276" spans="1:20">
      <c r="A276">
        <v>274</v>
      </c>
      <c r="B276">
        <v>11.2893939393939</v>
      </c>
      <c r="C276">
        <v>13.0233333333333</v>
      </c>
      <c r="D276">
        <v>12.302380952380901</v>
      </c>
      <c r="E276">
        <v>10.109615384615299</v>
      </c>
      <c r="F276">
        <v>11.65</v>
      </c>
      <c r="H276">
        <v>274</v>
      </c>
      <c r="I276">
        <v>0.36060606060605999</v>
      </c>
      <c r="J276">
        <v>7.2033333333333296</v>
      </c>
      <c r="K276">
        <v>0.57272727272727197</v>
      </c>
      <c r="L276">
        <v>1.90967741935483</v>
      </c>
      <c r="M276">
        <v>2.35</v>
      </c>
      <c r="O276">
        <v>274</v>
      </c>
      <c r="P276">
        <v>3.4573036102364698</v>
      </c>
      <c r="Q276">
        <v>2.7120872842053001</v>
      </c>
      <c r="R276">
        <v>3.6118721814547898</v>
      </c>
      <c r="S276">
        <v>3.0391651317767501</v>
      </c>
      <c r="T276">
        <v>2.46735033441291</v>
      </c>
    </row>
    <row r="277" spans="1:20">
      <c r="A277">
        <v>275</v>
      </c>
      <c r="B277">
        <v>11.590909090908999</v>
      </c>
      <c r="C277">
        <v>12.938333333333301</v>
      </c>
      <c r="D277">
        <v>12.966666666666599</v>
      </c>
      <c r="E277">
        <v>10.5307692307692</v>
      </c>
      <c r="F277">
        <v>12.0166666666666</v>
      </c>
      <c r="H277">
        <v>275</v>
      </c>
      <c r="I277">
        <v>0.86969696969696897</v>
      </c>
      <c r="J277">
        <v>4.3633333333333297</v>
      </c>
      <c r="K277">
        <v>0.50909090909090904</v>
      </c>
      <c r="L277">
        <v>2.3354838709677401</v>
      </c>
      <c r="M277">
        <v>2.2833333333333301</v>
      </c>
      <c r="O277">
        <v>275</v>
      </c>
      <c r="P277">
        <v>3.4181246576745901</v>
      </c>
      <c r="Q277">
        <v>2.5284096014561799</v>
      </c>
      <c r="R277">
        <v>3.9913377868737001</v>
      </c>
      <c r="S277">
        <v>3.1344846299028601</v>
      </c>
      <c r="T277">
        <v>2.1199025888480301</v>
      </c>
    </row>
    <row r="278" spans="1:20">
      <c r="A278">
        <v>276</v>
      </c>
      <c r="B278">
        <v>10.8530303030303</v>
      </c>
      <c r="C278">
        <v>13.2433333333333</v>
      </c>
      <c r="D278">
        <v>12.504761904761899</v>
      </c>
      <c r="E278">
        <v>9</v>
      </c>
      <c r="F278">
        <v>12.941666666666601</v>
      </c>
      <c r="H278">
        <v>276</v>
      </c>
      <c r="I278">
        <v>2.9272727272727201</v>
      </c>
      <c r="J278">
        <v>5.1333333333333302</v>
      </c>
      <c r="K278">
        <v>0.78181818181818097</v>
      </c>
      <c r="L278">
        <v>2.77241379310344</v>
      </c>
      <c r="M278">
        <v>4.2666666666666604</v>
      </c>
      <c r="O278">
        <v>276</v>
      </c>
      <c r="P278">
        <v>3.28237222726839</v>
      </c>
      <c r="Q278">
        <v>2.88480468453885</v>
      </c>
      <c r="R278">
        <v>3.79237583146277</v>
      </c>
      <c r="S278">
        <v>2.67999137318309</v>
      </c>
      <c r="T278">
        <v>2.6275875550097898</v>
      </c>
    </row>
    <row r="279" spans="1:20">
      <c r="A279">
        <v>277</v>
      </c>
      <c r="B279">
        <v>10.580303030303</v>
      </c>
      <c r="C279">
        <v>12.85</v>
      </c>
      <c r="D279">
        <v>11.6119047619047</v>
      </c>
      <c r="E279">
        <v>8.6730769230769198</v>
      </c>
      <c r="F279">
        <v>11.95</v>
      </c>
      <c r="H279">
        <v>277</v>
      </c>
      <c r="I279">
        <v>3.0151515151515098</v>
      </c>
      <c r="J279">
        <v>2.5033333333333299</v>
      </c>
      <c r="K279">
        <v>2.5227272727272698</v>
      </c>
      <c r="L279">
        <v>3.68</v>
      </c>
      <c r="M279">
        <v>1.13333333333333</v>
      </c>
      <c r="O279">
        <v>277</v>
      </c>
      <c r="P279">
        <v>2.9435441276045902</v>
      </c>
      <c r="Q279">
        <v>2.7808067783335901</v>
      </c>
      <c r="R279">
        <v>3.7080305350664999</v>
      </c>
      <c r="S279">
        <v>2.6267019098693898</v>
      </c>
      <c r="T279">
        <v>2.2251605523882798</v>
      </c>
    </row>
    <row r="280" spans="1:20">
      <c r="A280">
        <v>278</v>
      </c>
      <c r="B280">
        <v>10.5</v>
      </c>
      <c r="C280">
        <v>12.875806451612901</v>
      </c>
      <c r="D280">
        <v>11.8357142857142</v>
      </c>
      <c r="E280">
        <v>9.1269230769230703</v>
      </c>
      <c r="F280">
        <v>11.8958333333333</v>
      </c>
      <c r="H280">
        <v>278</v>
      </c>
      <c r="I280">
        <v>1.5060606060606001</v>
      </c>
      <c r="J280">
        <v>4.1354838709677404</v>
      </c>
      <c r="K280">
        <v>2.4545454545454501</v>
      </c>
      <c r="L280">
        <v>2.1161290322580601</v>
      </c>
      <c r="M280">
        <v>2.0666666666666602</v>
      </c>
      <c r="O280">
        <v>278</v>
      </c>
      <c r="P280">
        <v>3.3810413875387701</v>
      </c>
      <c r="Q280">
        <v>3.0772949163384999</v>
      </c>
      <c r="R280">
        <v>4.3130634426462597</v>
      </c>
      <c r="S280">
        <v>2.9969150746190301</v>
      </c>
      <c r="T280">
        <v>2.2142725820580198</v>
      </c>
    </row>
    <row r="281" spans="1:20">
      <c r="A281">
        <v>279</v>
      </c>
      <c r="B281">
        <v>11.0757575757575</v>
      </c>
      <c r="C281">
        <v>12.9966666666666</v>
      </c>
      <c r="D281">
        <v>12.7357142857142</v>
      </c>
      <c r="E281">
        <v>9.5423076923076895</v>
      </c>
      <c r="F281">
        <v>11.8333333333333</v>
      </c>
      <c r="H281">
        <v>279</v>
      </c>
      <c r="I281">
        <v>0.86666666666666603</v>
      </c>
      <c r="J281">
        <v>2.96999999999999</v>
      </c>
      <c r="K281">
        <v>0.60454545454545405</v>
      </c>
      <c r="L281">
        <v>3.01935483870967</v>
      </c>
      <c r="M281">
        <v>1.43333333333333</v>
      </c>
      <c r="O281">
        <v>279</v>
      </c>
      <c r="P281">
        <v>3.3814368699018198</v>
      </c>
      <c r="Q281">
        <v>3.1690364753373701</v>
      </c>
      <c r="R281">
        <v>4.3292926375216698</v>
      </c>
      <c r="S281">
        <v>3.6835653067924499</v>
      </c>
      <c r="T281">
        <v>2.5217662070296001</v>
      </c>
    </row>
    <row r="282" spans="1:20">
      <c r="A282">
        <v>280</v>
      </c>
      <c r="B282">
        <v>11.1621212121212</v>
      </c>
      <c r="C282">
        <v>12.7633333333333</v>
      </c>
      <c r="D282">
        <v>12.5857142857142</v>
      </c>
      <c r="E282">
        <v>9.71875</v>
      </c>
      <c r="F282">
        <v>12.133333333333301</v>
      </c>
      <c r="H282">
        <v>280</v>
      </c>
      <c r="I282">
        <v>1.1424242424242399</v>
      </c>
      <c r="J282">
        <v>2.61</v>
      </c>
      <c r="K282">
        <v>0.83636363636363598</v>
      </c>
      <c r="L282">
        <v>3.4965517241379298</v>
      </c>
      <c r="M282">
        <v>1.5</v>
      </c>
      <c r="O282">
        <v>280</v>
      </c>
      <c r="P282">
        <v>3.44855016002714</v>
      </c>
      <c r="Q282">
        <v>2.8220150579732999</v>
      </c>
      <c r="R282">
        <v>4.3351690605416504</v>
      </c>
      <c r="S282">
        <v>3.48913907693712</v>
      </c>
      <c r="T282">
        <v>2.4929362431341402</v>
      </c>
    </row>
    <row r="283" spans="1:20">
      <c r="A283">
        <v>281</v>
      </c>
      <c r="B283">
        <v>10.442424242424201</v>
      </c>
      <c r="C283">
        <v>13.4816666666666</v>
      </c>
      <c r="D283">
        <v>12.3595238095238</v>
      </c>
      <c r="E283">
        <v>9.4939999999999998</v>
      </c>
      <c r="F283">
        <v>11.8708333333333</v>
      </c>
      <c r="H283">
        <v>281</v>
      </c>
      <c r="I283">
        <v>3.97272727272727</v>
      </c>
      <c r="J283">
        <v>4.0666666666666602</v>
      </c>
      <c r="K283">
        <v>0.95</v>
      </c>
      <c r="L283">
        <v>2.6133333333333302</v>
      </c>
      <c r="M283">
        <v>4.18333333333333</v>
      </c>
      <c r="O283">
        <v>281</v>
      </c>
      <c r="P283">
        <v>3.0735601882933201</v>
      </c>
      <c r="Q283">
        <v>2.68549157073894</v>
      </c>
      <c r="R283">
        <v>3.8655475599318199</v>
      </c>
      <c r="S283">
        <v>3.2023495967689999</v>
      </c>
      <c r="T283">
        <v>2.0932595279969002</v>
      </c>
    </row>
    <row r="284" spans="1:20">
      <c r="A284">
        <v>282</v>
      </c>
      <c r="B284">
        <v>10.1257575757575</v>
      </c>
      <c r="C284">
        <v>13.6933333333333</v>
      </c>
      <c r="D284">
        <v>12.4857142857142</v>
      </c>
      <c r="E284">
        <v>9.1020000000000003</v>
      </c>
      <c r="F284">
        <v>11.529166666666599</v>
      </c>
      <c r="H284">
        <v>282</v>
      </c>
      <c r="I284">
        <v>2.9363636363636298</v>
      </c>
      <c r="J284">
        <v>4.22</v>
      </c>
      <c r="K284">
        <v>3.2409090909090899</v>
      </c>
      <c r="L284">
        <v>2.34</v>
      </c>
      <c r="M284">
        <v>2.2166666666666601</v>
      </c>
      <c r="O284">
        <v>282</v>
      </c>
      <c r="P284">
        <v>2.8856583502815898</v>
      </c>
      <c r="Q284">
        <v>2.6969590648562201</v>
      </c>
      <c r="R284">
        <v>3.4458424367367502</v>
      </c>
      <c r="S284">
        <v>3.17237402264742</v>
      </c>
      <c r="T284">
        <v>2.3166472445358202</v>
      </c>
    </row>
    <row r="285" spans="1:20">
      <c r="A285">
        <v>283</v>
      </c>
      <c r="B285">
        <v>10.0590909090909</v>
      </c>
      <c r="C285">
        <v>12.9568965517241</v>
      </c>
      <c r="D285">
        <v>12.105</v>
      </c>
      <c r="E285">
        <v>8.8699999999999992</v>
      </c>
      <c r="F285">
        <v>11.316666666666601</v>
      </c>
      <c r="H285">
        <v>283</v>
      </c>
      <c r="I285">
        <v>2.5939393939393902</v>
      </c>
      <c r="J285">
        <v>4.5966666666666596</v>
      </c>
      <c r="K285">
        <v>3.3714285714285701</v>
      </c>
      <c r="L285">
        <v>3.02</v>
      </c>
      <c r="M285">
        <v>2.9833333333333298</v>
      </c>
      <c r="O285">
        <v>283</v>
      </c>
      <c r="P285">
        <v>2.97068142496583</v>
      </c>
      <c r="Q285">
        <v>2.9040985917251398</v>
      </c>
      <c r="R285">
        <v>3.48119629351732</v>
      </c>
      <c r="S285">
        <v>2.9927535869051698</v>
      </c>
      <c r="T285">
        <v>2.57259273420483</v>
      </c>
    </row>
    <row r="286" spans="1:20">
      <c r="A286">
        <v>284</v>
      </c>
      <c r="B286">
        <v>10.7469696969696</v>
      </c>
      <c r="C286">
        <v>13.2293103448275</v>
      </c>
      <c r="D286">
        <v>11.6636363636363</v>
      </c>
      <c r="E286">
        <v>9.7229166666666593</v>
      </c>
      <c r="F286">
        <v>12.466666666666599</v>
      </c>
      <c r="H286">
        <v>284</v>
      </c>
      <c r="I286">
        <v>1.8181818181818099</v>
      </c>
      <c r="J286">
        <v>2.3896551724137902</v>
      </c>
      <c r="K286">
        <v>2.3727272727272699</v>
      </c>
      <c r="L286">
        <v>0.75862068965517204</v>
      </c>
      <c r="M286">
        <v>3.5333333333333301</v>
      </c>
      <c r="O286">
        <v>284</v>
      </c>
      <c r="P286">
        <v>3.3415142660940802</v>
      </c>
      <c r="Q286">
        <v>2.90858576113735</v>
      </c>
      <c r="R286">
        <v>2.9574189664944801</v>
      </c>
      <c r="S286">
        <v>3.1945622949860502</v>
      </c>
      <c r="T286">
        <v>2.44735536591925</v>
      </c>
    </row>
    <row r="287" spans="1:20">
      <c r="A287">
        <v>285</v>
      </c>
      <c r="B287">
        <v>12.012121212121199</v>
      </c>
      <c r="C287">
        <v>13.7431034482758</v>
      </c>
      <c r="D287">
        <v>12.7340909090909</v>
      </c>
      <c r="E287">
        <v>9.83541666666666</v>
      </c>
      <c r="F287">
        <v>12.566666666666601</v>
      </c>
      <c r="H287">
        <v>285</v>
      </c>
      <c r="I287">
        <v>1.7393939393939299</v>
      </c>
      <c r="J287">
        <v>5.39310344827586</v>
      </c>
      <c r="K287">
        <v>1.7681818181818101</v>
      </c>
      <c r="L287">
        <v>2.3448275862068901</v>
      </c>
      <c r="M287">
        <v>1.88333333333333</v>
      </c>
      <c r="O287">
        <v>285</v>
      </c>
      <c r="P287">
        <v>3.8727634784268798</v>
      </c>
      <c r="Q287">
        <v>2.9187130451018599</v>
      </c>
      <c r="R287">
        <v>3.7604768415740599</v>
      </c>
      <c r="S287">
        <v>3.09829846104553</v>
      </c>
      <c r="T287">
        <v>2.6706436990123898</v>
      </c>
    </row>
    <row r="288" spans="1:20">
      <c r="A288">
        <v>286</v>
      </c>
      <c r="B288">
        <v>11.445454545454499</v>
      </c>
      <c r="C288">
        <v>13.6551724137931</v>
      </c>
      <c r="D288">
        <v>12.865909090909</v>
      </c>
      <c r="E288">
        <v>9.03125</v>
      </c>
      <c r="F288">
        <v>12.133333333333301</v>
      </c>
      <c r="H288">
        <v>286</v>
      </c>
      <c r="I288">
        <v>3.22727272727272</v>
      </c>
      <c r="J288">
        <v>4.9586206896551701</v>
      </c>
      <c r="K288">
        <v>2.0363636363636299</v>
      </c>
      <c r="L288">
        <v>3.38620689655172</v>
      </c>
      <c r="M288">
        <v>2.6666666666666599</v>
      </c>
      <c r="O288">
        <v>286</v>
      </c>
      <c r="P288">
        <v>3.7654187532628201</v>
      </c>
      <c r="Q288">
        <v>2.9944315874670302</v>
      </c>
      <c r="R288">
        <v>3.9525233886015099</v>
      </c>
      <c r="S288">
        <v>3.1898556083501601</v>
      </c>
      <c r="T288">
        <v>1.9257972512671799</v>
      </c>
    </row>
    <row r="289" spans="1:20">
      <c r="A289">
        <v>287</v>
      </c>
      <c r="B289">
        <v>11.0863636363636</v>
      </c>
      <c r="C289">
        <v>13.334482758620601</v>
      </c>
      <c r="D289">
        <v>13</v>
      </c>
      <c r="E289">
        <v>8.6666666666666607</v>
      </c>
      <c r="F289">
        <v>12.762499999999999</v>
      </c>
      <c r="H289">
        <v>287</v>
      </c>
      <c r="I289">
        <v>1.8060606060605999</v>
      </c>
      <c r="J289">
        <v>5.6758620689655102</v>
      </c>
      <c r="K289">
        <v>2.8409090909090899</v>
      </c>
      <c r="L289">
        <v>4.7642857142857098</v>
      </c>
      <c r="M289">
        <v>3.6333333333333302</v>
      </c>
      <c r="O289">
        <v>287</v>
      </c>
      <c r="P289">
        <v>3.5839169020731898</v>
      </c>
      <c r="Q289">
        <v>2.9220059834019998</v>
      </c>
      <c r="R289">
        <v>4.2710218496395997</v>
      </c>
      <c r="S289">
        <v>2.8010527940918499</v>
      </c>
      <c r="T289">
        <v>2.2182002807721002</v>
      </c>
    </row>
    <row r="290" spans="1:20">
      <c r="A290">
        <v>288</v>
      </c>
      <c r="B290">
        <v>10.820454545454499</v>
      </c>
      <c r="C290">
        <v>13.0379310344827</v>
      </c>
      <c r="D290">
        <v>12.475</v>
      </c>
      <c r="E290">
        <v>8.96875</v>
      </c>
      <c r="F290">
        <v>12.675000000000001</v>
      </c>
      <c r="H290">
        <v>288</v>
      </c>
      <c r="I290">
        <v>1.17272727272727</v>
      </c>
      <c r="J290">
        <v>5.9344827586206899</v>
      </c>
      <c r="K290">
        <v>1.1772727272727199</v>
      </c>
      <c r="L290">
        <v>2.1214285714285701</v>
      </c>
      <c r="M290">
        <v>4.2166666666666597</v>
      </c>
      <c r="O290">
        <v>288</v>
      </c>
      <c r="P290">
        <v>3.5135934353686902</v>
      </c>
      <c r="Q290">
        <v>3.1812494285264998</v>
      </c>
      <c r="R290">
        <v>3.9727096750478901</v>
      </c>
      <c r="S290">
        <v>3.3703073222958699</v>
      </c>
      <c r="T290">
        <v>2.3809243707544998</v>
      </c>
    </row>
    <row r="291" spans="1:20">
      <c r="A291">
        <v>289</v>
      </c>
      <c r="B291">
        <v>11.382575757575699</v>
      </c>
      <c r="C291">
        <v>13.094827586206801</v>
      </c>
      <c r="D291">
        <v>12.947727272727199</v>
      </c>
      <c r="E291">
        <v>10.0104166666666</v>
      </c>
      <c r="F291">
        <v>12.3041666666666</v>
      </c>
      <c r="H291">
        <v>289</v>
      </c>
      <c r="I291">
        <v>0.98181818181818103</v>
      </c>
      <c r="J291">
        <v>3.2862068965517199</v>
      </c>
      <c r="K291">
        <v>0.57272727272727197</v>
      </c>
      <c r="L291">
        <v>2.6142857142857099</v>
      </c>
      <c r="M291">
        <v>1.4666666666666599</v>
      </c>
      <c r="O291">
        <v>289</v>
      </c>
      <c r="P291">
        <v>3.66659887182134</v>
      </c>
      <c r="Q291">
        <v>3.1846462671739202</v>
      </c>
      <c r="R291">
        <v>4.1993593309668</v>
      </c>
      <c r="S291">
        <v>3.38126626556343</v>
      </c>
      <c r="T291">
        <v>2.7800377367024298</v>
      </c>
    </row>
    <row r="292" spans="1:20">
      <c r="A292">
        <v>290</v>
      </c>
      <c r="B292">
        <v>12.1743939393939</v>
      </c>
      <c r="C292">
        <v>13.6775862068965</v>
      </c>
      <c r="D292">
        <v>12.968181818181799</v>
      </c>
      <c r="E292">
        <v>10.4583333333333</v>
      </c>
      <c r="F292">
        <v>12.987499999999899</v>
      </c>
      <c r="H292">
        <v>290</v>
      </c>
      <c r="I292">
        <v>1.93030303030303</v>
      </c>
      <c r="J292">
        <v>3.4241379310344802</v>
      </c>
      <c r="K292">
        <v>0.368181818181818</v>
      </c>
      <c r="L292">
        <v>4.2785714285714196</v>
      </c>
      <c r="M292">
        <v>2.75</v>
      </c>
      <c r="O292">
        <v>290</v>
      </c>
      <c r="P292">
        <v>4.4221266913625099</v>
      </c>
      <c r="Q292">
        <v>3.2300602691540199</v>
      </c>
      <c r="R292">
        <v>4.4917113796506696</v>
      </c>
      <c r="S292">
        <v>3.6697847167500699</v>
      </c>
      <c r="T292">
        <v>2.65151934906442</v>
      </c>
    </row>
    <row r="293" spans="1:20">
      <c r="A293">
        <v>291</v>
      </c>
      <c r="B293">
        <v>11.5590909090909</v>
      </c>
      <c r="C293">
        <v>13.189655172413699</v>
      </c>
      <c r="D293">
        <v>13.1045454545454</v>
      </c>
      <c r="E293">
        <v>10.347916666666601</v>
      </c>
      <c r="F293">
        <v>12.7416666666666</v>
      </c>
      <c r="H293">
        <v>291</v>
      </c>
      <c r="I293">
        <v>0.9</v>
      </c>
      <c r="J293">
        <v>3.6586206896551698</v>
      </c>
      <c r="K293">
        <v>0.92272727272727195</v>
      </c>
      <c r="L293">
        <v>3.2285714285714202</v>
      </c>
      <c r="M293">
        <v>3.0666666666666602</v>
      </c>
      <c r="O293">
        <v>291</v>
      </c>
      <c r="P293">
        <v>4.1615819400289</v>
      </c>
      <c r="Q293">
        <v>2.98673361950474</v>
      </c>
      <c r="R293">
        <v>4.1860674362002701</v>
      </c>
      <c r="S293">
        <v>3.6501097708482901</v>
      </c>
      <c r="T293">
        <v>2.2346438003254501</v>
      </c>
    </row>
    <row r="294" spans="1:20">
      <c r="A294">
        <v>292</v>
      </c>
      <c r="B294">
        <v>11.530303030302999</v>
      </c>
      <c r="C294">
        <v>12.9428571428571</v>
      </c>
      <c r="D294">
        <v>11.5318181818181</v>
      </c>
      <c r="E294">
        <v>9.7847826086956502</v>
      </c>
      <c r="F294">
        <v>12.154166666666599</v>
      </c>
      <c r="H294">
        <v>292</v>
      </c>
      <c r="I294">
        <v>2.16363636363636</v>
      </c>
      <c r="J294">
        <v>2.3892857142857098</v>
      </c>
      <c r="K294">
        <v>3.0636363636363599</v>
      </c>
      <c r="L294">
        <v>4.0296296296296203</v>
      </c>
      <c r="M294">
        <v>1.1000000000000001</v>
      </c>
      <c r="O294">
        <v>292</v>
      </c>
      <c r="P294">
        <v>4.1616928735003</v>
      </c>
      <c r="Q294">
        <v>3.3877860671285598</v>
      </c>
      <c r="R294">
        <v>3.9413419635765599</v>
      </c>
      <c r="S294">
        <v>3.62574940177287</v>
      </c>
      <c r="T294">
        <v>2.9905003990183601</v>
      </c>
    </row>
    <row r="295" spans="1:20">
      <c r="A295">
        <v>293</v>
      </c>
      <c r="B295">
        <v>11.592424242424199</v>
      </c>
      <c r="C295">
        <v>12.819642857142799</v>
      </c>
      <c r="D295">
        <v>12.4068181818181</v>
      </c>
      <c r="E295">
        <v>10.524999999999901</v>
      </c>
      <c r="F295">
        <v>12.6666666666666</v>
      </c>
      <c r="H295">
        <v>293</v>
      </c>
      <c r="I295">
        <v>0.68787878787878698</v>
      </c>
      <c r="J295">
        <v>1.6142857142857101</v>
      </c>
      <c r="K295">
        <v>0.61363636363636298</v>
      </c>
      <c r="L295">
        <v>2.4500000000000002</v>
      </c>
      <c r="M295">
        <v>1.13333333333333</v>
      </c>
      <c r="O295">
        <v>293</v>
      </c>
      <c r="P295">
        <v>4.1355638104854497</v>
      </c>
      <c r="Q295">
        <v>3.30175747979975</v>
      </c>
      <c r="R295">
        <v>4.0037490227720003</v>
      </c>
      <c r="S295">
        <v>3.66959381833122</v>
      </c>
      <c r="T295">
        <v>2.7134262355768599</v>
      </c>
    </row>
    <row r="296" spans="1:20">
      <c r="A296">
        <v>294</v>
      </c>
      <c r="B296">
        <v>12.6712121212121</v>
      </c>
      <c r="C296">
        <v>13.2785714285714</v>
      </c>
      <c r="D296">
        <v>12.468181818181799</v>
      </c>
      <c r="E296">
        <v>10.529166666666599</v>
      </c>
      <c r="F296">
        <v>12.4916666666666</v>
      </c>
      <c r="H296">
        <v>294</v>
      </c>
      <c r="I296">
        <v>0.91515151515151505</v>
      </c>
      <c r="J296">
        <v>2.9214285714285699</v>
      </c>
      <c r="K296">
        <v>4.8772727272727199</v>
      </c>
      <c r="L296">
        <v>3.2214285714285702</v>
      </c>
      <c r="M296">
        <v>0.51666666666666605</v>
      </c>
      <c r="O296">
        <v>294</v>
      </c>
      <c r="P296">
        <v>4.2548689124348202</v>
      </c>
      <c r="Q296">
        <v>2.9372247945615499</v>
      </c>
      <c r="R296">
        <v>4.5661149158777601</v>
      </c>
      <c r="S296">
        <v>3.5959017855332398</v>
      </c>
      <c r="T296">
        <v>2.2874725559703002</v>
      </c>
    </row>
    <row r="297" spans="1:20">
      <c r="A297">
        <v>295</v>
      </c>
      <c r="B297">
        <v>11.5966666666666</v>
      </c>
      <c r="C297">
        <v>13.5625</v>
      </c>
      <c r="D297">
        <v>12.75</v>
      </c>
      <c r="E297">
        <v>9.5458333333333307</v>
      </c>
      <c r="F297">
        <v>12.925000000000001</v>
      </c>
      <c r="H297">
        <v>295</v>
      </c>
      <c r="I297">
        <v>1.0757575757575699</v>
      </c>
      <c r="J297">
        <v>3.3499999999999899</v>
      </c>
      <c r="K297">
        <v>1.66363636363636</v>
      </c>
      <c r="L297">
        <v>2.8857142857142799</v>
      </c>
      <c r="M297">
        <v>3.7166666666666601</v>
      </c>
      <c r="O297">
        <v>295</v>
      </c>
      <c r="P297">
        <v>3.8892850116651498</v>
      </c>
      <c r="Q297">
        <v>2.9112128548041598</v>
      </c>
      <c r="R297">
        <v>3.8837771981771101</v>
      </c>
      <c r="S297">
        <v>3.2017409158500101</v>
      </c>
      <c r="T297">
        <v>2.31884542682567</v>
      </c>
    </row>
    <row r="298" spans="1:20">
      <c r="A298">
        <v>296</v>
      </c>
      <c r="B298">
        <v>11.5331818181818</v>
      </c>
      <c r="C298">
        <v>13.9310344827586</v>
      </c>
      <c r="D298">
        <v>12.131818181818099</v>
      </c>
      <c r="E298">
        <v>9.6604166666666593</v>
      </c>
      <c r="F298">
        <v>12.2291666666666</v>
      </c>
      <c r="H298">
        <v>296</v>
      </c>
      <c r="I298">
        <v>1.5757575757575699</v>
      </c>
      <c r="J298">
        <v>4.6137931034482698</v>
      </c>
      <c r="K298">
        <v>1.5363636363636299</v>
      </c>
      <c r="L298">
        <v>3.3357142857142801</v>
      </c>
      <c r="M298">
        <v>2.8333333333333299</v>
      </c>
      <c r="O298">
        <v>296</v>
      </c>
      <c r="P298">
        <v>3.7538214127918499</v>
      </c>
      <c r="Q298">
        <v>3.5318790230099002</v>
      </c>
      <c r="R298">
        <v>4.3327176932129996</v>
      </c>
      <c r="S298">
        <v>3.1675130366347202</v>
      </c>
      <c r="T298">
        <v>2.7150999093147798</v>
      </c>
    </row>
    <row r="299" spans="1:20">
      <c r="A299">
        <v>297</v>
      </c>
      <c r="B299">
        <v>11.6060606060606</v>
      </c>
      <c r="C299">
        <v>13.336206896551699</v>
      </c>
      <c r="D299">
        <v>11.7931818181818</v>
      </c>
      <c r="E299">
        <v>10.560416666666599</v>
      </c>
      <c r="F299">
        <v>12.2708333333333</v>
      </c>
      <c r="H299">
        <v>297</v>
      </c>
      <c r="I299">
        <v>0.95454545454545403</v>
      </c>
      <c r="J299">
        <v>3.30689655172413</v>
      </c>
      <c r="K299">
        <v>1.2090909090908999</v>
      </c>
      <c r="L299">
        <v>2.44285714285714</v>
      </c>
      <c r="M299">
        <v>0.85</v>
      </c>
      <c r="O299">
        <v>297</v>
      </c>
      <c r="P299">
        <v>3.9920282440950898</v>
      </c>
      <c r="Q299">
        <v>3.2578637469081699</v>
      </c>
      <c r="R299">
        <v>3.5120285804502198</v>
      </c>
      <c r="S299">
        <v>3.9950820359854</v>
      </c>
      <c r="T299">
        <v>2.95103134032406</v>
      </c>
    </row>
    <row r="300" spans="1:20">
      <c r="A300">
        <v>298</v>
      </c>
      <c r="B300">
        <v>11.821212121212101</v>
      </c>
      <c r="C300">
        <v>13.789655172413701</v>
      </c>
      <c r="D300">
        <v>12.5318181818181</v>
      </c>
      <c r="E300">
        <v>10.43125</v>
      </c>
      <c r="F300">
        <v>12.858333333333301</v>
      </c>
      <c r="H300">
        <v>298</v>
      </c>
      <c r="I300">
        <v>0.13030303030303</v>
      </c>
      <c r="J300">
        <v>1.8172413793103399</v>
      </c>
      <c r="K300">
        <v>0.34090909090909</v>
      </c>
      <c r="L300">
        <v>1.3857142857142799</v>
      </c>
      <c r="M300">
        <v>1.0333333333333301</v>
      </c>
      <c r="O300">
        <v>298</v>
      </c>
      <c r="P300">
        <v>3.94572673133468</v>
      </c>
      <c r="Q300">
        <v>3.4101531049699898</v>
      </c>
      <c r="R300">
        <v>4.2218408416808497</v>
      </c>
      <c r="S300">
        <v>3.85285471712224</v>
      </c>
      <c r="T300">
        <v>2.6842724832832401</v>
      </c>
    </row>
    <row r="301" spans="1:20">
      <c r="A301">
        <v>299</v>
      </c>
      <c r="B301">
        <v>12.8742424242424</v>
      </c>
      <c r="C301">
        <v>14.0810344827586</v>
      </c>
      <c r="D301">
        <v>12.9363636363636</v>
      </c>
      <c r="E301">
        <v>11.081250000000001</v>
      </c>
      <c r="F301">
        <v>13.7708333333333</v>
      </c>
      <c r="H301">
        <v>299</v>
      </c>
      <c r="I301">
        <v>1.03939393939393</v>
      </c>
      <c r="J301">
        <v>0.78965517241379302</v>
      </c>
      <c r="K301">
        <v>0.513636363636363</v>
      </c>
      <c r="L301">
        <v>3.02857142857142</v>
      </c>
      <c r="M301">
        <v>3.5166666666666599</v>
      </c>
      <c r="O301">
        <v>299</v>
      </c>
      <c r="P301">
        <v>4.24133991088486</v>
      </c>
      <c r="Q301">
        <v>3.2764418127891499</v>
      </c>
      <c r="R301">
        <v>4.07909072422762</v>
      </c>
      <c r="S301">
        <v>3.6885688559975298</v>
      </c>
      <c r="T301">
        <v>2.91343955355575</v>
      </c>
    </row>
    <row r="302" spans="1:20">
      <c r="A302">
        <v>300</v>
      </c>
      <c r="B302">
        <v>12.3921212121212</v>
      </c>
      <c r="C302">
        <v>14.8396551724137</v>
      </c>
      <c r="D302">
        <v>13.006818181818099</v>
      </c>
      <c r="E302">
        <v>10.299999999999899</v>
      </c>
      <c r="F302">
        <v>13.899999999999901</v>
      </c>
      <c r="H302">
        <v>300</v>
      </c>
      <c r="I302">
        <v>1.66060606060606</v>
      </c>
      <c r="J302">
        <v>3.4241379310344802</v>
      </c>
      <c r="K302">
        <v>1.94545454545454</v>
      </c>
      <c r="L302">
        <v>1.55172413793103</v>
      </c>
      <c r="M302">
        <v>4.75</v>
      </c>
      <c r="O302">
        <v>300</v>
      </c>
      <c r="P302">
        <v>3.98512648995679</v>
      </c>
      <c r="Q302">
        <v>3.3023555527193</v>
      </c>
      <c r="R302">
        <v>3.7900776667054901</v>
      </c>
      <c r="S302">
        <v>3.3673341745851202</v>
      </c>
      <c r="T302">
        <v>2.4549016141153701</v>
      </c>
    </row>
    <row r="303" spans="1:20">
      <c r="A303">
        <v>301</v>
      </c>
      <c r="B303">
        <v>13.0242424242424</v>
      </c>
      <c r="C303">
        <v>14.274137931034399</v>
      </c>
      <c r="D303">
        <v>14.0818181818181</v>
      </c>
      <c r="E303">
        <v>10.827083333333301</v>
      </c>
      <c r="F303">
        <v>13.425000000000001</v>
      </c>
      <c r="H303">
        <v>301</v>
      </c>
      <c r="I303">
        <v>1.6848484848484799</v>
      </c>
      <c r="J303">
        <v>4.16206896551724</v>
      </c>
      <c r="K303">
        <v>1.0727272727272701</v>
      </c>
      <c r="L303">
        <v>1.5448275862068901</v>
      </c>
      <c r="M303">
        <v>5.6333333333333302</v>
      </c>
      <c r="O303">
        <v>301</v>
      </c>
      <c r="P303">
        <v>4.06785476536513</v>
      </c>
      <c r="Q303">
        <v>2.9394492851949701</v>
      </c>
      <c r="R303">
        <v>3.9067275738649201</v>
      </c>
      <c r="S303">
        <v>3.3953963720052101</v>
      </c>
      <c r="T303">
        <v>2.5803220554406501</v>
      </c>
    </row>
    <row r="304" spans="1:20">
      <c r="A304">
        <v>302</v>
      </c>
      <c r="B304">
        <v>13.2075757575757</v>
      </c>
      <c r="C304">
        <v>14.29</v>
      </c>
      <c r="D304">
        <v>14.1404761904761</v>
      </c>
      <c r="E304">
        <v>10.914</v>
      </c>
      <c r="F304">
        <v>13.9625</v>
      </c>
      <c r="H304">
        <v>302</v>
      </c>
      <c r="I304">
        <v>1</v>
      </c>
      <c r="J304">
        <v>2.4933333333333301</v>
      </c>
      <c r="K304">
        <v>0.59090909090909005</v>
      </c>
      <c r="L304">
        <v>3.7533333333333299</v>
      </c>
      <c r="M304">
        <v>3.7833333333333301</v>
      </c>
      <c r="O304">
        <v>302</v>
      </c>
      <c r="P304">
        <v>3.8638743234578601</v>
      </c>
      <c r="Q304">
        <v>3.1793308523033601</v>
      </c>
      <c r="R304">
        <v>4.4290499199253297</v>
      </c>
      <c r="S304">
        <v>3.4434492702842898</v>
      </c>
      <c r="T304">
        <v>2.91115304555708</v>
      </c>
    </row>
    <row r="305" spans="1:20">
      <c r="A305">
        <v>303</v>
      </c>
      <c r="B305">
        <v>12.865151515151499</v>
      </c>
      <c r="C305">
        <v>14.715</v>
      </c>
      <c r="D305">
        <v>13.883333333333301</v>
      </c>
      <c r="E305">
        <v>11.141999999999999</v>
      </c>
      <c r="F305">
        <v>13.045833333333301</v>
      </c>
      <c r="H305">
        <v>303</v>
      </c>
      <c r="I305">
        <v>1.44848484848484</v>
      </c>
      <c r="J305">
        <v>1.99</v>
      </c>
      <c r="K305">
        <v>0.75</v>
      </c>
      <c r="L305">
        <v>2.3333333333333299</v>
      </c>
      <c r="M305">
        <v>0.39999999999999902</v>
      </c>
      <c r="O305">
        <v>303</v>
      </c>
      <c r="P305">
        <v>4.2171092806571897</v>
      </c>
      <c r="Q305">
        <v>3.2908149619424898</v>
      </c>
      <c r="R305">
        <v>4.5336211787487199</v>
      </c>
      <c r="S305">
        <v>3.3627687789188001</v>
      </c>
      <c r="T305">
        <v>3.19138361024571</v>
      </c>
    </row>
    <row r="306" spans="1:20">
      <c r="A306">
        <v>304</v>
      </c>
      <c r="B306">
        <v>12.8045454545454</v>
      </c>
      <c r="C306">
        <v>14.5266666666666</v>
      </c>
      <c r="D306">
        <v>13.3190476190476</v>
      </c>
      <c r="E306">
        <v>11.32</v>
      </c>
      <c r="F306">
        <v>12.6166666666666</v>
      </c>
      <c r="H306">
        <v>304</v>
      </c>
      <c r="I306">
        <v>0.38787878787878699</v>
      </c>
      <c r="J306">
        <v>1.75</v>
      </c>
      <c r="K306">
        <v>0.41363636363636302</v>
      </c>
      <c r="L306">
        <v>2.0133333333333301</v>
      </c>
      <c r="M306">
        <v>3.4666666666666601</v>
      </c>
      <c r="O306">
        <v>304</v>
      </c>
      <c r="P306">
        <v>4.4006301765887699</v>
      </c>
      <c r="Q306">
        <v>3.7910621493299299</v>
      </c>
      <c r="R306">
        <v>4.4543711369120702</v>
      </c>
      <c r="S306">
        <v>3.6212758496943001</v>
      </c>
      <c r="T306">
        <v>3.1814806222099299</v>
      </c>
    </row>
    <row r="307" spans="1:20">
      <c r="A307">
        <v>305</v>
      </c>
      <c r="B307">
        <v>13.4363636363636</v>
      </c>
      <c r="C307">
        <v>14.0416666666666</v>
      </c>
      <c r="D307">
        <v>12.816666666666601</v>
      </c>
      <c r="E307">
        <v>11.294</v>
      </c>
      <c r="F307">
        <v>12.4791666666666</v>
      </c>
      <c r="H307">
        <v>305</v>
      </c>
      <c r="I307">
        <v>0.82121212121212095</v>
      </c>
      <c r="J307">
        <v>2.11666666666666</v>
      </c>
      <c r="K307">
        <v>0.56818181818181801</v>
      </c>
      <c r="L307">
        <v>1.8333333333333299</v>
      </c>
      <c r="M307">
        <v>2.68333333333333</v>
      </c>
      <c r="O307">
        <v>305</v>
      </c>
      <c r="P307">
        <v>4.6060103377193604</v>
      </c>
      <c r="Q307">
        <v>3.7273958064413302</v>
      </c>
      <c r="R307">
        <v>4.2228070523882399</v>
      </c>
      <c r="S307">
        <v>3.6221065003823201</v>
      </c>
      <c r="T307">
        <v>3.1007141373476301</v>
      </c>
    </row>
    <row r="308" spans="1:20">
      <c r="A308">
        <v>306</v>
      </c>
      <c r="B308">
        <v>12.756060606060601</v>
      </c>
      <c r="C308">
        <v>14.098333333333301</v>
      </c>
      <c r="D308">
        <v>13.1523809523809</v>
      </c>
      <c r="E308">
        <v>10.39</v>
      </c>
      <c r="F308">
        <v>13.3125</v>
      </c>
      <c r="H308">
        <v>306</v>
      </c>
      <c r="I308">
        <v>1.5727272727272701</v>
      </c>
      <c r="J308">
        <v>0.94</v>
      </c>
      <c r="K308">
        <v>0.145454545454545</v>
      </c>
      <c r="L308">
        <v>2.0066666666666602</v>
      </c>
      <c r="M308">
        <v>1.68333333333333</v>
      </c>
      <c r="O308">
        <v>306</v>
      </c>
      <c r="P308">
        <v>4.4078340774843401</v>
      </c>
      <c r="Q308">
        <v>3.7508089301659</v>
      </c>
      <c r="R308">
        <v>4.6601164132631299</v>
      </c>
      <c r="S308">
        <v>3.7201195926675101</v>
      </c>
      <c r="T308">
        <v>3.50405600149278</v>
      </c>
    </row>
    <row r="309" spans="1:20">
      <c r="A309">
        <v>307</v>
      </c>
      <c r="B309">
        <v>12.960606060606001</v>
      </c>
      <c r="C309">
        <v>13.9933333333333</v>
      </c>
      <c r="D309">
        <v>13.702380952380899</v>
      </c>
      <c r="E309">
        <v>10.387499999999999</v>
      </c>
      <c r="F309">
        <v>14.35</v>
      </c>
      <c r="H309">
        <v>307</v>
      </c>
      <c r="I309">
        <v>0.86969696969696897</v>
      </c>
      <c r="J309">
        <v>2.42</v>
      </c>
      <c r="K309">
        <v>0.50454545454545396</v>
      </c>
      <c r="L309">
        <v>2.0206896551724101</v>
      </c>
      <c r="M309">
        <v>5.1333333333333302</v>
      </c>
      <c r="O309">
        <v>307</v>
      </c>
      <c r="P309">
        <v>4.7355757109775203</v>
      </c>
      <c r="Q309">
        <v>3.2496546498492198</v>
      </c>
      <c r="R309">
        <v>4.0936800431524896</v>
      </c>
      <c r="S309">
        <v>3.9229800727639801</v>
      </c>
      <c r="T309">
        <v>2.61745839191309</v>
      </c>
    </row>
    <row r="310" spans="1:20">
      <c r="A310">
        <v>308</v>
      </c>
      <c r="B310">
        <v>13.0166666666666</v>
      </c>
      <c r="C310">
        <v>14.2016666666666</v>
      </c>
      <c r="D310">
        <v>13.8590909090909</v>
      </c>
      <c r="E310">
        <v>10.3958333333333</v>
      </c>
      <c r="F310">
        <v>13.875</v>
      </c>
      <c r="H310">
        <v>308</v>
      </c>
      <c r="I310">
        <v>0.972727272727272</v>
      </c>
      <c r="J310">
        <v>3.21999999999999</v>
      </c>
      <c r="K310">
        <v>1.94545454545454</v>
      </c>
      <c r="L310">
        <v>2.42068965517241</v>
      </c>
      <c r="M310">
        <v>1.86666666666666</v>
      </c>
      <c r="O310">
        <v>308</v>
      </c>
      <c r="P310">
        <v>4.6816234323257397</v>
      </c>
      <c r="Q310">
        <v>3.3917308243993398</v>
      </c>
      <c r="R310">
        <v>4.5357192960406802</v>
      </c>
      <c r="S310">
        <v>3.7721036011503699</v>
      </c>
      <c r="T310">
        <v>2.7392607073945601</v>
      </c>
    </row>
    <row r="311" spans="1:20">
      <c r="A311">
        <v>309</v>
      </c>
      <c r="B311">
        <v>12.8439393939393</v>
      </c>
      <c r="C311">
        <v>14.5483333333333</v>
      </c>
      <c r="D311">
        <v>13.588636363636301</v>
      </c>
      <c r="E311">
        <v>10.452083333333301</v>
      </c>
      <c r="F311">
        <v>13.316666666666601</v>
      </c>
      <c r="H311">
        <v>309</v>
      </c>
      <c r="I311">
        <v>1.7090909090908999</v>
      </c>
      <c r="J311">
        <v>6.2166666666666597</v>
      </c>
      <c r="K311">
        <v>0.49090909090909002</v>
      </c>
      <c r="L311">
        <v>3.5448275862068899</v>
      </c>
      <c r="M311">
        <v>1.13333333333333</v>
      </c>
      <c r="O311">
        <v>309</v>
      </c>
      <c r="P311">
        <v>4.6727463269062399</v>
      </c>
      <c r="Q311">
        <v>3.4940085056696999</v>
      </c>
      <c r="R311">
        <v>4.0468550871150901</v>
      </c>
      <c r="S311">
        <v>3.88455253177142</v>
      </c>
      <c r="T311">
        <v>3.4135545366379101</v>
      </c>
    </row>
    <row r="312" spans="1:20">
      <c r="A312">
        <v>310</v>
      </c>
      <c r="B312">
        <v>12.319696969696899</v>
      </c>
      <c r="C312">
        <v>14.156666666666601</v>
      </c>
      <c r="D312">
        <v>12.7272727272727</v>
      </c>
      <c r="E312">
        <v>11.3395833333333</v>
      </c>
      <c r="F312">
        <v>13.1454545454545</v>
      </c>
      <c r="H312">
        <v>310</v>
      </c>
      <c r="I312">
        <v>1.2030303030303</v>
      </c>
      <c r="J312">
        <v>4.1999999999999904</v>
      </c>
      <c r="K312">
        <v>2.6090909090909</v>
      </c>
      <c r="L312">
        <v>1.2</v>
      </c>
      <c r="M312">
        <v>0.472727272727272</v>
      </c>
      <c r="O312">
        <v>310</v>
      </c>
      <c r="P312">
        <v>4.2180058763468802</v>
      </c>
      <c r="Q312">
        <v>3.6290518837480299</v>
      </c>
      <c r="R312">
        <v>3.9705357418312399</v>
      </c>
      <c r="S312">
        <v>4.0760534235233097</v>
      </c>
      <c r="T312">
        <v>3.2963131788019302</v>
      </c>
    </row>
    <row r="313" spans="1:20">
      <c r="A313">
        <v>311</v>
      </c>
      <c r="B313">
        <v>12.6025757575757</v>
      </c>
      <c r="C313">
        <v>14.466666666666599</v>
      </c>
      <c r="D313">
        <v>13.565909090909001</v>
      </c>
      <c r="E313">
        <v>11.317391304347799</v>
      </c>
      <c r="F313">
        <v>13.4166666666666</v>
      </c>
      <c r="H313">
        <v>311</v>
      </c>
      <c r="I313">
        <v>2.3060606060605999</v>
      </c>
      <c r="J313">
        <v>4.18333333333333</v>
      </c>
      <c r="K313">
        <v>0.64545454545454495</v>
      </c>
      <c r="L313">
        <v>2.8214285714285698</v>
      </c>
      <c r="M313">
        <v>2.35</v>
      </c>
      <c r="O313">
        <v>311</v>
      </c>
      <c r="P313">
        <v>4.3094672807614902</v>
      </c>
      <c r="Q313">
        <v>3.3196725038188899</v>
      </c>
      <c r="R313">
        <v>4.3000850927514103</v>
      </c>
      <c r="S313">
        <v>4.0520587966685797</v>
      </c>
      <c r="T313">
        <v>3.43315852526095</v>
      </c>
    </row>
    <row r="314" spans="1:20">
      <c r="A314">
        <v>312</v>
      </c>
      <c r="B314">
        <v>12.547121212121199</v>
      </c>
      <c r="C314">
        <v>14.7283333333333</v>
      </c>
      <c r="D314">
        <v>14.324999999999999</v>
      </c>
      <c r="E314">
        <v>11.025</v>
      </c>
      <c r="F314">
        <v>13.8708333333333</v>
      </c>
      <c r="H314">
        <v>312</v>
      </c>
      <c r="I314">
        <v>0.92727272727272703</v>
      </c>
      <c r="J314">
        <v>3.4833333333333298</v>
      </c>
      <c r="K314">
        <v>0.486363636363636</v>
      </c>
      <c r="L314">
        <v>1.6551724137931001</v>
      </c>
      <c r="M314">
        <v>2.86666666666666</v>
      </c>
      <c r="O314">
        <v>312</v>
      </c>
      <c r="P314">
        <v>4.1336721636417497</v>
      </c>
      <c r="Q314">
        <v>3.5694722560107999</v>
      </c>
      <c r="R314">
        <v>4.5401204015455896</v>
      </c>
      <c r="S314">
        <v>3.7049667302609</v>
      </c>
      <c r="T314">
        <v>3.09770464623969</v>
      </c>
    </row>
    <row r="315" spans="1:20">
      <c r="A315">
        <v>313</v>
      </c>
      <c r="B315">
        <v>12.8168181818181</v>
      </c>
      <c r="C315">
        <v>14.37</v>
      </c>
      <c r="D315">
        <v>12.740909090909</v>
      </c>
      <c r="E315">
        <v>11.252083333333299</v>
      </c>
      <c r="F315">
        <v>14.158333333333299</v>
      </c>
      <c r="H315">
        <v>313</v>
      </c>
      <c r="I315">
        <v>1.0212121212121199</v>
      </c>
      <c r="J315">
        <v>3.5433333333333299</v>
      </c>
      <c r="K315">
        <v>2.0499999999999998</v>
      </c>
      <c r="L315">
        <v>2.8758620689655099</v>
      </c>
      <c r="M315">
        <v>3.2166666666666601</v>
      </c>
      <c r="O315">
        <v>313</v>
      </c>
      <c r="P315">
        <v>4.3938915359457704</v>
      </c>
      <c r="Q315">
        <v>3.5998767062500399</v>
      </c>
      <c r="R315">
        <v>4.0084700506883797</v>
      </c>
      <c r="S315">
        <v>3.6868257972960401</v>
      </c>
      <c r="T315">
        <v>3.3024968395707299</v>
      </c>
    </row>
    <row r="316" spans="1:20">
      <c r="A316">
        <v>314</v>
      </c>
      <c r="B316">
        <v>14.334848484848401</v>
      </c>
      <c r="C316">
        <v>14.7216666666666</v>
      </c>
      <c r="D316">
        <v>13.1886363636363</v>
      </c>
      <c r="E316">
        <v>11.7916666666666</v>
      </c>
      <c r="F316">
        <v>13.6666666666666</v>
      </c>
      <c r="H316">
        <v>314</v>
      </c>
      <c r="I316">
        <v>0.51818181818181797</v>
      </c>
      <c r="J316">
        <v>2.9033333333333302</v>
      </c>
      <c r="K316">
        <v>0.46363636363636301</v>
      </c>
      <c r="L316">
        <v>1.55862068965517</v>
      </c>
      <c r="M316">
        <v>2.0499999999999998</v>
      </c>
      <c r="O316">
        <v>314</v>
      </c>
      <c r="P316">
        <v>5.1862560436492702</v>
      </c>
      <c r="Q316">
        <v>3.8854632375309301</v>
      </c>
      <c r="R316">
        <v>4.6248543988498501</v>
      </c>
      <c r="S316">
        <v>4.1429679319374797</v>
      </c>
      <c r="T316">
        <v>2.6586912182490101</v>
      </c>
    </row>
    <row r="317" spans="1:20">
      <c r="A317">
        <v>315</v>
      </c>
      <c r="B317">
        <v>13.660606060606</v>
      </c>
      <c r="C317">
        <v>14.816666666666601</v>
      </c>
      <c r="D317">
        <v>13.9727272727272</v>
      </c>
      <c r="E317">
        <v>11.3604166666666</v>
      </c>
      <c r="F317">
        <v>13.8958333333333</v>
      </c>
      <c r="H317">
        <v>315</v>
      </c>
      <c r="I317">
        <v>0.90606060606060601</v>
      </c>
      <c r="J317">
        <v>1.5433333333333299</v>
      </c>
      <c r="K317">
        <v>0.22727272727272699</v>
      </c>
      <c r="L317">
        <v>2.1310344827586198</v>
      </c>
      <c r="M317">
        <v>3.94999999999999</v>
      </c>
      <c r="O317">
        <v>315</v>
      </c>
      <c r="P317">
        <v>4.8906124961293598</v>
      </c>
      <c r="Q317">
        <v>3.4766729681443</v>
      </c>
      <c r="R317">
        <v>4.7905230548515503</v>
      </c>
      <c r="S317">
        <v>4.1215554711877997</v>
      </c>
      <c r="T317">
        <v>2.87577977788037</v>
      </c>
    </row>
    <row r="318" spans="1:20">
      <c r="A318">
        <v>316</v>
      </c>
      <c r="B318">
        <v>13.3045454545454</v>
      </c>
      <c r="C318">
        <v>14.7883333333333</v>
      </c>
      <c r="D318">
        <v>13.988636363636299</v>
      </c>
      <c r="E318">
        <v>10.4282608695652</v>
      </c>
      <c r="F318">
        <v>13.0625</v>
      </c>
      <c r="H318">
        <v>316</v>
      </c>
      <c r="I318">
        <v>2.2575757575757498</v>
      </c>
      <c r="J318">
        <v>3.6066666666666598</v>
      </c>
      <c r="K318">
        <v>0.99090909090909096</v>
      </c>
      <c r="L318">
        <v>2.5629629629629598</v>
      </c>
      <c r="M318">
        <v>3.0666666666666602</v>
      </c>
      <c r="O318">
        <v>316</v>
      </c>
      <c r="P318">
        <v>4.5262878878537398</v>
      </c>
      <c r="Q318">
        <v>3.49823939059966</v>
      </c>
      <c r="R318">
        <v>4.4507781493854903</v>
      </c>
      <c r="S318">
        <v>3.7023332875121699</v>
      </c>
      <c r="T318">
        <v>2.8947392121826798</v>
      </c>
    </row>
    <row r="319" spans="1:20">
      <c r="A319">
        <v>317</v>
      </c>
      <c r="B319">
        <v>12.422727272727199</v>
      </c>
      <c r="C319">
        <v>14.5583333333333</v>
      </c>
      <c r="D319">
        <v>13.665909090909</v>
      </c>
      <c r="E319">
        <v>10.5833333333333</v>
      </c>
      <c r="F319">
        <v>12.55</v>
      </c>
      <c r="H319">
        <v>317</v>
      </c>
      <c r="I319">
        <v>1.1818181818181801</v>
      </c>
      <c r="J319">
        <v>3.0633333333333299</v>
      </c>
      <c r="K319">
        <v>0.88636363636363602</v>
      </c>
      <c r="L319">
        <v>2.5571428571428498</v>
      </c>
      <c r="M319">
        <v>1.2</v>
      </c>
      <c r="O319">
        <v>317</v>
      </c>
      <c r="P319">
        <v>4.3459922348738003</v>
      </c>
      <c r="Q319">
        <v>3.8424324154218401</v>
      </c>
      <c r="R319">
        <v>4.4628141545401503</v>
      </c>
      <c r="S319">
        <v>4.5241378427322596</v>
      </c>
      <c r="T319">
        <v>3.2727192045008802</v>
      </c>
    </row>
    <row r="320" spans="1:20">
      <c r="A320">
        <v>318</v>
      </c>
      <c r="B320">
        <v>12.9954545454545</v>
      </c>
      <c r="C320">
        <v>14.5066666666666</v>
      </c>
      <c r="D320">
        <v>13.1863636363636</v>
      </c>
      <c r="E320">
        <v>11.191666666666601</v>
      </c>
      <c r="F320">
        <v>12.591666666666599</v>
      </c>
      <c r="H320">
        <v>318</v>
      </c>
      <c r="I320">
        <v>0.324242424242424</v>
      </c>
      <c r="J320">
        <v>3.2933333333333299</v>
      </c>
      <c r="K320">
        <v>0.972727272727272</v>
      </c>
      <c r="L320">
        <v>2.7071428571428502</v>
      </c>
      <c r="M320">
        <v>1.25</v>
      </c>
      <c r="O320">
        <v>318</v>
      </c>
      <c r="P320">
        <v>4.6406514807717096</v>
      </c>
      <c r="Q320">
        <v>3.93837814578281</v>
      </c>
      <c r="R320">
        <v>4.21513943306838</v>
      </c>
      <c r="S320">
        <v>4.3413812651192902</v>
      </c>
      <c r="T320">
        <v>3.2542764283054399</v>
      </c>
    </row>
    <row r="321" spans="1:20">
      <c r="A321">
        <v>319</v>
      </c>
      <c r="B321">
        <v>13.430303030303</v>
      </c>
      <c r="C321">
        <v>14.8633333333333</v>
      </c>
      <c r="D321">
        <v>13.3545454545454</v>
      </c>
      <c r="E321">
        <v>11.34375</v>
      </c>
      <c r="F321">
        <v>13.462499999999901</v>
      </c>
      <c r="H321">
        <v>319</v>
      </c>
      <c r="I321">
        <v>0.469696969696969</v>
      </c>
      <c r="J321">
        <v>2.0666666666666602</v>
      </c>
      <c r="K321">
        <v>0.163636363636363</v>
      </c>
      <c r="L321">
        <v>2.6</v>
      </c>
      <c r="M321">
        <v>2.0666666666666602</v>
      </c>
      <c r="O321">
        <v>319</v>
      </c>
      <c r="P321">
        <v>5.0457035491188602</v>
      </c>
      <c r="Q321">
        <v>3.82063419166102</v>
      </c>
      <c r="R321">
        <v>4.4051411991437703</v>
      </c>
      <c r="S321">
        <v>4.1525272114649203</v>
      </c>
      <c r="T321">
        <v>3.39036465144653</v>
      </c>
    </row>
    <row r="322" spans="1:20">
      <c r="A322">
        <v>320</v>
      </c>
      <c r="B322">
        <v>13.7712121212121</v>
      </c>
      <c r="C322">
        <v>15.191666666666601</v>
      </c>
      <c r="D322">
        <v>14.5545454545454</v>
      </c>
      <c r="E322">
        <v>11.1479166666666</v>
      </c>
      <c r="F322">
        <v>14.7458333333333</v>
      </c>
      <c r="H322">
        <v>320</v>
      </c>
      <c r="I322">
        <v>1.79696969696969</v>
      </c>
      <c r="J322">
        <v>4.1233333333333304</v>
      </c>
      <c r="K322">
        <v>1.3181818181818099</v>
      </c>
      <c r="L322">
        <v>4.4142857142857101</v>
      </c>
      <c r="M322">
        <v>5.2166666666666597</v>
      </c>
      <c r="O322">
        <v>320</v>
      </c>
      <c r="P322">
        <v>4.8091723913410096</v>
      </c>
      <c r="Q322">
        <v>3.4660928584042798</v>
      </c>
      <c r="R322">
        <v>4.6894895954701497</v>
      </c>
      <c r="S322">
        <v>4.2364665935127901</v>
      </c>
      <c r="T322">
        <v>3.3940384004400501</v>
      </c>
    </row>
    <row r="323" spans="1:20">
      <c r="A323">
        <v>321</v>
      </c>
      <c r="B323">
        <v>12.8924242424242</v>
      </c>
      <c r="C323">
        <v>14.805</v>
      </c>
      <c r="D323">
        <v>15.3886363636363</v>
      </c>
      <c r="E323">
        <v>9.74583333333333</v>
      </c>
      <c r="F323">
        <v>14.945833333333301</v>
      </c>
      <c r="H323">
        <v>321</v>
      </c>
      <c r="I323">
        <v>1.46969696969696</v>
      </c>
      <c r="J323">
        <v>2.0999999999999899</v>
      </c>
      <c r="K323">
        <v>1.8181818181818099</v>
      </c>
      <c r="L323">
        <v>3.6357142857142799</v>
      </c>
      <c r="M323">
        <v>5.3333333333333304</v>
      </c>
      <c r="O323">
        <v>321</v>
      </c>
      <c r="P323">
        <v>4.4924353878463998</v>
      </c>
      <c r="Q323">
        <v>3.7178898330930501</v>
      </c>
      <c r="R323">
        <v>5.18082671843516</v>
      </c>
      <c r="S323">
        <v>3.3966006321689299</v>
      </c>
      <c r="T323">
        <v>2.86263659321907</v>
      </c>
    </row>
    <row r="324" spans="1:20">
      <c r="A324">
        <v>322</v>
      </c>
      <c r="B324">
        <v>12.363636363636299</v>
      </c>
      <c r="C324">
        <v>14.4366666666666</v>
      </c>
      <c r="D324">
        <v>14.525</v>
      </c>
      <c r="E324">
        <v>9.6187500000000004</v>
      </c>
      <c r="F324">
        <v>14.45</v>
      </c>
      <c r="H324">
        <v>322</v>
      </c>
      <c r="I324">
        <v>2.6151515151515099</v>
      </c>
      <c r="J324">
        <v>2.25</v>
      </c>
      <c r="K324">
        <v>0.56818181818181801</v>
      </c>
      <c r="L324">
        <v>2.8642857142857099</v>
      </c>
      <c r="M324">
        <v>6.0833333333333304</v>
      </c>
      <c r="O324">
        <v>322</v>
      </c>
      <c r="P324">
        <v>4.3049572040258504</v>
      </c>
      <c r="Q324">
        <v>3.8903759726723899</v>
      </c>
      <c r="R324">
        <v>4.8617044252374404</v>
      </c>
      <c r="S324">
        <v>3.6007125870413299</v>
      </c>
      <c r="T324">
        <v>3.2654882571522399</v>
      </c>
    </row>
    <row r="325" spans="1:20">
      <c r="A325">
        <v>323</v>
      </c>
      <c r="B325">
        <v>12.159090909090899</v>
      </c>
      <c r="C325">
        <v>14.4133333333333</v>
      </c>
      <c r="D325">
        <v>13.818181818181801</v>
      </c>
      <c r="E325">
        <v>10.0895833333333</v>
      </c>
      <c r="F325">
        <v>13.941666666666601</v>
      </c>
      <c r="H325">
        <v>323</v>
      </c>
      <c r="I325">
        <v>2.7848484848484798</v>
      </c>
      <c r="J325">
        <v>1.6566666666666601</v>
      </c>
      <c r="K325">
        <v>1.25454545454545</v>
      </c>
      <c r="L325">
        <v>3.7</v>
      </c>
      <c r="M325">
        <v>0.98333333333333295</v>
      </c>
      <c r="O325">
        <v>323</v>
      </c>
      <c r="P325">
        <v>4.1173997511743199</v>
      </c>
      <c r="Q325">
        <v>3.9105195639997401</v>
      </c>
      <c r="R325">
        <v>5.1788291742028303</v>
      </c>
      <c r="S325">
        <v>3.9699839092353999</v>
      </c>
      <c r="T325">
        <v>3.5976260978488002</v>
      </c>
    </row>
    <row r="326" spans="1:20">
      <c r="A326">
        <v>324</v>
      </c>
      <c r="B326">
        <v>13.048484848484801</v>
      </c>
      <c r="C326">
        <v>14.8266666666666</v>
      </c>
      <c r="D326">
        <v>13.754545454545401</v>
      </c>
      <c r="E326">
        <v>10.408333333333299</v>
      </c>
      <c r="F326">
        <v>14.1208333333333</v>
      </c>
      <c r="H326">
        <v>324</v>
      </c>
      <c r="I326">
        <v>1.49696969696969</v>
      </c>
      <c r="J326">
        <v>2.4166666666666599</v>
      </c>
      <c r="K326">
        <v>1.8272727272727201</v>
      </c>
      <c r="L326">
        <v>5.0642857142857096</v>
      </c>
      <c r="M326">
        <v>2.36666666666666</v>
      </c>
      <c r="O326">
        <v>324</v>
      </c>
      <c r="P326">
        <v>4.5766974923540298</v>
      </c>
      <c r="Q326">
        <v>3.75734672122165</v>
      </c>
      <c r="R326">
        <v>4.6118385644109896</v>
      </c>
      <c r="S326">
        <v>3.76613816935249</v>
      </c>
      <c r="T326">
        <v>3.2574752266568199</v>
      </c>
    </row>
    <row r="327" spans="1:20">
      <c r="A327">
        <v>325</v>
      </c>
      <c r="B327">
        <v>12.9621212121212</v>
      </c>
      <c r="C327">
        <v>14.899999999999901</v>
      </c>
      <c r="D327">
        <v>14.773809523809501</v>
      </c>
      <c r="E327">
        <v>9.8339999999999996</v>
      </c>
      <c r="F327">
        <v>14.2</v>
      </c>
      <c r="H327">
        <v>325</v>
      </c>
      <c r="I327">
        <v>2.8727272727272699</v>
      </c>
      <c r="J327">
        <v>2.8366666666666598</v>
      </c>
      <c r="K327">
        <v>0.661904761904761</v>
      </c>
      <c r="L327">
        <v>4.9931034482758596</v>
      </c>
      <c r="M327">
        <v>1.4166666666666601</v>
      </c>
      <c r="O327">
        <v>325</v>
      </c>
      <c r="P327">
        <v>4.2114496325231201</v>
      </c>
      <c r="Q327">
        <v>3.5492721007612098</v>
      </c>
      <c r="R327">
        <v>4.7645494430303801</v>
      </c>
      <c r="S327">
        <v>3.5538494230042001</v>
      </c>
      <c r="T327">
        <v>3.2248407363783</v>
      </c>
    </row>
    <row r="328" spans="1:20">
      <c r="A328">
        <v>326</v>
      </c>
      <c r="B328">
        <v>12.268749999999899</v>
      </c>
      <c r="C328">
        <v>15.125</v>
      </c>
      <c r="D328">
        <v>14.6227272727272</v>
      </c>
      <c r="E328">
        <v>10.018000000000001</v>
      </c>
      <c r="F328">
        <v>14.2916666666666</v>
      </c>
      <c r="H328">
        <v>326</v>
      </c>
      <c r="I328">
        <v>1.4437500000000001</v>
      </c>
      <c r="J328">
        <v>4.0966666666666596</v>
      </c>
      <c r="K328">
        <v>0.395454545454545</v>
      </c>
      <c r="L328">
        <v>1.9862068965517199</v>
      </c>
      <c r="M328">
        <v>1.2333333333333301</v>
      </c>
      <c r="O328">
        <v>326</v>
      </c>
      <c r="P328">
        <v>4.3766355597309001</v>
      </c>
      <c r="Q328">
        <v>3.6984174874033999</v>
      </c>
      <c r="R328">
        <v>4.3139997329077397</v>
      </c>
      <c r="S328">
        <v>3.8669424136886801</v>
      </c>
      <c r="T328">
        <v>3.2303061956604</v>
      </c>
    </row>
    <row r="329" spans="1:20">
      <c r="A329">
        <v>327</v>
      </c>
      <c r="B329">
        <v>13.610937499999901</v>
      </c>
      <c r="C329">
        <v>15.358333333333301</v>
      </c>
      <c r="D329">
        <v>14.290909090909</v>
      </c>
      <c r="E329">
        <v>11.696</v>
      </c>
      <c r="F329">
        <v>14.8666666666666</v>
      </c>
      <c r="H329">
        <v>327</v>
      </c>
      <c r="I329">
        <v>0.90937499999999905</v>
      </c>
      <c r="J329">
        <v>3.04</v>
      </c>
      <c r="K329">
        <v>0.46363636363636301</v>
      </c>
      <c r="L329">
        <v>1.77241379310344</v>
      </c>
      <c r="M329">
        <v>0.21666666666666601</v>
      </c>
      <c r="O329">
        <v>327</v>
      </c>
      <c r="P329">
        <v>4.8353730549956699</v>
      </c>
      <c r="Q329">
        <v>3.9426742076693699</v>
      </c>
      <c r="R329">
        <v>4.6907224955806797</v>
      </c>
      <c r="S329">
        <v>4.9461859725186796</v>
      </c>
      <c r="T329">
        <v>3.8851743269165699</v>
      </c>
    </row>
    <row r="330" spans="1:20">
      <c r="A330">
        <v>328</v>
      </c>
      <c r="B330">
        <v>13.9</v>
      </c>
      <c r="C330">
        <v>15.2051724137931</v>
      </c>
      <c r="D330">
        <v>15.8523809523809</v>
      </c>
      <c r="E330">
        <v>11.942</v>
      </c>
      <c r="F330">
        <v>14.875</v>
      </c>
      <c r="H330">
        <v>328</v>
      </c>
      <c r="I330">
        <v>1.096875</v>
      </c>
      <c r="J330">
        <v>2.4655172413793101</v>
      </c>
      <c r="K330">
        <v>0.30454545454545401</v>
      </c>
      <c r="L330">
        <v>4.50344827586206</v>
      </c>
      <c r="M330">
        <v>1.8333333333333299</v>
      </c>
      <c r="O330">
        <v>328</v>
      </c>
      <c r="P330">
        <v>4.8959034423889598</v>
      </c>
      <c r="Q330">
        <v>3.7475647250722499</v>
      </c>
      <c r="R330">
        <v>4.9888281844121698</v>
      </c>
      <c r="S330">
        <v>4.27874570080286</v>
      </c>
      <c r="T330">
        <v>3.3424019609463702</v>
      </c>
    </row>
    <row r="331" spans="1:20">
      <c r="A331">
        <v>329</v>
      </c>
      <c r="B331">
        <v>14.229687499999899</v>
      </c>
      <c r="C331">
        <v>15.834482758620601</v>
      </c>
      <c r="D331">
        <v>15.107142857142801</v>
      </c>
      <c r="E331">
        <v>12.016</v>
      </c>
      <c r="F331">
        <v>15.8125</v>
      </c>
      <c r="H331">
        <v>329</v>
      </c>
      <c r="I331">
        <v>2.9937499999999999</v>
      </c>
      <c r="J331">
        <v>2.7965517241379301</v>
      </c>
      <c r="K331">
        <v>1.1772727272727199</v>
      </c>
      <c r="L331">
        <v>3.06</v>
      </c>
      <c r="M331">
        <v>2.0166666666666599</v>
      </c>
      <c r="O331">
        <v>329</v>
      </c>
      <c r="P331">
        <v>4.5291120809301404</v>
      </c>
      <c r="Q331">
        <v>4.1132182691665697</v>
      </c>
      <c r="R331">
        <v>4.6678938484495296</v>
      </c>
      <c r="S331">
        <v>3.7408466618542899</v>
      </c>
      <c r="T331">
        <v>3.2688322627941302</v>
      </c>
    </row>
    <row r="332" spans="1:20">
      <c r="A332">
        <v>330</v>
      </c>
      <c r="B332">
        <v>13.9375</v>
      </c>
      <c r="C332">
        <v>15.876666666666599</v>
      </c>
      <c r="D332">
        <v>15.9023809523809</v>
      </c>
      <c r="E332">
        <v>12.776</v>
      </c>
      <c r="F332">
        <v>15.945833333333301</v>
      </c>
      <c r="H332">
        <v>330</v>
      </c>
      <c r="I332">
        <v>1.871875</v>
      </c>
      <c r="J332">
        <v>2.2666666666666599</v>
      </c>
      <c r="K332">
        <v>2.63636363636363</v>
      </c>
      <c r="L332">
        <v>3.4733333333333301</v>
      </c>
      <c r="M332">
        <v>5.8833333333333302</v>
      </c>
      <c r="O332">
        <v>330</v>
      </c>
      <c r="P332">
        <v>4.6952794682709396</v>
      </c>
      <c r="Q332">
        <v>4.0838977840275996</v>
      </c>
      <c r="R332">
        <v>5.1084092131502103</v>
      </c>
      <c r="S332">
        <v>4.5210591669477198</v>
      </c>
      <c r="T332">
        <v>3.26798762006384</v>
      </c>
    </row>
    <row r="333" spans="1:20">
      <c r="A333">
        <v>331</v>
      </c>
      <c r="B333">
        <v>13.6234375</v>
      </c>
      <c r="C333">
        <v>15.52</v>
      </c>
      <c r="D333">
        <v>15.070454545454499</v>
      </c>
      <c r="E333">
        <v>12.0559999999999</v>
      </c>
      <c r="F333">
        <v>16.279166666666601</v>
      </c>
      <c r="H333">
        <v>331</v>
      </c>
      <c r="I333">
        <v>0.89375000000000004</v>
      </c>
      <c r="J333">
        <v>3.6933333333333298</v>
      </c>
      <c r="K333">
        <v>2.2681818181818101</v>
      </c>
      <c r="L333">
        <v>2.5533333333333301</v>
      </c>
      <c r="M333">
        <v>1.4833333333333301</v>
      </c>
      <c r="O333">
        <v>331</v>
      </c>
      <c r="P333">
        <v>4.7009583495068297</v>
      </c>
      <c r="Q333">
        <v>4.2967341086411999</v>
      </c>
      <c r="R333">
        <v>5.0734894316277499</v>
      </c>
      <c r="S333">
        <v>4.5297311334553996</v>
      </c>
      <c r="T333">
        <v>3.19082213890132</v>
      </c>
    </row>
    <row r="334" spans="1:20">
      <c r="A334">
        <v>332</v>
      </c>
      <c r="B334">
        <v>13.4125</v>
      </c>
      <c r="C334">
        <v>15.438333333333301</v>
      </c>
      <c r="D334">
        <v>15.6090909090909</v>
      </c>
      <c r="E334">
        <v>11.602083333333301</v>
      </c>
      <c r="F334">
        <v>16.070833333333301</v>
      </c>
      <c r="H334">
        <v>332</v>
      </c>
      <c r="I334">
        <v>2.8031250000000001</v>
      </c>
      <c r="J334">
        <v>4.5933333333333302</v>
      </c>
      <c r="K334">
        <v>4.3409090909090899</v>
      </c>
      <c r="L334">
        <v>3.7034482758620602</v>
      </c>
      <c r="M334">
        <v>7.43333333333333</v>
      </c>
      <c r="O334">
        <v>332</v>
      </c>
      <c r="P334">
        <v>4.6692836926226899</v>
      </c>
      <c r="Q334">
        <v>3.7863185649490698</v>
      </c>
      <c r="R334">
        <v>4.3769921750595504</v>
      </c>
      <c r="S334">
        <v>4.01000589575614</v>
      </c>
      <c r="T334">
        <v>3.00999975823754</v>
      </c>
    </row>
    <row r="335" spans="1:20">
      <c r="A335">
        <v>333</v>
      </c>
      <c r="B335">
        <v>13.120312499999899</v>
      </c>
      <c r="C335">
        <v>15.551724137931</v>
      </c>
      <c r="D335">
        <v>14.945454545454499</v>
      </c>
      <c r="E335">
        <v>11.375</v>
      </c>
      <c r="F335">
        <v>15.033333333333299</v>
      </c>
      <c r="H335">
        <v>333</v>
      </c>
      <c r="I335">
        <v>1.125</v>
      </c>
      <c r="J335">
        <v>2.63448275862069</v>
      </c>
      <c r="K335">
        <v>2.5636363636363599</v>
      </c>
      <c r="L335">
        <v>2.77241379310344</v>
      </c>
      <c r="M335">
        <v>0.66666666666666596</v>
      </c>
      <c r="O335">
        <v>333</v>
      </c>
      <c r="P335">
        <v>4.5223331629764099</v>
      </c>
      <c r="Q335">
        <v>3.91369181219603</v>
      </c>
      <c r="R335">
        <v>4.9084033329097201</v>
      </c>
      <c r="S335">
        <v>4.1551143893683697</v>
      </c>
      <c r="T335">
        <v>4.1701433642644803</v>
      </c>
    </row>
    <row r="336" spans="1:20">
      <c r="A336">
        <v>334</v>
      </c>
      <c r="B336">
        <v>13.534375000000001</v>
      </c>
      <c r="C336">
        <v>15.832758620689599</v>
      </c>
      <c r="D336">
        <v>15.547727272727199</v>
      </c>
      <c r="E336">
        <v>12.0229166666666</v>
      </c>
      <c r="F336">
        <v>16.1166666666666</v>
      </c>
      <c r="H336">
        <v>334</v>
      </c>
      <c r="I336">
        <v>1.659375</v>
      </c>
      <c r="J336">
        <v>2.4931034482758601</v>
      </c>
      <c r="K336">
        <v>0.64545454545454495</v>
      </c>
      <c r="L336">
        <v>2.9586206896551701</v>
      </c>
      <c r="M336">
        <v>5.2333333333333298</v>
      </c>
      <c r="O336">
        <v>334</v>
      </c>
      <c r="P336">
        <v>4.4045021528656898</v>
      </c>
      <c r="Q336">
        <v>3.5204814386258598</v>
      </c>
      <c r="R336">
        <v>5.1645013403608404</v>
      </c>
      <c r="S336">
        <v>3.8709685301224299</v>
      </c>
      <c r="T336">
        <v>3.7664149911337801</v>
      </c>
    </row>
    <row r="337" spans="1:20">
      <c r="A337">
        <v>335</v>
      </c>
      <c r="B337">
        <v>14.5196969696969</v>
      </c>
      <c r="C337">
        <v>16.082758620689599</v>
      </c>
      <c r="D337">
        <v>15.5772727272727</v>
      </c>
      <c r="E337">
        <v>12.7416666666666</v>
      </c>
      <c r="F337">
        <v>15.887499999999999</v>
      </c>
      <c r="H337">
        <v>335</v>
      </c>
      <c r="I337">
        <v>1.1545454545454501</v>
      </c>
      <c r="J337">
        <v>1.7689655172413701</v>
      </c>
      <c r="K337">
        <v>0.63636363636363602</v>
      </c>
      <c r="L337">
        <v>2.4896551724137899</v>
      </c>
      <c r="M337">
        <v>6.75</v>
      </c>
      <c r="O337">
        <v>335</v>
      </c>
      <c r="P337">
        <v>4.9008684982534403</v>
      </c>
      <c r="Q337">
        <v>4.0516623269738101</v>
      </c>
      <c r="R337">
        <v>4.9496681172332702</v>
      </c>
      <c r="S337">
        <v>4.2730672413417103</v>
      </c>
      <c r="T337">
        <v>3.2490041935251899</v>
      </c>
    </row>
    <row r="338" spans="1:20">
      <c r="A338">
        <v>336</v>
      </c>
      <c r="B338">
        <v>14.7863636363636</v>
      </c>
      <c r="C338">
        <v>16.4931034482758</v>
      </c>
      <c r="D338">
        <v>15.7636363636363</v>
      </c>
      <c r="E338">
        <v>12.9895833333333</v>
      </c>
      <c r="F338">
        <v>16.1458333333333</v>
      </c>
      <c r="H338">
        <v>336</v>
      </c>
      <c r="I338">
        <v>0.68484848484848404</v>
      </c>
      <c r="J338">
        <v>5.1137931034482698</v>
      </c>
      <c r="K338">
        <v>1.7681818181818101</v>
      </c>
      <c r="L338">
        <v>2.7862068965517199</v>
      </c>
      <c r="M338">
        <v>1.0833333333333299</v>
      </c>
      <c r="O338">
        <v>336</v>
      </c>
      <c r="P338">
        <v>4.4310616880942204</v>
      </c>
      <c r="Q338">
        <v>3.5036176940509298</v>
      </c>
      <c r="R338">
        <v>4.6904739446972998</v>
      </c>
      <c r="S338">
        <v>4.2523796228768704</v>
      </c>
      <c r="T338">
        <v>3.8649058322152201</v>
      </c>
    </row>
    <row r="339" spans="1:20">
      <c r="A339">
        <v>337</v>
      </c>
      <c r="B339">
        <v>15.427272727272699</v>
      </c>
      <c r="C339">
        <v>16.78</v>
      </c>
      <c r="D339">
        <v>16.8340909090909</v>
      </c>
      <c r="E339">
        <v>12.702083333333301</v>
      </c>
      <c r="F339">
        <v>16.0625</v>
      </c>
      <c r="H339">
        <v>337</v>
      </c>
      <c r="I339">
        <v>0.94242424242424205</v>
      </c>
      <c r="J339">
        <v>1.71</v>
      </c>
      <c r="K339">
        <v>2.16818181818181</v>
      </c>
      <c r="L339">
        <v>3.3034482758620598</v>
      </c>
      <c r="M339">
        <v>2.2666666666666599</v>
      </c>
      <c r="O339">
        <v>337</v>
      </c>
      <c r="P339">
        <v>4.8682330205678701</v>
      </c>
      <c r="Q339">
        <v>3.8786861346319301</v>
      </c>
      <c r="R339">
        <v>4.6911390430152897</v>
      </c>
      <c r="S339">
        <v>4.44731982388089</v>
      </c>
      <c r="T339">
        <v>3.3633315244434101</v>
      </c>
    </row>
    <row r="340" spans="1:20">
      <c r="A340">
        <v>338</v>
      </c>
      <c r="B340">
        <v>15.004545454545401</v>
      </c>
      <c r="C340">
        <v>16.8266666666666</v>
      </c>
      <c r="D340">
        <v>16.904545454545399</v>
      </c>
      <c r="E340">
        <v>12.8708333333333</v>
      </c>
      <c r="F340">
        <v>16.591666666666601</v>
      </c>
      <c r="H340">
        <v>338</v>
      </c>
      <c r="I340">
        <v>0.98787878787878702</v>
      </c>
      <c r="J340">
        <v>6.0433333333333303</v>
      </c>
      <c r="K340">
        <v>2.2090909090909001</v>
      </c>
      <c r="L340">
        <v>1.49655172413793</v>
      </c>
      <c r="M340">
        <v>3.0333333333333301</v>
      </c>
      <c r="O340">
        <v>338</v>
      </c>
      <c r="P340">
        <v>5.2050138478161401</v>
      </c>
      <c r="Q340">
        <v>3.6269671816345701</v>
      </c>
      <c r="R340">
        <v>4.7598644407320503</v>
      </c>
      <c r="S340">
        <v>4.7082998613426899</v>
      </c>
      <c r="T340">
        <v>3.8332290024095501</v>
      </c>
    </row>
    <row r="341" spans="1:20">
      <c r="A341">
        <v>339</v>
      </c>
      <c r="B341">
        <v>14.903030303030301</v>
      </c>
      <c r="C341">
        <v>16.6516666666666</v>
      </c>
      <c r="D341">
        <v>16.677272727272701</v>
      </c>
      <c r="E341">
        <v>12.8916666666666</v>
      </c>
      <c r="F341">
        <v>16.441666666666599</v>
      </c>
      <c r="H341">
        <v>339</v>
      </c>
      <c r="I341">
        <v>1.5848484848484801</v>
      </c>
      <c r="J341">
        <v>4.9033333333333298</v>
      </c>
      <c r="K341">
        <v>1.2</v>
      </c>
      <c r="L341">
        <v>3.33103448275862</v>
      </c>
      <c r="M341">
        <v>1.0833333333333299</v>
      </c>
      <c r="O341">
        <v>339</v>
      </c>
      <c r="P341">
        <v>4.6641306366413202</v>
      </c>
      <c r="Q341">
        <v>3.8159631078200702</v>
      </c>
      <c r="R341">
        <v>4.7237246582039401</v>
      </c>
      <c r="S341">
        <v>4.07685014845356</v>
      </c>
      <c r="T341">
        <v>3.3753600087216298</v>
      </c>
    </row>
    <row r="342" spans="1:20">
      <c r="A342">
        <v>340</v>
      </c>
      <c r="B342">
        <v>14.301515151515099</v>
      </c>
      <c r="C342">
        <v>16.68</v>
      </c>
      <c r="D342">
        <v>16.865909090909</v>
      </c>
      <c r="E342">
        <v>12.7477272727272</v>
      </c>
      <c r="F342">
        <v>16.454166666666602</v>
      </c>
      <c r="H342">
        <v>340</v>
      </c>
      <c r="I342">
        <v>1.8545454545454501</v>
      </c>
      <c r="J342">
        <v>3.7299999999999902</v>
      </c>
      <c r="K342">
        <v>3.7181818181818098</v>
      </c>
      <c r="L342">
        <v>1.8962962962962899</v>
      </c>
      <c r="M342">
        <v>2.61666666666666</v>
      </c>
      <c r="O342">
        <v>340</v>
      </c>
      <c r="P342">
        <v>4.1875145428280103</v>
      </c>
      <c r="Q342">
        <v>3.9805130657979602</v>
      </c>
      <c r="R342">
        <v>4.7679370940451804</v>
      </c>
      <c r="S342">
        <v>3.9832817994855199</v>
      </c>
      <c r="T342">
        <v>2.8811659068389401</v>
      </c>
    </row>
    <row r="343" spans="1:20">
      <c r="A343">
        <v>341</v>
      </c>
      <c r="B343">
        <v>14.8272727272727</v>
      </c>
      <c r="C343">
        <v>16.158333333333299</v>
      </c>
      <c r="D343">
        <v>16.686363636363598</v>
      </c>
      <c r="E343">
        <v>12.7043478260869</v>
      </c>
      <c r="F343">
        <v>15.879166666666601</v>
      </c>
      <c r="H343">
        <v>341</v>
      </c>
      <c r="I343">
        <v>1.1151515151515099</v>
      </c>
      <c r="J343">
        <v>3.96999999999999</v>
      </c>
      <c r="K343">
        <v>0.9</v>
      </c>
      <c r="L343">
        <v>2.0571428571428498</v>
      </c>
      <c r="M343">
        <v>3.1</v>
      </c>
      <c r="O343">
        <v>341</v>
      </c>
      <c r="P343">
        <v>4.78641268464904</v>
      </c>
      <c r="Q343">
        <v>3.9985245379954399</v>
      </c>
      <c r="R343">
        <v>5.0529054479945801</v>
      </c>
      <c r="S343">
        <v>4.2828764166494997</v>
      </c>
      <c r="T343">
        <v>3.4185168625157498</v>
      </c>
    </row>
    <row r="344" spans="1:20">
      <c r="A344">
        <v>342</v>
      </c>
      <c r="B344">
        <v>14.8772727272727</v>
      </c>
      <c r="C344">
        <v>16.105</v>
      </c>
      <c r="D344">
        <v>15.5840909090909</v>
      </c>
      <c r="E344">
        <v>11.6608695652173</v>
      </c>
      <c r="F344">
        <v>15.259090909090901</v>
      </c>
      <c r="H344">
        <v>342</v>
      </c>
      <c r="I344">
        <v>2.8242424242424198</v>
      </c>
      <c r="J344">
        <v>2.43333333333333</v>
      </c>
      <c r="K344">
        <v>1.45</v>
      </c>
      <c r="L344">
        <v>1.9071428571428499</v>
      </c>
      <c r="M344">
        <v>6.1090909090908996</v>
      </c>
      <c r="O344">
        <v>342</v>
      </c>
      <c r="P344">
        <v>4.7928671108875296</v>
      </c>
      <c r="Q344">
        <v>4.0668482894046898</v>
      </c>
      <c r="R344">
        <v>5.1415144101699601</v>
      </c>
      <c r="S344">
        <v>4.1708034774737399</v>
      </c>
      <c r="T344">
        <v>2.9122766026990501</v>
      </c>
    </row>
    <row r="345" spans="1:20">
      <c r="A345">
        <v>343</v>
      </c>
      <c r="B345">
        <v>14.215151515151501</v>
      </c>
      <c r="C345">
        <v>16.565000000000001</v>
      </c>
      <c r="D345">
        <v>15.6204545454545</v>
      </c>
      <c r="E345">
        <v>12.290909090909</v>
      </c>
      <c r="F345">
        <v>15.9125</v>
      </c>
      <c r="H345">
        <v>343</v>
      </c>
      <c r="I345">
        <v>0.49393939393939301</v>
      </c>
      <c r="J345">
        <v>1.57666666666666</v>
      </c>
      <c r="K345">
        <v>2.6818181818181799</v>
      </c>
      <c r="L345">
        <v>2.2148148148148099</v>
      </c>
      <c r="M345">
        <v>1.7833333333333301</v>
      </c>
      <c r="O345">
        <v>343</v>
      </c>
      <c r="P345">
        <v>4.8235358630714096</v>
      </c>
      <c r="Q345">
        <v>4.3303303245888296</v>
      </c>
      <c r="R345">
        <v>4.40716009553657</v>
      </c>
      <c r="S345">
        <v>4.2981092558818901</v>
      </c>
      <c r="T345">
        <v>3.7124167377990198</v>
      </c>
    </row>
    <row r="346" spans="1:20">
      <c r="A346">
        <v>344</v>
      </c>
      <c r="B346">
        <v>14.9121212121212</v>
      </c>
      <c r="C346">
        <v>16.483333333333299</v>
      </c>
      <c r="D346">
        <v>15.802272727272699</v>
      </c>
      <c r="E346">
        <v>12.754347826086899</v>
      </c>
      <c r="F346">
        <v>16.720833333333299</v>
      </c>
      <c r="H346">
        <v>344</v>
      </c>
      <c r="I346">
        <v>0.67878787878787805</v>
      </c>
      <c r="J346">
        <v>2.9733333333333301</v>
      </c>
      <c r="K346">
        <v>1.9590909090908999</v>
      </c>
      <c r="L346">
        <v>2.3857142857142799</v>
      </c>
      <c r="M346">
        <v>6.61666666666666</v>
      </c>
      <c r="O346">
        <v>344</v>
      </c>
      <c r="P346">
        <v>4.3850054551207398</v>
      </c>
      <c r="Q346">
        <v>4.0534379567104599</v>
      </c>
      <c r="R346">
        <v>4.4917489033465099</v>
      </c>
      <c r="S346">
        <v>4.2350587014117096</v>
      </c>
      <c r="T346">
        <v>3.19412245919293</v>
      </c>
    </row>
    <row r="347" spans="1:20">
      <c r="A347">
        <v>345</v>
      </c>
      <c r="B347">
        <v>15.940909090909001</v>
      </c>
      <c r="C347">
        <v>17.015000000000001</v>
      </c>
      <c r="D347">
        <v>16.568181818181799</v>
      </c>
      <c r="E347">
        <v>13.6875</v>
      </c>
      <c r="F347">
        <v>17.529166666666601</v>
      </c>
      <c r="H347">
        <v>345</v>
      </c>
      <c r="I347">
        <v>0.221212121212121</v>
      </c>
      <c r="J347">
        <v>1.12666666666666</v>
      </c>
      <c r="K347">
        <v>1.2045454545454499</v>
      </c>
      <c r="L347">
        <v>2</v>
      </c>
      <c r="M347">
        <v>2.0333333333333301</v>
      </c>
      <c r="O347">
        <v>345</v>
      </c>
      <c r="P347">
        <v>5.2714081938624204</v>
      </c>
      <c r="Q347">
        <v>4.1505313677650202</v>
      </c>
      <c r="R347">
        <v>4.8142714104160103</v>
      </c>
      <c r="S347">
        <v>3.90282268121967</v>
      </c>
      <c r="T347">
        <v>3.0664285414958901</v>
      </c>
    </row>
    <row r="348" spans="1:20">
      <c r="A348">
        <v>346</v>
      </c>
      <c r="B348">
        <v>16.6272727272727</v>
      </c>
      <c r="C348">
        <v>17.483333333333299</v>
      </c>
      <c r="D348">
        <v>17.193181818181799</v>
      </c>
      <c r="E348">
        <v>14.1479166666666</v>
      </c>
      <c r="F348">
        <v>17.004166666666599</v>
      </c>
      <c r="H348">
        <v>346</v>
      </c>
      <c r="I348">
        <v>1.21818181818181</v>
      </c>
      <c r="J348">
        <v>1.9166666666666601</v>
      </c>
      <c r="K348">
        <v>0.64090909090908998</v>
      </c>
      <c r="L348">
        <v>3.8551724137930998</v>
      </c>
      <c r="M348">
        <v>2.4666666666666601</v>
      </c>
      <c r="O348">
        <v>346</v>
      </c>
      <c r="P348">
        <v>5.2469107263269903</v>
      </c>
      <c r="Q348">
        <v>3.8850422651579102</v>
      </c>
      <c r="R348">
        <v>5.0763678132495098</v>
      </c>
      <c r="S348">
        <v>4.5526715027977298</v>
      </c>
      <c r="T348">
        <v>3.6044975025694099</v>
      </c>
    </row>
    <row r="349" spans="1:20">
      <c r="A349">
        <v>347</v>
      </c>
      <c r="B349">
        <v>15.6196969696969</v>
      </c>
      <c r="C349">
        <v>17.251666666666601</v>
      </c>
      <c r="D349">
        <v>17.2068181818181</v>
      </c>
      <c r="E349">
        <v>13.5208333333333</v>
      </c>
      <c r="F349">
        <v>16.883333333333301</v>
      </c>
      <c r="H349">
        <v>347</v>
      </c>
      <c r="I349">
        <v>2.59696969696969</v>
      </c>
      <c r="J349">
        <v>1.93333333333333</v>
      </c>
      <c r="K349">
        <v>1.5727272727272701</v>
      </c>
      <c r="L349">
        <v>3.3793103448275801</v>
      </c>
      <c r="M349">
        <v>1.7333333333333301</v>
      </c>
      <c r="O349">
        <v>347</v>
      </c>
      <c r="P349">
        <v>5.0310266433765403</v>
      </c>
      <c r="Q349">
        <v>4.3816384015384404</v>
      </c>
      <c r="R349">
        <v>5.4304096429369402</v>
      </c>
      <c r="S349">
        <v>4.4272517692475102</v>
      </c>
      <c r="T349">
        <v>4.1436131117359496</v>
      </c>
    </row>
    <row r="350" spans="1:20">
      <c r="A350">
        <v>348</v>
      </c>
      <c r="B350">
        <v>14.8939393939393</v>
      </c>
      <c r="C350">
        <v>17.1733333333333</v>
      </c>
      <c r="D350">
        <v>16.399999999999999</v>
      </c>
      <c r="E350">
        <v>12.858333333333301</v>
      </c>
      <c r="F350">
        <v>16.191666666666599</v>
      </c>
      <c r="H350">
        <v>348</v>
      </c>
      <c r="I350">
        <v>1.05151515151515</v>
      </c>
      <c r="J350">
        <v>4.1233333333333304</v>
      </c>
      <c r="K350">
        <v>1.08636363636363</v>
      </c>
      <c r="L350">
        <v>3.0571428571428498</v>
      </c>
      <c r="M350">
        <v>1.5333333333333301</v>
      </c>
      <c r="O350">
        <v>348</v>
      </c>
      <c r="P350">
        <v>5.1072739426404103</v>
      </c>
      <c r="Q350">
        <v>4.03321434314394</v>
      </c>
      <c r="R350">
        <v>4.6978930391275799</v>
      </c>
      <c r="S350">
        <v>4.7283771934232597</v>
      </c>
      <c r="T350">
        <v>3.8138486605430502</v>
      </c>
    </row>
    <row r="351" spans="1:20">
      <c r="A351">
        <v>349</v>
      </c>
      <c r="B351">
        <v>16</v>
      </c>
      <c r="C351">
        <v>17.0068965517241</v>
      </c>
      <c r="D351">
        <v>16.524999999999999</v>
      </c>
      <c r="E351">
        <v>12.5833333333333</v>
      </c>
      <c r="F351">
        <v>15.754166666666601</v>
      </c>
      <c r="H351">
        <v>349</v>
      </c>
      <c r="I351">
        <v>1.04242424242424</v>
      </c>
      <c r="J351">
        <v>2.5793103448275798</v>
      </c>
      <c r="K351">
        <v>0.75454545454545396</v>
      </c>
      <c r="L351">
        <v>3.9931034482758601</v>
      </c>
      <c r="M351">
        <v>4.9166666666666599</v>
      </c>
      <c r="O351">
        <v>349</v>
      </c>
      <c r="P351">
        <v>5.4539790972000102</v>
      </c>
      <c r="Q351">
        <v>4.1838965938969297</v>
      </c>
      <c r="R351">
        <v>5.23969874104698</v>
      </c>
      <c r="S351">
        <v>4.3302795048374803</v>
      </c>
      <c r="T351">
        <v>4.2245531095694204</v>
      </c>
    </row>
    <row r="352" spans="1:20">
      <c r="A352">
        <v>350</v>
      </c>
      <c r="B352">
        <v>15.5590909090909</v>
      </c>
      <c r="C352">
        <v>17.105172413793099</v>
      </c>
      <c r="D352">
        <v>16.475000000000001</v>
      </c>
      <c r="E352">
        <v>12.649999999999901</v>
      </c>
      <c r="F352">
        <v>16.766666666666602</v>
      </c>
      <c r="H352">
        <v>350</v>
      </c>
      <c r="I352">
        <v>1.9272727272727199</v>
      </c>
      <c r="J352">
        <v>5.3551724137930998</v>
      </c>
      <c r="K352">
        <v>1.4045454545454501</v>
      </c>
      <c r="L352">
        <v>2.9931034482758601</v>
      </c>
      <c r="M352">
        <v>1.5999999999999901</v>
      </c>
      <c r="O352">
        <v>350</v>
      </c>
      <c r="P352">
        <v>4.5883036332124396</v>
      </c>
      <c r="Q352">
        <v>3.9954599380242</v>
      </c>
      <c r="R352">
        <v>4.6205154777083504</v>
      </c>
      <c r="S352">
        <v>4.3513352527547697</v>
      </c>
      <c r="T352">
        <v>4.0567025040665996</v>
      </c>
    </row>
    <row r="353" spans="1:20">
      <c r="A353">
        <v>351</v>
      </c>
      <c r="B353">
        <v>15.2454545454545</v>
      </c>
      <c r="C353">
        <v>17.153448275862001</v>
      </c>
      <c r="D353">
        <v>16.9568181818181</v>
      </c>
      <c r="E353">
        <v>12.94375</v>
      </c>
      <c r="F353">
        <v>16.766666666666602</v>
      </c>
      <c r="H353">
        <v>351</v>
      </c>
      <c r="I353">
        <v>2.4060606060606</v>
      </c>
      <c r="J353">
        <v>4.6827586206896497</v>
      </c>
      <c r="K353">
        <v>3.3454545454545399</v>
      </c>
      <c r="L353">
        <v>1.61379310344827</v>
      </c>
      <c r="M353">
        <v>4.3166666666666602</v>
      </c>
      <c r="O353">
        <v>351</v>
      </c>
      <c r="P353">
        <v>4.7700419489867203</v>
      </c>
      <c r="Q353">
        <v>4.0087446707632299</v>
      </c>
      <c r="R353">
        <v>4.6025159850897603</v>
      </c>
      <c r="S353">
        <v>4.3150449407214602</v>
      </c>
      <c r="T353">
        <v>3.8858032497445998</v>
      </c>
    </row>
    <row r="354" spans="1:20">
      <c r="A354">
        <v>352</v>
      </c>
      <c r="B354">
        <v>15.4969696969696</v>
      </c>
      <c r="C354">
        <v>16.853448275862</v>
      </c>
      <c r="D354">
        <v>17.061363636363598</v>
      </c>
      <c r="E354">
        <v>13.137499999999999</v>
      </c>
      <c r="F354">
        <v>17.191666666666599</v>
      </c>
      <c r="H354">
        <v>352</v>
      </c>
      <c r="I354">
        <v>1.9363636363636301</v>
      </c>
      <c r="J354">
        <v>4.4103448275861998</v>
      </c>
      <c r="K354">
        <v>2.7318181818181801</v>
      </c>
      <c r="L354">
        <v>2.0620689655172399</v>
      </c>
      <c r="M354">
        <v>1.25</v>
      </c>
      <c r="O354">
        <v>352</v>
      </c>
      <c r="P354">
        <v>5.0336294289784602</v>
      </c>
      <c r="Q354">
        <v>3.8624789224218001</v>
      </c>
      <c r="R354">
        <v>4.5028651008892204</v>
      </c>
      <c r="S354">
        <v>4.1815635852244704</v>
      </c>
      <c r="T354">
        <v>3.5439221574521702</v>
      </c>
    </row>
    <row r="355" spans="1:20">
      <c r="A355">
        <v>353</v>
      </c>
      <c r="B355">
        <v>15.5242424242424</v>
      </c>
      <c r="C355">
        <v>17.030357142857099</v>
      </c>
      <c r="D355">
        <v>17.0363636363636</v>
      </c>
      <c r="E355">
        <v>12.387499999999999</v>
      </c>
      <c r="F355">
        <v>16.725000000000001</v>
      </c>
      <c r="H355">
        <v>353</v>
      </c>
      <c r="I355">
        <v>1.78181818181818</v>
      </c>
      <c r="J355">
        <v>4.3285714285714203</v>
      </c>
      <c r="K355">
        <v>4.8818181818181801</v>
      </c>
      <c r="L355">
        <v>3.0482758620689601</v>
      </c>
      <c r="M355">
        <v>6.43333333333333</v>
      </c>
      <c r="O355">
        <v>353</v>
      </c>
      <c r="P355">
        <v>4.98855977845243</v>
      </c>
      <c r="Q355">
        <v>4.1713118658622399</v>
      </c>
      <c r="R355">
        <v>4.5352498679258</v>
      </c>
      <c r="S355">
        <v>4.0183274037405603</v>
      </c>
      <c r="T355">
        <v>2.7226403112081199</v>
      </c>
    </row>
    <row r="356" spans="1:20">
      <c r="A356">
        <v>354</v>
      </c>
      <c r="B356">
        <v>15.1863636363636</v>
      </c>
      <c r="C356">
        <v>17.3086206896551</v>
      </c>
      <c r="D356">
        <v>17.152272727272699</v>
      </c>
      <c r="E356">
        <v>13.231818181818101</v>
      </c>
      <c r="F356">
        <v>15.9625</v>
      </c>
      <c r="H356">
        <v>354</v>
      </c>
      <c r="I356">
        <v>4.1696969696969699</v>
      </c>
      <c r="J356">
        <v>1.38620689655172</v>
      </c>
      <c r="K356">
        <v>1.17272727272727</v>
      </c>
      <c r="L356">
        <v>4.8074074074073998</v>
      </c>
      <c r="M356">
        <v>4.3333333333333304</v>
      </c>
      <c r="O356">
        <v>354</v>
      </c>
      <c r="P356">
        <v>4.9791838222051101</v>
      </c>
      <c r="Q356">
        <v>4.2492728260034598</v>
      </c>
      <c r="R356">
        <v>4.85109865407901</v>
      </c>
      <c r="S356">
        <v>4.3278716758073204</v>
      </c>
      <c r="T356">
        <v>3.7253118866284498</v>
      </c>
    </row>
    <row r="357" spans="1:20">
      <c r="A357">
        <v>355</v>
      </c>
      <c r="B357">
        <v>14.9893480257116</v>
      </c>
      <c r="C357">
        <v>17.3086206896551</v>
      </c>
      <c r="D357">
        <v>16.568181818181799</v>
      </c>
      <c r="E357">
        <v>13.782608695652099</v>
      </c>
      <c r="F357">
        <v>16.074999999999999</v>
      </c>
      <c r="H357">
        <v>355</v>
      </c>
      <c r="I357">
        <v>2.6030303030302999</v>
      </c>
      <c r="J357">
        <v>3.66206896551724</v>
      </c>
      <c r="K357">
        <v>0.86818181818181805</v>
      </c>
      <c r="L357">
        <v>3.75</v>
      </c>
      <c r="M357">
        <v>0.89999999999999902</v>
      </c>
      <c r="O357">
        <v>355</v>
      </c>
      <c r="P357">
        <v>5.3026714900844496</v>
      </c>
      <c r="Q357">
        <v>3.9108587200843599</v>
      </c>
      <c r="R357">
        <v>4.8513805405436798</v>
      </c>
      <c r="S357">
        <v>5.3935671990951901</v>
      </c>
      <c r="T357">
        <v>3.69045556475041</v>
      </c>
    </row>
    <row r="358" spans="1:20">
      <c r="A358">
        <v>356</v>
      </c>
      <c r="B358">
        <v>15.318181818181801</v>
      </c>
      <c r="C358">
        <v>17.474137931034399</v>
      </c>
      <c r="D358">
        <v>16.468181818181801</v>
      </c>
      <c r="E358">
        <v>12.802173913043401</v>
      </c>
      <c r="F358">
        <v>16.1458333333333</v>
      </c>
      <c r="H358">
        <v>356</v>
      </c>
      <c r="I358">
        <v>2.1333333333333302</v>
      </c>
      <c r="J358">
        <v>1.82758620689655</v>
      </c>
      <c r="K358">
        <v>9.0909090909090905E-3</v>
      </c>
      <c r="L358">
        <v>4.1642857142857101</v>
      </c>
      <c r="M358">
        <v>0.78333333333333299</v>
      </c>
      <c r="O358">
        <v>356</v>
      </c>
      <c r="P358">
        <v>5.2799428567790896</v>
      </c>
      <c r="Q358">
        <v>4.3560784704810001</v>
      </c>
      <c r="R358">
        <v>5.1053956480939604</v>
      </c>
      <c r="S358">
        <v>4.4566913545793003</v>
      </c>
      <c r="T358">
        <v>3.66376320931905</v>
      </c>
    </row>
    <row r="359" spans="1:20">
      <c r="A359">
        <v>357</v>
      </c>
      <c r="B359">
        <v>15.1030303030303</v>
      </c>
      <c r="C359">
        <v>17.091379310344799</v>
      </c>
      <c r="D359">
        <v>16.729545454545399</v>
      </c>
      <c r="E359">
        <v>13.058695652173901</v>
      </c>
      <c r="F359">
        <v>16.820833333333301</v>
      </c>
      <c r="H359">
        <v>357</v>
      </c>
      <c r="I359">
        <v>1.7606060606060601</v>
      </c>
      <c r="J359">
        <v>2.22413793103448</v>
      </c>
      <c r="K359">
        <v>0.486363636363636</v>
      </c>
      <c r="L359">
        <v>4.1642857142857101</v>
      </c>
      <c r="M359">
        <v>1.1666666666666601</v>
      </c>
      <c r="O359">
        <v>357</v>
      </c>
      <c r="P359">
        <v>4.9208206081117201</v>
      </c>
      <c r="Q359">
        <v>4.1386344294122503</v>
      </c>
      <c r="R359">
        <v>5.2153750654164197</v>
      </c>
      <c r="S359">
        <v>4.88993698649558</v>
      </c>
      <c r="T359">
        <v>4.2904592235930501</v>
      </c>
    </row>
    <row r="360" spans="1:20">
      <c r="A360">
        <v>358</v>
      </c>
      <c r="B360">
        <v>15.75</v>
      </c>
      <c r="C360">
        <v>17.2275862068965</v>
      </c>
      <c r="D360">
        <v>16.7477272727272</v>
      </c>
      <c r="E360">
        <v>13.6173913043478</v>
      </c>
      <c r="F360">
        <v>16.883333333333301</v>
      </c>
      <c r="H360">
        <v>358</v>
      </c>
      <c r="I360">
        <v>0.44545454545454499</v>
      </c>
      <c r="J360">
        <v>3.0655172413793101</v>
      </c>
      <c r="K360">
        <v>2.1545454545454499</v>
      </c>
      <c r="L360">
        <v>3.7214285714285702</v>
      </c>
      <c r="M360">
        <v>4.1499999999999897</v>
      </c>
      <c r="O360">
        <v>358</v>
      </c>
      <c r="P360">
        <v>5.2220060011835203</v>
      </c>
      <c r="Q360">
        <v>3.7757934515094398</v>
      </c>
      <c r="R360">
        <v>4.9302128810580896</v>
      </c>
      <c r="S360">
        <v>4.5288852948882097</v>
      </c>
      <c r="T360">
        <v>3.61274265774352</v>
      </c>
    </row>
    <row r="361" spans="1:20">
      <c r="A361">
        <v>359</v>
      </c>
      <c r="B361">
        <v>15.801515151515099</v>
      </c>
      <c r="C361">
        <v>17.475862068965501</v>
      </c>
      <c r="D361">
        <v>17.143181818181802</v>
      </c>
      <c r="E361">
        <v>13.361363636363601</v>
      </c>
      <c r="F361">
        <v>17.399999999999999</v>
      </c>
      <c r="H361">
        <v>359</v>
      </c>
      <c r="I361">
        <v>0.86969696969696897</v>
      </c>
      <c r="J361">
        <v>4.4724137931034402</v>
      </c>
      <c r="K361">
        <v>2.4909090909090899</v>
      </c>
      <c r="L361">
        <v>3.38518518518518</v>
      </c>
      <c r="M361">
        <v>5.0166666666666604</v>
      </c>
      <c r="O361">
        <v>359</v>
      </c>
      <c r="P361">
        <v>5.4909304436539399</v>
      </c>
      <c r="Q361">
        <v>3.82075028631309</v>
      </c>
      <c r="R361">
        <v>4.9539973080097104</v>
      </c>
      <c r="S361">
        <v>4.43007468544464</v>
      </c>
      <c r="T361">
        <v>4.09028075025509</v>
      </c>
    </row>
    <row r="362" spans="1:20">
      <c r="A362">
        <v>360</v>
      </c>
      <c r="B362">
        <v>15.1378787878787</v>
      </c>
      <c r="C362">
        <v>17.193103448275799</v>
      </c>
      <c r="D362">
        <v>17.1204545454545</v>
      </c>
      <c r="E362">
        <v>14.068181818181801</v>
      </c>
      <c r="F362">
        <v>17.920833333333299</v>
      </c>
      <c r="H362">
        <v>360</v>
      </c>
      <c r="I362">
        <v>0.68181818181818099</v>
      </c>
      <c r="J362">
        <v>1.2034482758620599</v>
      </c>
      <c r="K362">
        <v>1.11818181818181</v>
      </c>
      <c r="L362">
        <v>3.8444444444444401</v>
      </c>
      <c r="M362">
        <v>0.56666666666666599</v>
      </c>
      <c r="O362">
        <v>360</v>
      </c>
      <c r="P362">
        <v>4.9163537354420397</v>
      </c>
      <c r="Q362">
        <v>4.4822943456663404</v>
      </c>
      <c r="R362">
        <v>5.6471793539629997</v>
      </c>
      <c r="S362">
        <v>4.8526011424146898</v>
      </c>
      <c r="T362">
        <v>4.1244552423616296</v>
      </c>
    </row>
    <row r="363" spans="1:20">
      <c r="A363">
        <v>361</v>
      </c>
      <c r="B363">
        <v>16.901515151515099</v>
      </c>
      <c r="C363">
        <v>17.263793103448201</v>
      </c>
      <c r="D363">
        <v>16.693181818181799</v>
      </c>
      <c r="E363">
        <v>14.7431818181818</v>
      </c>
      <c r="F363">
        <v>17.537500000000001</v>
      </c>
      <c r="H363">
        <v>361</v>
      </c>
      <c r="I363">
        <v>1.11818181818181</v>
      </c>
      <c r="J363">
        <v>1.9379310344827501</v>
      </c>
      <c r="K363">
        <v>0.24545454545454501</v>
      </c>
      <c r="L363">
        <v>4.2</v>
      </c>
      <c r="M363">
        <v>1.2833333333333301</v>
      </c>
      <c r="O363">
        <v>361</v>
      </c>
      <c r="P363">
        <v>5.7188006673869101</v>
      </c>
      <c r="Q363">
        <v>4.2854150969519402</v>
      </c>
      <c r="R363">
        <v>5.1544709514345302</v>
      </c>
      <c r="S363">
        <v>5.1986034592483401</v>
      </c>
      <c r="T363">
        <v>4.3692883234689903</v>
      </c>
    </row>
    <row r="364" spans="1:20">
      <c r="A364">
        <v>362</v>
      </c>
      <c r="B364">
        <v>17.143939393939299</v>
      </c>
      <c r="C364">
        <v>18.060344827586199</v>
      </c>
      <c r="D364">
        <v>16.863636363636299</v>
      </c>
      <c r="E364">
        <v>13.970454545454499</v>
      </c>
      <c r="F364">
        <v>17.012499999999999</v>
      </c>
      <c r="H364">
        <v>362</v>
      </c>
      <c r="I364">
        <v>2.9666666666666601</v>
      </c>
      <c r="J364">
        <v>0.81379310344827505</v>
      </c>
      <c r="K364">
        <v>0.5</v>
      </c>
      <c r="L364">
        <v>3.45185185185185</v>
      </c>
      <c r="M364">
        <v>1.5833333333333299</v>
      </c>
      <c r="O364">
        <v>362</v>
      </c>
      <c r="P364">
        <v>5.7794443898681997</v>
      </c>
      <c r="Q364">
        <v>4.2768570571644897</v>
      </c>
      <c r="R364">
        <v>4.9884818070017598</v>
      </c>
      <c r="S364">
        <v>4.7473376455265504</v>
      </c>
      <c r="T364">
        <v>3.8686759650684999</v>
      </c>
    </row>
    <row r="365" spans="1:20">
      <c r="A365">
        <v>363</v>
      </c>
      <c r="B365">
        <v>15.795454545454501</v>
      </c>
      <c r="C365">
        <v>18.386206896551698</v>
      </c>
      <c r="D365">
        <v>16.690909090908999</v>
      </c>
      <c r="E365">
        <v>14.119047619047601</v>
      </c>
      <c r="F365">
        <v>17.1041666666666</v>
      </c>
      <c r="H365">
        <v>363</v>
      </c>
      <c r="I365">
        <v>1.01212121212121</v>
      </c>
      <c r="J365">
        <v>3.0068965517241302</v>
      </c>
      <c r="K365">
        <v>0.70454545454545403</v>
      </c>
      <c r="L365">
        <v>2.7</v>
      </c>
      <c r="M365">
        <v>4.2833333333333297</v>
      </c>
      <c r="O365">
        <v>363</v>
      </c>
      <c r="P365">
        <v>4.8778466207725302</v>
      </c>
      <c r="Q365">
        <v>4.2622812571545499</v>
      </c>
      <c r="R365">
        <v>5.0333749511885504</v>
      </c>
      <c r="S365">
        <v>4.5862810570556798</v>
      </c>
      <c r="T365">
        <v>3.65125453231978</v>
      </c>
    </row>
    <row r="366" spans="1:20">
      <c r="A366">
        <v>364</v>
      </c>
      <c r="B366">
        <v>16.3359375</v>
      </c>
      <c r="C366">
        <v>18.156896551724099</v>
      </c>
      <c r="D366">
        <v>16.518181818181802</v>
      </c>
      <c r="E366">
        <v>13.9047619047619</v>
      </c>
      <c r="F366">
        <v>17.0541666666666</v>
      </c>
      <c r="H366">
        <v>364</v>
      </c>
      <c r="I366">
        <v>2.5656249999999998</v>
      </c>
      <c r="J366">
        <v>4.4172413793103402</v>
      </c>
      <c r="K366">
        <v>1.8227272727272701</v>
      </c>
      <c r="L366">
        <v>2.3692307692307599</v>
      </c>
      <c r="M366">
        <v>3.68333333333333</v>
      </c>
      <c r="O366">
        <v>364</v>
      </c>
      <c r="P366">
        <v>4.8055507109703601</v>
      </c>
      <c r="Q366">
        <v>3.8040621578745699</v>
      </c>
      <c r="R366">
        <v>4.9601120225528899</v>
      </c>
      <c r="S366">
        <v>4.5647633381517601</v>
      </c>
      <c r="T366">
        <v>3.3111049356888498</v>
      </c>
    </row>
    <row r="367" spans="1:20">
      <c r="A367">
        <v>365</v>
      </c>
      <c r="B367">
        <v>15.832812499999999</v>
      </c>
      <c r="C367">
        <v>17.8086206896551</v>
      </c>
      <c r="D367">
        <v>16.738636363636299</v>
      </c>
      <c r="E367">
        <v>13.492857142857099</v>
      </c>
      <c r="F367">
        <v>16.6875</v>
      </c>
      <c r="H367">
        <v>365</v>
      </c>
      <c r="I367">
        <v>1.0062500000000001</v>
      </c>
      <c r="J367">
        <v>8.7896551724137897</v>
      </c>
      <c r="K367">
        <v>1.9045454545454501</v>
      </c>
      <c r="L367">
        <v>2.9076923076923</v>
      </c>
      <c r="M367">
        <v>4.68333333333333</v>
      </c>
      <c r="O367">
        <v>365</v>
      </c>
      <c r="P367">
        <v>5.3791049074685899</v>
      </c>
      <c r="Q367">
        <v>3.8298931146257198</v>
      </c>
      <c r="R367">
        <v>4.7869900887848003</v>
      </c>
      <c r="S367">
        <v>4.6057363426608502</v>
      </c>
      <c r="T367">
        <v>3.7095349810249001</v>
      </c>
    </row>
    <row r="368" spans="1:20">
      <c r="A368">
        <v>366</v>
      </c>
      <c r="B368">
        <v>16.3</v>
      </c>
      <c r="C368">
        <v>17.691666666666599</v>
      </c>
      <c r="D368">
        <v>16.71</v>
      </c>
      <c r="E368">
        <v>11.34</v>
      </c>
      <c r="F368">
        <v>15.483333333333301</v>
      </c>
      <c r="H368">
        <v>366</v>
      </c>
      <c r="I368">
        <v>2.4874999999999998</v>
      </c>
      <c r="J368">
        <v>2.4166666666666599</v>
      </c>
      <c r="K368">
        <v>1.8199999999999901</v>
      </c>
      <c r="L368">
        <v>6.7666666666666604</v>
      </c>
      <c r="M368">
        <v>0</v>
      </c>
      <c r="O368">
        <v>366</v>
      </c>
      <c r="P368">
        <v>5.4752128018447301</v>
      </c>
      <c r="Q368">
        <v>4.2176739505731602</v>
      </c>
      <c r="R368">
        <v>5.9326187522648404</v>
      </c>
      <c r="S368">
        <v>3.33983924968393</v>
      </c>
      <c r="T368">
        <v>5.2329405479025102</v>
      </c>
    </row>
  </sheetData>
  <mergeCells count="4">
    <mergeCell ref="A1:F1"/>
    <mergeCell ref="H1:M1"/>
    <mergeCell ref="O1:T1"/>
    <mergeCell ref="V1:AA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158</vt:i4>
      </vt:variant>
    </vt:vector>
  </HeadingPairs>
  <TitlesOfParts>
    <vt:vector size="163" baseType="lpstr">
      <vt:lpstr>ConceptDemo</vt:lpstr>
      <vt:lpstr>Model Interface</vt:lpstr>
      <vt:lpstr>ListMembers</vt:lpstr>
      <vt:lpstr>CropCoefficients</vt:lpstr>
      <vt:lpstr>Met Data</vt:lpstr>
      <vt:lpstr>Agria</vt:lpstr>
      <vt:lpstr>Annual_ryegrass</vt:lpstr>
      <vt:lpstr>AWC</vt:lpstr>
      <vt:lpstr>Barley</vt:lpstr>
      <vt:lpstr>Bean</vt:lpstr>
      <vt:lpstr>Broad_bean</vt:lpstr>
      <vt:lpstr>Broccoli</vt:lpstr>
      <vt:lpstr>Brussel_sprout</vt:lpstr>
      <vt:lpstr>Bulb</vt:lpstr>
      <vt:lpstr>Cabbage</vt:lpstr>
      <vt:lpstr>Canola</vt:lpstr>
      <vt:lpstr>Carrot</vt:lpstr>
      <vt:lpstr>Cauliflower</vt:lpstr>
      <vt:lpstr>Celery</vt:lpstr>
      <vt:lpstr>Chickpea</vt:lpstr>
      <vt:lpstr>Choy_sum</vt:lpstr>
      <vt:lpstr>Cocksfoot</vt:lpstr>
      <vt:lpstr>Coriander</vt:lpstr>
      <vt:lpstr>CropCoefficients</vt:lpstr>
      <vt:lpstr>CurrentCropName</vt:lpstr>
      <vt:lpstr>CurrentCropNameFull</vt:lpstr>
      <vt:lpstr>CurrentCropType</vt:lpstr>
      <vt:lpstr>CurrentCropVariety</vt:lpstr>
      <vt:lpstr>CurrentDressingLoss</vt:lpstr>
      <vt:lpstr>CurrentEstablishDate</vt:lpstr>
      <vt:lpstr>CurrentEstablishStage</vt:lpstr>
      <vt:lpstr>CurrentFieldLoss</vt:lpstr>
      <vt:lpstr>CurrentHarvestDate</vt:lpstr>
      <vt:lpstr>CurrentHarvestStage</vt:lpstr>
      <vt:lpstr>CurrentMoistureContent</vt:lpstr>
      <vt:lpstr>CurrentPopulation</vt:lpstr>
      <vt:lpstr>CurrentResidueIncorporation</vt:lpstr>
      <vt:lpstr>CurrentResidueRemoval</vt:lpstr>
      <vt:lpstr>CurrentResidueTreatment</vt:lpstr>
      <vt:lpstr>CurrentUnits</vt:lpstr>
      <vt:lpstr>CurrentYield</vt:lpstr>
      <vt:lpstr>CurrentYield_tperHa</vt:lpstr>
      <vt:lpstr>CurrentYieldHa</vt:lpstr>
      <vt:lpstr>CurrentYieldperArea</vt:lpstr>
      <vt:lpstr>CurrentYieldtHA</vt:lpstr>
      <vt:lpstr>depths</vt:lpstr>
      <vt:lpstr>DUL</vt:lpstr>
      <vt:lpstr>Early_harvest</vt:lpstr>
      <vt:lpstr>Efficiency</vt:lpstr>
      <vt:lpstr>Fibre</vt:lpstr>
      <vt:lpstr>Fodder</vt:lpstr>
      <vt:lpstr>Fodder_beet</vt:lpstr>
      <vt:lpstr>FollowingCropFullName</vt:lpstr>
      <vt:lpstr>FollowingCropName</vt:lpstr>
      <vt:lpstr>FollowingCropType</vt:lpstr>
      <vt:lpstr>FollowingCropVariety</vt:lpstr>
      <vt:lpstr>FollowingDressingLoss</vt:lpstr>
      <vt:lpstr>FollowingEstablishDate</vt:lpstr>
      <vt:lpstr>FollowingEstablishmentDate</vt:lpstr>
      <vt:lpstr>FollowingEstablishStage</vt:lpstr>
      <vt:lpstr>FollowingFieldLoss</vt:lpstr>
      <vt:lpstr>FollowingHarvestDate</vt:lpstr>
      <vt:lpstr>FollowingHarvestStage</vt:lpstr>
      <vt:lpstr>FollowingMoistureLoss</vt:lpstr>
      <vt:lpstr>FollowingPopulation</vt:lpstr>
      <vt:lpstr>FollowingResidueIncorporation</vt:lpstr>
      <vt:lpstr>FollowingResidueRemoval</vt:lpstr>
      <vt:lpstr>FollowingResidueTreatment</vt:lpstr>
      <vt:lpstr>FollowingUnits</vt:lpstr>
      <vt:lpstr>FollowingYIeld</vt:lpstr>
      <vt:lpstr>FollowingYield_tperHa</vt:lpstr>
      <vt:lpstr>FollowingYieldPerArea</vt:lpstr>
      <vt:lpstr>Garlic</vt:lpstr>
      <vt:lpstr>General</vt:lpstr>
      <vt:lpstr>Grain</vt:lpstr>
      <vt:lpstr>Green_Manure</vt:lpstr>
      <vt:lpstr>GroundStore</vt:lpstr>
      <vt:lpstr>Hemp</vt:lpstr>
      <vt:lpstr>HWEON</vt:lpstr>
      <vt:lpstr>InCropRain</vt:lpstr>
      <vt:lpstr>InitialDate</vt:lpstr>
      <vt:lpstr>InitialN</vt:lpstr>
      <vt:lpstr>Innovator</vt:lpstr>
      <vt:lpstr>Irrigation</vt:lpstr>
      <vt:lpstr>Kale</vt:lpstr>
      <vt:lpstr>Kumara</vt:lpstr>
      <vt:lpstr>Leek</vt:lpstr>
      <vt:lpstr>Lentil</vt:lpstr>
      <vt:lpstr>Lettuce</vt:lpstr>
      <vt:lpstr>Linseed</vt:lpstr>
      <vt:lpstr>Location</vt:lpstr>
      <vt:lpstr>Long__Group3</vt:lpstr>
      <vt:lpstr>Lupin</vt:lpstr>
      <vt:lpstr>Maize</vt:lpstr>
      <vt:lpstr>Maturity_harvest</vt:lpstr>
      <vt:lpstr>Medium__Group2</vt:lpstr>
      <vt:lpstr>ModelOutputs</vt:lpstr>
      <vt:lpstr>Moonlight</vt:lpstr>
      <vt:lpstr>Mustard</vt:lpstr>
      <vt:lpstr>Nadine</vt:lpstr>
      <vt:lpstr>Oat</vt:lpstr>
      <vt:lpstr>Onion</vt:lpstr>
      <vt:lpstr>Pak_choi</vt:lpstr>
      <vt:lpstr>Parsnip</vt:lpstr>
      <vt:lpstr>Pea</vt:lpstr>
      <vt:lpstr>Phacelia</vt:lpstr>
      <vt:lpstr>PMN</vt:lpstr>
      <vt:lpstr>PMNtypes</vt:lpstr>
      <vt:lpstr>Potato</vt:lpstr>
      <vt:lpstr>PrePlantRain</vt:lpstr>
      <vt:lpstr>PriorCropName</vt:lpstr>
      <vt:lpstr>PriorCropNameFull</vt:lpstr>
      <vt:lpstr>PriorCropType</vt:lpstr>
      <vt:lpstr>PriorCropVariety</vt:lpstr>
      <vt:lpstr>PriorDressingLoss</vt:lpstr>
      <vt:lpstr>PriorEstablishDate</vt:lpstr>
      <vt:lpstr>PriorEstablishStage</vt:lpstr>
      <vt:lpstr>PriorFieldLoss</vt:lpstr>
      <vt:lpstr>PriorHarvestDate</vt:lpstr>
      <vt:lpstr>PriorHarvestStage</vt:lpstr>
      <vt:lpstr>PriorMoistureContent</vt:lpstr>
      <vt:lpstr>PriorPopulation</vt:lpstr>
      <vt:lpstr>PriorResidueIncorporation</vt:lpstr>
      <vt:lpstr>PriorResidueRemoval</vt:lpstr>
      <vt:lpstr>PriorResidueTreatment</vt:lpstr>
      <vt:lpstr>PriorSaleableYield</vt:lpstr>
      <vt:lpstr>PriorUnits</vt:lpstr>
      <vt:lpstr>PriorYield</vt:lpstr>
      <vt:lpstr>PriorYield_tperHa</vt:lpstr>
      <vt:lpstr>PriorYieldPerArea</vt:lpstr>
      <vt:lpstr>Pumpkin</vt:lpstr>
      <vt:lpstr>Radish</vt:lpstr>
      <vt:lpstr>Rape</vt:lpstr>
      <vt:lpstr>Red_beet</vt:lpstr>
      <vt:lpstr>Rock_melon</vt:lpstr>
      <vt:lpstr>Rocks</vt:lpstr>
      <vt:lpstr>RussetBurbank</vt:lpstr>
      <vt:lpstr>Rye_corn</vt:lpstr>
      <vt:lpstr>Ryegrass</vt:lpstr>
      <vt:lpstr>SampleDepth</vt:lpstr>
      <vt:lpstr>Seed</vt:lpstr>
      <vt:lpstr>Short__Group1</vt:lpstr>
      <vt:lpstr>Silver_beet</vt:lpstr>
      <vt:lpstr>SoilCategory</vt:lpstr>
      <vt:lpstr>SoilOrder</vt:lpstr>
      <vt:lpstr>SoilOrders</vt:lpstr>
      <vt:lpstr>Spinach</vt:lpstr>
      <vt:lpstr>Splits</vt:lpstr>
      <vt:lpstr>Spring_onion</vt:lpstr>
      <vt:lpstr>Squash</vt:lpstr>
      <vt:lpstr>StartGraphDate</vt:lpstr>
      <vt:lpstr>StartSchedullingDate</vt:lpstr>
      <vt:lpstr>Sunflower</vt:lpstr>
      <vt:lpstr>Swede</vt:lpstr>
      <vt:lpstr>Sweetcorn</vt:lpstr>
      <vt:lpstr>Tomato</vt:lpstr>
      <vt:lpstr>Trigger</vt:lpstr>
      <vt:lpstr>Triticale</vt:lpstr>
      <vt:lpstr>Tulip</vt:lpstr>
      <vt:lpstr>Turnip</vt:lpstr>
      <vt:lpstr>Vegetable</vt:lpstr>
      <vt:lpstr>Very_Long__Group4</vt:lpstr>
      <vt:lpstr>Wheat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</dc:creator>
  <cp:lastModifiedBy>Hamish Brown</cp:lastModifiedBy>
  <cp:lastPrinted>2022-11-21T07:06:21Z</cp:lastPrinted>
  <dcterms:created xsi:type="dcterms:W3CDTF">2022-11-13T19:21:57Z</dcterms:created>
  <dcterms:modified xsi:type="dcterms:W3CDTF">2024-06-04T08:56:00Z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d8f3512-c98a-4fbc-ad6e-3260f1cde3f8_Enabled">
    <vt:lpwstr>true</vt:lpwstr>
  </property>
  <property fmtid="{D5CDD505-2E9C-101B-9397-08002B2CF9AE}" pid="3" name="MSIP_Label_8d8f3512-c98a-4fbc-ad6e-3260f1cde3f8_SetDate">
    <vt:lpwstr>2023-02-15T20:47:09Z</vt:lpwstr>
  </property>
  <property fmtid="{D5CDD505-2E9C-101B-9397-08002B2CF9AE}" pid="4" name="MSIP_Label_8d8f3512-c98a-4fbc-ad6e-3260f1cde3f8_Method">
    <vt:lpwstr>Standard</vt:lpwstr>
  </property>
  <property fmtid="{D5CDD505-2E9C-101B-9397-08002B2CF9AE}" pid="5" name="MSIP_Label_8d8f3512-c98a-4fbc-ad6e-3260f1cde3f8_Name">
    <vt:lpwstr>Internal</vt:lpwstr>
  </property>
  <property fmtid="{D5CDD505-2E9C-101B-9397-08002B2CF9AE}" pid="6" name="MSIP_Label_8d8f3512-c98a-4fbc-ad6e-3260f1cde3f8_SiteId">
    <vt:lpwstr>6ca75ef7-2c66-42e7-af2c-6502153a7e3a</vt:lpwstr>
  </property>
  <property fmtid="{D5CDD505-2E9C-101B-9397-08002B2CF9AE}" pid="7" name="MSIP_Label_8d8f3512-c98a-4fbc-ad6e-3260f1cde3f8_ActionId">
    <vt:lpwstr>1ae9245c-b870-46e0-804b-fd1ac6e73835</vt:lpwstr>
  </property>
  <property fmtid="{D5CDD505-2E9C-101B-9397-08002B2CF9AE}" pid="8" name="MSIP_Label_8d8f3512-c98a-4fbc-ad6e-3260f1cde3f8_ContentBits">
    <vt:lpwstr>0</vt:lpwstr>
  </property>
</Properties>
</file>