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8_{918118B3-7A6B-4640-B40C-B7EC43B512DA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W6" i="3" l="1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P17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Q57" i="3"/>
  <c r="Y57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S6" i="3"/>
  <c r="V7" i="3"/>
  <c r="Y8" i="3"/>
  <c r="AB9" i="3"/>
  <c r="R11" i="3"/>
  <c r="U12" i="3"/>
  <c r="AE12" i="3" s="1"/>
  <c r="X13" i="3"/>
  <c r="AA14" i="3"/>
  <c r="Q16" i="3"/>
  <c r="T17" i="3"/>
  <c r="R18" i="3"/>
  <c r="S19" i="3"/>
  <c r="Q20" i="3"/>
  <c r="R21" i="3"/>
  <c r="S22" i="3"/>
  <c r="Q23" i="3"/>
  <c r="R24" i="3"/>
  <c r="P25" i="3"/>
  <c r="Q26" i="3"/>
  <c r="R27" i="3"/>
  <c r="P28" i="3"/>
  <c r="Q29" i="3"/>
  <c r="AB29" i="3"/>
  <c r="P31" i="3"/>
  <c r="Q32" i="3"/>
  <c r="AB32" i="3"/>
  <c r="P34" i="3"/>
  <c r="AA34" i="3"/>
  <c r="AB35" i="3"/>
  <c r="P37" i="3"/>
  <c r="AA37" i="3"/>
  <c r="AB38" i="3"/>
  <c r="Z39" i="3"/>
  <c r="AA40" i="3"/>
  <c r="AB41" i="3"/>
  <c r="Z42" i="3"/>
  <c r="AA43" i="3"/>
  <c r="Y44" i="3"/>
  <c r="Z45" i="3"/>
  <c r="AA46" i="3"/>
  <c r="Y47" i="3"/>
  <c r="Z48" i="3"/>
  <c r="X49" i="3"/>
  <c r="Y50" i="3"/>
  <c r="Z51" i="3"/>
  <c r="X52" i="3"/>
  <c r="Y53" i="3"/>
  <c r="W54" i="3"/>
  <c r="X55" i="3"/>
  <c r="Y56" i="3"/>
  <c r="W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6" i="3"/>
  <c r="W7" i="3"/>
  <c r="Z8" i="3"/>
  <c r="P10" i="3"/>
  <c r="S11" i="3"/>
  <c r="V12" i="3"/>
  <c r="Y13" i="3"/>
  <c r="AB14" i="3"/>
  <c r="R16" i="3"/>
  <c r="U17" i="3"/>
  <c r="S18" i="3"/>
  <c r="T19" i="3"/>
  <c r="U20" i="3"/>
  <c r="S21" i="3"/>
  <c r="T22" i="3"/>
  <c r="R23" i="3"/>
  <c r="S24" i="3"/>
  <c r="T25" i="3"/>
  <c r="R26" i="3"/>
  <c r="S27" i="3"/>
  <c r="Q28" i="3"/>
  <c r="R29" i="3"/>
  <c r="S30" i="3"/>
  <c r="Q31" i="3"/>
  <c r="R32" i="3"/>
  <c r="P33" i="3"/>
  <c r="Q34" i="3"/>
  <c r="R35" i="3"/>
  <c r="P36" i="3"/>
  <c r="Q37" i="3"/>
  <c r="AB37" i="3"/>
  <c r="P39" i="3"/>
  <c r="Q40" i="3"/>
  <c r="AB40" i="3"/>
  <c r="P42" i="3"/>
  <c r="AA42" i="3"/>
  <c r="AB43" i="3"/>
  <c r="P45" i="3"/>
  <c r="AA45" i="3"/>
  <c r="AB46" i="3"/>
  <c r="Z47" i="3"/>
  <c r="AA48" i="3"/>
  <c r="AB49" i="3"/>
  <c r="Z50" i="3"/>
  <c r="AA51" i="3"/>
  <c r="Y52" i="3"/>
  <c r="U6" i="3"/>
  <c r="X7" i="3"/>
  <c r="AA8" i="3"/>
  <c r="Q10" i="3"/>
  <c r="T11" i="3"/>
  <c r="W12" i="3"/>
  <c r="Z13" i="3"/>
  <c r="P15" i="3"/>
  <c r="S16" i="3"/>
  <c r="V17" i="3"/>
  <c r="W18" i="3"/>
  <c r="U19" i="3"/>
  <c r="V20" i="3"/>
  <c r="T21" i="3"/>
  <c r="U22" i="3"/>
  <c r="V23" i="3"/>
  <c r="T24" i="3"/>
  <c r="U25" i="3"/>
  <c r="S26" i="3"/>
  <c r="T27" i="3"/>
  <c r="U28" i="3"/>
  <c r="S29" i="3"/>
  <c r="T30" i="3"/>
  <c r="R31" i="3"/>
  <c r="S32" i="3"/>
  <c r="T33" i="3"/>
  <c r="R34" i="3"/>
  <c r="S35" i="3"/>
  <c r="Q36" i="3"/>
  <c r="R37" i="3"/>
  <c r="S38" i="3"/>
  <c r="Q39" i="3"/>
  <c r="R40" i="3"/>
  <c r="P41" i="3"/>
  <c r="Q42" i="3"/>
  <c r="R43" i="3"/>
  <c r="P44" i="3"/>
  <c r="Q45" i="3"/>
  <c r="AB45" i="3"/>
  <c r="P47" i="3"/>
  <c r="Q48" i="3"/>
  <c r="AB48" i="3"/>
  <c r="P50" i="3"/>
  <c r="AA50" i="3"/>
  <c r="AB51" i="3"/>
  <c r="P53" i="3"/>
  <c r="AA53" i="3"/>
  <c r="AB54" i="3"/>
  <c r="Z55" i="3"/>
  <c r="AA56" i="3"/>
  <c r="AB57" i="3"/>
  <c r="W58" i="3"/>
  <c r="R59" i="3"/>
  <c r="Z59" i="3"/>
  <c r="U60" i="3"/>
  <c r="V6" i="3"/>
  <c r="Y7" i="3"/>
  <c r="AB8" i="3"/>
  <c r="R10" i="3"/>
  <c r="U11" i="3"/>
  <c r="X12" i="3"/>
  <c r="AA13" i="3"/>
  <c r="Q15" i="3"/>
  <c r="T16" i="3"/>
  <c r="W17" i="3"/>
  <c r="X18" i="3"/>
  <c r="V19" i="3"/>
  <c r="W20" i="3"/>
  <c r="X21" i="3"/>
  <c r="V22" i="3"/>
  <c r="W23" i="3"/>
  <c r="U24" i="3"/>
  <c r="V25" i="3"/>
  <c r="AA6" i="3"/>
  <c r="Q8" i="3"/>
  <c r="T9" i="3"/>
  <c r="W10" i="3"/>
  <c r="Z11" i="3"/>
  <c r="P13" i="3"/>
  <c r="AB6" i="3"/>
  <c r="P7" i="3"/>
  <c r="S8" i="3"/>
  <c r="V9" i="3"/>
  <c r="Y10" i="3"/>
  <c r="Q7" i="3"/>
  <c r="AB11" i="3"/>
  <c r="V14" i="3"/>
  <c r="AB16" i="3"/>
  <c r="R19" i="3"/>
  <c r="Q21" i="3"/>
  <c r="P23" i="3"/>
  <c r="AB24" i="3"/>
  <c r="Z26" i="3"/>
  <c r="W28" i="3"/>
  <c r="AA29" i="3"/>
  <c r="X31" i="3"/>
  <c r="U33" i="3"/>
  <c r="Y34" i="3"/>
  <c r="V36" i="3"/>
  <c r="Z37" i="3"/>
  <c r="W39" i="3"/>
  <c r="T41" i="3"/>
  <c r="X42" i="3"/>
  <c r="U44" i="3"/>
  <c r="Y45" i="3"/>
  <c r="V47" i="3"/>
  <c r="P49" i="3"/>
  <c r="W50" i="3"/>
  <c r="Q52" i="3"/>
  <c r="X53" i="3"/>
  <c r="P55" i="3"/>
  <c r="S56" i="3"/>
  <c r="V57" i="3"/>
  <c r="X58" i="3"/>
  <c r="U59" i="3"/>
  <c r="AE59" i="3" s="1"/>
  <c r="R60" i="3"/>
  <c r="P61" i="3"/>
  <c r="Y61" i="3"/>
  <c r="U62" i="3"/>
  <c r="Q63" i="3"/>
  <c r="Z63" i="3"/>
  <c r="V64" i="3"/>
  <c r="S65" i="3"/>
  <c r="AB65" i="3"/>
  <c r="X66" i="3"/>
  <c r="T67" i="3"/>
  <c r="P68" i="3"/>
  <c r="Y68" i="3"/>
  <c r="U69" i="3"/>
  <c r="R70" i="3"/>
  <c r="AA70" i="3"/>
  <c r="W71" i="3"/>
  <c r="S72" i="3"/>
  <c r="AB72" i="3"/>
  <c r="X73" i="3"/>
  <c r="T74" i="3"/>
  <c r="Q75" i="3"/>
  <c r="Z75" i="3"/>
  <c r="V76" i="3"/>
  <c r="R77" i="3"/>
  <c r="AA77" i="3"/>
  <c r="W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T8" i="3"/>
  <c r="Q13" i="3"/>
  <c r="W15" i="3"/>
  <c r="AB17" i="3"/>
  <c r="AA19" i="3"/>
  <c r="Z21" i="3"/>
  <c r="Y23" i="3"/>
  <c r="X25" i="3"/>
  <c r="U27" i="3"/>
  <c r="Y28" i="3"/>
  <c r="V30" i="3"/>
  <c r="Z31" i="3"/>
  <c r="W33" i="3"/>
  <c r="T35" i="3"/>
  <c r="X36" i="3"/>
  <c r="U38" i="3"/>
  <c r="Y39" i="3"/>
  <c r="V41" i="3"/>
  <c r="S43" i="3"/>
  <c r="W44" i="3"/>
  <c r="T46" i="3"/>
  <c r="X47" i="3"/>
  <c r="U49" i="3"/>
  <c r="R51" i="3"/>
  <c r="V52" i="3"/>
  <c r="AB53" i="3"/>
  <c r="R55" i="3"/>
  <c r="U56" i="3"/>
  <c r="P58" i="3"/>
  <c r="Z58" i="3"/>
  <c r="W59" i="3"/>
  <c r="V60" i="3"/>
  <c r="R61" i="3"/>
  <c r="AA61" i="3"/>
  <c r="W62" i="3"/>
  <c r="S63" i="3"/>
  <c r="P64" i="3"/>
  <c r="Y64" i="3"/>
  <c r="U65" i="3"/>
  <c r="Q66" i="3"/>
  <c r="Z66" i="3"/>
  <c r="V67" i="3"/>
  <c r="R68" i="3"/>
  <c r="AB68" i="3"/>
  <c r="X69" i="3"/>
  <c r="T70" i="3"/>
  <c r="P71" i="3"/>
  <c r="Y71" i="3"/>
  <c r="U72" i="3"/>
  <c r="Q73" i="3"/>
  <c r="AA73" i="3"/>
  <c r="W74" i="3"/>
  <c r="S75" i="3"/>
  <c r="AB75" i="3"/>
  <c r="X76" i="3"/>
  <c r="T77" i="3"/>
  <c r="P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T92" i="3"/>
  <c r="AB92" i="3"/>
  <c r="W93" i="3"/>
  <c r="R94" i="3"/>
  <c r="Z94" i="3"/>
  <c r="U95" i="3"/>
  <c r="AE95" i="3" s="1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AA121" i="3"/>
  <c r="V122" i="3"/>
  <c r="Q123" i="3"/>
  <c r="Y123" i="3"/>
  <c r="T124" i="3"/>
  <c r="AB124" i="3"/>
  <c r="W125" i="3"/>
  <c r="R126" i="3"/>
  <c r="Z126" i="3"/>
  <c r="U127" i="3"/>
  <c r="P128" i="3"/>
  <c r="U9" i="3"/>
  <c r="R13" i="3"/>
  <c r="X15" i="3"/>
  <c r="P18" i="3"/>
  <c r="AB19" i="3"/>
  <c r="AA21" i="3"/>
  <c r="Z23" i="3"/>
  <c r="AB25" i="3"/>
  <c r="V27" i="3"/>
  <c r="P29" i="3"/>
  <c r="W30" i="3"/>
  <c r="T32" i="3"/>
  <c r="X33" i="3"/>
  <c r="U35" i="3"/>
  <c r="Y36" i="3"/>
  <c r="V38" i="3"/>
  <c r="S40" i="3"/>
  <c r="W41" i="3"/>
  <c r="T43" i="3"/>
  <c r="X44" i="3"/>
  <c r="U46" i="3"/>
  <c r="R48" i="3"/>
  <c r="V49" i="3"/>
  <c r="S51" i="3"/>
  <c r="W52" i="3"/>
  <c r="S54" i="3"/>
  <c r="V55" i="3"/>
  <c r="Z56" i="3"/>
  <c r="Q58" i="3"/>
  <c r="AA58" i="3"/>
  <c r="Y59" i="3"/>
  <c r="W60" i="3"/>
  <c r="S61" i="3"/>
  <c r="AB61" i="3"/>
  <c r="X62" i="3"/>
  <c r="U63" i="3"/>
  <c r="Q64" i="3"/>
  <c r="Z64" i="3"/>
  <c r="V65" i="3"/>
  <c r="R66" i="3"/>
  <c r="AA66" i="3"/>
  <c r="W67" i="3"/>
  <c r="T68" i="3"/>
  <c r="P69" i="3"/>
  <c r="Y69" i="3"/>
  <c r="U70" i="3"/>
  <c r="Q71" i="3"/>
  <c r="Z71" i="3"/>
  <c r="V72" i="3"/>
  <c r="S73" i="3"/>
  <c r="AB73" i="3"/>
  <c r="X74" i="3"/>
  <c r="T75" i="3"/>
  <c r="P76" i="3"/>
  <c r="Y76" i="3"/>
  <c r="U77" i="3"/>
  <c r="R78" i="3"/>
  <c r="AA78" i="3"/>
  <c r="V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R99" i="3"/>
  <c r="Z99" i="3"/>
  <c r="U100" i="3"/>
  <c r="P101" i="3"/>
  <c r="X101" i="3"/>
  <c r="S102" i="3"/>
  <c r="AA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9" i="3"/>
  <c r="S13" i="3"/>
  <c r="Y15" i="3"/>
  <c r="Q18" i="3"/>
  <c r="P20" i="3"/>
  <c r="AB21" i="3"/>
  <c r="Q24" i="3"/>
  <c r="P26" i="3"/>
  <c r="Z27" i="3"/>
  <c r="T29" i="3"/>
  <c r="AA30" i="3"/>
  <c r="U32" i="3"/>
  <c r="AB33" i="3"/>
  <c r="V35" i="3"/>
  <c r="S37" i="3"/>
  <c r="W38" i="3"/>
  <c r="T40" i="3"/>
  <c r="X41" i="3"/>
  <c r="U43" i="3"/>
  <c r="R45" i="3"/>
  <c r="V46" i="3"/>
  <c r="S48" i="3"/>
  <c r="W49" i="3"/>
  <c r="T51" i="3"/>
  <c r="Q53" i="3"/>
  <c r="T54" i="3"/>
  <c r="W55" i="3"/>
  <c r="AB56" i="3"/>
  <c r="R58" i="3"/>
  <c r="AB58" i="3"/>
  <c r="AA59" i="3"/>
  <c r="X60" i="3"/>
  <c r="T61" i="3"/>
  <c r="P62" i="3"/>
  <c r="Z62" i="3"/>
  <c r="V63" i="3"/>
  <c r="R64" i="3"/>
  <c r="AA64" i="3"/>
  <c r="W65" i="3"/>
  <c r="S66" i="3"/>
  <c r="AB66" i="3"/>
  <c r="Y67" i="3"/>
  <c r="U68" i="3"/>
  <c r="Q69" i="3"/>
  <c r="Z69" i="3"/>
  <c r="V70" i="3"/>
  <c r="R71" i="3"/>
  <c r="AA71" i="3"/>
  <c r="X72" i="3"/>
  <c r="T73" i="3"/>
  <c r="P74" i="3"/>
  <c r="Y74" i="3"/>
  <c r="U75" i="3"/>
  <c r="Q76" i="3"/>
  <c r="Z76" i="3"/>
  <c r="W77" i="3"/>
  <c r="S78" i="3"/>
  <c r="AB78" i="3"/>
  <c r="W79" i="3"/>
  <c r="R80" i="3"/>
  <c r="Z80" i="3"/>
  <c r="U81" i="3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AA11" i="3"/>
  <c r="U14" i="3"/>
  <c r="AA16" i="3"/>
  <c r="AA18" i="3"/>
  <c r="P21" i="3"/>
  <c r="AB22" i="3"/>
  <c r="AA24" i="3"/>
  <c r="Y26" i="3"/>
  <c r="V28" i="3"/>
  <c r="Z29" i="3"/>
  <c r="W31" i="3"/>
  <c r="AA32" i="3"/>
  <c r="X34" i="3"/>
  <c r="U36" i="3"/>
  <c r="Y37" i="3"/>
  <c r="V39" i="3"/>
  <c r="Z40" i="3"/>
  <c r="W42" i="3"/>
  <c r="Q44" i="3"/>
  <c r="X45" i="3"/>
  <c r="R47" i="3"/>
  <c r="Y48" i="3"/>
  <c r="S50" i="3"/>
  <c r="P52" i="3"/>
  <c r="T53" i="3"/>
  <c r="AA54" i="3"/>
  <c r="R56" i="3"/>
  <c r="U57" i="3"/>
  <c r="V58" i="3"/>
  <c r="T59" i="3"/>
  <c r="Q60" i="3"/>
  <c r="AB60" i="3"/>
  <c r="X61" i="3"/>
  <c r="T62" i="3"/>
  <c r="P63" i="3"/>
  <c r="Y63" i="3"/>
  <c r="U64" i="3"/>
  <c r="Q65" i="3"/>
  <c r="AA65" i="3"/>
  <c r="W66" i="3"/>
  <c r="S67" i="3"/>
  <c r="AB67" i="3"/>
  <c r="X68" i="3"/>
  <c r="T69" i="3"/>
  <c r="P70" i="3"/>
  <c r="Z70" i="3"/>
  <c r="V71" i="3"/>
  <c r="R72" i="3"/>
  <c r="AA72" i="3"/>
  <c r="W73" i="3"/>
  <c r="S74" i="3"/>
  <c r="AB74" i="3"/>
  <c r="Y75" i="3"/>
  <c r="U76" i="3"/>
  <c r="Q77" i="3"/>
  <c r="Z77" i="3"/>
  <c r="V78" i="3"/>
  <c r="R79" i="3"/>
  <c r="Z79" i="3"/>
  <c r="U80" i="3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R8" i="3"/>
  <c r="Z16" i="3"/>
  <c r="W22" i="3"/>
  <c r="AA26" i="3"/>
  <c r="V31" i="3"/>
  <c r="Z35" i="3"/>
  <c r="X39" i="3"/>
  <c r="Z43" i="3"/>
  <c r="T48" i="3"/>
  <c r="U52" i="3"/>
  <c r="Q56" i="3"/>
  <c r="Q59" i="3"/>
  <c r="Q61" i="3"/>
  <c r="AB62" i="3"/>
  <c r="AB64" i="3"/>
  <c r="Y66" i="3"/>
  <c r="W68" i="3"/>
  <c r="W70" i="3"/>
  <c r="T72" i="3"/>
  <c r="R74" i="3"/>
  <c r="R76" i="3"/>
  <c r="AB77" i="3"/>
  <c r="Y79" i="3"/>
  <c r="V81" i="3"/>
  <c r="P83" i="3"/>
  <c r="X84" i="3"/>
  <c r="U86" i="3"/>
  <c r="AB87" i="3"/>
  <c r="W89" i="3"/>
  <c r="Z90" i="3"/>
  <c r="P92" i="3"/>
  <c r="S93" i="3"/>
  <c r="V94" i="3"/>
  <c r="Y95" i="3"/>
  <c r="Z96" i="3"/>
  <c r="X97" i="3"/>
  <c r="Y98" i="3"/>
  <c r="X99" i="3"/>
  <c r="X100" i="3"/>
  <c r="Y101" i="3"/>
  <c r="W102" i="3"/>
  <c r="X103" i="3"/>
  <c r="W104" i="3"/>
  <c r="W105" i="3"/>
  <c r="X106" i="3"/>
  <c r="V107" i="3"/>
  <c r="W108" i="3"/>
  <c r="V109" i="3"/>
  <c r="V110" i="3"/>
  <c r="W111" i="3"/>
  <c r="U112" i="3"/>
  <c r="V113" i="3"/>
  <c r="U114" i="3"/>
  <c r="S115" i="3"/>
  <c r="P116" i="3"/>
  <c r="AA116" i="3"/>
  <c r="Y117" i="3"/>
  <c r="V118" i="3"/>
  <c r="T119" i="3"/>
  <c r="R120" i="3"/>
  <c r="AB120" i="3"/>
  <c r="Z121" i="3"/>
  <c r="X122" i="3"/>
  <c r="U123" i="3"/>
  <c r="S124" i="3"/>
  <c r="Q125" i="3"/>
  <c r="AA125" i="3"/>
  <c r="Y126" i="3"/>
  <c r="W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X10" i="3"/>
  <c r="X17" i="3"/>
  <c r="AA22" i="3"/>
  <c r="AA27" i="3"/>
  <c r="Y31" i="3"/>
  <c r="AA35" i="3"/>
  <c r="U40" i="3"/>
  <c r="V44" i="3"/>
  <c r="U48" i="3"/>
  <c r="R53" i="3"/>
  <c r="T56" i="3"/>
  <c r="S59" i="3"/>
  <c r="U61" i="3"/>
  <c r="R63" i="3"/>
  <c r="P65" i="3"/>
  <c r="Q67" i="3"/>
  <c r="Z68" i="3"/>
  <c r="X70" i="3"/>
  <c r="Y72" i="3"/>
  <c r="V74" i="3"/>
  <c r="T76" i="3"/>
  <c r="T78" i="3"/>
  <c r="AB79" i="3"/>
  <c r="W81" i="3"/>
  <c r="T83" i="3"/>
  <c r="AA84" i="3"/>
  <c r="V86" i="3"/>
  <c r="S88" i="3"/>
  <c r="X89" i="3"/>
  <c r="AA90" i="3"/>
  <c r="Q92" i="3"/>
  <c r="T93" i="3"/>
  <c r="W94" i="3"/>
  <c r="Z95" i="3"/>
  <c r="AA96" i="3"/>
  <c r="Z97" i="3"/>
  <c r="Z98" i="3"/>
  <c r="AA99" i="3"/>
  <c r="Y100" i="3"/>
  <c r="Z101" i="3"/>
  <c r="Y102" i="3"/>
  <c r="Y103" i="3"/>
  <c r="Z104" i="3"/>
  <c r="X105" i="3"/>
  <c r="Y106" i="3"/>
  <c r="X107" i="3"/>
  <c r="X108" i="3"/>
  <c r="Y109" i="3"/>
  <c r="W110" i="3"/>
  <c r="X111" i="3"/>
  <c r="W112" i="3"/>
  <c r="W113" i="3"/>
  <c r="W114" i="3"/>
  <c r="T115" i="3"/>
  <c r="Q116" i="3"/>
  <c r="P117" i="3"/>
  <c r="Z117" i="3"/>
  <c r="W118" i="3"/>
  <c r="V119" i="3"/>
  <c r="S120" i="3"/>
  <c r="P121" i="3"/>
  <c r="AB121" i="3"/>
  <c r="Y122" i="3"/>
  <c r="V123" i="3"/>
  <c r="U124" i="3"/>
  <c r="R125" i="3"/>
  <c r="AB125" i="3"/>
  <c r="AA126" i="3"/>
  <c r="X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Z10" i="3"/>
  <c r="Y18" i="3"/>
  <c r="X23" i="3"/>
  <c r="AB27" i="3"/>
  <c r="Y32" i="3"/>
  <c r="W36" i="3"/>
  <c r="Y40" i="3"/>
  <c r="S45" i="3"/>
  <c r="T49" i="3"/>
  <c r="S53" i="3"/>
  <c r="P57" i="3"/>
  <c r="V59" i="3"/>
  <c r="W61" i="3"/>
  <c r="W63" i="3"/>
  <c r="T65" i="3"/>
  <c r="R67" i="3"/>
  <c r="R69" i="3"/>
  <c r="AB70" i="3"/>
  <c r="Z72" i="3"/>
  <c r="Z74" i="3"/>
  <c r="W76" i="3"/>
  <c r="U78" i="3"/>
  <c r="S80" i="3"/>
  <c r="Z81" i="3"/>
  <c r="U83" i="3"/>
  <c r="AE83" i="3" s="1"/>
  <c r="R85" i="3"/>
  <c r="Y86" i="3"/>
  <c r="T88" i="3"/>
  <c r="Z89" i="3"/>
  <c r="P91" i="3"/>
  <c r="S92" i="3"/>
  <c r="V93" i="3"/>
  <c r="Y94" i="3"/>
  <c r="AB95" i="3"/>
  <c r="AB96" i="3"/>
  <c r="P98" i="3"/>
  <c r="AA98" i="3"/>
  <c r="AB99" i="3"/>
  <c r="AA100" i="3"/>
  <c r="AA101" i="3"/>
  <c r="AB102" i="3"/>
  <c r="Z103" i="3"/>
  <c r="AA104" i="3"/>
  <c r="Z105" i="3"/>
  <c r="Z106" i="3"/>
  <c r="AA107" i="3"/>
  <c r="Y108" i="3"/>
  <c r="Z109" i="3"/>
  <c r="Y110" i="3"/>
  <c r="Y111" i="3"/>
  <c r="Z112" i="3"/>
  <c r="X113" i="3"/>
  <c r="X114" i="3"/>
  <c r="U115" i="3"/>
  <c r="S116" i="3"/>
  <c r="Q117" i="3"/>
  <c r="AA117" i="3"/>
  <c r="Y118" i="3"/>
  <c r="W119" i="3"/>
  <c r="T120" i="3"/>
  <c r="R121" i="3"/>
  <c r="P122" i="3"/>
  <c r="Z122" i="3"/>
  <c r="X123" i="3"/>
  <c r="V124" i="3"/>
  <c r="S125" i="3"/>
  <c r="Q126" i="3"/>
  <c r="AB126" i="3"/>
  <c r="Y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P12" i="3"/>
  <c r="Z18" i="3"/>
  <c r="Y24" i="3"/>
  <c r="X28" i="3"/>
  <c r="Z32" i="3"/>
  <c r="T37" i="3"/>
  <c r="U41" i="3"/>
  <c r="T45" i="3"/>
  <c r="Q50" i="3"/>
  <c r="Z53" i="3"/>
  <c r="T57" i="3"/>
  <c r="AB59" i="3"/>
  <c r="Z61" i="3"/>
  <c r="X63" i="3"/>
  <c r="X65" i="3"/>
  <c r="U67" i="3"/>
  <c r="S69" i="3"/>
  <c r="S71" i="3"/>
  <c r="P73" i="3"/>
  <c r="AA74" i="3"/>
  <c r="AB76" i="3"/>
  <c r="X78" i="3"/>
  <c r="T80" i="3"/>
  <c r="Q82" i="3"/>
  <c r="X83" i="3"/>
  <c r="S85" i="3"/>
  <c r="P87" i="3"/>
  <c r="W88" i="3"/>
  <c r="Q90" i="3"/>
  <c r="T91" i="3"/>
  <c r="W92" i="3"/>
  <c r="Z93" i="3"/>
  <c r="P95" i="3"/>
  <c r="R96" i="3"/>
  <c r="P97" i="3"/>
  <c r="Q98" i="3"/>
  <c r="P99" i="3"/>
  <c r="P100" i="3"/>
  <c r="Q101" i="3"/>
  <c r="AB101" i="3"/>
  <c r="P103" i="3"/>
  <c r="AB103" i="3"/>
  <c r="AB104" i="3"/>
  <c r="P106" i="3"/>
  <c r="AA106" i="3"/>
  <c r="AB107" i="3"/>
  <c r="AA108" i="3"/>
  <c r="AA109" i="3"/>
  <c r="AB110" i="3"/>
  <c r="Z111" i="3"/>
  <c r="AA112" i="3"/>
  <c r="Z113" i="3"/>
  <c r="Y114" i="3"/>
  <c r="V115" i="3"/>
  <c r="U116" i="3"/>
  <c r="R117" i="3"/>
  <c r="AB117" i="3"/>
  <c r="AA118" i="3"/>
  <c r="X119" i="3"/>
  <c r="U120" i="3"/>
  <c r="T121" i="3"/>
  <c r="Q122" i="3"/>
  <c r="AA122" i="3"/>
  <c r="Z123" i="3"/>
  <c r="W124" i="3"/>
  <c r="T125" i="3"/>
  <c r="S126" i="3"/>
  <c r="P127" i="3"/>
  <c r="Z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S14" i="3"/>
  <c r="Z19" i="3"/>
  <c r="Z24" i="3"/>
  <c r="X29" i="3"/>
  <c r="V33" i="3"/>
  <c r="X37" i="3"/>
  <c r="R42" i="3"/>
  <c r="S46" i="3"/>
  <c r="R50" i="3"/>
  <c r="U54" i="3"/>
  <c r="X57" i="3"/>
  <c r="P60" i="3"/>
  <c r="R62" i="3"/>
  <c r="AA63" i="3"/>
  <c r="Y65" i="3"/>
  <c r="Z67" i="3"/>
  <c r="W69" i="3"/>
  <c r="U71" i="3"/>
  <c r="U73" i="3"/>
  <c r="R75" i="3"/>
  <c r="P77" i="3"/>
  <c r="P79" i="3"/>
  <c r="W80" i="3"/>
  <c r="R82" i="3"/>
  <c r="AB83" i="3"/>
  <c r="V85" i="3"/>
  <c r="Q87" i="3"/>
  <c r="AA88" i="3"/>
  <c r="R90" i="3"/>
  <c r="U91" i="3"/>
  <c r="X92" i="3"/>
  <c r="AA93" i="3"/>
  <c r="Q95" i="3"/>
  <c r="S96" i="3"/>
  <c r="R97" i="3"/>
  <c r="R98" i="3"/>
  <c r="S99" i="3"/>
  <c r="Q100" i="3"/>
  <c r="R101" i="3"/>
  <c r="Q102" i="3"/>
  <c r="Q103" i="3"/>
  <c r="T14" i="3"/>
  <c r="X20" i="3"/>
  <c r="W25" i="3"/>
  <c r="Y29" i="3"/>
  <c r="S34" i="3"/>
  <c r="T38" i="3"/>
  <c r="S42" i="3"/>
  <c r="W46" i="3"/>
  <c r="X50" i="3"/>
  <c r="V54" i="3"/>
  <c r="S58" i="3"/>
  <c r="T60" i="3"/>
  <c r="S62" i="3"/>
  <c r="S64" i="3"/>
  <c r="P66" i="3"/>
  <c r="AA67" i="3"/>
  <c r="AA69" i="3"/>
  <c r="X71" i="3"/>
  <c r="V73" i="3"/>
  <c r="V75" i="3"/>
  <c r="S77" i="3"/>
  <c r="Q79" i="3"/>
  <c r="AA80" i="3"/>
  <c r="U82" i="3"/>
  <c r="AE82" i="3" s="1"/>
  <c r="P84" i="3"/>
  <c r="Z85" i="3"/>
  <c r="T87" i="3"/>
  <c r="AB88" i="3"/>
  <c r="S90" i="3"/>
  <c r="V91" i="3"/>
  <c r="Y92" i="3"/>
  <c r="AB93" i="3"/>
  <c r="R95" i="3"/>
  <c r="T96" i="3"/>
  <c r="U97" i="3"/>
  <c r="S98" i="3"/>
  <c r="T99" i="3"/>
  <c r="S100" i="3"/>
  <c r="S101" i="3"/>
  <c r="T102" i="3"/>
  <c r="R103" i="3"/>
  <c r="S104" i="3"/>
  <c r="R105" i="3"/>
  <c r="R106" i="3"/>
  <c r="S107" i="3"/>
  <c r="Q108" i="3"/>
  <c r="R109" i="3"/>
  <c r="Q110" i="3"/>
  <c r="Q111" i="3"/>
  <c r="R112" i="3"/>
  <c r="P113" i="3"/>
  <c r="Q114" i="3"/>
  <c r="AA114" i="3"/>
  <c r="Z115" i="3"/>
  <c r="W116" i="3"/>
  <c r="T117" i="3"/>
  <c r="S118" i="3"/>
  <c r="P119" i="3"/>
  <c r="Z119" i="3"/>
  <c r="Y120" i="3"/>
  <c r="V121" i="3"/>
  <c r="S122" i="3"/>
  <c r="R123" i="3"/>
  <c r="AB123" i="3"/>
  <c r="Y124" i="3"/>
  <c r="X125" i="3"/>
  <c r="U126" i="3"/>
  <c r="R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V15" i="3"/>
  <c r="W34" i="3"/>
  <c r="U51" i="3"/>
  <c r="AE51" i="3" s="1"/>
  <c r="V62" i="3"/>
  <c r="AB69" i="3"/>
  <c r="X77" i="3"/>
  <c r="S84" i="3"/>
  <c r="U90" i="3"/>
  <c r="T95" i="3"/>
  <c r="U99" i="3"/>
  <c r="T103" i="3"/>
  <c r="Q106" i="3"/>
  <c r="V108" i="3"/>
  <c r="R111" i="3"/>
  <c r="P114" i="3"/>
  <c r="AB115" i="3"/>
  <c r="T118" i="3"/>
  <c r="W120" i="3"/>
  <c r="W122" i="3"/>
  <c r="AA124" i="3"/>
  <c r="Q127" i="3"/>
  <c r="AA128" i="3"/>
  <c r="X130" i="3"/>
  <c r="T132" i="3"/>
  <c r="Z133" i="3"/>
  <c r="W135" i="3"/>
  <c r="P137" i="3"/>
  <c r="Q138" i="3"/>
  <c r="P139" i="3"/>
  <c r="Z139" i="3"/>
  <c r="W140" i="3"/>
  <c r="V141" i="3"/>
  <c r="S142" i="3"/>
  <c r="AB142" i="3"/>
  <c r="X143" i="3"/>
  <c r="U144" i="3"/>
  <c r="Q145" i="3"/>
  <c r="Z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Y16" i="3"/>
  <c r="Z34" i="3"/>
  <c r="V51" i="3"/>
  <c r="AA62" i="3"/>
  <c r="S70" i="3"/>
  <c r="Y77" i="3"/>
  <c r="W84" i="3"/>
  <c r="Y90" i="3"/>
  <c r="X95" i="3"/>
  <c r="V99" i="3"/>
  <c r="W103" i="3"/>
  <c r="S106" i="3"/>
  <c r="Q109" i="3"/>
  <c r="T111" i="3"/>
  <c r="R114" i="3"/>
  <c r="V116" i="3"/>
  <c r="U118" i="3"/>
  <c r="Z120" i="3"/>
  <c r="P123" i="3"/>
  <c r="P125" i="3"/>
  <c r="T127" i="3"/>
  <c r="S129" i="3"/>
  <c r="Y130" i="3"/>
  <c r="V132" i="3"/>
  <c r="R134" i="3"/>
  <c r="X135" i="3"/>
  <c r="S137" i="3"/>
  <c r="S138" i="3"/>
  <c r="Q139" i="3"/>
  <c r="AA139" i="3"/>
  <c r="Y140" i="3"/>
  <c r="W141" i="3"/>
  <c r="T142" i="3"/>
  <c r="P143" i="3"/>
  <c r="Z143" i="3"/>
  <c r="V144" i="3"/>
  <c r="R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Y20" i="3"/>
  <c r="AA38" i="3"/>
  <c r="Q55" i="3"/>
  <c r="T64" i="3"/>
  <c r="P72" i="3"/>
  <c r="T79" i="3"/>
  <c r="AA85" i="3"/>
  <c r="X91" i="3"/>
  <c r="U96" i="3"/>
  <c r="V100" i="3"/>
  <c r="R104" i="3"/>
  <c r="U106" i="3"/>
  <c r="S109" i="3"/>
  <c r="AB111" i="3"/>
  <c r="S114" i="3"/>
  <c r="X116" i="3"/>
  <c r="AB118" i="3"/>
  <c r="AA120" i="3"/>
  <c r="S123" i="3"/>
  <c r="V125" i="3"/>
  <c r="V127" i="3"/>
  <c r="U129" i="3"/>
  <c r="Q131" i="3"/>
  <c r="W132" i="3"/>
  <c r="T134" i="3"/>
  <c r="P136" i="3"/>
  <c r="U137" i="3"/>
  <c r="U138" i="3"/>
  <c r="R139" i="3"/>
  <c r="AB139" i="3"/>
  <c r="AA140" i="3"/>
  <c r="X141" i="3"/>
  <c r="U142" i="3"/>
  <c r="R143" i="3"/>
  <c r="AA143" i="3"/>
  <c r="W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P156" i="3"/>
  <c r="X156" i="3"/>
  <c r="S157" i="3"/>
  <c r="AA157" i="3"/>
  <c r="V158" i="3"/>
  <c r="Q159" i="3"/>
  <c r="Y159" i="3"/>
  <c r="T160" i="3"/>
  <c r="AB160" i="3"/>
  <c r="W161" i="3"/>
  <c r="R162" i="3"/>
  <c r="Z162" i="3"/>
  <c r="U163" i="3"/>
  <c r="AE163" i="3" s="1"/>
  <c r="P164" i="3"/>
  <c r="X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Y21" i="3"/>
  <c r="R39" i="3"/>
  <c r="Y55" i="3"/>
  <c r="X64" i="3"/>
  <c r="Q72" i="3"/>
  <c r="X79" i="3"/>
  <c r="Q86" i="3"/>
  <c r="AB91" i="3"/>
  <c r="W96" i="3"/>
  <c r="W100" i="3"/>
  <c r="T104" i="3"/>
  <c r="P107" i="3"/>
  <c r="T109" i="3"/>
  <c r="S112" i="3"/>
  <c r="Z114" i="3"/>
  <c r="Y116" i="3"/>
  <c r="Q119" i="3"/>
  <c r="U121" i="3"/>
  <c r="T123" i="3"/>
  <c r="Y125" i="3"/>
  <c r="AB127" i="3"/>
  <c r="V129" i="3"/>
  <c r="S131" i="3"/>
  <c r="AB132" i="3"/>
  <c r="U134" i="3"/>
  <c r="AE134" i="3" s="1"/>
  <c r="R136" i="3"/>
  <c r="V137" i="3"/>
  <c r="V138" i="3"/>
  <c r="S139" i="3"/>
  <c r="Q140" i="3"/>
  <c r="AB140" i="3"/>
  <c r="Y141" i="3"/>
  <c r="W142" i="3"/>
  <c r="S143" i="3"/>
  <c r="AB143" i="3"/>
  <c r="X144" i="3"/>
  <c r="T145" i="3"/>
  <c r="P146" i="3"/>
  <c r="Y146" i="3"/>
  <c r="V147" i="3"/>
  <c r="Q148" i="3"/>
  <c r="Y148" i="3"/>
  <c r="T149" i="3"/>
  <c r="AB149" i="3"/>
  <c r="W150" i="3"/>
  <c r="R151" i="3"/>
  <c r="Z151" i="3"/>
  <c r="U152" i="3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W26" i="3"/>
  <c r="Y42" i="3"/>
  <c r="T58" i="3"/>
  <c r="T66" i="3"/>
  <c r="Y73" i="3"/>
  <c r="AB80" i="3"/>
  <c r="X87" i="3"/>
  <c r="AA92" i="3"/>
  <c r="V97" i="3"/>
  <c r="T101" i="3"/>
  <c r="U104" i="3"/>
  <c r="AE104" i="3" s="1"/>
  <c r="T107" i="3"/>
  <c r="AB109" i="3"/>
  <c r="T112" i="3"/>
  <c r="P115" i="3"/>
  <c r="S117" i="3"/>
  <c r="R119" i="3"/>
  <c r="W121" i="3"/>
  <c r="AA123" i="3"/>
  <c r="Z125" i="3"/>
  <c r="R128" i="3"/>
  <c r="AA129" i="3"/>
  <c r="T131" i="3"/>
  <c r="Q133" i="3"/>
  <c r="Z134" i="3"/>
  <c r="S136" i="3"/>
  <c r="X137" i="3"/>
  <c r="W138" i="3"/>
  <c r="T139" i="3"/>
  <c r="S140" i="3"/>
  <c r="P141" i="3"/>
  <c r="Z141" i="3"/>
  <c r="X142" i="3"/>
  <c r="T143" i="3"/>
  <c r="P144" i="3"/>
  <c r="Y144" i="3"/>
  <c r="U145" i="3"/>
  <c r="Q146" i="3"/>
  <c r="AA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AB30" i="3"/>
  <c r="W47" i="3"/>
  <c r="Z60" i="3"/>
  <c r="V68" i="3"/>
  <c r="AA75" i="3"/>
  <c r="Z82" i="3"/>
  <c r="V89" i="3"/>
  <c r="U94" i="3"/>
  <c r="X98" i="3"/>
  <c r="V102" i="3"/>
  <c r="V105" i="3"/>
  <c r="S108" i="3"/>
  <c r="P111" i="3"/>
  <c r="U113" i="3"/>
  <c r="AA115" i="3"/>
  <c r="Q118" i="3"/>
  <c r="Q120" i="3"/>
  <c r="U122" i="3"/>
  <c r="AE122" i="3" s="1"/>
  <c r="X124" i="3"/>
  <c r="W126" i="3"/>
  <c r="Z128" i="3"/>
  <c r="V130" i="3"/>
  <c r="AB131" i="3"/>
  <c r="Y133" i="3"/>
  <c r="U135" i="3"/>
  <c r="AA136" i="3"/>
  <c r="P138" i="3"/>
  <c r="AA138" i="3"/>
  <c r="Y139" i="3"/>
  <c r="V140" i="3"/>
  <c r="T141" i="3"/>
  <c r="R142" i="3"/>
  <c r="AA142" i="3"/>
  <c r="W143" i="3"/>
  <c r="S144" i="3"/>
  <c r="P145" i="3"/>
  <c r="Y145" i="3"/>
  <c r="U146" i="3"/>
  <c r="Q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X26" i="3"/>
  <c r="Q74" i="3"/>
  <c r="W97" i="3"/>
  <c r="T110" i="3"/>
  <c r="Y119" i="3"/>
  <c r="S128" i="3"/>
  <c r="AB134" i="3"/>
  <c r="V139" i="3"/>
  <c r="Y142" i="3"/>
  <c r="V145" i="3"/>
  <c r="S148" i="3"/>
  <c r="Y150" i="3"/>
  <c r="R153" i="3"/>
  <c r="X155" i="3"/>
  <c r="Q158" i="3"/>
  <c r="W160" i="3"/>
  <c r="P163" i="3"/>
  <c r="V165" i="3"/>
  <c r="AB167" i="3"/>
  <c r="Y169" i="3"/>
  <c r="Q171" i="3"/>
  <c r="AA172" i="3"/>
  <c r="X174" i="3"/>
  <c r="P176" i="3"/>
  <c r="S177" i="3"/>
  <c r="V178" i="3"/>
  <c r="Y179" i="3"/>
  <c r="AB180" i="3"/>
  <c r="R182" i="3"/>
  <c r="T183" i="3"/>
  <c r="T184" i="3"/>
  <c r="R185" i="3"/>
  <c r="AA185" i="3"/>
  <c r="W186" i="3"/>
  <c r="S187" i="3"/>
  <c r="AB187" i="3"/>
  <c r="X188" i="3"/>
  <c r="U189" i="3"/>
  <c r="Q190" i="3"/>
  <c r="Z190" i="3"/>
  <c r="V191" i="3"/>
  <c r="R192" i="3"/>
  <c r="AA192" i="3"/>
  <c r="W193" i="3"/>
  <c r="T194" i="3"/>
  <c r="P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U30" i="3"/>
  <c r="W75" i="3"/>
  <c r="U98" i="3"/>
  <c r="U110" i="3"/>
  <c r="AB119" i="3"/>
  <c r="X128" i="3"/>
  <c r="P135" i="3"/>
  <c r="X139" i="3"/>
  <c r="Z142" i="3"/>
  <c r="X145" i="3"/>
  <c r="T148" i="3"/>
  <c r="Z150" i="3"/>
  <c r="S153" i="3"/>
  <c r="Y155" i="3"/>
  <c r="R158" i="3"/>
  <c r="X160" i="3"/>
  <c r="Q163" i="3"/>
  <c r="W165" i="3"/>
  <c r="P168" i="3"/>
  <c r="Z169" i="3"/>
  <c r="W171" i="3"/>
  <c r="AB172" i="3"/>
  <c r="Y174" i="3"/>
  <c r="Q176" i="3"/>
  <c r="T177" i="3"/>
  <c r="W178" i="3"/>
  <c r="Z179" i="3"/>
  <c r="P181" i="3"/>
  <c r="S182" i="3"/>
  <c r="U183" i="3"/>
  <c r="V184" i="3"/>
  <c r="S185" i="3"/>
  <c r="AB185" i="3"/>
  <c r="X186" i="3"/>
  <c r="T187" i="3"/>
  <c r="P188" i="3"/>
  <c r="Z188" i="3"/>
  <c r="V189" i="3"/>
  <c r="R190" i="3"/>
  <c r="AA190" i="3"/>
  <c r="W191" i="3"/>
  <c r="S192" i="3"/>
  <c r="AB192" i="3"/>
  <c r="Y193" i="3"/>
  <c r="U194" i="3"/>
  <c r="Q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P205" i="3"/>
  <c r="X205" i="3"/>
  <c r="S206" i="3"/>
  <c r="AA206" i="3"/>
  <c r="V207" i="3"/>
  <c r="Q208" i="3"/>
  <c r="Y208" i="3"/>
  <c r="T209" i="3"/>
  <c r="AB209" i="3"/>
  <c r="W210" i="3"/>
  <c r="R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V43" i="3"/>
  <c r="R81" i="3"/>
  <c r="V101" i="3"/>
  <c r="AB112" i="3"/>
  <c r="X121" i="3"/>
  <c r="P130" i="3"/>
  <c r="X136" i="3"/>
  <c r="T140" i="3"/>
  <c r="U143" i="3"/>
  <c r="S146" i="3"/>
  <c r="AA148" i="3"/>
  <c r="T151" i="3"/>
  <c r="Z153" i="3"/>
  <c r="S156" i="3"/>
  <c r="Y158" i="3"/>
  <c r="R161" i="3"/>
  <c r="X163" i="3"/>
  <c r="Q166" i="3"/>
  <c r="V168" i="3"/>
  <c r="AA169" i="3"/>
  <c r="X171" i="3"/>
  <c r="U173" i="3"/>
  <c r="Z174" i="3"/>
  <c r="V176" i="3"/>
  <c r="Y177" i="3"/>
  <c r="AB178" i="3"/>
  <c r="R180" i="3"/>
  <c r="U181" i="3"/>
  <c r="AE181" i="3" s="1"/>
  <c r="X182" i="3"/>
  <c r="V183" i="3"/>
  <c r="W184" i="3"/>
  <c r="T185" i="3"/>
  <c r="P186" i="3"/>
  <c r="Y186" i="3"/>
  <c r="U187" i="3"/>
  <c r="R188" i="3"/>
  <c r="AA188" i="3"/>
  <c r="W189" i="3"/>
  <c r="S190" i="3"/>
  <c r="AB190" i="3"/>
  <c r="X191" i="3"/>
  <c r="T192" i="3"/>
  <c r="Q193" i="3"/>
  <c r="Z193" i="3"/>
  <c r="V194" i="3"/>
  <c r="R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Q47" i="3"/>
  <c r="Y82" i="3"/>
  <c r="U102" i="3"/>
  <c r="R113" i="3"/>
  <c r="R122" i="3"/>
  <c r="Q130" i="3"/>
  <c r="Z136" i="3"/>
  <c r="U140" i="3"/>
  <c r="V143" i="3"/>
  <c r="T146" i="3"/>
  <c r="AB148" i="3"/>
  <c r="U151" i="3"/>
  <c r="AA153" i="3"/>
  <c r="T156" i="3"/>
  <c r="Z158" i="3"/>
  <c r="S161" i="3"/>
  <c r="Y163" i="3"/>
  <c r="R166" i="3"/>
  <c r="W168" i="3"/>
  <c r="T170" i="3"/>
  <c r="Y171" i="3"/>
  <c r="V173" i="3"/>
  <c r="S175" i="3"/>
  <c r="W176" i="3"/>
  <c r="Z177" i="3"/>
  <c r="P179" i="3"/>
  <c r="S180" i="3"/>
  <c r="V181" i="3"/>
  <c r="Y182" i="3"/>
  <c r="Y183" i="3"/>
  <c r="X184" i="3"/>
  <c r="U185" i="3"/>
  <c r="Q186" i="3"/>
  <c r="Z186" i="3"/>
  <c r="W187" i="3"/>
  <c r="S188" i="3"/>
  <c r="AB188" i="3"/>
  <c r="X189" i="3"/>
  <c r="T190" i="3"/>
  <c r="P191" i="3"/>
  <c r="Y191" i="3"/>
  <c r="V192" i="3"/>
  <c r="R193" i="3"/>
  <c r="AA193" i="3"/>
  <c r="W194" i="3"/>
  <c r="S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P239" i="3"/>
  <c r="X239" i="3"/>
  <c r="S240" i="3"/>
  <c r="AA240" i="3"/>
  <c r="V241" i="3"/>
  <c r="Q242" i="3"/>
  <c r="Y242" i="3"/>
  <c r="T243" i="3"/>
  <c r="AB243" i="3"/>
  <c r="Y58" i="3"/>
  <c r="Y87" i="3"/>
  <c r="P105" i="3"/>
  <c r="R115" i="3"/>
  <c r="P124" i="3"/>
  <c r="Y131" i="3"/>
  <c r="Z137" i="3"/>
  <c r="Q141" i="3"/>
  <c r="Q144" i="3"/>
  <c r="AB146" i="3"/>
  <c r="V149" i="3"/>
  <c r="AB151" i="3"/>
  <c r="U154" i="3"/>
  <c r="AA156" i="3"/>
  <c r="T159" i="3"/>
  <c r="Z161" i="3"/>
  <c r="S164" i="3"/>
  <c r="Y166" i="3"/>
  <c r="X168" i="3"/>
  <c r="U170" i="3"/>
  <c r="R172" i="3"/>
  <c r="W173" i="3"/>
  <c r="T175" i="3"/>
  <c r="X176" i="3"/>
  <c r="AA177" i="3"/>
  <c r="Q179" i="3"/>
  <c r="T180" i="3"/>
  <c r="W181" i="3"/>
  <c r="Z182" i="3"/>
  <c r="AA183" i="3"/>
  <c r="Y184" i="3"/>
  <c r="V185" i="3"/>
  <c r="R186" i="3"/>
  <c r="AB186" i="3"/>
  <c r="X187" i="3"/>
  <c r="T188" i="3"/>
  <c r="P189" i="3"/>
  <c r="Y189" i="3"/>
  <c r="U190" i="3"/>
  <c r="Q191" i="3"/>
  <c r="AA191" i="3"/>
  <c r="W192" i="3"/>
  <c r="S193" i="3"/>
  <c r="AB193" i="3"/>
  <c r="X194" i="3"/>
  <c r="T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P204" i="3"/>
  <c r="X204" i="3"/>
  <c r="S205" i="3"/>
  <c r="AA205" i="3"/>
  <c r="V206" i="3"/>
  <c r="Q207" i="3"/>
  <c r="Y207" i="3"/>
  <c r="T208" i="3"/>
  <c r="AB208" i="3"/>
  <c r="W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Y60" i="3"/>
  <c r="R89" i="3"/>
  <c r="U105" i="3"/>
  <c r="X115" i="3"/>
  <c r="Q124" i="3"/>
  <c r="AA131" i="3"/>
  <c r="AA137" i="3"/>
  <c r="R141" i="3"/>
  <c r="R144" i="3"/>
  <c r="P147" i="3"/>
  <c r="W149" i="3"/>
  <c r="P152" i="3"/>
  <c r="V154" i="3"/>
  <c r="AB156" i="3"/>
  <c r="U159" i="3"/>
  <c r="AE159" i="3" s="1"/>
  <c r="AA161" i="3"/>
  <c r="T164" i="3"/>
  <c r="Z166" i="3"/>
  <c r="Q169" i="3"/>
  <c r="V170" i="3"/>
  <c r="S172" i="3"/>
  <c r="P174" i="3"/>
  <c r="U175" i="3"/>
  <c r="AE175" i="3" s="1"/>
  <c r="Y176" i="3"/>
  <c r="AB177" i="3"/>
  <c r="R179" i="3"/>
  <c r="U180" i="3"/>
  <c r="X181" i="3"/>
  <c r="AA182" i="3"/>
  <c r="AB183" i="3"/>
  <c r="AA184" i="3"/>
  <c r="W185" i="3"/>
  <c r="T186" i="3"/>
  <c r="P187" i="3"/>
  <c r="Y187" i="3"/>
  <c r="U188" i="3"/>
  <c r="Q189" i="3"/>
  <c r="Z189" i="3"/>
  <c r="V190" i="3"/>
  <c r="S191" i="3"/>
  <c r="AB191" i="3"/>
  <c r="X192" i="3"/>
  <c r="T193" i="3"/>
  <c r="P194" i="3"/>
  <c r="Y194" i="3"/>
  <c r="U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P217" i="3"/>
  <c r="X217" i="3"/>
  <c r="S218" i="3"/>
  <c r="AA218" i="3"/>
  <c r="V219" i="3"/>
  <c r="Q220" i="3"/>
  <c r="Y220" i="3"/>
  <c r="T221" i="3"/>
  <c r="AB221" i="3"/>
  <c r="V66" i="3"/>
  <c r="R93" i="3"/>
  <c r="U107" i="3"/>
  <c r="V117" i="3"/>
  <c r="T126" i="3"/>
  <c r="R133" i="3"/>
  <c r="X138" i="3"/>
  <c r="AB141" i="3"/>
  <c r="Z144" i="3"/>
  <c r="X147" i="3"/>
  <c r="Q150" i="3"/>
  <c r="W152" i="3"/>
  <c r="P155" i="3"/>
  <c r="V157" i="3"/>
  <c r="AB159" i="3"/>
  <c r="U162" i="3"/>
  <c r="AA164" i="3"/>
  <c r="T167" i="3"/>
  <c r="R169" i="3"/>
  <c r="AB170" i="3"/>
  <c r="T172" i="3"/>
  <c r="Q174" i="3"/>
  <c r="AA175" i="3"/>
  <c r="Q177" i="3"/>
  <c r="T178" i="3"/>
  <c r="W179" i="3"/>
  <c r="Z180" i="3"/>
  <c r="P182" i="3"/>
  <c r="Q183" i="3"/>
  <c r="P184" i="3"/>
  <c r="AB184" i="3"/>
  <c r="Y185" i="3"/>
  <c r="U186" i="3"/>
  <c r="Q187" i="3"/>
  <c r="Z187" i="3"/>
  <c r="V188" i="3"/>
  <c r="R189" i="3"/>
  <c r="AA189" i="3"/>
  <c r="X190" i="3"/>
  <c r="T191" i="3"/>
  <c r="P192" i="3"/>
  <c r="Y192" i="3"/>
  <c r="U193" i="3"/>
  <c r="Q194" i="3"/>
  <c r="Z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Q68" i="3"/>
  <c r="AA144" i="3"/>
  <c r="AB164" i="3"/>
  <c r="U178" i="3"/>
  <c r="V186" i="3"/>
  <c r="Q192" i="3"/>
  <c r="V197" i="3"/>
  <c r="U202" i="3"/>
  <c r="T207" i="3"/>
  <c r="S212" i="3"/>
  <c r="R217" i="3"/>
  <c r="AA220" i="3"/>
  <c r="Q223" i="3"/>
  <c r="T224" i="3"/>
  <c r="W225" i="3"/>
  <c r="Z226" i="3"/>
  <c r="P228" i="3"/>
  <c r="S229" i="3"/>
  <c r="V230" i="3"/>
  <c r="Y231" i="3"/>
  <c r="AB232" i="3"/>
  <c r="R234" i="3"/>
  <c r="U235" i="3"/>
  <c r="X236" i="3"/>
  <c r="AA237" i="3"/>
  <c r="Q239" i="3"/>
  <c r="T240" i="3"/>
  <c r="W241" i="3"/>
  <c r="Z242" i="3"/>
  <c r="P244" i="3"/>
  <c r="AA244" i="3"/>
  <c r="AB245" i="3"/>
  <c r="P247" i="3"/>
  <c r="AA247" i="3"/>
  <c r="AB248" i="3"/>
  <c r="Z249" i="3"/>
  <c r="AA250" i="3"/>
  <c r="AB251" i="3"/>
  <c r="Z252" i="3"/>
  <c r="AA253" i="3"/>
  <c r="Y254" i="3"/>
  <c r="Z255" i="3"/>
  <c r="AA256" i="3"/>
  <c r="Y257" i="3"/>
  <c r="Z258" i="3"/>
  <c r="X259" i="3"/>
  <c r="W260" i="3"/>
  <c r="T261" i="3"/>
  <c r="Q262" i="3"/>
  <c r="AB262" i="3"/>
  <c r="X263" i="3"/>
  <c r="T264" i="3"/>
  <c r="AB264" i="3"/>
  <c r="W265" i="3"/>
  <c r="R266" i="3"/>
  <c r="Z266" i="3"/>
  <c r="U267" i="3"/>
  <c r="AE267" i="3" s="1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AE331" i="3" s="1"/>
  <c r="P332" i="3"/>
  <c r="X332" i="3"/>
  <c r="S333" i="3"/>
  <c r="AA333" i="3"/>
  <c r="V334" i="3"/>
  <c r="Q335" i="3"/>
  <c r="Y335" i="3"/>
  <c r="T336" i="3"/>
  <c r="AB336" i="3"/>
  <c r="Q94" i="3"/>
  <c r="Y147" i="3"/>
  <c r="U167" i="3"/>
  <c r="X179" i="3"/>
  <c r="R187" i="3"/>
  <c r="Z192" i="3"/>
  <c r="Q198" i="3"/>
  <c r="P203" i="3"/>
  <c r="AB207" i="3"/>
  <c r="AA212" i="3"/>
  <c r="Z217" i="3"/>
  <c r="U221" i="3"/>
  <c r="R223" i="3"/>
  <c r="U224" i="3"/>
  <c r="X225" i="3"/>
  <c r="AA226" i="3"/>
  <c r="Q228" i="3"/>
  <c r="T229" i="3"/>
  <c r="W230" i="3"/>
  <c r="Z231" i="3"/>
  <c r="P233" i="3"/>
  <c r="S234" i="3"/>
  <c r="V235" i="3"/>
  <c r="Y236" i="3"/>
  <c r="AB237" i="3"/>
  <c r="R239" i="3"/>
  <c r="U240" i="3"/>
  <c r="X241" i="3"/>
  <c r="AA242" i="3"/>
  <c r="Q244" i="3"/>
  <c r="R245" i="3"/>
  <c r="P246" i="3"/>
  <c r="Q247" i="3"/>
  <c r="AB247" i="3"/>
  <c r="P249" i="3"/>
  <c r="Q250" i="3"/>
  <c r="AB250" i="3"/>
  <c r="P252" i="3"/>
  <c r="AA252" i="3"/>
  <c r="AB253" i="3"/>
  <c r="P255" i="3"/>
  <c r="AA255" i="3"/>
  <c r="AB256" i="3"/>
  <c r="Z257" i="3"/>
  <c r="AA258" i="3"/>
  <c r="AA259" i="3"/>
  <c r="X260" i="3"/>
  <c r="U261" i="3"/>
  <c r="T262" i="3"/>
  <c r="P263" i="3"/>
  <c r="Y263" i="3"/>
  <c r="U264" i="3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P108" i="3"/>
  <c r="R150" i="3"/>
  <c r="S169" i="3"/>
  <c r="AA180" i="3"/>
  <c r="AA187" i="3"/>
  <c r="V193" i="3"/>
  <c r="Y198" i="3"/>
  <c r="X203" i="3"/>
  <c r="W208" i="3"/>
  <c r="V213" i="3"/>
  <c r="U218" i="3"/>
  <c r="AE218" i="3" s="1"/>
  <c r="V221" i="3"/>
  <c r="S223" i="3"/>
  <c r="V224" i="3"/>
  <c r="Y225" i="3"/>
  <c r="AB226" i="3"/>
  <c r="R228" i="3"/>
  <c r="U229" i="3"/>
  <c r="X230" i="3"/>
  <c r="AA231" i="3"/>
  <c r="Q233" i="3"/>
  <c r="T234" i="3"/>
  <c r="W235" i="3"/>
  <c r="Z236" i="3"/>
  <c r="P238" i="3"/>
  <c r="S239" i="3"/>
  <c r="V240" i="3"/>
  <c r="Y241" i="3"/>
  <c r="AB242" i="3"/>
  <c r="R244" i="3"/>
  <c r="S245" i="3"/>
  <c r="Q246" i="3"/>
  <c r="R247" i="3"/>
  <c r="S248" i="3"/>
  <c r="Q249" i="3"/>
  <c r="R250" i="3"/>
  <c r="P251" i="3"/>
  <c r="Q252" i="3"/>
  <c r="R253" i="3"/>
  <c r="P254" i="3"/>
  <c r="Q255" i="3"/>
  <c r="AB255" i="3"/>
  <c r="P257" i="3"/>
  <c r="Q258" i="3"/>
  <c r="AB258" i="3"/>
  <c r="AB259" i="3"/>
  <c r="Y260" i="3"/>
  <c r="V261" i="3"/>
  <c r="U262" i="3"/>
  <c r="Q263" i="3"/>
  <c r="Z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X117" i="3"/>
  <c r="X152" i="3"/>
  <c r="P171" i="3"/>
  <c r="Q182" i="3"/>
  <c r="W188" i="3"/>
  <c r="R194" i="3"/>
  <c r="T199" i="3"/>
  <c r="S204" i="3"/>
  <c r="R209" i="3"/>
  <c r="Q214" i="3"/>
  <c r="P219" i="3"/>
  <c r="P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T245" i="3"/>
  <c r="U246" i="3"/>
  <c r="S247" i="3"/>
  <c r="T248" i="3"/>
  <c r="R249" i="3"/>
  <c r="S250" i="3"/>
  <c r="T251" i="3"/>
  <c r="R252" i="3"/>
  <c r="S253" i="3"/>
  <c r="Q254" i="3"/>
  <c r="R255" i="3"/>
  <c r="S256" i="3"/>
  <c r="Q257" i="3"/>
  <c r="R258" i="3"/>
  <c r="P259" i="3"/>
  <c r="P260" i="3"/>
  <c r="Z260" i="3"/>
  <c r="Y261" i="3"/>
  <c r="V262" i="3"/>
  <c r="R263" i="3"/>
  <c r="AA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V126" i="3"/>
  <c r="Q155" i="3"/>
  <c r="Z172" i="3"/>
  <c r="S183" i="3"/>
  <c r="S189" i="3"/>
  <c r="AB194" i="3"/>
  <c r="AB199" i="3"/>
  <c r="AA204" i="3"/>
  <c r="Z209" i="3"/>
  <c r="Y214" i="3"/>
  <c r="X219" i="3"/>
  <c r="Q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W244" i="3"/>
  <c r="U245" i="3"/>
  <c r="V246" i="3"/>
  <c r="T247" i="3"/>
  <c r="U248" i="3"/>
  <c r="V249" i="3"/>
  <c r="T250" i="3"/>
  <c r="U251" i="3"/>
  <c r="AE251" i="3" s="1"/>
  <c r="S252" i="3"/>
  <c r="T253" i="3"/>
  <c r="U254" i="3"/>
  <c r="S255" i="3"/>
  <c r="T256" i="3"/>
  <c r="R257" i="3"/>
  <c r="S258" i="3"/>
  <c r="T259" i="3"/>
  <c r="Q260" i="3"/>
  <c r="AA260" i="3"/>
  <c r="Z261" i="3"/>
  <c r="W262" i="3"/>
  <c r="S263" i="3"/>
  <c r="AB263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W133" i="3"/>
  <c r="W157" i="3"/>
  <c r="R174" i="3"/>
  <c r="Q184" i="3"/>
  <c r="P190" i="3"/>
  <c r="X195" i="3"/>
  <c r="W200" i="3"/>
  <c r="V205" i="3"/>
  <c r="U210" i="3"/>
  <c r="T215" i="3"/>
  <c r="R220" i="3"/>
  <c r="W222" i="3"/>
  <c r="Z223" i="3"/>
  <c r="P225" i="3"/>
  <c r="S226" i="3"/>
  <c r="V227" i="3"/>
  <c r="Y228" i="3"/>
  <c r="AB229" i="3"/>
  <c r="R231" i="3"/>
  <c r="U232" i="3"/>
  <c r="X233" i="3"/>
  <c r="AA234" i="3"/>
  <c r="Q236" i="3"/>
  <c r="T237" i="3"/>
  <c r="W238" i="3"/>
  <c r="Z239" i="3"/>
  <c r="P241" i="3"/>
  <c r="S242" i="3"/>
  <c r="V243" i="3"/>
  <c r="X244" i="3"/>
  <c r="V245" i="3"/>
  <c r="W246" i="3"/>
  <c r="X247" i="3"/>
  <c r="V248" i="3"/>
  <c r="W249" i="3"/>
  <c r="U250" i="3"/>
  <c r="V251" i="3"/>
  <c r="W252" i="3"/>
  <c r="U253" i="3"/>
  <c r="V254" i="3"/>
  <c r="T255" i="3"/>
  <c r="U256" i="3"/>
  <c r="AE256" i="3" s="1"/>
  <c r="V257" i="3"/>
  <c r="T258" i="3"/>
  <c r="U259" i="3"/>
  <c r="R260" i="3"/>
  <c r="Q261" i="3"/>
  <c r="AA261" i="3"/>
  <c r="X262" i="3"/>
  <c r="T263" i="3"/>
  <c r="P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Y138" i="3"/>
  <c r="P160" i="3"/>
  <c r="AB175" i="3"/>
  <c r="Q185" i="3"/>
  <c r="Y190" i="3"/>
  <c r="S196" i="3"/>
  <c r="R201" i="3"/>
  <c r="Q206" i="3"/>
  <c r="P211" i="3"/>
  <c r="AB215" i="3"/>
  <c r="S220" i="3"/>
  <c r="X222" i="3"/>
  <c r="AA223" i="3"/>
  <c r="Q225" i="3"/>
  <c r="T226" i="3"/>
  <c r="W227" i="3"/>
  <c r="Z228" i="3"/>
  <c r="P230" i="3"/>
  <c r="S231" i="3"/>
  <c r="V232" i="3"/>
  <c r="Y233" i="3"/>
  <c r="AB234" i="3"/>
  <c r="R236" i="3"/>
  <c r="U237" i="3"/>
  <c r="X238" i="3"/>
  <c r="AA239" i="3"/>
  <c r="Q241" i="3"/>
  <c r="T242" i="3"/>
  <c r="W243" i="3"/>
  <c r="Y244" i="3"/>
  <c r="Z245" i="3"/>
  <c r="X246" i="3"/>
  <c r="Y247" i="3"/>
  <c r="W248" i="3"/>
  <c r="X249" i="3"/>
  <c r="Y250" i="3"/>
  <c r="W251" i="3"/>
  <c r="X252" i="3"/>
  <c r="V253" i="3"/>
  <c r="W254" i="3"/>
  <c r="X255" i="3"/>
  <c r="V256" i="3"/>
  <c r="W257" i="3"/>
  <c r="U258" i="3"/>
  <c r="AE258" i="3" s="1"/>
  <c r="V259" i="3"/>
  <c r="S260" i="3"/>
  <c r="R261" i="3"/>
  <c r="AB261" i="3"/>
  <c r="Y262" i="3"/>
  <c r="U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Q142" i="3"/>
  <c r="X211" i="3"/>
  <c r="AA228" i="3"/>
  <c r="Y238" i="3"/>
  <c r="Z247" i="3"/>
  <c r="Y255" i="3"/>
  <c r="Z262" i="3"/>
  <c r="AB267" i="3"/>
  <c r="AA272" i="3"/>
  <c r="W276" i="3"/>
  <c r="P279" i="3"/>
  <c r="V281" i="3"/>
  <c r="AB283" i="3"/>
  <c r="U286" i="3"/>
  <c r="AA288" i="3"/>
  <c r="T291" i="3"/>
  <c r="Z293" i="3"/>
  <c r="S296" i="3"/>
  <c r="Y298" i="3"/>
  <c r="V300" i="3"/>
  <c r="R302" i="3"/>
  <c r="X303" i="3"/>
  <c r="U305" i="3"/>
  <c r="AE305" i="3" s="1"/>
  <c r="X306" i="3"/>
  <c r="AA307" i="3"/>
  <c r="Q309" i="3"/>
  <c r="T310" i="3"/>
  <c r="W311" i="3"/>
  <c r="Z312" i="3"/>
  <c r="P314" i="3"/>
  <c r="S315" i="3"/>
  <c r="V316" i="3"/>
  <c r="Y317" i="3"/>
  <c r="AB318" i="3"/>
  <c r="R320" i="3"/>
  <c r="T321" i="3"/>
  <c r="U322" i="3"/>
  <c r="S323" i="3"/>
  <c r="T324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U336" i="3"/>
  <c r="Q337" i="3"/>
  <c r="Y337" i="3"/>
  <c r="T338" i="3"/>
  <c r="AB338" i="3"/>
  <c r="W339" i="3"/>
  <c r="R340" i="3"/>
  <c r="Z340" i="3"/>
  <c r="U341" i="3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R177" i="3"/>
  <c r="Z220" i="3"/>
  <c r="T231" i="3"/>
  <c r="R241" i="3"/>
  <c r="Y249" i="3"/>
  <c r="X257" i="3"/>
  <c r="S264" i="3"/>
  <c r="R269" i="3"/>
  <c r="Q274" i="3"/>
  <c r="R277" i="3"/>
  <c r="X279" i="3"/>
  <c r="Q282" i="3"/>
  <c r="W284" i="3"/>
  <c r="P287" i="3"/>
  <c r="V289" i="3"/>
  <c r="AB291" i="3"/>
  <c r="U294" i="3"/>
  <c r="AA296" i="3"/>
  <c r="S299" i="3"/>
  <c r="AB300" i="3"/>
  <c r="U302" i="3"/>
  <c r="R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X320" i="3"/>
  <c r="V321" i="3"/>
  <c r="W322" i="3"/>
  <c r="X323" i="3"/>
  <c r="V324" i="3"/>
  <c r="W325" i="3"/>
  <c r="U326" i="3"/>
  <c r="V327" i="3"/>
  <c r="W328" i="3"/>
  <c r="U329" i="3"/>
  <c r="V330" i="3"/>
  <c r="T331" i="3"/>
  <c r="U332" i="3"/>
  <c r="V333" i="3"/>
  <c r="S334" i="3"/>
  <c r="P335" i="3"/>
  <c r="AA335" i="3"/>
  <c r="W336" i="3"/>
  <c r="S337" i="3"/>
  <c r="AA337" i="3"/>
  <c r="V338" i="3"/>
  <c r="Q339" i="3"/>
  <c r="Y339" i="3"/>
  <c r="T340" i="3"/>
  <c r="AB340" i="3"/>
  <c r="W341" i="3"/>
  <c r="R342" i="3"/>
  <c r="Z342" i="3"/>
  <c r="U343" i="3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Z185" i="3"/>
  <c r="Y222" i="3"/>
  <c r="W232" i="3"/>
  <c r="U242" i="3"/>
  <c r="Z250" i="3"/>
  <c r="Y258" i="3"/>
  <c r="AA264" i="3"/>
  <c r="Z269" i="3"/>
  <c r="Y274" i="3"/>
  <c r="Y277" i="3"/>
  <c r="R280" i="3"/>
  <c r="X282" i="3"/>
  <c r="Q285" i="3"/>
  <c r="W287" i="3"/>
  <c r="P290" i="3"/>
  <c r="V292" i="3"/>
  <c r="AB294" i="3"/>
  <c r="U297" i="3"/>
  <c r="T299" i="3"/>
  <c r="Q301" i="3"/>
  <c r="Z302" i="3"/>
  <c r="S304" i="3"/>
  <c r="AB305" i="3"/>
  <c r="R307" i="3"/>
  <c r="U308" i="3"/>
  <c r="X309" i="3"/>
  <c r="AA310" i="3"/>
  <c r="Q312" i="3"/>
  <c r="T313" i="3"/>
  <c r="W314" i="3"/>
  <c r="Z315" i="3"/>
  <c r="P317" i="3"/>
  <c r="S318" i="3"/>
  <c r="V319" i="3"/>
  <c r="Y320" i="3"/>
  <c r="Z321" i="3"/>
  <c r="X322" i="3"/>
  <c r="Y323" i="3"/>
  <c r="W324" i="3"/>
  <c r="X325" i="3"/>
  <c r="Y326" i="3"/>
  <c r="W327" i="3"/>
  <c r="X328" i="3"/>
  <c r="V329" i="3"/>
  <c r="W330" i="3"/>
  <c r="X331" i="3"/>
  <c r="V332" i="3"/>
  <c r="W333" i="3"/>
  <c r="T334" i="3"/>
  <c r="R335" i="3"/>
  <c r="AB335" i="3"/>
  <c r="X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U191" i="3"/>
  <c r="AE191" i="3" s="1"/>
  <c r="AB223" i="3"/>
  <c r="Z233" i="3"/>
  <c r="X243" i="3"/>
  <c r="X251" i="3"/>
  <c r="W259" i="3"/>
  <c r="V265" i="3"/>
  <c r="U270" i="3"/>
  <c r="T275" i="3"/>
  <c r="Z277" i="3"/>
  <c r="S280" i="3"/>
  <c r="Y282" i="3"/>
  <c r="R285" i="3"/>
  <c r="X287" i="3"/>
  <c r="Q290" i="3"/>
  <c r="W292" i="3"/>
  <c r="P295" i="3"/>
  <c r="V297" i="3"/>
  <c r="Y299" i="3"/>
  <c r="R301" i="3"/>
  <c r="AB302" i="3"/>
  <c r="X304" i="3"/>
  <c r="P306" i="3"/>
  <c r="S307" i="3"/>
  <c r="V308" i="3"/>
  <c r="Y309" i="3"/>
  <c r="AB310" i="3"/>
  <c r="R312" i="3"/>
  <c r="U313" i="3"/>
  <c r="X314" i="3"/>
  <c r="AA315" i="3"/>
  <c r="Q317" i="3"/>
  <c r="T318" i="3"/>
  <c r="W319" i="3"/>
  <c r="Z320" i="3"/>
  <c r="AA321" i="3"/>
  <c r="Y322" i="3"/>
  <c r="Z323" i="3"/>
  <c r="AA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P336" i="3"/>
  <c r="Y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A196" i="3"/>
  <c r="R225" i="3"/>
  <c r="P235" i="3"/>
  <c r="Z244" i="3"/>
  <c r="Y252" i="3"/>
  <c r="V260" i="3"/>
  <c r="Q266" i="3"/>
  <c r="P271" i="3"/>
  <c r="AA275" i="3"/>
  <c r="T278" i="3"/>
  <c r="Z280" i="3"/>
  <c r="S283" i="3"/>
  <c r="Y285" i="3"/>
  <c r="R288" i="3"/>
  <c r="X290" i="3"/>
  <c r="Q293" i="3"/>
  <c r="W295" i="3"/>
  <c r="P298" i="3"/>
  <c r="AA299" i="3"/>
  <c r="W301" i="3"/>
  <c r="P303" i="3"/>
  <c r="Z304" i="3"/>
  <c r="Q306" i="3"/>
  <c r="T307" i="3"/>
  <c r="W308" i="3"/>
  <c r="Z309" i="3"/>
  <c r="P311" i="3"/>
  <c r="S312" i="3"/>
  <c r="V313" i="3"/>
  <c r="Y314" i="3"/>
  <c r="AB315" i="3"/>
  <c r="R317" i="3"/>
  <c r="U318" i="3"/>
  <c r="AE318" i="3" s="1"/>
  <c r="X319" i="3"/>
  <c r="AA320" i="3"/>
  <c r="AB321" i="3"/>
  <c r="P323" i="3"/>
  <c r="AA323" i="3"/>
  <c r="AB324" i="3"/>
  <c r="Z325" i="3"/>
  <c r="AA326" i="3"/>
  <c r="AB327" i="3"/>
  <c r="Z328" i="3"/>
  <c r="AA329" i="3"/>
  <c r="Y330" i="3"/>
  <c r="Z331" i="3"/>
  <c r="AA332" i="3"/>
  <c r="Y333" i="3"/>
  <c r="W334" i="3"/>
  <c r="U335" i="3"/>
  <c r="Q336" i="3"/>
  <c r="Z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V162" i="3"/>
  <c r="V237" i="3"/>
  <c r="S261" i="3"/>
  <c r="V273" i="3"/>
  <c r="U281" i="3"/>
  <c r="AE281" i="3" s="1"/>
  <c r="S288" i="3"/>
  <c r="T294" i="3"/>
  <c r="T300" i="3"/>
  <c r="AA304" i="3"/>
  <c r="AB307" i="3"/>
  <c r="V311" i="3"/>
  <c r="Q315" i="3"/>
  <c r="Z317" i="3"/>
  <c r="S321" i="3"/>
  <c r="AB323" i="3"/>
  <c r="T326" i="3"/>
  <c r="R329" i="3"/>
  <c r="AA331" i="3"/>
  <c r="R334" i="3"/>
  <c r="S336" i="3"/>
  <c r="R338" i="3"/>
  <c r="X339" i="3"/>
  <c r="T341" i="3"/>
  <c r="Q343" i="3"/>
  <c r="W344" i="3"/>
  <c r="S346" i="3"/>
  <c r="P348" i="3"/>
  <c r="V349" i="3"/>
  <c r="R351" i="3"/>
  <c r="AB352" i="3"/>
  <c r="U354" i="3"/>
  <c r="Q356" i="3"/>
  <c r="AA357" i="3"/>
  <c r="T359" i="3"/>
  <c r="P361" i="3"/>
  <c r="Z362" i="3"/>
  <c r="S364" i="3"/>
  <c r="AB365" i="3"/>
  <c r="Y367" i="3"/>
  <c r="R369" i="3"/>
  <c r="AA370" i="3"/>
  <c r="X372" i="3"/>
  <c r="Q374" i="3"/>
  <c r="Z375" i="3"/>
  <c r="W377" i="3"/>
  <c r="P379" i="3"/>
  <c r="Y380" i="3"/>
  <c r="V382" i="3"/>
  <c r="AB383" i="3"/>
  <c r="X385" i="3"/>
  <c r="U387" i="3"/>
  <c r="AA388" i="3"/>
  <c r="W390" i="3"/>
  <c r="T392" i="3"/>
  <c r="Z393" i="3"/>
  <c r="P395" i="3"/>
  <c r="S396" i="3"/>
  <c r="V397" i="3"/>
  <c r="Y398" i="3"/>
  <c r="AB399" i="3"/>
  <c r="R401" i="3"/>
  <c r="U402" i="3"/>
  <c r="X403" i="3"/>
  <c r="AA404" i="3"/>
  <c r="Q406" i="3"/>
  <c r="P407" i="3"/>
  <c r="Z407" i="3"/>
  <c r="Y408" i="3"/>
  <c r="V409" i="3"/>
  <c r="R410" i="3"/>
  <c r="AA410" i="3"/>
  <c r="X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Z201" i="3"/>
  <c r="AB239" i="3"/>
  <c r="P262" i="3"/>
  <c r="AB275" i="3"/>
  <c r="P282" i="3"/>
  <c r="Z288" i="3"/>
  <c r="X295" i="3"/>
  <c r="W300" i="3"/>
  <c r="S305" i="3"/>
  <c r="AB308" i="3"/>
  <c r="X311" i="3"/>
  <c r="R315" i="3"/>
  <c r="Z318" i="3"/>
  <c r="U321" i="3"/>
  <c r="S324" i="3"/>
  <c r="AB326" i="3"/>
  <c r="T329" i="3"/>
  <c r="AB331" i="3"/>
  <c r="Y334" i="3"/>
  <c r="V336" i="3"/>
  <c r="S338" i="3"/>
  <c r="P340" i="3"/>
  <c r="V341" i="3"/>
  <c r="R343" i="3"/>
  <c r="AB344" i="3"/>
  <c r="U346" i="3"/>
  <c r="Q348" i="3"/>
  <c r="AA349" i="3"/>
  <c r="T351" i="3"/>
  <c r="P353" i="3"/>
  <c r="Z354" i="3"/>
  <c r="S356" i="3"/>
  <c r="AB357" i="3"/>
  <c r="Y359" i="3"/>
  <c r="R361" i="3"/>
  <c r="AA362" i="3"/>
  <c r="X364" i="3"/>
  <c r="Q366" i="3"/>
  <c r="Z367" i="3"/>
  <c r="W369" i="3"/>
  <c r="P371" i="3"/>
  <c r="Y372" i="3"/>
  <c r="V374" i="3"/>
  <c r="AB375" i="3"/>
  <c r="X377" i="3"/>
  <c r="U379" i="3"/>
  <c r="AA380" i="3"/>
  <c r="W382" i="3"/>
  <c r="T384" i="3"/>
  <c r="Z385" i="3"/>
  <c r="V387" i="3"/>
  <c r="S389" i="3"/>
  <c r="Y390" i="3"/>
  <c r="U392" i="3"/>
  <c r="P394" i="3"/>
  <c r="S395" i="3"/>
  <c r="V396" i="3"/>
  <c r="Y397" i="3"/>
  <c r="AB398" i="3"/>
  <c r="R400" i="3"/>
  <c r="U401" i="3"/>
  <c r="X402" i="3"/>
  <c r="AA403" i="3"/>
  <c r="Q405" i="3"/>
  <c r="T406" i="3"/>
  <c r="Q407" i="3"/>
  <c r="AB407" i="3"/>
  <c r="Z408" i="3"/>
  <c r="W409" i="3"/>
  <c r="S410" i="3"/>
  <c r="P411" i="3"/>
  <c r="Y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Y206" i="3"/>
  <c r="AA245" i="3"/>
  <c r="W263" i="3"/>
  <c r="V276" i="3"/>
  <c r="T283" i="3"/>
  <c r="U289" i="3"/>
  <c r="R296" i="3"/>
  <c r="Y301" i="3"/>
  <c r="V305" i="3"/>
  <c r="P309" i="3"/>
  <c r="X312" i="3"/>
  <c r="T315" i="3"/>
  <c r="AA318" i="3"/>
  <c r="P322" i="3"/>
  <c r="U324" i="3"/>
  <c r="P327" i="3"/>
  <c r="AB329" i="3"/>
  <c r="T332" i="3"/>
  <c r="Z334" i="3"/>
  <c r="AA336" i="3"/>
  <c r="U338" i="3"/>
  <c r="Q340" i="3"/>
  <c r="AA341" i="3"/>
  <c r="T343" i="3"/>
  <c r="P345" i="3"/>
  <c r="Z346" i="3"/>
  <c r="S348" i="3"/>
  <c r="AB349" i="3"/>
  <c r="Y351" i="3"/>
  <c r="R353" i="3"/>
  <c r="AA354" i="3"/>
  <c r="X356" i="3"/>
  <c r="Q358" i="3"/>
  <c r="Z359" i="3"/>
  <c r="W361" i="3"/>
  <c r="P363" i="3"/>
  <c r="Y364" i="3"/>
  <c r="V366" i="3"/>
  <c r="AB367" i="3"/>
  <c r="X369" i="3"/>
  <c r="U371" i="3"/>
  <c r="AA372" i="3"/>
  <c r="W374" i="3"/>
  <c r="T376" i="3"/>
  <c r="Z377" i="3"/>
  <c r="V379" i="3"/>
  <c r="S381" i="3"/>
  <c r="Y382" i="3"/>
  <c r="U384" i="3"/>
  <c r="R386" i="3"/>
  <c r="X387" i="3"/>
  <c r="T389" i="3"/>
  <c r="Q391" i="3"/>
  <c r="W392" i="3"/>
  <c r="R394" i="3"/>
  <c r="U395" i="3"/>
  <c r="AE395" i="3" s="1"/>
  <c r="X396" i="3"/>
  <c r="AA397" i="3"/>
  <c r="Q399" i="3"/>
  <c r="T400" i="3"/>
  <c r="W401" i="3"/>
  <c r="Z402" i="3"/>
  <c r="P404" i="3"/>
  <c r="S405" i="3"/>
  <c r="U406" i="3"/>
  <c r="R407" i="3"/>
  <c r="Q408" i="3"/>
  <c r="AA408" i="3"/>
  <c r="X409" i="3"/>
  <c r="U410" i="3"/>
  <c r="Q411" i="3"/>
  <c r="Z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W216" i="3"/>
  <c r="Y246" i="3"/>
  <c r="Y266" i="3"/>
  <c r="Q277" i="3"/>
  <c r="AA283" i="3"/>
  <c r="Y290" i="3"/>
  <c r="Z296" i="3"/>
  <c r="Z301" i="3"/>
  <c r="V306" i="3"/>
  <c r="R309" i="3"/>
  <c r="Y312" i="3"/>
  <c r="T316" i="3"/>
  <c r="P319" i="3"/>
  <c r="Q322" i="3"/>
  <c r="P325" i="3"/>
  <c r="U327" i="3"/>
  <c r="P330" i="3"/>
  <c r="AB332" i="3"/>
  <c r="AB334" i="3"/>
  <c r="P337" i="3"/>
  <c r="Z338" i="3"/>
  <c r="S340" i="3"/>
  <c r="AB341" i="3"/>
  <c r="Y343" i="3"/>
  <c r="R345" i="3"/>
  <c r="AA346" i="3"/>
  <c r="X348" i="3"/>
  <c r="Q350" i="3"/>
  <c r="Z351" i="3"/>
  <c r="W353" i="3"/>
  <c r="P355" i="3"/>
  <c r="Y356" i="3"/>
  <c r="V358" i="3"/>
  <c r="AB359" i="3"/>
  <c r="X361" i="3"/>
  <c r="U363" i="3"/>
  <c r="AA364" i="3"/>
  <c r="W366" i="3"/>
  <c r="T368" i="3"/>
  <c r="Z369" i="3"/>
  <c r="V371" i="3"/>
  <c r="S373" i="3"/>
  <c r="Y374" i="3"/>
  <c r="U376" i="3"/>
  <c r="R378" i="3"/>
  <c r="X379" i="3"/>
  <c r="T381" i="3"/>
  <c r="Q383" i="3"/>
  <c r="W384" i="3"/>
  <c r="S386" i="3"/>
  <c r="P388" i="3"/>
  <c r="V389" i="3"/>
  <c r="R391" i="3"/>
  <c r="AB392" i="3"/>
  <c r="S394" i="3"/>
  <c r="V395" i="3"/>
  <c r="Y396" i="3"/>
  <c r="AB397" i="3"/>
  <c r="R399" i="3"/>
  <c r="U400" i="3"/>
  <c r="X401" i="3"/>
  <c r="AA402" i="3"/>
  <c r="Q404" i="3"/>
  <c r="T405" i="3"/>
  <c r="V406" i="3"/>
  <c r="T407" i="3"/>
  <c r="R408" i="3"/>
  <c r="AB408" i="3"/>
  <c r="Z409" i="3"/>
  <c r="V410" i="3"/>
  <c r="R411" i="3"/>
  <c r="AA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P471" i="3"/>
  <c r="X471" i="3"/>
  <c r="S472" i="3"/>
  <c r="U226" i="3"/>
  <c r="AA248" i="3"/>
  <c r="T267" i="3"/>
  <c r="U278" i="3"/>
  <c r="AE278" i="3" s="1"/>
  <c r="V284" i="3"/>
  <c r="S291" i="3"/>
  <c r="Q298" i="3"/>
  <c r="T302" i="3"/>
  <c r="W306" i="3"/>
  <c r="R310" i="3"/>
  <c r="AA312" i="3"/>
  <c r="U316" i="3"/>
  <c r="AE316" i="3" s="1"/>
  <c r="P320" i="3"/>
  <c r="V322" i="3"/>
  <c r="Q325" i="3"/>
  <c r="P328" i="3"/>
  <c r="U330" i="3"/>
  <c r="P333" i="3"/>
  <c r="V335" i="3"/>
  <c r="R337" i="3"/>
  <c r="AA338" i="3"/>
  <c r="X340" i="3"/>
  <c r="Q342" i="3"/>
  <c r="Z343" i="3"/>
  <c r="W345" i="3"/>
  <c r="P347" i="3"/>
  <c r="Y348" i="3"/>
  <c r="V350" i="3"/>
  <c r="AB351" i="3"/>
  <c r="X353" i="3"/>
  <c r="U355" i="3"/>
  <c r="AA356" i="3"/>
  <c r="W358" i="3"/>
  <c r="T360" i="3"/>
  <c r="Z361" i="3"/>
  <c r="V363" i="3"/>
  <c r="S365" i="3"/>
  <c r="Y366" i="3"/>
  <c r="U368" i="3"/>
  <c r="R370" i="3"/>
  <c r="X371" i="3"/>
  <c r="T373" i="3"/>
  <c r="Q375" i="3"/>
  <c r="W376" i="3"/>
  <c r="S378" i="3"/>
  <c r="P380" i="3"/>
  <c r="V381" i="3"/>
  <c r="R383" i="3"/>
  <c r="AB384" i="3"/>
  <c r="U386" i="3"/>
  <c r="Q388" i="3"/>
  <c r="AA389" i="3"/>
  <c r="T391" i="3"/>
  <c r="P393" i="3"/>
  <c r="U394" i="3"/>
  <c r="X395" i="3"/>
  <c r="AA396" i="3"/>
  <c r="Q398" i="3"/>
  <c r="T399" i="3"/>
  <c r="W400" i="3"/>
  <c r="Z401" i="3"/>
  <c r="P403" i="3"/>
  <c r="S404" i="3"/>
  <c r="V405" i="3"/>
  <c r="W406" i="3"/>
  <c r="V407" i="3"/>
  <c r="S408" i="3"/>
  <c r="P409" i="3"/>
  <c r="AA409" i="3"/>
  <c r="W410" i="3"/>
  <c r="S411" i="3"/>
  <c r="AB411" i="3"/>
  <c r="X412" i="3"/>
  <c r="S413" i="3"/>
  <c r="AA413" i="3"/>
  <c r="V414" i="3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X227" i="3"/>
  <c r="Z253" i="3"/>
  <c r="W268" i="3"/>
  <c r="AB278" i="3"/>
  <c r="Z285" i="3"/>
  <c r="AA291" i="3"/>
  <c r="X298" i="3"/>
  <c r="U303" i="3"/>
  <c r="Y306" i="3"/>
  <c r="S310" i="3"/>
  <c r="AA313" i="3"/>
  <c r="W316" i="3"/>
  <c r="Q320" i="3"/>
  <c r="Q323" i="3"/>
  <c r="V325" i="3"/>
  <c r="Q328" i="3"/>
  <c r="P331" i="3"/>
  <c r="R333" i="3"/>
  <c r="W335" i="3"/>
  <c r="W337" i="3"/>
  <c r="P339" i="3"/>
  <c r="Y340" i="3"/>
  <c r="V342" i="3"/>
  <c r="AB343" i="3"/>
  <c r="X345" i="3"/>
  <c r="U347" i="3"/>
  <c r="AA348" i="3"/>
  <c r="W350" i="3"/>
  <c r="T352" i="3"/>
  <c r="Z353" i="3"/>
  <c r="V355" i="3"/>
  <c r="S357" i="3"/>
  <c r="Y358" i="3"/>
  <c r="U360" i="3"/>
  <c r="R362" i="3"/>
  <c r="X363" i="3"/>
  <c r="T365" i="3"/>
  <c r="Q367" i="3"/>
  <c r="W368" i="3"/>
  <c r="S370" i="3"/>
  <c r="P372" i="3"/>
  <c r="V373" i="3"/>
  <c r="R375" i="3"/>
  <c r="AB376" i="3"/>
  <c r="U378" i="3"/>
  <c r="AE378" i="3" s="1"/>
  <c r="Q380" i="3"/>
  <c r="AA381" i="3"/>
  <c r="T383" i="3"/>
  <c r="P385" i="3"/>
  <c r="Z386" i="3"/>
  <c r="S388" i="3"/>
  <c r="AB389" i="3"/>
  <c r="Y391" i="3"/>
  <c r="R393" i="3"/>
  <c r="X394" i="3"/>
  <c r="AA395" i="3"/>
  <c r="Q397" i="3"/>
  <c r="T398" i="3"/>
  <c r="W399" i="3"/>
  <c r="Z400" i="3"/>
  <c r="P402" i="3"/>
  <c r="S403" i="3"/>
  <c r="V404" i="3"/>
  <c r="Y405" i="3"/>
  <c r="Y406" i="3"/>
  <c r="W407" i="3"/>
  <c r="T408" i="3"/>
  <c r="R409" i="3"/>
  <c r="AB409" i="3"/>
  <c r="X410" i="3"/>
  <c r="T411" i="3"/>
  <c r="P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Q230" i="3"/>
  <c r="X254" i="3"/>
  <c r="X271" i="3"/>
  <c r="W279" i="3"/>
  <c r="T286" i="3"/>
  <c r="R293" i="3"/>
  <c r="Q299" i="3"/>
  <c r="W303" i="3"/>
  <c r="Y307" i="3"/>
  <c r="U310" i="3"/>
  <c r="AB313" i="3"/>
  <c r="W317" i="3"/>
  <c r="S320" i="3"/>
  <c r="R323" i="3"/>
  <c r="Q326" i="3"/>
  <c r="S328" i="3"/>
  <c r="Q331" i="3"/>
  <c r="Z333" i="3"/>
  <c r="Z335" i="3"/>
  <c r="X337" i="3"/>
  <c r="U339" i="3"/>
  <c r="AA340" i="3"/>
  <c r="W342" i="3"/>
  <c r="T344" i="3"/>
  <c r="Z345" i="3"/>
  <c r="V347" i="3"/>
  <c r="S349" i="3"/>
  <c r="Y350" i="3"/>
  <c r="U352" i="3"/>
  <c r="R354" i="3"/>
  <c r="X355" i="3"/>
  <c r="T357" i="3"/>
  <c r="Q359" i="3"/>
  <c r="W360" i="3"/>
  <c r="S362" i="3"/>
  <c r="P364" i="3"/>
  <c r="V365" i="3"/>
  <c r="R367" i="3"/>
  <c r="AB368" i="3"/>
  <c r="U370" i="3"/>
  <c r="AE370" i="3" s="1"/>
  <c r="Q372" i="3"/>
  <c r="AA373" i="3"/>
  <c r="T375" i="3"/>
  <c r="P377" i="3"/>
  <c r="Z378" i="3"/>
  <c r="S380" i="3"/>
  <c r="AB381" i="3"/>
  <c r="Y383" i="3"/>
  <c r="R385" i="3"/>
  <c r="AA386" i="3"/>
  <c r="X388" i="3"/>
  <c r="Q390" i="3"/>
  <c r="Z391" i="3"/>
  <c r="W393" i="3"/>
  <c r="Z394" i="3"/>
  <c r="P396" i="3"/>
  <c r="S397" i="3"/>
  <c r="V398" i="3"/>
  <c r="Y399" i="3"/>
  <c r="AB400" i="3"/>
  <c r="R402" i="3"/>
  <c r="U403" i="3"/>
  <c r="X404" i="3"/>
  <c r="AA405" i="3"/>
  <c r="AA406" i="3"/>
  <c r="X407" i="3"/>
  <c r="U408" i="3"/>
  <c r="T409" i="3"/>
  <c r="P410" i="3"/>
  <c r="Y410" i="3"/>
  <c r="U411" i="3"/>
  <c r="Q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S236" i="3"/>
  <c r="Z307" i="3"/>
  <c r="S331" i="3"/>
  <c r="R346" i="3"/>
  <c r="R359" i="3"/>
  <c r="S372" i="3"/>
  <c r="W385" i="3"/>
  <c r="T397" i="3"/>
  <c r="AB406" i="3"/>
  <c r="AA412" i="3"/>
  <c r="Z417" i="3"/>
  <c r="P422" i="3"/>
  <c r="V424" i="3"/>
  <c r="AB426" i="3"/>
  <c r="U429" i="3"/>
  <c r="AA431" i="3"/>
  <c r="T434" i="3"/>
  <c r="Z436" i="3"/>
  <c r="S439" i="3"/>
  <c r="Y441" i="3"/>
  <c r="R444" i="3"/>
  <c r="X446" i="3"/>
  <c r="Q449" i="3"/>
  <c r="U451" i="3"/>
  <c r="AA452" i="3"/>
  <c r="X454" i="3"/>
  <c r="T456" i="3"/>
  <c r="Z457" i="3"/>
  <c r="W459" i="3"/>
  <c r="S461" i="3"/>
  <c r="Y462" i="3"/>
  <c r="V464" i="3"/>
  <c r="R466" i="3"/>
  <c r="X467" i="3"/>
  <c r="U469" i="3"/>
  <c r="X470" i="3"/>
  <c r="AA471" i="3"/>
  <c r="Z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W256" i="3"/>
  <c r="U311" i="3"/>
  <c r="AB333" i="3"/>
  <c r="X347" i="3"/>
  <c r="AB360" i="3"/>
  <c r="AB373" i="3"/>
  <c r="P387" i="3"/>
  <c r="W398" i="3"/>
  <c r="Y407" i="3"/>
  <c r="V413" i="3"/>
  <c r="U418" i="3"/>
  <c r="Q422" i="3"/>
  <c r="W424" i="3"/>
  <c r="P427" i="3"/>
  <c r="V429" i="3"/>
  <c r="AB431" i="3"/>
  <c r="U434" i="3"/>
  <c r="AA436" i="3"/>
  <c r="T439" i="3"/>
  <c r="Z441" i="3"/>
  <c r="S444" i="3"/>
  <c r="Y446" i="3"/>
  <c r="R449" i="3"/>
  <c r="W451" i="3"/>
  <c r="S453" i="3"/>
  <c r="Y454" i="3"/>
  <c r="V456" i="3"/>
  <c r="R458" i="3"/>
  <c r="X459" i="3"/>
  <c r="U461" i="3"/>
  <c r="Q463" i="3"/>
  <c r="W464" i="3"/>
  <c r="T466" i="3"/>
  <c r="P468" i="3"/>
  <c r="V469" i="3"/>
  <c r="Y470" i="3"/>
  <c r="AB471" i="3"/>
  <c r="AA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S272" i="3"/>
  <c r="Q314" i="3"/>
  <c r="R336" i="3"/>
  <c r="T349" i="3"/>
  <c r="U362" i="3"/>
  <c r="Y375" i="3"/>
  <c r="Y388" i="3"/>
  <c r="Z399" i="3"/>
  <c r="W408" i="3"/>
  <c r="Q414" i="3"/>
  <c r="P419" i="3"/>
  <c r="X422" i="3"/>
  <c r="Q425" i="3"/>
  <c r="W427" i="3"/>
  <c r="P430" i="3"/>
  <c r="V432" i="3"/>
  <c r="AB434" i="3"/>
  <c r="U437" i="3"/>
  <c r="AA439" i="3"/>
  <c r="T442" i="3"/>
  <c r="Z444" i="3"/>
  <c r="S447" i="3"/>
  <c r="Y449" i="3"/>
  <c r="X451" i="3"/>
  <c r="U453" i="3"/>
  <c r="Q455" i="3"/>
  <c r="W456" i="3"/>
  <c r="T458" i="3"/>
  <c r="P460" i="3"/>
  <c r="V461" i="3"/>
  <c r="S463" i="3"/>
  <c r="AB464" i="3"/>
  <c r="U466" i="3"/>
  <c r="R468" i="3"/>
  <c r="AA469" i="3"/>
  <c r="Q471" i="3"/>
  <c r="Q472" i="3"/>
  <c r="AB472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P569" i="3"/>
  <c r="X569" i="3"/>
  <c r="S570" i="3"/>
  <c r="AA280" i="3"/>
  <c r="X317" i="3"/>
  <c r="Z337" i="3"/>
  <c r="Q351" i="3"/>
  <c r="Q364" i="3"/>
  <c r="R377" i="3"/>
  <c r="V390" i="3"/>
  <c r="P401" i="3"/>
  <c r="U409" i="3"/>
  <c r="Y414" i="3"/>
  <c r="X419" i="3"/>
  <c r="Y422" i="3"/>
  <c r="R425" i="3"/>
  <c r="X427" i="3"/>
  <c r="Q430" i="3"/>
  <c r="W432" i="3"/>
  <c r="P435" i="3"/>
  <c r="V437" i="3"/>
  <c r="AB439" i="3"/>
  <c r="U442" i="3"/>
  <c r="AA444" i="3"/>
  <c r="T447" i="3"/>
  <c r="Z449" i="3"/>
  <c r="P452" i="3"/>
  <c r="V453" i="3"/>
  <c r="S455" i="3"/>
  <c r="AB456" i="3"/>
  <c r="U458" i="3"/>
  <c r="R460" i="3"/>
  <c r="AA461" i="3"/>
  <c r="T463" i="3"/>
  <c r="Q465" i="3"/>
  <c r="Z466" i="3"/>
  <c r="S468" i="3"/>
  <c r="AB469" i="3"/>
  <c r="R471" i="3"/>
  <c r="T472" i="3"/>
  <c r="P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AB286" i="3"/>
  <c r="R321" i="3"/>
  <c r="V339" i="3"/>
  <c r="W352" i="3"/>
  <c r="AA365" i="3"/>
  <c r="AA378" i="3"/>
  <c r="AB391" i="3"/>
  <c r="S402" i="3"/>
  <c r="Q410" i="3"/>
  <c r="T415" i="3"/>
  <c r="S420" i="3"/>
  <c r="S423" i="3"/>
  <c r="Y425" i="3"/>
  <c r="R428" i="3"/>
  <c r="X430" i="3"/>
  <c r="Q433" i="3"/>
  <c r="W435" i="3"/>
  <c r="P438" i="3"/>
  <c r="V440" i="3"/>
  <c r="AB442" i="3"/>
  <c r="U445" i="3"/>
  <c r="AA447" i="3"/>
  <c r="T450" i="3"/>
  <c r="R452" i="3"/>
  <c r="AA453" i="3"/>
  <c r="T455" i="3"/>
  <c r="Q457" i="3"/>
  <c r="Z458" i="3"/>
  <c r="S460" i="3"/>
  <c r="P462" i="3"/>
  <c r="Y463" i="3"/>
  <c r="R465" i="3"/>
  <c r="AB466" i="3"/>
  <c r="X468" i="3"/>
  <c r="P470" i="3"/>
  <c r="S471" i="3"/>
  <c r="U472" i="3"/>
  <c r="Q473" i="3"/>
  <c r="Z473" i="3"/>
  <c r="U474" i="3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P304" i="3"/>
  <c r="AA328" i="3"/>
  <c r="U344" i="3"/>
  <c r="V357" i="3"/>
  <c r="Z370" i="3"/>
  <c r="Z383" i="3"/>
  <c r="Q396" i="3"/>
  <c r="AB405" i="3"/>
  <c r="S412" i="3"/>
  <c r="R417" i="3"/>
  <c r="V421" i="3"/>
  <c r="AB423" i="3"/>
  <c r="U426" i="3"/>
  <c r="AA428" i="3"/>
  <c r="T431" i="3"/>
  <c r="Z433" i="3"/>
  <c r="S436" i="3"/>
  <c r="Y438" i="3"/>
  <c r="R441" i="3"/>
  <c r="X443" i="3"/>
  <c r="Q446" i="3"/>
  <c r="W448" i="3"/>
  <c r="P451" i="3"/>
  <c r="Z452" i="3"/>
  <c r="V454" i="3"/>
  <c r="AB455" i="3"/>
  <c r="Y457" i="3"/>
  <c r="U459" i="3"/>
  <c r="AA460" i="3"/>
  <c r="X462" i="3"/>
  <c r="T464" i="3"/>
  <c r="Z465" i="3"/>
  <c r="W467" i="3"/>
  <c r="S469" i="3"/>
  <c r="W470" i="3"/>
  <c r="Z471" i="3"/>
  <c r="Y472" i="3"/>
  <c r="U473" i="3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Y293" i="3"/>
  <c r="T367" i="3"/>
  <c r="Z410" i="3"/>
  <c r="Z425" i="3"/>
  <c r="X435" i="3"/>
  <c r="V445" i="3"/>
  <c r="P454" i="3"/>
  <c r="X460" i="3"/>
  <c r="P467" i="3"/>
  <c r="V472" i="3"/>
  <c r="Q475" i="3"/>
  <c r="W477" i="3"/>
  <c r="P480" i="3"/>
  <c r="V482" i="3"/>
  <c r="AB484" i="3"/>
  <c r="U487" i="3"/>
  <c r="AA489" i="3"/>
  <c r="T492" i="3"/>
  <c r="Z494" i="3"/>
  <c r="S497" i="3"/>
  <c r="Y499" i="3"/>
  <c r="R502" i="3"/>
  <c r="X504" i="3"/>
  <c r="Q507" i="3"/>
  <c r="W509" i="3"/>
  <c r="P512" i="3"/>
  <c r="V514" i="3"/>
  <c r="AB516" i="3"/>
  <c r="U519" i="3"/>
  <c r="AA521" i="3"/>
  <c r="T524" i="3"/>
  <c r="Z526" i="3"/>
  <c r="S529" i="3"/>
  <c r="Y531" i="3"/>
  <c r="R534" i="3"/>
  <c r="X536" i="3"/>
  <c r="Q539" i="3"/>
  <c r="X540" i="3"/>
  <c r="S542" i="3"/>
  <c r="P544" i="3"/>
  <c r="W545" i="3"/>
  <c r="P547" i="3"/>
  <c r="S548" i="3"/>
  <c r="V549" i="3"/>
  <c r="Y550" i="3"/>
  <c r="AB551" i="3"/>
  <c r="R553" i="3"/>
  <c r="U554" i="3"/>
  <c r="U555" i="3"/>
  <c r="AE555" i="3" s="1"/>
  <c r="T556" i="3"/>
  <c r="Q557" i="3"/>
  <c r="P558" i="3"/>
  <c r="Z558" i="3"/>
  <c r="W559" i="3"/>
  <c r="V560" i="3"/>
  <c r="S561" i="3"/>
  <c r="P562" i="3"/>
  <c r="AB562" i="3"/>
  <c r="Y563" i="3"/>
  <c r="V564" i="3"/>
  <c r="U565" i="3"/>
  <c r="R566" i="3"/>
  <c r="AB566" i="3"/>
  <c r="AA567" i="3"/>
  <c r="X568" i="3"/>
  <c r="U569" i="3"/>
  <c r="T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X635" i="3"/>
  <c r="S636" i="3"/>
  <c r="AA636" i="3"/>
  <c r="V637" i="3"/>
  <c r="Q638" i="3"/>
  <c r="Y638" i="3"/>
  <c r="T639" i="3"/>
  <c r="AB639" i="3"/>
  <c r="T323" i="3"/>
  <c r="X380" i="3"/>
  <c r="AB415" i="3"/>
  <c r="S428" i="3"/>
  <c r="Q438" i="3"/>
  <c r="AB447" i="3"/>
  <c r="Y455" i="3"/>
  <c r="Q462" i="3"/>
  <c r="Z468" i="3"/>
  <c r="R473" i="3"/>
  <c r="Y475" i="3"/>
  <c r="R478" i="3"/>
  <c r="X480" i="3"/>
  <c r="Q483" i="3"/>
  <c r="W485" i="3"/>
  <c r="P488" i="3"/>
  <c r="V490" i="3"/>
  <c r="AB492" i="3"/>
  <c r="U495" i="3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A529" i="3"/>
  <c r="T532" i="3"/>
  <c r="Z534" i="3"/>
  <c r="S537" i="3"/>
  <c r="U539" i="3"/>
  <c r="P541" i="3"/>
  <c r="Z542" i="3"/>
  <c r="T544" i="3"/>
  <c r="AB545" i="3"/>
  <c r="R547" i="3"/>
  <c r="U548" i="3"/>
  <c r="X549" i="3"/>
  <c r="AA550" i="3"/>
  <c r="Q552" i="3"/>
  <c r="T553" i="3"/>
  <c r="W554" i="3"/>
  <c r="Y555" i="3"/>
  <c r="V556" i="3"/>
  <c r="U557" i="3"/>
  <c r="R558" i="3"/>
  <c r="AB558" i="3"/>
  <c r="AA559" i="3"/>
  <c r="X560" i="3"/>
  <c r="U561" i="3"/>
  <c r="T562" i="3"/>
  <c r="Q563" i="3"/>
  <c r="AA563" i="3"/>
  <c r="Z564" i="3"/>
  <c r="W565" i="3"/>
  <c r="T566" i="3"/>
  <c r="S567" i="3"/>
  <c r="P568" i="3"/>
  <c r="Z568" i="3"/>
  <c r="Y569" i="3"/>
  <c r="V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R326" i="3"/>
  <c r="Q382" i="3"/>
  <c r="W416" i="3"/>
  <c r="Z428" i="3"/>
  <c r="X438" i="3"/>
  <c r="V448" i="3"/>
  <c r="AA455" i="3"/>
  <c r="V462" i="3"/>
  <c r="AA468" i="3"/>
  <c r="T473" i="3"/>
  <c r="Z475" i="3"/>
  <c r="S478" i="3"/>
  <c r="Y480" i="3"/>
  <c r="R483" i="3"/>
  <c r="X485" i="3"/>
  <c r="Q488" i="3"/>
  <c r="W490" i="3"/>
  <c r="P493" i="3"/>
  <c r="V495" i="3"/>
  <c r="AB497" i="3"/>
  <c r="U500" i="3"/>
  <c r="AA502" i="3"/>
  <c r="T505" i="3"/>
  <c r="Z507" i="3"/>
  <c r="S510" i="3"/>
  <c r="Y512" i="3"/>
  <c r="R515" i="3"/>
  <c r="X517" i="3"/>
  <c r="Q520" i="3"/>
  <c r="W522" i="3"/>
  <c r="P525" i="3"/>
  <c r="V527" i="3"/>
  <c r="AB529" i="3"/>
  <c r="U532" i="3"/>
  <c r="AA534" i="3"/>
  <c r="T537" i="3"/>
  <c r="Y539" i="3"/>
  <c r="S541" i="3"/>
  <c r="AA542" i="3"/>
  <c r="X544" i="3"/>
  <c r="R546" i="3"/>
  <c r="U547" i="3"/>
  <c r="X548" i="3"/>
  <c r="AA549" i="3"/>
  <c r="Q551" i="3"/>
  <c r="T552" i="3"/>
  <c r="W553" i="3"/>
  <c r="Z554" i="3"/>
  <c r="Z555" i="3"/>
  <c r="X556" i="3"/>
  <c r="V557" i="3"/>
  <c r="S558" i="3"/>
  <c r="Q559" i="3"/>
  <c r="AB559" i="3"/>
  <c r="Y560" i="3"/>
  <c r="W561" i="3"/>
  <c r="U562" i="3"/>
  <c r="R563" i="3"/>
  <c r="P564" i="3"/>
  <c r="AA564" i="3"/>
  <c r="X565" i="3"/>
  <c r="V566" i="3"/>
  <c r="T567" i="3"/>
  <c r="Q568" i="3"/>
  <c r="AB568" i="3"/>
  <c r="Z569" i="3"/>
  <c r="W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P634" i="3"/>
  <c r="X634" i="3"/>
  <c r="S635" i="3"/>
  <c r="AA635" i="3"/>
  <c r="V636" i="3"/>
  <c r="Q637" i="3"/>
  <c r="Y637" i="3"/>
  <c r="T638" i="3"/>
  <c r="AB638" i="3"/>
  <c r="W639" i="3"/>
  <c r="R640" i="3"/>
  <c r="S341" i="3"/>
  <c r="X393" i="3"/>
  <c r="AA420" i="3"/>
  <c r="Y430" i="3"/>
  <c r="W440" i="3"/>
  <c r="U450" i="3"/>
  <c r="AE450" i="3" s="1"/>
  <c r="R457" i="3"/>
  <c r="AA463" i="3"/>
  <c r="Q470" i="3"/>
  <c r="AA473" i="3"/>
  <c r="T476" i="3"/>
  <c r="Z478" i="3"/>
  <c r="S481" i="3"/>
  <c r="Y483" i="3"/>
  <c r="R486" i="3"/>
  <c r="X488" i="3"/>
  <c r="Q491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Z539" i="3"/>
  <c r="W541" i="3"/>
  <c r="Q543" i="3"/>
  <c r="Y544" i="3"/>
  <c r="U546" i="3"/>
  <c r="X547" i="3"/>
  <c r="AA548" i="3"/>
  <c r="Q550" i="3"/>
  <c r="T551" i="3"/>
  <c r="W552" i="3"/>
  <c r="Z553" i="3"/>
  <c r="P555" i="3"/>
  <c r="AA555" i="3"/>
  <c r="Z556" i="3"/>
  <c r="W557" i="3"/>
  <c r="T558" i="3"/>
  <c r="S559" i="3"/>
  <c r="P560" i="3"/>
  <c r="Z560" i="3"/>
  <c r="Y561" i="3"/>
  <c r="V562" i="3"/>
  <c r="S563" i="3"/>
  <c r="R564" i="3"/>
  <c r="AB564" i="3"/>
  <c r="Y565" i="3"/>
  <c r="X566" i="3"/>
  <c r="U567" i="3"/>
  <c r="R568" i="3"/>
  <c r="Q569" i="3"/>
  <c r="AA569" i="3"/>
  <c r="X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P623" i="3"/>
  <c r="X623" i="3"/>
  <c r="S624" i="3"/>
  <c r="Y342" i="3"/>
  <c r="AA394" i="3"/>
  <c r="U421" i="3"/>
  <c r="S431" i="3"/>
  <c r="Q441" i="3"/>
  <c r="AB450" i="3"/>
  <c r="W457" i="3"/>
  <c r="AB463" i="3"/>
  <c r="V470" i="3"/>
  <c r="AB473" i="3"/>
  <c r="U476" i="3"/>
  <c r="AE476" i="3" s="1"/>
  <c r="AA478" i="3"/>
  <c r="T481" i="3"/>
  <c r="Z483" i="3"/>
  <c r="S486" i="3"/>
  <c r="Y488" i="3"/>
  <c r="R491" i="3"/>
  <c r="X493" i="3"/>
  <c r="Q496" i="3"/>
  <c r="W498" i="3"/>
  <c r="P501" i="3"/>
  <c r="V503" i="3"/>
  <c r="AB505" i="3"/>
  <c r="U508" i="3"/>
  <c r="AA510" i="3"/>
  <c r="T513" i="3"/>
  <c r="Z515" i="3"/>
  <c r="S518" i="3"/>
  <c r="Y520" i="3"/>
  <c r="R523" i="3"/>
  <c r="X525" i="3"/>
  <c r="Q528" i="3"/>
  <c r="W530" i="3"/>
  <c r="P533" i="3"/>
  <c r="V535" i="3"/>
  <c r="AB537" i="3"/>
  <c r="P540" i="3"/>
  <c r="X541" i="3"/>
  <c r="U543" i="3"/>
  <c r="AE543" i="3" s="1"/>
  <c r="AB544" i="3"/>
  <c r="V546" i="3"/>
  <c r="Y547" i="3"/>
  <c r="AB548" i="3"/>
  <c r="R550" i="3"/>
  <c r="U551" i="3"/>
  <c r="X552" i="3"/>
  <c r="AA553" i="3"/>
  <c r="Q555" i="3"/>
  <c r="P556" i="3"/>
  <c r="AA556" i="3"/>
  <c r="X557" i="3"/>
  <c r="V558" i="3"/>
  <c r="T559" i="3"/>
  <c r="Q560" i="3"/>
  <c r="AB560" i="3"/>
  <c r="Z561" i="3"/>
  <c r="W562" i="3"/>
  <c r="U563" i="3"/>
  <c r="S564" i="3"/>
  <c r="P565" i="3"/>
  <c r="AA565" i="3"/>
  <c r="Y566" i="3"/>
  <c r="V567" i="3"/>
  <c r="T568" i="3"/>
  <c r="R569" i="3"/>
  <c r="AB569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AB299" i="3"/>
  <c r="AA423" i="3"/>
  <c r="S452" i="3"/>
  <c r="U467" i="3"/>
  <c r="P477" i="3"/>
  <c r="T484" i="3"/>
  <c r="AB489" i="3"/>
  <c r="Y496" i="3"/>
  <c r="P504" i="3"/>
  <c r="X509" i="3"/>
  <c r="U516" i="3"/>
  <c r="Y523" i="3"/>
  <c r="T529" i="3"/>
  <c r="Q536" i="3"/>
  <c r="AA541" i="3"/>
  <c r="AA545" i="3"/>
  <c r="S549" i="3"/>
  <c r="Y552" i="3"/>
  <c r="X555" i="3"/>
  <c r="AA557" i="3"/>
  <c r="R560" i="3"/>
  <c r="R562" i="3"/>
  <c r="U564" i="3"/>
  <c r="AE564" i="3" s="1"/>
  <c r="Z566" i="3"/>
  <c r="Y568" i="3"/>
  <c r="AB570" i="3"/>
  <c r="Y572" i="3"/>
  <c r="R574" i="3"/>
  <c r="AA575" i="3"/>
  <c r="X577" i="3"/>
  <c r="Q579" i="3"/>
  <c r="Z580" i="3"/>
  <c r="W582" i="3"/>
  <c r="P584" i="3"/>
  <c r="Y585" i="3"/>
  <c r="V587" i="3"/>
  <c r="AB588" i="3"/>
  <c r="X590" i="3"/>
  <c r="U592" i="3"/>
  <c r="AE592" i="3" s="1"/>
  <c r="AA593" i="3"/>
  <c r="W595" i="3"/>
  <c r="T597" i="3"/>
  <c r="Z598" i="3"/>
  <c r="V600" i="3"/>
  <c r="S602" i="3"/>
  <c r="Y603" i="3"/>
  <c r="U605" i="3"/>
  <c r="AE605" i="3" s="1"/>
  <c r="R607" i="3"/>
  <c r="X608" i="3"/>
  <c r="T610" i="3"/>
  <c r="Q612" i="3"/>
  <c r="W613" i="3"/>
  <c r="S615" i="3"/>
  <c r="P617" i="3"/>
  <c r="V618" i="3"/>
  <c r="R620" i="3"/>
  <c r="AB621" i="3"/>
  <c r="U623" i="3"/>
  <c r="AE623" i="3" s="1"/>
  <c r="P625" i="3"/>
  <c r="S626" i="3"/>
  <c r="V627" i="3"/>
  <c r="Y628" i="3"/>
  <c r="AB629" i="3"/>
  <c r="R631" i="3"/>
  <c r="U632" i="3"/>
  <c r="X633" i="3"/>
  <c r="Z634" i="3"/>
  <c r="Y635" i="3"/>
  <c r="Y636" i="3"/>
  <c r="Z637" i="3"/>
  <c r="X638" i="3"/>
  <c r="Y639" i="3"/>
  <c r="V640" i="3"/>
  <c r="Q641" i="3"/>
  <c r="Y641" i="3"/>
  <c r="T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S354" i="3"/>
  <c r="T426" i="3"/>
  <c r="X452" i="3"/>
  <c r="T471" i="3"/>
  <c r="X477" i="3"/>
  <c r="U484" i="3"/>
  <c r="Y491" i="3"/>
  <c r="T497" i="3"/>
  <c r="Q504" i="3"/>
  <c r="U511" i="3"/>
  <c r="P517" i="3"/>
  <c r="Z523" i="3"/>
  <c r="Q531" i="3"/>
  <c r="Y536" i="3"/>
  <c r="R542" i="3"/>
  <c r="W546" i="3"/>
  <c r="W549" i="3"/>
  <c r="AB552" i="3"/>
  <c r="R556" i="3"/>
  <c r="Q558" i="3"/>
  <c r="T560" i="3"/>
  <c r="X562" i="3"/>
  <c r="X564" i="3"/>
  <c r="AA566" i="3"/>
  <c r="S569" i="3"/>
  <c r="Q571" i="3"/>
  <c r="Z572" i="3"/>
  <c r="W574" i="3"/>
  <c r="P576" i="3"/>
  <c r="Y577" i="3"/>
  <c r="V579" i="3"/>
  <c r="AB580" i="3"/>
  <c r="X582" i="3"/>
  <c r="U584" i="3"/>
  <c r="AA585" i="3"/>
  <c r="W587" i="3"/>
  <c r="T589" i="3"/>
  <c r="Z590" i="3"/>
  <c r="V592" i="3"/>
  <c r="S594" i="3"/>
  <c r="Y595" i="3"/>
  <c r="U597" i="3"/>
  <c r="R599" i="3"/>
  <c r="X600" i="3"/>
  <c r="T602" i="3"/>
  <c r="Q604" i="3"/>
  <c r="W605" i="3"/>
  <c r="S607" i="3"/>
  <c r="P609" i="3"/>
  <c r="V610" i="3"/>
  <c r="R612" i="3"/>
  <c r="AB613" i="3"/>
  <c r="U615" i="3"/>
  <c r="Q617" i="3"/>
  <c r="AA618" i="3"/>
  <c r="T620" i="3"/>
  <c r="P622" i="3"/>
  <c r="Z623" i="3"/>
  <c r="Q625" i="3"/>
  <c r="T626" i="3"/>
  <c r="W627" i="3"/>
  <c r="Z628" i="3"/>
  <c r="P630" i="3"/>
  <c r="S631" i="3"/>
  <c r="V632" i="3"/>
  <c r="Y633" i="3"/>
  <c r="AA634" i="3"/>
  <c r="AB635" i="3"/>
  <c r="Z636" i="3"/>
  <c r="AA637" i="3"/>
  <c r="Z638" i="3"/>
  <c r="Z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P356" i="3"/>
  <c r="R433" i="3"/>
  <c r="Q454" i="3"/>
  <c r="Y471" i="3"/>
  <c r="U479" i="3"/>
  <c r="AE479" i="3" s="1"/>
  <c r="P485" i="3"/>
  <c r="Z491" i="3"/>
  <c r="Q499" i="3"/>
  <c r="Y504" i="3"/>
  <c r="V511" i="3"/>
  <c r="Z518" i="3"/>
  <c r="U524" i="3"/>
  <c r="R531" i="3"/>
  <c r="V538" i="3"/>
  <c r="V542" i="3"/>
  <c r="Z546" i="3"/>
  <c r="S550" i="3"/>
  <c r="S553" i="3"/>
  <c r="S556" i="3"/>
  <c r="X558" i="3"/>
  <c r="W560" i="3"/>
  <c r="Z562" i="3"/>
  <c r="Q565" i="3"/>
  <c r="Q567" i="3"/>
  <c r="T569" i="3"/>
  <c r="V571" i="3"/>
  <c r="AB572" i="3"/>
  <c r="X574" i="3"/>
  <c r="U576" i="3"/>
  <c r="AE576" i="3" s="1"/>
  <c r="AA577" i="3"/>
  <c r="W579" i="3"/>
  <c r="T581" i="3"/>
  <c r="Z582" i="3"/>
  <c r="V584" i="3"/>
  <c r="S586" i="3"/>
  <c r="Y587" i="3"/>
  <c r="U589" i="3"/>
  <c r="R591" i="3"/>
  <c r="X592" i="3"/>
  <c r="T594" i="3"/>
  <c r="Q596" i="3"/>
  <c r="W597" i="3"/>
  <c r="S599" i="3"/>
  <c r="P601" i="3"/>
  <c r="V602" i="3"/>
  <c r="R604" i="3"/>
  <c r="AB605" i="3"/>
  <c r="U607" i="3"/>
  <c r="Q609" i="3"/>
  <c r="AA610" i="3"/>
  <c r="T612" i="3"/>
  <c r="P614" i="3"/>
  <c r="Z615" i="3"/>
  <c r="S617" i="3"/>
  <c r="AB618" i="3"/>
  <c r="Y620" i="3"/>
  <c r="R622" i="3"/>
  <c r="AA623" i="3"/>
  <c r="S625" i="3"/>
  <c r="V626" i="3"/>
  <c r="Y627" i="3"/>
  <c r="AB628" i="3"/>
  <c r="R630" i="3"/>
  <c r="U631" i="3"/>
  <c r="X632" i="3"/>
  <c r="AA633" i="3"/>
  <c r="AB634" i="3"/>
  <c r="P636" i="3"/>
  <c r="AB636" i="3"/>
  <c r="AB637" i="3"/>
  <c r="P639" i="3"/>
  <c r="AA639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369" i="3"/>
  <c r="Y433" i="3"/>
  <c r="AB458" i="3"/>
  <c r="W472" i="3"/>
  <c r="V479" i="3"/>
  <c r="Z486" i="3"/>
  <c r="U492" i="3"/>
  <c r="AE492" i="3" s="1"/>
  <c r="R499" i="3"/>
  <c r="V506" i="3"/>
  <c r="Q512" i="3"/>
  <c r="AA518" i="3"/>
  <c r="R526" i="3"/>
  <c r="Z531" i="3"/>
  <c r="W538" i="3"/>
  <c r="V543" i="3"/>
  <c r="Q547" i="3"/>
  <c r="V550" i="3"/>
  <c r="AB553" i="3"/>
  <c r="U556" i="3"/>
  <c r="AE556" i="3" s="1"/>
  <c r="Y558" i="3"/>
  <c r="Q561" i="3"/>
  <c r="P563" i="3"/>
  <c r="S565" i="3"/>
  <c r="W567" i="3"/>
  <c r="W569" i="3"/>
  <c r="W571" i="3"/>
  <c r="T573" i="3"/>
  <c r="Z574" i="3"/>
  <c r="V576" i="3"/>
  <c r="S578" i="3"/>
  <c r="Y579" i="3"/>
  <c r="U581" i="3"/>
  <c r="R583" i="3"/>
  <c r="X584" i="3"/>
  <c r="T586" i="3"/>
  <c r="Q588" i="3"/>
  <c r="W589" i="3"/>
  <c r="S591" i="3"/>
  <c r="P593" i="3"/>
  <c r="V594" i="3"/>
  <c r="R596" i="3"/>
  <c r="AB597" i="3"/>
  <c r="U599" i="3"/>
  <c r="Q601" i="3"/>
  <c r="AA602" i="3"/>
  <c r="T604" i="3"/>
  <c r="P606" i="3"/>
  <c r="Z607" i="3"/>
  <c r="S609" i="3"/>
  <c r="AB610" i="3"/>
  <c r="Y612" i="3"/>
  <c r="R614" i="3"/>
  <c r="AA615" i="3"/>
  <c r="X617" i="3"/>
  <c r="Q619" i="3"/>
  <c r="Z620" i="3"/>
  <c r="W622" i="3"/>
  <c r="P624" i="3"/>
  <c r="V625" i="3"/>
  <c r="Y626" i="3"/>
  <c r="AB627" i="3"/>
  <c r="R629" i="3"/>
  <c r="U630" i="3"/>
  <c r="AE630" i="3" s="1"/>
  <c r="X631" i="3"/>
  <c r="AA632" i="3"/>
  <c r="Q634" i="3"/>
  <c r="Q635" i="3"/>
  <c r="Q636" i="3"/>
  <c r="R637" i="3"/>
  <c r="P638" i="3"/>
  <c r="Q639" i="3"/>
  <c r="P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403" i="3"/>
  <c r="R436" i="3"/>
  <c r="P459" i="3"/>
  <c r="V474" i="3"/>
  <c r="Q480" i="3"/>
  <c r="AA486" i="3"/>
  <c r="R494" i="3"/>
  <c r="Z499" i="3"/>
  <c r="W506" i="3"/>
  <c r="AA513" i="3"/>
  <c r="V519" i="3"/>
  <c r="S526" i="3"/>
  <c r="W533" i="3"/>
  <c r="R539" i="3"/>
  <c r="Y543" i="3"/>
  <c r="Z547" i="3"/>
  <c r="Z550" i="3"/>
  <c r="R554" i="3"/>
  <c r="AB556" i="3"/>
  <c r="AA558" i="3"/>
  <c r="R561" i="3"/>
  <c r="W563" i="3"/>
  <c r="V565" i="3"/>
  <c r="Y567" i="3"/>
  <c r="P570" i="3"/>
  <c r="Y571" i="3"/>
  <c r="U573" i="3"/>
  <c r="R575" i="3"/>
  <c r="X576" i="3"/>
  <c r="T578" i="3"/>
  <c r="Q580" i="3"/>
  <c r="W581" i="3"/>
  <c r="S583" i="3"/>
  <c r="P585" i="3"/>
  <c r="V586" i="3"/>
  <c r="R588" i="3"/>
  <c r="AB589" i="3"/>
  <c r="U591" i="3"/>
  <c r="Q593" i="3"/>
  <c r="AA594" i="3"/>
  <c r="T596" i="3"/>
  <c r="P598" i="3"/>
  <c r="Z599" i="3"/>
  <c r="S601" i="3"/>
  <c r="AB602" i="3"/>
  <c r="Y604" i="3"/>
  <c r="R606" i="3"/>
  <c r="AA607" i="3"/>
  <c r="X609" i="3"/>
  <c r="Q611" i="3"/>
  <c r="Z612" i="3"/>
  <c r="W614" i="3"/>
  <c r="P616" i="3"/>
  <c r="Y617" i="3"/>
  <c r="V619" i="3"/>
  <c r="AB620" i="3"/>
  <c r="X622" i="3"/>
  <c r="U624" i="3"/>
  <c r="X625" i="3"/>
  <c r="AA626" i="3"/>
  <c r="Q628" i="3"/>
  <c r="T629" i="3"/>
  <c r="W630" i="3"/>
  <c r="Z631" i="3"/>
  <c r="P633" i="3"/>
  <c r="S634" i="3"/>
  <c r="T635" i="3"/>
  <c r="R636" i="3"/>
  <c r="S637" i="3"/>
  <c r="R638" i="3"/>
  <c r="R639" i="3"/>
  <c r="Q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Y404" i="3"/>
  <c r="P443" i="3"/>
  <c r="Z460" i="3"/>
  <c r="W474" i="3"/>
  <c r="AA481" i="3"/>
  <c r="V487" i="3"/>
  <c r="S494" i="3"/>
  <c r="W501" i="3"/>
  <c r="R507" i="3"/>
  <c r="AB513" i="3"/>
  <c r="S521" i="3"/>
  <c r="AA526" i="3"/>
  <c r="X533" i="3"/>
  <c r="T540" i="3"/>
  <c r="Q544" i="3"/>
  <c r="P548" i="3"/>
  <c r="V551" i="3"/>
  <c r="V554" i="3"/>
  <c r="P557" i="3"/>
  <c r="U559" i="3"/>
  <c r="T561" i="3"/>
  <c r="X563" i="3"/>
  <c r="P566" i="3"/>
  <c r="AB567" i="3"/>
  <c r="R570" i="3"/>
  <c r="Q572" i="3"/>
  <c r="W573" i="3"/>
  <c r="S575" i="3"/>
  <c r="P577" i="3"/>
  <c r="V578" i="3"/>
  <c r="R580" i="3"/>
  <c r="AB581" i="3"/>
  <c r="U583" i="3"/>
  <c r="AE583" i="3" s="1"/>
  <c r="Q585" i="3"/>
  <c r="AA586" i="3"/>
  <c r="T588" i="3"/>
  <c r="P590" i="3"/>
  <c r="Z591" i="3"/>
  <c r="S593" i="3"/>
  <c r="AB594" i="3"/>
  <c r="Y596" i="3"/>
  <c r="R598" i="3"/>
  <c r="AA599" i="3"/>
  <c r="X601" i="3"/>
  <c r="Q603" i="3"/>
  <c r="Z604" i="3"/>
  <c r="W606" i="3"/>
  <c r="P608" i="3"/>
  <c r="Y609" i="3"/>
  <c r="V611" i="3"/>
  <c r="AB612" i="3"/>
  <c r="X614" i="3"/>
  <c r="U616" i="3"/>
  <c r="AA617" i="3"/>
  <c r="W619" i="3"/>
  <c r="T621" i="3"/>
  <c r="Z622" i="3"/>
  <c r="V624" i="3"/>
  <c r="Y625" i="3"/>
  <c r="AB626" i="3"/>
  <c r="R628" i="3"/>
  <c r="U629" i="3"/>
  <c r="AE629" i="3" s="1"/>
  <c r="X630" i="3"/>
  <c r="AA631" i="3"/>
  <c r="Q633" i="3"/>
  <c r="T634" i="3"/>
  <c r="U635" i="3"/>
  <c r="T636" i="3"/>
  <c r="T637" i="3"/>
  <c r="U638" i="3"/>
  <c r="AE638" i="3" s="1"/>
  <c r="S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V411" i="3"/>
  <c r="W443" i="3"/>
  <c r="W465" i="3"/>
  <c r="R475" i="3"/>
  <c r="AB481" i="3"/>
  <c r="S489" i="3"/>
  <c r="AA494" i="3"/>
  <c r="X501" i="3"/>
  <c r="AB508" i="3"/>
  <c r="W514" i="3"/>
  <c r="T521" i="3"/>
  <c r="X528" i="3"/>
  <c r="S534" i="3"/>
  <c r="U540" i="3"/>
  <c r="S545" i="3"/>
  <c r="T548" i="3"/>
  <c r="Y551" i="3"/>
  <c r="R555" i="3"/>
  <c r="S557" i="3"/>
  <c r="V559" i="3"/>
  <c r="AA561" i="3"/>
  <c r="Z563" i="3"/>
  <c r="Q566" i="3"/>
  <c r="V568" i="3"/>
  <c r="U570" i="3"/>
  <c r="R572" i="3"/>
  <c r="AB573" i="3"/>
  <c r="U575" i="3"/>
  <c r="Q577" i="3"/>
  <c r="AA578" i="3"/>
  <c r="T580" i="3"/>
  <c r="P582" i="3"/>
  <c r="Z583" i="3"/>
  <c r="S585" i="3"/>
  <c r="AB586" i="3"/>
  <c r="Y588" i="3"/>
  <c r="R590" i="3"/>
  <c r="AA591" i="3"/>
  <c r="X593" i="3"/>
  <c r="Q595" i="3"/>
  <c r="Z596" i="3"/>
  <c r="W598" i="3"/>
  <c r="P600" i="3"/>
  <c r="Y601" i="3"/>
  <c r="V603" i="3"/>
  <c r="AB604" i="3"/>
  <c r="X606" i="3"/>
  <c r="U608" i="3"/>
  <c r="AE608" i="3" s="1"/>
  <c r="AA609" i="3"/>
  <c r="W611" i="3"/>
  <c r="T613" i="3"/>
  <c r="Z614" i="3"/>
  <c r="V616" i="3"/>
  <c r="S618" i="3"/>
  <c r="Y619" i="3"/>
  <c r="U621" i="3"/>
  <c r="AE621" i="3" s="1"/>
  <c r="R623" i="3"/>
  <c r="X624" i="3"/>
  <c r="AA625" i="3"/>
  <c r="Q627" i="3"/>
  <c r="T628" i="3"/>
  <c r="W629" i="3"/>
  <c r="Z630" i="3"/>
  <c r="P632" i="3"/>
  <c r="S633" i="3"/>
  <c r="V634" i="3"/>
  <c r="V635" i="3"/>
  <c r="W636" i="3"/>
  <c r="U637" i="3"/>
  <c r="V638" i="3"/>
  <c r="U639" i="3"/>
  <c r="T640" i="3"/>
  <c r="AB640" i="3"/>
  <c r="W641" i="3"/>
  <c r="R642" i="3"/>
  <c r="Z642" i="3"/>
  <c r="U643" i="3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P660" i="3"/>
  <c r="X660" i="3"/>
  <c r="S661" i="3"/>
  <c r="AA661" i="3"/>
  <c r="T423" i="3"/>
  <c r="P509" i="3"/>
  <c r="P552" i="3"/>
  <c r="AA570" i="3"/>
  <c r="AA583" i="3"/>
  <c r="AB596" i="3"/>
  <c r="S610" i="3"/>
  <c r="S623" i="3"/>
  <c r="V633" i="3"/>
  <c r="P641" i="3"/>
  <c r="AB645" i="3"/>
  <c r="AA650" i="3"/>
  <c r="Z655" i="3"/>
  <c r="Y660" i="3"/>
  <c r="Z663" i="3"/>
  <c r="S666" i="3"/>
  <c r="Y668" i="3"/>
  <c r="R671" i="3"/>
  <c r="X673" i="3"/>
  <c r="Q676" i="3"/>
  <c r="W678" i="3"/>
  <c r="P681" i="3"/>
  <c r="AA682" i="3"/>
  <c r="X684" i="3"/>
  <c r="T686" i="3"/>
  <c r="Z687" i="3"/>
  <c r="W689" i="3"/>
  <c r="S691" i="3"/>
  <c r="Y692" i="3"/>
  <c r="V694" i="3"/>
  <c r="R696" i="3"/>
  <c r="X697" i="3"/>
  <c r="S699" i="3"/>
  <c r="V700" i="3"/>
  <c r="T701" i="3"/>
  <c r="U702" i="3"/>
  <c r="T703" i="3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465" i="3"/>
  <c r="AB521" i="3"/>
  <c r="Y557" i="3"/>
  <c r="P574" i="3"/>
  <c r="Q587" i="3"/>
  <c r="U600" i="3"/>
  <c r="U613" i="3"/>
  <c r="Q626" i="3"/>
  <c r="W635" i="3"/>
  <c r="S642" i="3"/>
  <c r="R647" i="3"/>
  <c r="Q652" i="3"/>
  <c r="P657" i="3"/>
  <c r="AB661" i="3"/>
  <c r="U664" i="3"/>
  <c r="AA666" i="3"/>
  <c r="T669" i="3"/>
  <c r="Z671" i="3"/>
  <c r="S674" i="3"/>
  <c r="Y676" i="3"/>
  <c r="R679" i="3"/>
  <c r="X681" i="3"/>
  <c r="U683" i="3"/>
  <c r="Q685" i="3"/>
  <c r="W686" i="3"/>
  <c r="T688" i="3"/>
  <c r="P690" i="3"/>
  <c r="V691" i="3"/>
  <c r="S693" i="3"/>
  <c r="AB694" i="3"/>
  <c r="U696" i="3"/>
  <c r="AE696" i="3" s="1"/>
  <c r="R698" i="3"/>
  <c r="U699" i="3"/>
  <c r="X700" i="3"/>
  <c r="Y701" i="3"/>
  <c r="W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B476" i="3"/>
  <c r="Y528" i="3"/>
  <c r="Y559" i="3"/>
  <c r="Z575" i="3"/>
  <c r="Z588" i="3"/>
  <c r="AA601" i="3"/>
  <c r="R615" i="3"/>
  <c r="T627" i="3"/>
  <c r="X636" i="3"/>
  <c r="AA642" i="3"/>
  <c r="Z647" i="3"/>
  <c r="Y652" i="3"/>
  <c r="X657" i="3"/>
  <c r="V662" i="3"/>
  <c r="AB664" i="3"/>
  <c r="U667" i="3"/>
  <c r="AA669" i="3"/>
  <c r="T672" i="3"/>
  <c r="Z674" i="3"/>
  <c r="S677" i="3"/>
  <c r="Y679" i="3"/>
  <c r="P682" i="3"/>
  <c r="V683" i="3"/>
  <c r="S685" i="3"/>
  <c r="AB686" i="3"/>
  <c r="U688" i="3"/>
  <c r="R690" i="3"/>
  <c r="AA691" i="3"/>
  <c r="T693" i="3"/>
  <c r="Q695" i="3"/>
  <c r="Z696" i="3"/>
  <c r="S698" i="3"/>
  <c r="V699" i="3"/>
  <c r="Y700" i="3"/>
  <c r="Z701" i="3"/>
  <c r="Y702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W482" i="3"/>
  <c r="P536" i="3"/>
  <c r="AB561" i="3"/>
  <c r="S577" i="3"/>
  <c r="W590" i="3"/>
  <c r="W603" i="3"/>
  <c r="X616" i="3"/>
  <c r="W628" i="3"/>
  <c r="W637" i="3"/>
  <c r="V643" i="3"/>
  <c r="U648" i="3"/>
  <c r="T653" i="3"/>
  <c r="S658" i="3"/>
  <c r="W662" i="3"/>
  <c r="P665" i="3"/>
  <c r="V667" i="3"/>
  <c r="AB669" i="3"/>
  <c r="U672" i="3"/>
  <c r="AA674" i="3"/>
  <c r="T677" i="3"/>
  <c r="Z679" i="3"/>
  <c r="R682" i="3"/>
  <c r="AA683" i="3"/>
  <c r="T685" i="3"/>
  <c r="Q687" i="3"/>
  <c r="Z688" i="3"/>
  <c r="S690" i="3"/>
  <c r="P692" i="3"/>
  <c r="Y693" i="3"/>
  <c r="R695" i="3"/>
  <c r="AB696" i="3"/>
  <c r="X698" i="3"/>
  <c r="AA699" i="3"/>
  <c r="AA700" i="3"/>
  <c r="AA701" i="3"/>
  <c r="AB702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S502" i="3"/>
  <c r="P549" i="3"/>
  <c r="W568" i="3"/>
  <c r="R582" i="3"/>
  <c r="V595" i="3"/>
  <c r="V608" i="3"/>
  <c r="W621" i="3"/>
  <c r="S632" i="3"/>
  <c r="U640" i="3"/>
  <c r="T645" i="3"/>
  <c r="S650" i="3"/>
  <c r="R655" i="3"/>
  <c r="Q660" i="3"/>
  <c r="Y663" i="3"/>
  <c r="R666" i="3"/>
  <c r="X668" i="3"/>
  <c r="Q671" i="3"/>
  <c r="W673" i="3"/>
  <c r="P676" i="3"/>
  <c r="V678" i="3"/>
  <c r="AB680" i="3"/>
  <c r="Z682" i="3"/>
  <c r="V684" i="3"/>
  <c r="AB685" i="3"/>
  <c r="Y687" i="3"/>
  <c r="U689" i="3"/>
  <c r="AA690" i="3"/>
  <c r="X692" i="3"/>
  <c r="T694" i="3"/>
  <c r="Z695" i="3"/>
  <c r="W697" i="3"/>
  <c r="AA698" i="3"/>
  <c r="Q700" i="3"/>
  <c r="S701" i="3"/>
  <c r="T702" i="3"/>
  <c r="R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P446" i="3"/>
  <c r="S566" i="3"/>
  <c r="T605" i="3"/>
  <c r="Y634" i="3"/>
  <c r="X649" i="3"/>
  <c r="Q663" i="3"/>
  <c r="S669" i="3"/>
  <c r="V675" i="3"/>
  <c r="S682" i="3"/>
  <c r="V686" i="3"/>
  <c r="Z690" i="3"/>
  <c r="W695" i="3"/>
  <c r="T699" i="3"/>
  <c r="Q702" i="3"/>
  <c r="U704" i="3"/>
  <c r="AB705" i="3"/>
  <c r="W707" i="3"/>
  <c r="T709" i="3"/>
  <c r="AA710" i="3"/>
  <c r="V712" i="3"/>
  <c r="S714" i="3"/>
  <c r="Z715" i="3"/>
  <c r="U717" i="3"/>
  <c r="R719" i="3"/>
  <c r="Y720" i="3"/>
  <c r="T722" i="3"/>
  <c r="Q724" i="3"/>
  <c r="X725" i="3"/>
  <c r="S727" i="3"/>
  <c r="P729" i="3"/>
  <c r="W730" i="3"/>
  <c r="R732" i="3"/>
  <c r="AB733" i="3"/>
  <c r="V735" i="3"/>
  <c r="Q737" i="3"/>
  <c r="AA738" i="3"/>
  <c r="U740" i="3"/>
  <c r="P742" i="3"/>
  <c r="Z743" i="3"/>
  <c r="T745" i="3"/>
  <c r="AB746" i="3"/>
  <c r="Y748" i="3"/>
  <c r="S750" i="3"/>
  <c r="AA751" i="3"/>
  <c r="X753" i="3"/>
  <c r="R755" i="3"/>
  <c r="Z756" i="3"/>
  <c r="W758" i="3"/>
  <c r="Q760" i="3"/>
  <c r="Y761" i="3"/>
  <c r="V763" i="3"/>
  <c r="P765" i="3"/>
  <c r="X766" i="3"/>
  <c r="U768" i="3"/>
  <c r="AB769" i="3"/>
  <c r="W771" i="3"/>
  <c r="T773" i="3"/>
  <c r="AA774" i="3"/>
  <c r="V776" i="3"/>
  <c r="S778" i="3"/>
  <c r="Z779" i="3"/>
  <c r="U781" i="3"/>
  <c r="R783" i="3"/>
  <c r="Y784" i="3"/>
  <c r="S786" i="3"/>
  <c r="V787" i="3"/>
  <c r="Q788" i="3"/>
  <c r="Y788" i="3"/>
  <c r="T789" i="3"/>
  <c r="AB789" i="3"/>
  <c r="W790" i="3"/>
  <c r="R791" i="3"/>
  <c r="Z791" i="3"/>
  <c r="U792" i="3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T489" i="3"/>
  <c r="T572" i="3"/>
  <c r="Z606" i="3"/>
  <c r="W638" i="3"/>
  <c r="V651" i="3"/>
  <c r="R663" i="3"/>
  <c r="V670" i="3"/>
  <c r="X676" i="3"/>
  <c r="X682" i="3"/>
  <c r="R687" i="3"/>
  <c r="U691" i="3"/>
  <c r="AE691" i="3" s="1"/>
  <c r="Y695" i="3"/>
  <c r="AB699" i="3"/>
  <c r="V702" i="3"/>
  <c r="V704" i="3"/>
  <c r="S706" i="3"/>
  <c r="Z707" i="3"/>
  <c r="U709" i="3"/>
  <c r="R711" i="3"/>
  <c r="Y712" i="3"/>
  <c r="T714" i="3"/>
  <c r="Q716" i="3"/>
  <c r="X717" i="3"/>
  <c r="S719" i="3"/>
  <c r="P721" i="3"/>
  <c r="W722" i="3"/>
  <c r="R724" i="3"/>
  <c r="AB725" i="3"/>
  <c r="V727" i="3"/>
  <c r="Q729" i="3"/>
  <c r="AA730" i="3"/>
  <c r="U732" i="3"/>
  <c r="P734" i="3"/>
  <c r="Z735" i="3"/>
  <c r="T737" i="3"/>
  <c r="AB738" i="3"/>
  <c r="Y740" i="3"/>
  <c r="S742" i="3"/>
  <c r="AA743" i="3"/>
  <c r="X745" i="3"/>
  <c r="R747" i="3"/>
  <c r="Z748" i="3"/>
  <c r="W750" i="3"/>
  <c r="Q752" i="3"/>
  <c r="Y753" i="3"/>
  <c r="V755" i="3"/>
  <c r="P757" i="3"/>
  <c r="X758" i="3"/>
  <c r="U760" i="3"/>
  <c r="AB761" i="3"/>
  <c r="W763" i="3"/>
  <c r="T765" i="3"/>
  <c r="AA766" i="3"/>
  <c r="V768" i="3"/>
  <c r="S770" i="3"/>
  <c r="Z771" i="3"/>
  <c r="U773" i="3"/>
  <c r="R775" i="3"/>
  <c r="Y776" i="3"/>
  <c r="T778" i="3"/>
  <c r="Q780" i="3"/>
  <c r="X781" i="3"/>
  <c r="S783" i="3"/>
  <c r="P785" i="3"/>
  <c r="T786" i="3"/>
  <c r="W787" i="3"/>
  <c r="R788" i="3"/>
  <c r="Z788" i="3"/>
  <c r="U789" i="3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X496" i="3"/>
  <c r="AB578" i="3"/>
  <c r="Y611" i="3"/>
  <c r="X639" i="3"/>
  <c r="AB653" i="3"/>
  <c r="T664" i="3"/>
  <c r="W670" i="3"/>
  <c r="AA677" i="3"/>
  <c r="S683" i="3"/>
  <c r="W687" i="3"/>
  <c r="Q692" i="3"/>
  <c r="T696" i="3"/>
  <c r="P700" i="3"/>
  <c r="P703" i="3"/>
  <c r="Y704" i="3"/>
  <c r="T706" i="3"/>
  <c r="Q708" i="3"/>
  <c r="X709" i="3"/>
  <c r="S711" i="3"/>
  <c r="P713" i="3"/>
  <c r="W714" i="3"/>
  <c r="R716" i="3"/>
  <c r="AB717" i="3"/>
  <c r="V719" i="3"/>
  <c r="Q721" i="3"/>
  <c r="AA722" i="3"/>
  <c r="U724" i="3"/>
  <c r="AE724" i="3" s="1"/>
  <c r="P726" i="3"/>
  <c r="Z727" i="3"/>
  <c r="T729" i="3"/>
  <c r="AB730" i="3"/>
  <c r="Y732" i="3"/>
  <c r="S734" i="3"/>
  <c r="AA735" i="3"/>
  <c r="X737" i="3"/>
  <c r="R739" i="3"/>
  <c r="Z740" i="3"/>
  <c r="W742" i="3"/>
  <c r="Q744" i="3"/>
  <c r="Y745" i="3"/>
  <c r="V747" i="3"/>
  <c r="P749" i="3"/>
  <c r="X750" i="3"/>
  <c r="U752" i="3"/>
  <c r="AB753" i="3"/>
  <c r="W755" i="3"/>
  <c r="T757" i="3"/>
  <c r="AA758" i="3"/>
  <c r="V760" i="3"/>
  <c r="S762" i="3"/>
  <c r="Z763" i="3"/>
  <c r="U765" i="3"/>
  <c r="R767" i="3"/>
  <c r="Y768" i="3"/>
  <c r="T770" i="3"/>
  <c r="Q772" i="3"/>
  <c r="X773" i="3"/>
  <c r="S775" i="3"/>
  <c r="P777" i="3"/>
  <c r="W778" i="3"/>
  <c r="R780" i="3"/>
  <c r="AB781" i="3"/>
  <c r="V783" i="3"/>
  <c r="Q785" i="3"/>
  <c r="W786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T516" i="3"/>
  <c r="Y580" i="3"/>
  <c r="T618" i="3"/>
  <c r="X641" i="3"/>
  <c r="W654" i="3"/>
  <c r="W665" i="3"/>
  <c r="Y671" i="3"/>
  <c r="AB677" i="3"/>
  <c r="P684" i="3"/>
  <c r="R688" i="3"/>
  <c r="V692" i="3"/>
  <c r="P697" i="3"/>
  <c r="W700" i="3"/>
  <c r="Q703" i="3"/>
  <c r="P705" i="3"/>
  <c r="W706" i="3"/>
  <c r="R708" i="3"/>
  <c r="AB709" i="3"/>
  <c r="V711" i="3"/>
  <c r="Q713" i="3"/>
  <c r="AA714" i="3"/>
  <c r="U716" i="3"/>
  <c r="P718" i="3"/>
  <c r="Z719" i="3"/>
  <c r="T721" i="3"/>
  <c r="AB722" i="3"/>
  <c r="Y724" i="3"/>
  <c r="S726" i="3"/>
  <c r="AA727" i="3"/>
  <c r="X729" i="3"/>
  <c r="R731" i="3"/>
  <c r="Z732" i="3"/>
  <c r="W734" i="3"/>
  <c r="Q736" i="3"/>
  <c r="Y737" i="3"/>
  <c r="V739" i="3"/>
  <c r="P741" i="3"/>
  <c r="X742" i="3"/>
  <c r="U744" i="3"/>
  <c r="AB745" i="3"/>
  <c r="W747" i="3"/>
  <c r="T749" i="3"/>
  <c r="AA750" i="3"/>
  <c r="V752" i="3"/>
  <c r="S754" i="3"/>
  <c r="Z755" i="3"/>
  <c r="U757" i="3"/>
  <c r="R759" i="3"/>
  <c r="Y760" i="3"/>
  <c r="T762" i="3"/>
  <c r="Q764" i="3"/>
  <c r="X765" i="3"/>
  <c r="S767" i="3"/>
  <c r="P769" i="3"/>
  <c r="W770" i="3"/>
  <c r="R772" i="3"/>
  <c r="AB773" i="3"/>
  <c r="V775" i="3"/>
  <c r="Q777" i="3"/>
  <c r="AA778" i="3"/>
  <c r="U780" i="3"/>
  <c r="AE780" i="3" s="1"/>
  <c r="P782" i="3"/>
  <c r="Z783" i="3"/>
  <c r="T785" i="3"/>
  <c r="Z786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P904" i="3"/>
  <c r="X904" i="3"/>
  <c r="S905" i="3"/>
  <c r="AA905" i="3"/>
  <c r="V906" i="3"/>
  <c r="AB540" i="3"/>
  <c r="X585" i="3"/>
  <c r="Q620" i="3"/>
  <c r="Q644" i="3"/>
  <c r="U656" i="3"/>
  <c r="AE656" i="3" s="1"/>
  <c r="X665" i="3"/>
  <c r="AB672" i="3"/>
  <c r="Q679" i="3"/>
  <c r="Q684" i="3"/>
  <c r="AB688" i="3"/>
  <c r="Q693" i="3"/>
  <c r="U697" i="3"/>
  <c r="Q701" i="3"/>
  <c r="V703" i="3"/>
  <c r="Q705" i="3"/>
  <c r="AA706" i="3"/>
  <c r="U708" i="3"/>
  <c r="P710" i="3"/>
  <c r="Z711" i="3"/>
  <c r="T713" i="3"/>
  <c r="AB714" i="3"/>
  <c r="Y716" i="3"/>
  <c r="S718" i="3"/>
  <c r="AA719" i="3"/>
  <c r="X721" i="3"/>
  <c r="R723" i="3"/>
  <c r="Z724" i="3"/>
  <c r="W726" i="3"/>
  <c r="Q728" i="3"/>
  <c r="Y729" i="3"/>
  <c r="V731" i="3"/>
  <c r="P733" i="3"/>
  <c r="X734" i="3"/>
  <c r="U736" i="3"/>
  <c r="AE736" i="3" s="1"/>
  <c r="AB737" i="3"/>
  <c r="W739" i="3"/>
  <c r="T741" i="3"/>
  <c r="AA742" i="3"/>
  <c r="V744" i="3"/>
  <c r="S746" i="3"/>
  <c r="Z747" i="3"/>
  <c r="U749" i="3"/>
  <c r="AE749" i="3" s="1"/>
  <c r="R751" i="3"/>
  <c r="Y752" i="3"/>
  <c r="T754" i="3"/>
  <c r="Q756" i="3"/>
  <c r="X757" i="3"/>
  <c r="S759" i="3"/>
  <c r="P761" i="3"/>
  <c r="W762" i="3"/>
  <c r="R764" i="3"/>
  <c r="AB765" i="3"/>
  <c r="V767" i="3"/>
  <c r="Q769" i="3"/>
  <c r="AA770" i="3"/>
  <c r="U772" i="3"/>
  <c r="P774" i="3"/>
  <c r="Z775" i="3"/>
  <c r="T777" i="3"/>
  <c r="AB778" i="3"/>
  <c r="Y780" i="3"/>
  <c r="S782" i="3"/>
  <c r="AA783" i="3"/>
  <c r="X785" i="3"/>
  <c r="AA786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T545" i="3"/>
  <c r="P592" i="3"/>
  <c r="AA624" i="3"/>
  <c r="Y644" i="3"/>
  <c r="AA658" i="3"/>
  <c r="Z666" i="3"/>
  <c r="P673" i="3"/>
  <c r="T680" i="3"/>
  <c r="Y684" i="3"/>
  <c r="P689" i="3"/>
  <c r="AA693" i="3"/>
  <c r="P698" i="3"/>
  <c r="R701" i="3"/>
  <c r="Z703" i="3"/>
  <c r="T705" i="3"/>
  <c r="AB706" i="3"/>
  <c r="Y708" i="3"/>
  <c r="S710" i="3"/>
  <c r="AA711" i="3"/>
  <c r="X713" i="3"/>
  <c r="R715" i="3"/>
  <c r="Z716" i="3"/>
  <c r="W718" i="3"/>
  <c r="Q720" i="3"/>
  <c r="Y721" i="3"/>
  <c r="V723" i="3"/>
  <c r="P725" i="3"/>
  <c r="X726" i="3"/>
  <c r="U728" i="3"/>
  <c r="AB729" i="3"/>
  <c r="W731" i="3"/>
  <c r="T733" i="3"/>
  <c r="AA734" i="3"/>
  <c r="V736" i="3"/>
  <c r="S738" i="3"/>
  <c r="Z739" i="3"/>
  <c r="U741" i="3"/>
  <c r="R743" i="3"/>
  <c r="Y744" i="3"/>
  <c r="T746" i="3"/>
  <c r="Q748" i="3"/>
  <c r="X749" i="3"/>
  <c r="S751" i="3"/>
  <c r="P753" i="3"/>
  <c r="W754" i="3"/>
  <c r="R756" i="3"/>
  <c r="AB757" i="3"/>
  <c r="V759" i="3"/>
  <c r="Q761" i="3"/>
  <c r="AA762" i="3"/>
  <c r="U764" i="3"/>
  <c r="P766" i="3"/>
  <c r="Z767" i="3"/>
  <c r="T769" i="3"/>
  <c r="AB770" i="3"/>
  <c r="Y772" i="3"/>
  <c r="S774" i="3"/>
  <c r="AA775" i="3"/>
  <c r="X777" i="3"/>
  <c r="R779" i="3"/>
  <c r="Z780" i="3"/>
  <c r="W782" i="3"/>
  <c r="Q784" i="3"/>
  <c r="Y785" i="3"/>
  <c r="AB786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P882" i="3"/>
  <c r="X882" i="3"/>
  <c r="S883" i="3"/>
  <c r="AA883" i="3"/>
  <c r="V884" i="3"/>
  <c r="Q885" i="3"/>
  <c r="Y885" i="3"/>
  <c r="T886" i="3"/>
  <c r="S555" i="3"/>
  <c r="Y593" i="3"/>
  <c r="Z629" i="3"/>
  <c r="W646" i="3"/>
  <c r="V659" i="3"/>
  <c r="P668" i="3"/>
  <c r="R674" i="3"/>
  <c r="U680" i="3"/>
  <c r="Y685" i="3"/>
  <c r="X689" i="3"/>
  <c r="AB693" i="3"/>
  <c r="Y698" i="3"/>
  <c r="V701" i="3"/>
  <c r="AA703" i="3"/>
  <c r="X705" i="3"/>
  <c r="R707" i="3"/>
  <c r="Z708" i="3"/>
  <c r="W710" i="3"/>
  <c r="Q712" i="3"/>
  <c r="Y713" i="3"/>
  <c r="V715" i="3"/>
  <c r="P717" i="3"/>
  <c r="X718" i="3"/>
  <c r="U720" i="3"/>
  <c r="AB721" i="3"/>
  <c r="W723" i="3"/>
  <c r="T725" i="3"/>
  <c r="AA726" i="3"/>
  <c r="V728" i="3"/>
  <c r="S730" i="3"/>
  <c r="Z731" i="3"/>
  <c r="U733" i="3"/>
  <c r="R735" i="3"/>
  <c r="Y736" i="3"/>
  <c r="T738" i="3"/>
  <c r="Q740" i="3"/>
  <c r="X741" i="3"/>
  <c r="S743" i="3"/>
  <c r="P745" i="3"/>
  <c r="W746" i="3"/>
  <c r="R748" i="3"/>
  <c r="AB749" i="3"/>
  <c r="V751" i="3"/>
  <c r="Q753" i="3"/>
  <c r="AA754" i="3"/>
  <c r="U756" i="3"/>
  <c r="AE756" i="3" s="1"/>
  <c r="P758" i="3"/>
  <c r="Z759" i="3"/>
  <c r="T761" i="3"/>
  <c r="AB762" i="3"/>
  <c r="Y764" i="3"/>
  <c r="S766" i="3"/>
  <c r="AA767" i="3"/>
  <c r="X769" i="3"/>
  <c r="R771" i="3"/>
  <c r="Z772" i="3"/>
  <c r="W774" i="3"/>
  <c r="Q776" i="3"/>
  <c r="Y777" i="3"/>
  <c r="V779" i="3"/>
  <c r="P781" i="3"/>
  <c r="X782" i="3"/>
  <c r="U784" i="3"/>
  <c r="AB785" i="3"/>
  <c r="R787" i="3"/>
  <c r="AB787" i="3"/>
  <c r="W788" i="3"/>
  <c r="R789" i="3"/>
  <c r="Z789" i="3"/>
  <c r="U790" i="3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P847" i="3"/>
  <c r="X847" i="3"/>
  <c r="S848" i="3"/>
  <c r="AA848" i="3"/>
  <c r="V849" i="3"/>
  <c r="Q850" i="3"/>
  <c r="Y850" i="3"/>
  <c r="T851" i="3"/>
  <c r="AB851" i="3"/>
  <c r="T564" i="3"/>
  <c r="AA685" i="3"/>
  <c r="P709" i="3"/>
  <c r="S722" i="3"/>
  <c r="S735" i="3"/>
  <c r="U748" i="3"/>
  <c r="X761" i="3"/>
  <c r="X774" i="3"/>
  <c r="U787" i="3"/>
  <c r="T792" i="3"/>
  <c r="S797" i="3"/>
  <c r="R802" i="3"/>
  <c r="Q807" i="3"/>
  <c r="P812" i="3"/>
  <c r="AB816" i="3"/>
  <c r="AA821" i="3"/>
  <c r="Z826" i="3"/>
  <c r="Y831" i="3"/>
  <c r="X836" i="3"/>
  <c r="W841" i="3"/>
  <c r="V846" i="3"/>
  <c r="U851" i="3"/>
  <c r="U854" i="3"/>
  <c r="AA856" i="3"/>
  <c r="T859" i="3"/>
  <c r="Z861" i="3"/>
  <c r="S864" i="3"/>
  <c r="Y866" i="3"/>
  <c r="R869" i="3"/>
  <c r="X871" i="3"/>
  <c r="Q874" i="3"/>
  <c r="W876" i="3"/>
  <c r="P879" i="3"/>
  <c r="V881" i="3"/>
  <c r="AB883" i="3"/>
  <c r="X885" i="3"/>
  <c r="P887" i="3"/>
  <c r="S888" i="3"/>
  <c r="V889" i="3"/>
  <c r="Y890" i="3"/>
  <c r="AB891" i="3"/>
  <c r="R893" i="3"/>
  <c r="U894" i="3"/>
  <c r="AE894" i="3" s="1"/>
  <c r="X895" i="3"/>
  <c r="AA896" i="3"/>
  <c r="Q898" i="3"/>
  <c r="T899" i="3"/>
  <c r="W900" i="3"/>
  <c r="Z901" i="3"/>
  <c r="P903" i="3"/>
  <c r="S904" i="3"/>
  <c r="V905" i="3"/>
  <c r="Y906" i="3"/>
  <c r="Z907" i="3"/>
  <c r="W908" i="3"/>
  <c r="S909" i="3"/>
  <c r="AB909" i="3"/>
  <c r="W910" i="3"/>
  <c r="R911" i="3"/>
  <c r="Z911" i="3"/>
  <c r="U912" i="3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U1000" i="3"/>
  <c r="AE1000" i="3" s="1"/>
  <c r="R987" i="3"/>
  <c r="U988" i="3"/>
  <c r="S990" i="3"/>
  <c r="V991" i="3"/>
  <c r="AB993" i="3"/>
  <c r="Z995" i="3"/>
  <c r="S998" i="3"/>
  <c r="Y1000" i="3"/>
  <c r="Z992" i="3"/>
  <c r="AA995" i="3"/>
  <c r="AB998" i="3"/>
  <c r="X991" i="3"/>
  <c r="T995" i="3"/>
  <c r="Z997" i="3"/>
  <c r="W681" i="3"/>
  <c r="T816" i="3"/>
  <c r="Z850" i="3"/>
  <c r="Y863" i="3"/>
  <c r="W873" i="3"/>
  <c r="R888" i="3"/>
  <c r="W895" i="3"/>
  <c r="AB902" i="3"/>
  <c r="R909" i="3"/>
  <c r="T912" i="3"/>
  <c r="U915" i="3"/>
  <c r="Y919" i="3"/>
  <c r="Z922" i="3"/>
  <c r="Y927" i="3"/>
  <c r="Z930" i="3"/>
  <c r="Q935" i="3"/>
  <c r="AB936" i="3"/>
  <c r="P940" i="3"/>
  <c r="Q943" i="3"/>
  <c r="U947" i="3"/>
  <c r="Y951" i="3"/>
  <c r="U955" i="3"/>
  <c r="AE955" i="3" s="1"/>
  <c r="Y959" i="3"/>
  <c r="P964" i="3"/>
  <c r="Y967" i="3"/>
  <c r="Z970" i="3"/>
  <c r="V974" i="3"/>
  <c r="Z978" i="3"/>
  <c r="S981" i="3"/>
  <c r="AB984" i="3"/>
  <c r="S989" i="3"/>
  <c r="AB992" i="3"/>
  <c r="P996" i="3"/>
  <c r="Y999" i="3"/>
  <c r="X598" i="3"/>
  <c r="X690" i="3"/>
  <c r="X710" i="3"/>
  <c r="Z723" i="3"/>
  <c r="P737" i="3"/>
  <c r="P750" i="3"/>
  <c r="R763" i="3"/>
  <c r="U776" i="3"/>
  <c r="P788" i="3"/>
  <c r="AB792" i="3"/>
  <c r="AA797" i="3"/>
  <c r="Z802" i="3"/>
  <c r="Y807" i="3"/>
  <c r="X812" i="3"/>
  <c r="W817" i="3"/>
  <c r="V822" i="3"/>
  <c r="U827" i="3"/>
  <c r="T832" i="3"/>
  <c r="S837" i="3"/>
  <c r="R842" i="3"/>
  <c r="Q847" i="3"/>
  <c r="P852" i="3"/>
  <c r="V854" i="3"/>
  <c r="AB856" i="3"/>
  <c r="U859" i="3"/>
  <c r="AA861" i="3"/>
  <c r="T864" i="3"/>
  <c r="Z866" i="3"/>
  <c r="S869" i="3"/>
  <c r="Y871" i="3"/>
  <c r="R874" i="3"/>
  <c r="X876" i="3"/>
  <c r="Q879" i="3"/>
  <c r="W881" i="3"/>
  <c r="P884" i="3"/>
  <c r="Z885" i="3"/>
  <c r="Q887" i="3"/>
  <c r="T888" i="3"/>
  <c r="W889" i="3"/>
  <c r="Z890" i="3"/>
  <c r="P892" i="3"/>
  <c r="S893" i="3"/>
  <c r="V894" i="3"/>
  <c r="Y895" i="3"/>
  <c r="AB896" i="3"/>
  <c r="R898" i="3"/>
  <c r="U899" i="3"/>
  <c r="AE899" i="3" s="1"/>
  <c r="X900" i="3"/>
  <c r="AA901" i="3"/>
  <c r="Q903" i="3"/>
  <c r="T904" i="3"/>
  <c r="W905" i="3"/>
  <c r="Z906" i="3"/>
  <c r="AA907" i="3"/>
  <c r="X908" i="3"/>
  <c r="T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AB985" i="3"/>
  <c r="Y992" i="3"/>
  <c r="P997" i="3"/>
  <c r="Q1000" i="3"/>
  <c r="U993" i="3"/>
  <c r="V996" i="3"/>
  <c r="W999" i="3"/>
  <c r="Z1000" i="3"/>
  <c r="U990" i="3"/>
  <c r="V993" i="3"/>
  <c r="W996" i="3"/>
  <c r="S1000" i="3"/>
  <c r="X733" i="3"/>
  <c r="R786" i="3"/>
  <c r="X796" i="3"/>
  <c r="V806" i="3"/>
  <c r="S821" i="3"/>
  <c r="P836" i="3"/>
  <c r="AA845" i="3"/>
  <c r="Z858" i="3"/>
  <c r="X868" i="3"/>
  <c r="P876" i="3"/>
  <c r="AB886" i="3"/>
  <c r="Q893" i="3"/>
  <c r="P898" i="3"/>
  <c r="R904" i="3"/>
  <c r="AA909" i="3"/>
  <c r="W913" i="3"/>
  <c r="X916" i="3"/>
  <c r="T920" i="3"/>
  <c r="U923" i="3"/>
  <c r="Q927" i="3"/>
  <c r="R930" i="3"/>
  <c r="AA933" i="3"/>
  <c r="W937" i="3"/>
  <c r="S941" i="3"/>
  <c r="T944" i="3"/>
  <c r="X948" i="3"/>
  <c r="Q951" i="3"/>
  <c r="R954" i="3"/>
  <c r="AA957" i="3"/>
  <c r="AB960" i="3"/>
  <c r="X964" i="3"/>
  <c r="T968" i="3"/>
  <c r="P972" i="3"/>
  <c r="Y975" i="3"/>
  <c r="U979" i="3"/>
  <c r="AE979" i="3" s="1"/>
  <c r="V982" i="3"/>
  <c r="W985" i="3"/>
  <c r="X988" i="3"/>
  <c r="Y991" i="3"/>
  <c r="U995" i="3"/>
  <c r="V998" i="3"/>
  <c r="P631" i="3"/>
  <c r="W694" i="3"/>
  <c r="U712" i="3"/>
  <c r="AE712" i="3" s="1"/>
  <c r="U725" i="3"/>
  <c r="W738" i="3"/>
  <c r="Z751" i="3"/>
  <c r="Z764" i="3"/>
  <c r="AB777" i="3"/>
  <c r="X788" i="3"/>
  <c r="W793" i="3"/>
  <c r="V798" i="3"/>
  <c r="U803" i="3"/>
  <c r="T808" i="3"/>
  <c r="S813" i="3"/>
  <c r="R818" i="3"/>
  <c r="Q823" i="3"/>
  <c r="P828" i="3"/>
  <c r="AB832" i="3"/>
  <c r="AA837" i="3"/>
  <c r="Z842" i="3"/>
  <c r="Y847" i="3"/>
  <c r="W852" i="3"/>
  <c r="P855" i="3"/>
  <c r="V857" i="3"/>
  <c r="AB859" i="3"/>
  <c r="U862" i="3"/>
  <c r="AA864" i="3"/>
  <c r="T867" i="3"/>
  <c r="Z869" i="3"/>
  <c r="S872" i="3"/>
  <c r="Y874" i="3"/>
  <c r="R877" i="3"/>
  <c r="X879" i="3"/>
  <c r="Q882" i="3"/>
  <c r="U884" i="3"/>
  <c r="AE884" i="3" s="1"/>
  <c r="AA885" i="3"/>
  <c r="V887" i="3"/>
  <c r="Y888" i="3"/>
  <c r="AB889" i="3"/>
  <c r="R891" i="3"/>
  <c r="U892" i="3"/>
  <c r="X893" i="3"/>
  <c r="AA894" i="3"/>
  <c r="Q896" i="3"/>
  <c r="T897" i="3"/>
  <c r="W898" i="3"/>
  <c r="Z899" i="3"/>
  <c r="P901" i="3"/>
  <c r="S902" i="3"/>
  <c r="V903" i="3"/>
  <c r="Y904" i="3"/>
  <c r="AB905" i="3"/>
  <c r="Q907" i="3"/>
  <c r="AB907" i="3"/>
  <c r="Y908" i="3"/>
  <c r="V909" i="3"/>
  <c r="Q910" i="3"/>
  <c r="Y910" i="3"/>
  <c r="T911" i="3"/>
  <c r="AB911" i="3"/>
  <c r="W912" i="3"/>
  <c r="R913" i="3"/>
  <c r="Z913" i="3"/>
  <c r="U914" i="3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P995" i="3"/>
  <c r="X995" i="3"/>
  <c r="S996" i="3"/>
  <c r="AA996" i="3"/>
  <c r="V997" i="3"/>
  <c r="Q998" i="3"/>
  <c r="Y998" i="3"/>
  <c r="T999" i="3"/>
  <c r="AB999" i="3"/>
  <c r="W1000" i="3"/>
  <c r="Y984" i="3"/>
  <c r="Q992" i="3"/>
  <c r="U996" i="3"/>
  <c r="AE996" i="3" s="1"/>
  <c r="V999" i="3"/>
  <c r="R992" i="3"/>
  <c r="Q997" i="3"/>
  <c r="R1000" i="3"/>
  <c r="S925" i="3"/>
  <c r="T976" i="3"/>
  <c r="P649" i="3"/>
  <c r="Z698" i="3"/>
  <c r="AB713" i="3"/>
  <c r="R727" i="3"/>
  <c r="R740" i="3"/>
  <c r="T753" i="3"/>
  <c r="W766" i="3"/>
  <c r="W779" i="3"/>
  <c r="S789" i="3"/>
  <c r="R794" i="3"/>
  <c r="Q799" i="3"/>
  <c r="P804" i="3"/>
  <c r="AB808" i="3"/>
  <c r="AA813" i="3"/>
  <c r="Z818" i="3"/>
  <c r="Y823" i="3"/>
  <c r="X828" i="3"/>
  <c r="W833" i="3"/>
  <c r="V838" i="3"/>
  <c r="U843" i="3"/>
  <c r="T848" i="3"/>
  <c r="X852" i="3"/>
  <c r="Q855" i="3"/>
  <c r="W857" i="3"/>
  <c r="P860" i="3"/>
  <c r="V862" i="3"/>
  <c r="AB864" i="3"/>
  <c r="U867" i="3"/>
  <c r="AA869" i="3"/>
  <c r="T872" i="3"/>
  <c r="Z874" i="3"/>
  <c r="S877" i="3"/>
  <c r="Y879" i="3"/>
  <c r="R882" i="3"/>
  <c r="W884" i="3"/>
  <c r="S886" i="3"/>
  <c r="W887" i="3"/>
  <c r="Z888" i="3"/>
  <c r="P890" i="3"/>
  <c r="S891" i="3"/>
  <c r="V892" i="3"/>
  <c r="Y893" i="3"/>
  <c r="AB894" i="3"/>
  <c r="R896" i="3"/>
  <c r="U897" i="3"/>
  <c r="AE897" i="3" s="1"/>
  <c r="X898" i="3"/>
  <c r="AA899" i="3"/>
  <c r="Q901" i="3"/>
  <c r="T902" i="3"/>
  <c r="W903" i="3"/>
  <c r="Z904" i="3"/>
  <c r="P906" i="3"/>
  <c r="R907" i="3"/>
  <c r="P908" i="3"/>
  <c r="AA908" i="3"/>
  <c r="W909" i="3"/>
  <c r="R910" i="3"/>
  <c r="Z910" i="3"/>
  <c r="U911" i="3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P1000" i="3"/>
  <c r="X1000" i="3"/>
  <c r="T985" i="3"/>
  <c r="X989" i="3"/>
  <c r="AA990" i="3"/>
  <c r="W994" i="3"/>
  <c r="R995" i="3"/>
  <c r="AA998" i="3"/>
  <c r="W991" i="3"/>
  <c r="S995" i="3"/>
  <c r="T998" i="3"/>
  <c r="P991" i="3"/>
  <c r="AB995" i="3"/>
  <c r="X999" i="3"/>
  <c r="V707" i="3"/>
  <c r="R826" i="3"/>
  <c r="T856" i="3"/>
  <c r="Q871" i="3"/>
  <c r="AB880" i="3"/>
  <c r="X890" i="3"/>
  <c r="Z896" i="3"/>
  <c r="Y901" i="3"/>
  <c r="Y907" i="3"/>
  <c r="Q911" i="3"/>
  <c r="R914" i="3"/>
  <c r="AA917" i="3"/>
  <c r="AB920" i="3"/>
  <c r="X924" i="3"/>
  <c r="T928" i="3"/>
  <c r="P932" i="3"/>
  <c r="V934" i="3"/>
  <c r="Z938" i="3"/>
  <c r="Y943" i="3"/>
  <c r="R946" i="3"/>
  <c r="S949" i="3"/>
  <c r="W953" i="3"/>
  <c r="X956" i="3"/>
  <c r="T960" i="3"/>
  <c r="U963" i="3"/>
  <c r="AE963" i="3" s="1"/>
  <c r="Q967" i="3"/>
  <c r="U971" i="3"/>
  <c r="AA973" i="3"/>
  <c r="R978" i="3"/>
  <c r="Q983" i="3"/>
  <c r="U987" i="3"/>
  <c r="Q991" i="3"/>
  <c r="R994" i="3"/>
  <c r="AA997" i="3"/>
  <c r="AB1000" i="3"/>
  <c r="T661" i="3"/>
  <c r="AB701" i="3"/>
  <c r="W715" i="3"/>
  <c r="Y728" i="3"/>
  <c r="AB741" i="3"/>
  <c r="AB754" i="3"/>
  <c r="Q768" i="3"/>
  <c r="T781" i="3"/>
  <c r="AA789" i="3"/>
  <c r="Z794" i="3"/>
  <c r="Y799" i="3"/>
  <c r="X804" i="3"/>
  <c r="W809" i="3"/>
  <c r="V814" i="3"/>
  <c r="U819" i="3"/>
  <c r="AE819" i="3" s="1"/>
  <c r="T824" i="3"/>
  <c r="S829" i="3"/>
  <c r="R834" i="3"/>
  <c r="Q839" i="3"/>
  <c r="P844" i="3"/>
  <c r="AB848" i="3"/>
  <c r="R853" i="3"/>
  <c r="X855" i="3"/>
  <c r="Q858" i="3"/>
  <c r="W860" i="3"/>
  <c r="P863" i="3"/>
  <c r="V865" i="3"/>
  <c r="AB867" i="3"/>
  <c r="U870" i="3"/>
  <c r="AA872" i="3"/>
  <c r="T875" i="3"/>
  <c r="Z877" i="3"/>
  <c r="S880" i="3"/>
  <c r="Y882" i="3"/>
  <c r="X884" i="3"/>
  <c r="U886" i="3"/>
  <c r="X887" i="3"/>
  <c r="AA888" i="3"/>
  <c r="Q890" i="3"/>
  <c r="T891" i="3"/>
  <c r="W892" i="3"/>
  <c r="Z893" i="3"/>
  <c r="P895" i="3"/>
  <c r="S896" i="3"/>
  <c r="V897" i="3"/>
  <c r="Y898" i="3"/>
  <c r="AB899" i="3"/>
  <c r="R901" i="3"/>
  <c r="U902" i="3"/>
  <c r="X903" i="3"/>
  <c r="AA904" i="3"/>
  <c r="Q906" i="3"/>
  <c r="S907" i="3"/>
  <c r="Q908" i="3"/>
  <c r="AB908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W986" i="3"/>
  <c r="Z987" i="3"/>
  <c r="P989" i="3"/>
  <c r="T993" i="3"/>
  <c r="X997" i="3"/>
  <c r="S992" i="3"/>
  <c r="R997" i="3"/>
  <c r="AA1000" i="3"/>
  <c r="AA746" i="3"/>
  <c r="U889" i="3"/>
  <c r="AE889" i="3" s="1"/>
  <c r="V908" i="3"/>
  <c r="S917" i="3"/>
  <c r="W921" i="3"/>
  <c r="AA925" i="3"/>
  <c r="AB928" i="3"/>
  <c r="X932" i="3"/>
  <c r="Y935" i="3"/>
  <c r="U939" i="3"/>
  <c r="AE939" i="3" s="1"/>
  <c r="AA941" i="3"/>
  <c r="AB944" i="3"/>
  <c r="P948" i="3"/>
  <c r="AA949" i="3"/>
  <c r="AB952" i="3"/>
  <c r="P956" i="3"/>
  <c r="Q959" i="3"/>
  <c r="R962" i="3"/>
  <c r="S965" i="3"/>
  <c r="AB968" i="3"/>
  <c r="X972" i="3"/>
  <c r="AB976" i="3"/>
  <c r="X980" i="3"/>
  <c r="Y983" i="3"/>
  <c r="Z986" i="3"/>
  <c r="AA989" i="3"/>
  <c r="W993" i="3"/>
  <c r="X996" i="3"/>
  <c r="T1000" i="3"/>
  <c r="Q668" i="3"/>
  <c r="Q704" i="3"/>
  <c r="T717" i="3"/>
  <c r="T730" i="3"/>
  <c r="V743" i="3"/>
  <c r="Y756" i="3"/>
  <c r="Y769" i="3"/>
  <c r="AA782" i="3"/>
  <c r="V790" i="3"/>
  <c r="U795" i="3"/>
  <c r="T800" i="3"/>
  <c r="S805" i="3"/>
  <c r="R810" i="3"/>
  <c r="Q815" i="3"/>
  <c r="P820" i="3"/>
  <c r="AB824" i="3"/>
  <c r="AA829" i="3"/>
  <c r="Z834" i="3"/>
  <c r="Y839" i="3"/>
  <c r="X844" i="3"/>
  <c r="W849" i="3"/>
  <c r="S853" i="3"/>
  <c r="Y855" i="3"/>
  <c r="R858" i="3"/>
  <c r="X860" i="3"/>
  <c r="Q863" i="3"/>
  <c r="W865" i="3"/>
  <c r="P868" i="3"/>
  <c r="V870" i="3"/>
  <c r="AB872" i="3"/>
  <c r="U875" i="3"/>
  <c r="AA877" i="3"/>
  <c r="T880" i="3"/>
  <c r="Z882" i="3"/>
  <c r="P885" i="3"/>
  <c r="V886" i="3"/>
  <c r="Y887" i="3"/>
  <c r="AB888" i="3"/>
  <c r="R890" i="3"/>
  <c r="U891" i="3"/>
  <c r="AE891" i="3" s="1"/>
  <c r="X892" i="3"/>
  <c r="AA893" i="3"/>
  <c r="Q895" i="3"/>
  <c r="T896" i="3"/>
  <c r="W897" i="3"/>
  <c r="Z898" i="3"/>
  <c r="P900" i="3"/>
  <c r="S901" i="3"/>
  <c r="V902" i="3"/>
  <c r="Y903" i="3"/>
  <c r="AB904" i="3"/>
  <c r="R906" i="3"/>
  <c r="T907" i="3"/>
  <c r="T908" i="3"/>
  <c r="P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P994" i="3"/>
  <c r="X994" i="3"/>
  <c r="Y997" i="3"/>
  <c r="Q994" i="3"/>
  <c r="P999" i="3"/>
  <c r="V720" i="3"/>
  <c r="S861" i="3"/>
  <c r="U883" i="3"/>
  <c r="T894" i="3"/>
  <c r="V900" i="3"/>
  <c r="X906" i="3"/>
  <c r="Y911" i="3"/>
  <c r="Z914" i="3"/>
  <c r="V918" i="3"/>
  <c r="R922" i="3"/>
  <c r="V926" i="3"/>
  <c r="U931" i="3"/>
  <c r="AE931" i="3" s="1"/>
  <c r="T936" i="3"/>
  <c r="X940" i="3"/>
  <c r="W945" i="3"/>
  <c r="T952" i="3"/>
  <c r="V958" i="3"/>
  <c r="Z962" i="3"/>
  <c r="V966" i="3"/>
  <c r="W969" i="3"/>
  <c r="S973" i="3"/>
  <c r="W977" i="3"/>
  <c r="AA981" i="3"/>
  <c r="R986" i="3"/>
  <c r="V990" i="3"/>
  <c r="Z994" i="3"/>
  <c r="Q999" i="3"/>
  <c r="U675" i="3"/>
  <c r="AE675" i="3" s="1"/>
  <c r="Y705" i="3"/>
  <c r="AA718" i="3"/>
  <c r="Q732" i="3"/>
  <c r="Q745" i="3"/>
  <c r="S758" i="3"/>
  <c r="V771" i="3"/>
  <c r="V784" i="3"/>
  <c r="Q791" i="3"/>
  <c r="P796" i="3"/>
  <c r="AB800" i="3"/>
  <c r="AA805" i="3"/>
  <c r="Z810" i="3"/>
  <c r="Y815" i="3"/>
  <c r="X820" i="3"/>
  <c r="W825" i="3"/>
  <c r="V830" i="3"/>
  <c r="U835" i="3"/>
  <c r="T840" i="3"/>
  <c r="S845" i="3"/>
  <c r="R850" i="3"/>
  <c r="Z853" i="3"/>
  <c r="S856" i="3"/>
  <c r="Y858" i="3"/>
  <c r="R861" i="3"/>
  <c r="X863" i="3"/>
  <c r="Q866" i="3"/>
  <c r="W868" i="3"/>
  <c r="P871" i="3"/>
  <c r="V873" i="3"/>
  <c r="AB875" i="3"/>
  <c r="U878" i="3"/>
  <c r="AE878" i="3" s="1"/>
  <c r="AA880" i="3"/>
  <c r="T883" i="3"/>
  <c r="R885" i="3"/>
  <c r="AA886" i="3"/>
  <c r="Q888" i="3"/>
  <c r="T889" i="3"/>
  <c r="W890" i="3"/>
  <c r="Z891" i="3"/>
  <c r="P893" i="3"/>
  <c r="S894" i="3"/>
  <c r="V895" i="3"/>
  <c r="Y896" i="3"/>
  <c r="AB897" i="3"/>
  <c r="R899" i="3"/>
  <c r="U900" i="3"/>
  <c r="X901" i="3"/>
  <c r="AA902" i="3"/>
  <c r="Q904" i="3"/>
  <c r="T905" i="3"/>
  <c r="W906" i="3"/>
  <c r="U907" i="3"/>
  <c r="U908" i="3"/>
  <c r="Q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AA992" i="3"/>
  <c r="Y994" i="3"/>
  <c r="U998" i="3"/>
  <c r="AE998" i="3" s="1"/>
  <c r="AA759" i="3"/>
  <c r="P773" i="3"/>
  <c r="Y791" i="3"/>
  <c r="W801" i="3"/>
  <c r="U811" i="3"/>
  <c r="AE811" i="3" s="1"/>
  <c r="Q831" i="3"/>
  <c r="AB840" i="3"/>
  <c r="AA853" i="3"/>
  <c r="R866" i="3"/>
  <c r="V878" i="3"/>
  <c r="S885" i="3"/>
  <c r="AA891" i="3"/>
  <c r="S899" i="3"/>
  <c r="U905" i="3"/>
  <c r="V910" i="3"/>
  <c r="AB912" i="3"/>
  <c r="P916" i="3"/>
  <c r="Q919" i="3"/>
  <c r="P924" i="3"/>
  <c r="W929" i="3"/>
  <c r="S933" i="3"/>
  <c r="R938" i="3"/>
  <c r="V942" i="3"/>
  <c r="Z946" i="3"/>
  <c r="V950" i="3"/>
  <c r="Z954" i="3"/>
  <c r="S957" i="3"/>
  <c r="W961" i="3"/>
  <c r="AA965" i="3"/>
  <c r="R970" i="3"/>
  <c r="Q975" i="3"/>
  <c r="P980" i="3"/>
  <c r="T984" i="3"/>
  <c r="P988" i="3"/>
  <c r="T992" i="3"/>
  <c r="S997" i="3"/>
  <c r="AE40" i="3"/>
  <c r="AE36" i="3"/>
  <c r="AE80" i="3"/>
  <c r="AE77" i="3"/>
  <c r="AE58" i="3"/>
  <c r="AE15" i="3"/>
  <c r="AE73" i="3"/>
  <c r="AE116" i="3"/>
  <c r="AE97" i="3"/>
  <c r="AE99" i="3"/>
  <c r="AE120" i="3"/>
  <c r="AE98" i="3"/>
  <c r="AE155" i="3"/>
  <c r="AE219" i="3"/>
  <c r="AE144" i="3"/>
  <c r="AE208" i="3"/>
  <c r="AE197" i="3"/>
  <c r="AE172" i="3"/>
  <c r="AE190" i="3"/>
  <c r="AE298" i="3"/>
  <c r="AE295" i="3"/>
  <c r="AE292" i="3"/>
  <c r="AE289" i="3"/>
  <c r="AE254" i="3"/>
  <c r="AE275" i="3"/>
  <c r="AE328" i="3"/>
  <c r="AE346" i="3"/>
  <c r="AE410" i="3"/>
  <c r="AE333" i="3"/>
  <c r="AE359" i="3"/>
  <c r="AE356" i="3"/>
  <c r="AE420" i="3"/>
  <c r="AE245" i="3"/>
  <c r="AE485" i="3"/>
  <c r="AE482" i="3"/>
  <c r="AE546" i="3"/>
  <c r="AE304" i="3"/>
  <c r="AE421" i="3"/>
  <c r="AE540" i="3"/>
  <c r="AE521" i="3"/>
  <c r="AE585" i="3"/>
  <c r="AE376" i="3"/>
  <c r="AE494" i="3"/>
  <c r="AE558" i="3"/>
  <c r="AE601" i="3"/>
  <c r="AE598" i="3"/>
  <c r="AE662" i="3"/>
  <c r="AE635" i="3"/>
  <c r="AE699" i="3"/>
  <c r="AE632" i="3"/>
  <c r="AE711" i="3"/>
  <c r="AE602" i="3"/>
  <c r="AE844" i="3"/>
  <c r="AE908" i="3"/>
  <c r="AE785" i="3"/>
  <c r="AE913" i="3"/>
  <c r="AE830" i="3"/>
  <c r="AE515" i="3"/>
  <c r="AE698" i="3"/>
  <c r="AE773" i="3"/>
  <c r="AE775" i="3"/>
  <c r="AE839" i="3"/>
  <c r="AE714" i="3"/>
  <c r="AE983" i="3"/>
  <c r="AE18" i="3"/>
  <c r="AE34" i="3"/>
  <c r="AE42" i="3"/>
  <c r="AE23" i="3"/>
  <c r="AE31" i="3"/>
  <c r="AE55" i="3"/>
  <c r="AE14" i="3"/>
  <c r="AE22" i="3"/>
  <c r="AE38" i="3"/>
  <c r="AE46" i="3"/>
  <c r="AE19" i="3"/>
  <c r="AE27" i="3"/>
  <c r="AE35" i="3"/>
  <c r="AE43" i="3"/>
  <c r="AE8" i="3"/>
  <c r="AE24" i="3"/>
  <c r="AE56" i="3"/>
  <c r="AE70" i="3"/>
  <c r="AE78" i="3"/>
  <c r="AE28" i="3"/>
  <c r="AE44" i="3"/>
  <c r="AE64" i="3"/>
  <c r="AE72" i="3"/>
  <c r="AE96" i="3"/>
  <c r="AE17" i="3"/>
  <c r="AE49" i="3"/>
  <c r="AE61" i="3"/>
  <c r="AE85" i="3"/>
  <c r="AE93" i="3"/>
  <c r="AE32" i="3"/>
  <c r="AE48" i="3"/>
  <c r="AE54" i="3"/>
  <c r="AE20" i="3"/>
  <c r="O45" i="3" a="1"/>
  <c r="O45" i="3" s="1"/>
  <c r="AE52" i="3"/>
  <c r="AE60" i="3"/>
  <c r="AE68" i="3"/>
  <c r="AE9" i="3"/>
  <c r="AE25" i="3"/>
  <c r="AE41" i="3"/>
  <c r="AE65" i="3"/>
  <c r="AE81" i="3"/>
  <c r="AE92" i="3"/>
  <c r="AE128" i="3"/>
  <c r="AE136" i="3"/>
  <c r="AE37" i="3"/>
  <c r="AE109" i="3"/>
  <c r="AE117" i="3"/>
  <c r="AE125" i="3"/>
  <c r="AE133" i="3"/>
  <c r="AE141" i="3"/>
  <c r="AE29" i="3"/>
  <c r="AE57" i="3"/>
  <c r="AE90" i="3"/>
  <c r="AE94" i="3"/>
  <c r="AE108" i="3"/>
  <c r="AE124" i="3"/>
  <c r="AE105" i="3"/>
  <c r="AE113" i="3"/>
  <c r="AE121" i="3"/>
  <c r="AE129" i="3"/>
  <c r="AE102" i="3"/>
  <c r="AE106" i="3"/>
  <c r="AE152" i="3"/>
  <c r="AE160" i="3"/>
  <c r="AE168" i="3"/>
  <c r="AE176" i="3"/>
  <c r="AE184" i="3"/>
  <c r="AE200" i="3"/>
  <c r="AE89" i="3"/>
  <c r="AE111" i="3"/>
  <c r="AE135" i="3"/>
  <c r="AE157" i="3"/>
  <c r="AE165" i="3"/>
  <c r="AE173" i="3"/>
  <c r="AE189" i="3"/>
  <c r="AE114" i="3"/>
  <c r="AE132" i="3"/>
  <c r="AE146" i="3"/>
  <c r="AE156" i="3"/>
  <c r="AE164" i="3"/>
  <c r="AE180" i="3"/>
  <c r="AE188" i="3"/>
  <c r="AE196" i="3"/>
  <c r="AE204" i="3"/>
  <c r="AE53" i="3"/>
  <c r="AE79" i="3"/>
  <c r="AE103" i="3"/>
  <c r="AE119" i="3"/>
  <c r="AE137" i="3"/>
  <c r="AE153" i="3"/>
  <c r="AE177" i="3"/>
  <c r="AE185" i="3"/>
  <c r="AE193" i="3"/>
  <c r="AE201" i="3"/>
  <c r="AE209" i="3"/>
  <c r="R17" i="1"/>
  <c r="AE45" i="3"/>
  <c r="AE100" i="3"/>
  <c r="AE118" i="3"/>
  <c r="AE138" i="3"/>
  <c r="AE126" i="3"/>
  <c r="AE130" i="3"/>
  <c r="AE140" i="3"/>
  <c r="AE162" i="3"/>
  <c r="AE178" i="3"/>
  <c r="AE194" i="3"/>
  <c r="AE210" i="3"/>
  <c r="AE216" i="3"/>
  <c r="AE224" i="3"/>
  <c r="AE232" i="3"/>
  <c r="AE240" i="3"/>
  <c r="AE248" i="3"/>
  <c r="AE264" i="3"/>
  <c r="AE272" i="3"/>
  <c r="AE280" i="3"/>
  <c r="AE288" i="3"/>
  <c r="AE296" i="3"/>
  <c r="AE344" i="3"/>
  <c r="AE352" i="3"/>
  <c r="AE360" i="3"/>
  <c r="AE368" i="3"/>
  <c r="AE91" i="3"/>
  <c r="AE145" i="3"/>
  <c r="AE151" i="3"/>
  <c r="AE167" i="3"/>
  <c r="AE183" i="3"/>
  <c r="AE213" i="3"/>
  <c r="AE221" i="3"/>
  <c r="AE229" i="3"/>
  <c r="AE237" i="3"/>
  <c r="AE253" i="3"/>
  <c r="AE261" i="3"/>
  <c r="AE269" i="3"/>
  <c r="AE277" i="3"/>
  <c r="AE285" i="3"/>
  <c r="AE301" i="3"/>
  <c r="AE309" i="3"/>
  <c r="AE317" i="3"/>
  <c r="AE341" i="3"/>
  <c r="AE349" i="3"/>
  <c r="AE357" i="3"/>
  <c r="AE365" i="3"/>
  <c r="AE75" i="3"/>
  <c r="AE86" i="3"/>
  <c r="AE110" i="3"/>
  <c r="AE127" i="3"/>
  <c r="AE154" i="3"/>
  <c r="AE170" i="3"/>
  <c r="AE186" i="3"/>
  <c r="AE202" i="3"/>
  <c r="AE220" i="3"/>
  <c r="AE228" i="3"/>
  <c r="AE244" i="3"/>
  <c r="AE252" i="3"/>
  <c r="AE260" i="3"/>
  <c r="AE276" i="3"/>
  <c r="AE284" i="3"/>
  <c r="AE300" i="3"/>
  <c r="AE308" i="3"/>
  <c r="AE324" i="3"/>
  <c r="AE332" i="3"/>
  <c r="AE340" i="3"/>
  <c r="AE348" i="3"/>
  <c r="AE364" i="3"/>
  <c r="AE21" i="3"/>
  <c r="AE115" i="3"/>
  <c r="AE131" i="3"/>
  <c r="AE207" i="3"/>
  <c r="AE217" i="3"/>
  <c r="AE225" i="3"/>
  <c r="AE241" i="3"/>
  <c r="AE249" i="3"/>
  <c r="AE257" i="3"/>
  <c r="AE265" i="3"/>
  <c r="AE273" i="3"/>
  <c r="AE297" i="3"/>
  <c r="AE313" i="3"/>
  <c r="AE321" i="3"/>
  <c r="AE329" i="3"/>
  <c r="AE337" i="3"/>
  <c r="AE345" i="3"/>
  <c r="AE353" i="3"/>
  <c r="AE361" i="3"/>
  <c r="AE174" i="3"/>
  <c r="AE206" i="3"/>
  <c r="AE222" i="3"/>
  <c r="AE238" i="3"/>
  <c r="AE270" i="3"/>
  <c r="AE123" i="3"/>
  <c r="AE143" i="3"/>
  <c r="AE179" i="3"/>
  <c r="AE211" i="3"/>
  <c r="AE227" i="3"/>
  <c r="AE259" i="3"/>
  <c r="AE150" i="3"/>
  <c r="AE182" i="3"/>
  <c r="AE226" i="3"/>
  <c r="AE242" i="3"/>
  <c r="AE290" i="3"/>
  <c r="AE306" i="3"/>
  <c r="AE322" i="3"/>
  <c r="AE338" i="3"/>
  <c r="AE354" i="3"/>
  <c r="AE384" i="3"/>
  <c r="AE392" i="3"/>
  <c r="AE400" i="3"/>
  <c r="AE408" i="3"/>
  <c r="AE416" i="3"/>
  <c r="AE424" i="3"/>
  <c r="AE432" i="3"/>
  <c r="AE440" i="3"/>
  <c r="AE448" i="3"/>
  <c r="AE456" i="3"/>
  <c r="AE147" i="3"/>
  <c r="AE187" i="3"/>
  <c r="AE215" i="3"/>
  <c r="AE231" i="3"/>
  <c r="AE247" i="3"/>
  <c r="AE263" i="3"/>
  <c r="AE279" i="3"/>
  <c r="AE311" i="3"/>
  <c r="AE327" i="3"/>
  <c r="AE343" i="3"/>
  <c r="AE373" i="3"/>
  <c r="AE381" i="3"/>
  <c r="AE389" i="3"/>
  <c r="AE405" i="3"/>
  <c r="AE413" i="3"/>
  <c r="AE437" i="3"/>
  <c r="AE445" i="3"/>
  <c r="AE453" i="3"/>
  <c r="AE107" i="3"/>
  <c r="AE158" i="3"/>
  <c r="AE214" i="3"/>
  <c r="AE230" i="3"/>
  <c r="AE246" i="3"/>
  <c r="AE262" i="3"/>
  <c r="AE195" i="3"/>
  <c r="AE235" i="3"/>
  <c r="AE142" i="3"/>
  <c r="AE166" i="3"/>
  <c r="AE198" i="3"/>
  <c r="AE234" i="3"/>
  <c r="AE250" i="3"/>
  <c r="AE266" i="3"/>
  <c r="AE282" i="3"/>
  <c r="AE314" i="3"/>
  <c r="AE330" i="3"/>
  <c r="AE362" i="3"/>
  <c r="AE380" i="3"/>
  <c r="AE388" i="3"/>
  <c r="AE396" i="3"/>
  <c r="AE404" i="3"/>
  <c r="AE428" i="3"/>
  <c r="AE436" i="3"/>
  <c r="AE444" i="3"/>
  <c r="AE452" i="3"/>
  <c r="AE460" i="3"/>
  <c r="AE87" i="3"/>
  <c r="AE171" i="3"/>
  <c r="AE203" i="3"/>
  <c r="AE223" i="3"/>
  <c r="AE239" i="3"/>
  <c r="AE255" i="3"/>
  <c r="AE271" i="3"/>
  <c r="AE287" i="3"/>
  <c r="AE303" i="3"/>
  <c r="AE319" i="3"/>
  <c r="AE335" i="3"/>
  <c r="AE351" i="3"/>
  <c r="AE367" i="3"/>
  <c r="AE377" i="3"/>
  <c r="AE385" i="3"/>
  <c r="AE393" i="3"/>
  <c r="AE401" i="3"/>
  <c r="AE409" i="3"/>
  <c r="AE417" i="3"/>
  <c r="AE425" i="3"/>
  <c r="AE433" i="3"/>
  <c r="AE449" i="3"/>
  <c r="AE457" i="3"/>
  <c r="AE465" i="3"/>
  <c r="AE286" i="3"/>
  <c r="AE350" i="3"/>
  <c r="AE390" i="3"/>
  <c r="AE406" i="3"/>
  <c r="AE422" i="3"/>
  <c r="AE438" i="3"/>
  <c r="AE454" i="3"/>
  <c r="AE487" i="3"/>
  <c r="AE291" i="3"/>
  <c r="AE323" i="3"/>
  <c r="AE355" i="3"/>
  <c r="AE379" i="3"/>
  <c r="AE411" i="3"/>
  <c r="AE427" i="3"/>
  <c r="AE443" i="3"/>
  <c r="AE484" i="3"/>
  <c r="AE294" i="3"/>
  <c r="AE326" i="3"/>
  <c r="AE358" i="3"/>
  <c r="AE394" i="3"/>
  <c r="AE426" i="3"/>
  <c r="AE442" i="3"/>
  <c r="AE458" i="3"/>
  <c r="AE459" i="3"/>
  <c r="AE461" i="3"/>
  <c r="AE462" i="3"/>
  <c r="AE471" i="3"/>
  <c r="AE473" i="3"/>
  <c r="AE481" i="3"/>
  <c r="AE497" i="3"/>
  <c r="AE505" i="3"/>
  <c r="AE513" i="3"/>
  <c r="AE529" i="3"/>
  <c r="AE537" i="3"/>
  <c r="AE561" i="3"/>
  <c r="AE569" i="3"/>
  <c r="AE577" i="3"/>
  <c r="AE593" i="3"/>
  <c r="AE625" i="3"/>
  <c r="AE633" i="3"/>
  <c r="AE641" i="3"/>
  <c r="AE649" i="3"/>
  <c r="AE299" i="3"/>
  <c r="AE363" i="3"/>
  <c r="AE399" i="3"/>
  <c r="AE415" i="3"/>
  <c r="AE431" i="3"/>
  <c r="AE463" i="3"/>
  <c r="AE466" i="3"/>
  <c r="AE467" i="3"/>
  <c r="AE478" i="3"/>
  <c r="AE486" i="3"/>
  <c r="AE502" i="3"/>
  <c r="AE510" i="3"/>
  <c r="AE518" i="3"/>
  <c r="AE526" i="3"/>
  <c r="AE542" i="3"/>
  <c r="AE550" i="3"/>
  <c r="AE566" i="3"/>
  <c r="AE574" i="3"/>
  <c r="AE606" i="3"/>
  <c r="AE614" i="3"/>
  <c r="AE622" i="3"/>
  <c r="AE654" i="3"/>
  <c r="AE302" i="3"/>
  <c r="AE366" i="3"/>
  <c r="AE382" i="3"/>
  <c r="AE398" i="3"/>
  <c r="AE414" i="3"/>
  <c r="AE446" i="3"/>
  <c r="AE468" i="3"/>
  <c r="AE475" i="3"/>
  <c r="AE483" i="3"/>
  <c r="AE491" i="3"/>
  <c r="AE307" i="3"/>
  <c r="AE339" i="3"/>
  <c r="AE371" i="3"/>
  <c r="AE387" i="3"/>
  <c r="AE403" i="3"/>
  <c r="AE435" i="3"/>
  <c r="AE451" i="3"/>
  <c r="AE469" i="3"/>
  <c r="AE472" i="3"/>
  <c r="AE480" i="3"/>
  <c r="AE488" i="3"/>
  <c r="AE310" i="3"/>
  <c r="AE342" i="3"/>
  <c r="AE386" i="3"/>
  <c r="AE402" i="3"/>
  <c r="AE418" i="3"/>
  <c r="AE434" i="3"/>
  <c r="AE477" i="3"/>
  <c r="AE493" i="3"/>
  <c r="AE501" i="3"/>
  <c r="AE509" i="3"/>
  <c r="AE517" i="3"/>
  <c r="AE525" i="3"/>
  <c r="AE541" i="3"/>
  <c r="AE557" i="3"/>
  <c r="AE565" i="3"/>
  <c r="AE573" i="3"/>
  <c r="AE581" i="3"/>
  <c r="AE589" i="3"/>
  <c r="AE597" i="3"/>
  <c r="AE613" i="3"/>
  <c r="AE637" i="3"/>
  <c r="AE645" i="3"/>
  <c r="AE653" i="3"/>
  <c r="AE283" i="3"/>
  <c r="AE315" i="3"/>
  <c r="AE347" i="3"/>
  <c r="AE375" i="3"/>
  <c r="AE391" i="3"/>
  <c r="AE407" i="3"/>
  <c r="AE423" i="3"/>
  <c r="AE455" i="3"/>
  <c r="AE470" i="3"/>
  <c r="AE474" i="3"/>
  <c r="AE490" i="3"/>
  <c r="AE498" i="3"/>
  <c r="AE514" i="3"/>
  <c r="AE522" i="3"/>
  <c r="AE530" i="3"/>
  <c r="AE538" i="3"/>
  <c r="AE554" i="3"/>
  <c r="AE562" i="3"/>
  <c r="AE570" i="3"/>
  <c r="AE578" i="3"/>
  <c r="AE586" i="3"/>
  <c r="AE594" i="3"/>
  <c r="AE610" i="3"/>
  <c r="AE634" i="3"/>
  <c r="AE650" i="3"/>
  <c r="AE658" i="3"/>
  <c r="AE508" i="3"/>
  <c r="AE524" i="3"/>
  <c r="AE572" i="3"/>
  <c r="AE588" i="3"/>
  <c r="AE620" i="3"/>
  <c r="AE636" i="3"/>
  <c r="AE652" i="3"/>
  <c r="AE686" i="3"/>
  <c r="AE495" i="3"/>
  <c r="AE507" i="3"/>
  <c r="AE523" i="3"/>
  <c r="AE539" i="3"/>
  <c r="AE512" i="3"/>
  <c r="AE528" i="3"/>
  <c r="AE544" i="3"/>
  <c r="AE624" i="3"/>
  <c r="AE640" i="3"/>
  <c r="AE667" i="3"/>
  <c r="AE680" i="3"/>
  <c r="AE688" i="3"/>
  <c r="AE704" i="3"/>
  <c r="AE720" i="3"/>
  <c r="AE728" i="3"/>
  <c r="AE744" i="3"/>
  <c r="AE752" i="3"/>
  <c r="AE760" i="3"/>
  <c r="AE768" i="3"/>
  <c r="AE776" i="3"/>
  <c r="AE784" i="3"/>
  <c r="AE792" i="3"/>
  <c r="AE800" i="3"/>
  <c r="AE808" i="3"/>
  <c r="AE816" i="3"/>
  <c r="AE824" i="3"/>
  <c r="AE848" i="3"/>
  <c r="AE856" i="3"/>
  <c r="AE864" i="3"/>
  <c r="AE880" i="3"/>
  <c r="AE888" i="3"/>
  <c r="AE511" i="3"/>
  <c r="AE527" i="3"/>
  <c r="AE559" i="3"/>
  <c r="AE575" i="3"/>
  <c r="AE591" i="3"/>
  <c r="AE607" i="3"/>
  <c r="AE639" i="3"/>
  <c r="AE672" i="3"/>
  <c r="AE677" i="3"/>
  <c r="AE701" i="3"/>
  <c r="AE709" i="3"/>
  <c r="AE717" i="3"/>
  <c r="AE725" i="3"/>
  <c r="AE733" i="3"/>
  <c r="AE741" i="3"/>
  <c r="AE757" i="3"/>
  <c r="AE765" i="3"/>
  <c r="AE781" i="3"/>
  <c r="AE789" i="3"/>
  <c r="AE797" i="3"/>
  <c r="AE813" i="3"/>
  <c r="AE821" i="3"/>
  <c r="AE845" i="3"/>
  <c r="AE853" i="3"/>
  <c r="AE861" i="3"/>
  <c r="AE877" i="3"/>
  <c r="AE885" i="3"/>
  <c r="AE500" i="3"/>
  <c r="AE516" i="3"/>
  <c r="AE532" i="3"/>
  <c r="AE548" i="3"/>
  <c r="AE580" i="3"/>
  <c r="AE596" i="3"/>
  <c r="AE612" i="3"/>
  <c r="AE628" i="3"/>
  <c r="AE660" i="3"/>
  <c r="AE670" i="3"/>
  <c r="AE682" i="3"/>
  <c r="AE499" i="3"/>
  <c r="AE547" i="3"/>
  <c r="AE563" i="3"/>
  <c r="AE504" i="3"/>
  <c r="AE520" i="3"/>
  <c r="AE536" i="3"/>
  <c r="AE552" i="3"/>
  <c r="AE568" i="3"/>
  <c r="AE584" i="3"/>
  <c r="AE600" i="3"/>
  <c r="AE616" i="3"/>
  <c r="AE648" i="3"/>
  <c r="AE684" i="3"/>
  <c r="AE692" i="3"/>
  <c r="AE708" i="3"/>
  <c r="AE716" i="3"/>
  <c r="AE732" i="3"/>
  <c r="AE740" i="3"/>
  <c r="AE748" i="3"/>
  <c r="AE764" i="3"/>
  <c r="AE772" i="3"/>
  <c r="AE788" i="3"/>
  <c r="AE796" i="3"/>
  <c r="AE820" i="3"/>
  <c r="AE828" i="3"/>
  <c r="AE836" i="3"/>
  <c r="AE852" i="3"/>
  <c r="AE860" i="3"/>
  <c r="AE892" i="3"/>
  <c r="AE900" i="3"/>
  <c r="AE519" i="3"/>
  <c r="AE551" i="3"/>
  <c r="AE567" i="3"/>
  <c r="AE599" i="3"/>
  <c r="AE615" i="3"/>
  <c r="AE631" i="3"/>
  <c r="AE664" i="3"/>
  <c r="AE671" i="3"/>
  <c r="AE673" i="3"/>
  <c r="AE681" i="3"/>
  <c r="AE689" i="3"/>
  <c r="AE697" i="3"/>
  <c r="AE713" i="3"/>
  <c r="AE721" i="3"/>
  <c r="AE745" i="3"/>
  <c r="AE753" i="3"/>
  <c r="AE761" i="3"/>
  <c r="AE777" i="3"/>
  <c r="AE793" i="3"/>
  <c r="AE809" i="3"/>
  <c r="AE817" i="3"/>
  <c r="AE841" i="3"/>
  <c r="AE857" i="3"/>
  <c r="AE873" i="3"/>
  <c r="AE881" i="3"/>
  <c r="AE603" i="3"/>
  <c r="AE669" i="3"/>
  <c r="AE746" i="3"/>
  <c r="AE778" i="3"/>
  <c r="AE794" i="3"/>
  <c r="AE643" i="3"/>
  <c r="AE703" i="3"/>
  <c r="AE719" i="3"/>
  <c r="AE751" i="3"/>
  <c r="AE783" i="3"/>
  <c r="AE815" i="3"/>
  <c r="AE847" i="3"/>
  <c r="AE619" i="3"/>
  <c r="AE687" i="3"/>
  <c r="AE702" i="3"/>
  <c r="AE718" i="3"/>
  <c r="AE734" i="3"/>
  <c r="AE750" i="3"/>
  <c r="AE782" i="3"/>
  <c r="AE798" i="3"/>
  <c r="AE846" i="3"/>
  <c r="AE862" i="3"/>
  <c r="AE905" i="3"/>
  <c r="AE921" i="3"/>
  <c r="AE945" i="3"/>
  <c r="AE953" i="3"/>
  <c r="AE985" i="3"/>
  <c r="AE993" i="3"/>
  <c r="AE595" i="3"/>
  <c r="AE659" i="3"/>
  <c r="AE707" i="3"/>
  <c r="AE723" i="3"/>
  <c r="AE739" i="3"/>
  <c r="AE771" i="3"/>
  <c r="AE787" i="3"/>
  <c r="AE803" i="3"/>
  <c r="AE835" i="3"/>
  <c r="AE851" i="3"/>
  <c r="AE867" i="3"/>
  <c r="AE883" i="3"/>
  <c r="AE918" i="3"/>
  <c r="AE926" i="3"/>
  <c r="AE950" i="3"/>
  <c r="AE982" i="3"/>
  <c r="AE990" i="3"/>
  <c r="AE683" i="3"/>
  <c r="AE690" i="3"/>
  <c r="AE706" i="3"/>
  <c r="AE722" i="3"/>
  <c r="AE738" i="3"/>
  <c r="AE770" i="3"/>
  <c r="AE786" i="3"/>
  <c r="AE802" i="3"/>
  <c r="AE818" i="3"/>
  <c r="AE850" i="3"/>
  <c r="AE611" i="3"/>
  <c r="AE695" i="3"/>
  <c r="AE727" i="3"/>
  <c r="AE743" i="3"/>
  <c r="AE807" i="3"/>
  <c r="AE823" i="3"/>
  <c r="AE855" i="3"/>
  <c r="AE587" i="3"/>
  <c r="AE651" i="3"/>
  <c r="AE694" i="3"/>
  <c r="AE710" i="3"/>
  <c r="AE742" i="3"/>
  <c r="AE774" i="3"/>
  <c r="AE790" i="3"/>
  <c r="AE806" i="3"/>
  <c r="AE838" i="3"/>
  <c r="AE854" i="3"/>
  <c r="AE870" i="3"/>
  <c r="AE886" i="3"/>
  <c r="AE909" i="3"/>
  <c r="AE917" i="3"/>
  <c r="AE925" i="3"/>
  <c r="AE949" i="3"/>
  <c r="AE957" i="3"/>
  <c r="AE965" i="3"/>
  <c r="AE973" i="3"/>
  <c r="AE981" i="3"/>
  <c r="AE826" i="3"/>
  <c r="AE858" i="3"/>
  <c r="AE890" i="3"/>
  <c r="AE898" i="3"/>
  <c r="AE627" i="3"/>
  <c r="AE679" i="3"/>
  <c r="AE715" i="3"/>
  <c r="AE747" i="3"/>
  <c r="AE779" i="3"/>
  <c r="AE795" i="3"/>
  <c r="AE827" i="3"/>
  <c r="AE843" i="3"/>
  <c r="AE859" i="3"/>
  <c r="AE875" i="3"/>
  <c r="AE914" i="3"/>
  <c r="AE922" i="3"/>
  <c r="AE930" i="3"/>
  <c r="AE938" i="3"/>
  <c r="AE946" i="3"/>
  <c r="AE954" i="3"/>
  <c r="AE978" i="3"/>
  <c r="AE986" i="3"/>
  <c r="AE994" i="3"/>
  <c r="AE866" i="3"/>
  <c r="AE882" i="3"/>
  <c r="AE924" i="3"/>
  <c r="AE940" i="3"/>
  <c r="AE956" i="3"/>
  <c r="AE988" i="3"/>
  <c r="AE992" i="3"/>
  <c r="AE879" i="3"/>
  <c r="AE907" i="3"/>
  <c r="AE923" i="3"/>
  <c r="AE971" i="3"/>
  <c r="AE987" i="3"/>
  <c r="AE912" i="3"/>
  <c r="AE928" i="3"/>
  <c r="AE944" i="3"/>
  <c r="AE976" i="3"/>
  <c r="AE903" i="3"/>
  <c r="AE911" i="3"/>
  <c r="AE927" i="3"/>
  <c r="AE943" i="3"/>
  <c r="AE975" i="3"/>
  <c r="AE991" i="3"/>
  <c r="AE932" i="3"/>
  <c r="AE964" i="3"/>
  <c r="AE871" i="3"/>
  <c r="AE902" i="3"/>
  <c r="AE919" i="3"/>
  <c r="AE951" i="3"/>
  <c r="AE887" i="3"/>
  <c r="AE915" i="3"/>
  <c r="AE947" i="3"/>
  <c r="AE995" i="3"/>
  <c r="AE952" i="3"/>
  <c r="AE984" i="3"/>
  <c r="AE16" i="3"/>
  <c r="AE26" i="3"/>
  <c r="AE50" i="3"/>
  <c r="AE39" i="3"/>
  <c r="AE47" i="3"/>
  <c r="AE30" i="3"/>
  <c r="AE11" i="3"/>
  <c r="AE66" i="3"/>
  <c r="AE71" i="3"/>
  <c r="AE62" i="3"/>
  <c r="AE33" i="3"/>
  <c r="AE76" i="3"/>
  <c r="AE88" i="3"/>
  <c r="AE112" i="3"/>
  <c r="AE139" i="3"/>
  <c r="AE161" i="3"/>
  <c r="AE169" i="3"/>
  <c r="AE148" i="3"/>
  <c r="AE236" i="3"/>
  <c r="AE325" i="3"/>
  <c r="AE336" i="3"/>
  <c r="AE429" i="3"/>
  <c r="AE447" i="3"/>
  <c r="AE63" i="3"/>
  <c r="AE67" i="3"/>
  <c r="AE312" i="3"/>
  <c r="AE69" i="3"/>
  <c r="W3" i="3" l="1"/>
  <c r="V3" i="3" s="1"/>
  <c r="W4" i="3"/>
  <c r="V4" i="3" s="1"/>
  <c r="D14" i="1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<sst xmlns="http://schemas.openxmlformats.org/spreadsheetml/2006/main" count="484" uniqueCount="277">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</sst>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29.329850963413399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-5.2349849543087812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70.519335009331385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291.17185080483603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97.327357386153537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5.3836743711046724</c:v>
                </c:pt>
                <c:pt idx="1">
                  <c:v>251.95395665577922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</c:v>
                </c:pt>
                <c:pt idx="1">
                  <c:v>33.228710225617249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5.6843418860808015E-14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5.3836743711046724</c:v>
                </c:pt>
                <c:pt idx="97">
                  <c:v>5.6430283176815212</c:v>
                </c:pt>
                <c:pt idx="98">
                  <c:v>5.9197180655436963</c:v>
                </c:pt>
                <c:pt idx="99">
                  <c:v>6.2095246692085793</c:v>
                </c:pt>
                <c:pt idx="100">
                  <c:v>6.5200584690803769</c:v>
                </c:pt>
                <c:pt idx="101">
                  <c:v>6.8333268385510761</c:v>
                </c:pt>
                <c:pt idx="102">
                  <c:v>7.1765386999961462</c:v>
                </c:pt>
                <c:pt idx="103">
                  <c:v>7.5191470678225771</c:v>
                </c:pt>
                <c:pt idx="104">
                  <c:v>7.8927776018294304</c:v>
                </c:pt>
                <c:pt idx="105">
                  <c:v>8.2750975347879017</c:v>
                </c:pt>
                <c:pt idx="106">
                  <c:v>8.6364780989594898</c:v>
                </c:pt>
                <c:pt idx="107">
                  <c:v>9.0154816548286121</c:v>
                </c:pt>
                <c:pt idx="108">
                  <c:v>9.4012550421820311</c:v>
                </c:pt>
                <c:pt idx="109">
                  <c:v>9.8029501758170916</c:v>
                </c:pt>
                <c:pt idx="110">
                  <c:v>10.225790879412319</c:v>
                </c:pt>
                <c:pt idx="111">
                  <c:v>10.690970356267275</c:v>
                </c:pt>
                <c:pt idx="112">
                  <c:v>11.202243130760239</c:v>
                </c:pt>
                <c:pt idx="113">
                  <c:v>11.748749714057444</c:v>
                </c:pt>
                <c:pt idx="114">
                  <c:v>12.345846669627528</c:v>
                </c:pt>
                <c:pt idx="115">
                  <c:v>12.973081266115244</c:v>
                </c:pt>
                <c:pt idx="116">
                  <c:v>13.652165662027294</c:v>
                </c:pt>
                <c:pt idx="117">
                  <c:v>14.348084002335913</c:v>
                </c:pt>
                <c:pt idx="118">
                  <c:v>15.074467717624435</c:v>
                </c:pt>
                <c:pt idx="119">
                  <c:v>15.792101939967692</c:v>
                </c:pt>
                <c:pt idx="120">
                  <c:v>16.539292047332186</c:v>
                </c:pt>
                <c:pt idx="121">
                  <c:v>17.338685845559599</c:v>
                </c:pt>
                <c:pt idx="122">
                  <c:v>18.183103021184333</c:v>
                </c:pt>
                <c:pt idx="123">
                  <c:v>19.042983243387226</c:v>
                </c:pt>
                <c:pt idx="124">
                  <c:v>19.949773236596496</c:v>
                </c:pt>
                <c:pt idx="125">
                  <c:v>20.991542554634979</c:v>
                </c:pt>
                <c:pt idx="126">
                  <c:v>22.101744174483812</c:v>
                </c:pt>
                <c:pt idx="127">
                  <c:v>23.300037036317331</c:v>
                </c:pt>
                <c:pt idx="128">
                  <c:v>24.547351909019621</c:v>
                </c:pt>
                <c:pt idx="129">
                  <c:v>25.796213313173869</c:v>
                </c:pt>
                <c:pt idx="130">
                  <c:v>27.195083805638756</c:v>
                </c:pt>
                <c:pt idx="131">
                  <c:v>28.580398575556757</c:v>
                </c:pt>
                <c:pt idx="132">
                  <c:v>30.063563845592991</c:v>
                </c:pt>
                <c:pt idx="133">
                  <c:v>31.648557895098971</c:v>
                </c:pt>
                <c:pt idx="134">
                  <c:v>33.405318544160409</c:v>
                </c:pt>
                <c:pt idx="135">
                  <c:v>35.180319005943964</c:v>
                </c:pt>
                <c:pt idx="136">
                  <c:v>37.081547557559091</c:v>
                </c:pt>
                <c:pt idx="137">
                  <c:v>39.15955914338015</c:v>
                </c:pt>
                <c:pt idx="138">
                  <c:v>41.391368436445354</c:v>
                </c:pt>
                <c:pt idx="139">
                  <c:v>43.698018614853758</c:v>
                </c:pt>
                <c:pt idx="140">
                  <c:v>46.036208089156922</c:v>
                </c:pt>
                <c:pt idx="141">
                  <c:v>48.442360379538989</c:v>
                </c:pt>
                <c:pt idx="142">
                  <c:v>50.925659130473676</c:v>
                </c:pt>
                <c:pt idx="143">
                  <c:v>53.472878663598067</c:v>
                </c:pt>
                <c:pt idx="144">
                  <c:v>56.174010278319237</c:v>
                </c:pt>
                <c:pt idx="145">
                  <c:v>59.026395501176552</c:v>
                </c:pt>
                <c:pt idx="146">
                  <c:v>62.167284742531869</c:v>
                </c:pt>
                <c:pt idx="147">
                  <c:v>65.301000695240901</c:v>
                </c:pt>
                <c:pt idx="148">
                  <c:v>68.503279549483167</c:v>
                </c:pt>
                <c:pt idx="149">
                  <c:v>71.983903437414853</c:v>
                </c:pt>
                <c:pt idx="150">
                  <c:v>75.732073085311271</c:v>
                </c:pt>
                <c:pt idx="151">
                  <c:v>79.769439051605474</c:v>
                </c:pt>
                <c:pt idx="152">
                  <c:v>83.881932808083207</c:v>
                </c:pt>
                <c:pt idx="153">
                  <c:v>87.985523015167672</c:v>
                </c:pt>
                <c:pt idx="154">
                  <c:v>92.15282870885008</c:v>
                </c:pt>
                <c:pt idx="155">
                  <c:v>96.587020132167453</c:v>
                </c:pt>
                <c:pt idx="156">
                  <c:v>100.90428567484049</c:v>
                </c:pt>
                <c:pt idx="157">
                  <c:v>105.32149063020273</c:v>
                </c:pt>
                <c:pt idx="158">
                  <c:v>109.8865051210452</c:v>
                </c:pt>
                <c:pt idx="159">
                  <c:v>114.38729538141318</c:v>
                </c:pt>
                <c:pt idx="160">
                  <c:v>119.37212127961023</c:v>
                </c:pt>
                <c:pt idx="161">
                  <c:v>124.54264473560994</c:v>
                </c:pt>
                <c:pt idx="162">
                  <c:v>129.31835483427969</c:v>
                </c:pt>
                <c:pt idx="163">
                  <c:v>134.28943016097435</c:v>
                </c:pt>
                <c:pt idx="164">
                  <c:v>139.59310353072729</c:v>
                </c:pt>
                <c:pt idx="165">
                  <c:v>144.85192811032519</c:v>
                </c:pt>
                <c:pt idx="166">
                  <c:v>149.91052106204933</c:v>
                </c:pt>
                <c:pt idx="167">
                  <c:v>154.77208574329904</c:v>
                </c:pt>
                <c:pt idx="168">
                  <c:v>159.63964466973744</c:v>
                </c:pt>
                <c:pt idx="169">
                  <c:v>164.81325604593897</c:v>
                </c:pt>
                <c:pt idx="170">
                  <c:v>169.64213348413182</c:v>
                </c:pt>
                <c:pt idx="171">
                  <c:v>174.26523185994566</c:v>
                </c:pt>
                <c:pt idx="172">
                  <c:v>178.74957489470776</c:v>
                </c:pt>
                <c:pt idx="173">
                  <c:v>183.41539415158107</c:v>
                </c:pt>
                <c:pt idx="174">
                  <c:v>188.14336951420984</c:v>
                </c:pt>
                <c:pt idx="175">
                  <c:v>192.95906974490873</c:v>
                </c:pt>
                <c:pt idx="176">
                  <c:v>197.33934254891767</c:v>
                </c:pt>
                <c:pt idx="177">
                  <c:v>201.8305341410049</c:v>
                </c:pt>
                <c:pt idx="178">
                  <c:v>206.32647731951189</c:v>
                </c:pt>
                <c:pt idx="179">
                  <c:v>211.0258359014347</c:v>
                </c:pt>
                <c:pt idx="180">
                  <c:v>215.28601031833244</c:v>
                </c:pt>
                <c:pt idx="181">
                  <c:v>219.38528350154331</c:v>
                </c:pt>
                <c:pt idx="182">
                  <c:v>223.48955091773377</c:v>
                </c:pt>
                <c:pt idx="183">
                  <c:v>227.33187380462934</c:v>
                </c:pt>
                <c:pt idx="184">
                  <c:v>230.8116179386183</c:v>
                </c:pt>
                <c:pt idx="185">
                  <c:v>234.15007275804996</c:v>
                </c:pt>
                <c:pt idx="186">
                  <c:v>237.29104764406034</c:v>
                </c:pt>
                <c:pt idx="187">
                  <c:v>240.34387189619</c:v>
                </c:pt>
                <c:pt idx="188">
                  <c:v>243.34324619492324</c:v>
                </c:pt>
                <c:pt idx="189">
                  <c:v>246.06248769714156</c:v>
                </c:pt>
                <c:pt idx="190">
                  <c:v>248.71682735889354</c:v>
                </c:pt>
                <c:pt idx="191">
                  <c:v>251.28380333577502</c:v>
                </c:pt>
                <c:pt idx="192">
                  <c:v>253.60787002294092</c:v>
                </c:pt>
                <c:pt idx="193">
                  <c:v>255.87149949772945</c:v>
                </c:pt>
                <c:pt idx="194">
                  <c:v>258.01128547316722</c:v>
                </c:pt>
                <c:pt idx="195">
                  <c:v>260.005699089774</c:v>
                </c:pt>
                <c:pt idx="196">
                  <c:v>261.82571070127551</c:v>
                </c:pt>
                <c:pt idx="197">
                  <c:v>263.51725690176028</c:v>
                </c:pt>
                <c:pt idx="198">
                  <c:v>265.15387999589194</c:v>
                </c:pt>
                <c:pt idx="199">
                  <c:v>266.72547969836359</c:v>
                </c:pt>
                <c:pt idx="200">
                  <c:v>268.12957463421384</c:v>
                </c:pt>
                <c:pt idx="201">
                  <c:v>269.38700016940936</c:v>
                </c:pt>
                <c:pt idx="202">
                  <c:v>270.55502956503432</c:v>
                </c:pt>
                <c:pt idx="203">
                  <c:v>271.68804528494564</c:v>
                </c:pt>
                <c:pt idx="204">
                  <c:v>272.74604265535748</c:v>
                </c:pt>
                <c:pt idx="205">
                  <c:v>273.7471776026627</c:v>
                </c:pt>
                <c:pt idx="206">
                  <c:v>274.69253844751631</c:v>
                </c:pt>
                <c:pt idx="207">
                  <c:v>275.55144151965413</c:v>
                </c:pt>
                <c:pt idx="208">
                  <c:v>276.390344819608</c:v>
                </c:pt>
                <c:pt idx="209">
                  <c:v>277.16262929308607</c:v>
                </c:pt>
                <c:pt idx="210">
                  <c:v>277.84811438789632</c:v>
                </c:pt>
                <c:pt idx="211">
                  <c:v>278.47313848414308</c:v>
                </c:pt>
                <c:pt idx="212">
                  <c:v>279.05343549073609</c:v>
                </c:pt>
                <c:pt idx="213">
                  <c:v>279.59953999202298</c:v>
                </c:pt>
                <c:pt idx="214">
                  <c:v>280.11039800027913</c:v>
                </c:pt>
                <c:pt idx="215">
                  <c:v>280.59333220439134</c:v>
                </c:pt>
                <c:pt idx="216">
                  <c:v>281.04311632864568</c:v>
                </c:pt>
                <c:pt idx="217">
                  <c:v>281.45274423550029</c:v>
                </c:pt>
                <c:pt idx="218">
                  <c:v>281.81891455718539</c:v>
                </c:pt>
                <c:pt idx="219">
                  <c:v>282.1520830740796</c:v>
                </c:pt>
                <c:pt idx="220">
                  <c:v>282.44149937809607</c:v>
                </c:pt>
                <c:pt idx="221">
                  <c:v>282.7039893031922</c:v>
                </c:pt>
                <c:pt idx="222">
                  <c:v>282.95265152784151</c:v>
                </c:pt>
                <c:pt idx="223">
                  <c:v>283.17684703173927</c:v>
                </c:pt>
                <c:pt idx="224">
                  <c:v>283.38942002683575</c:v>
                </c:pt>
                <c:pt idx="225">
                  <c:v>283.58869405994193</c:v>
                </c:pt>
                <c:pt idx="226">
                  <c:v>283.76494635571788</c:v>
                </c:pt>
                <c:pt idx="227">
                  <c:v>283.92295594249128</c:v>
                </c:pt>
                <c:pt idx="228">
                  <c:v>284.06370138614295</c:v>
                </c:pt>
                <c:pt idx="229">
                  <c:v>284.19187328441723</c:v>
                </c:pt>
                <c:pt idx="230">
                  <c:v>284.30802596097016</c:v>
                </c:pt>
                <c:pt idx="231">
                  <c:v>284.41037818166461</c:v>
                </c:pt>
                <c:pt idx="232">
                  <c:v>284.50427751138193</c:v>
                </c:pt>
                <c:pt idx="233">
                  <c:v>284.59094619871422</c:v>
                </c:pt>
                <c:pt idx="234">
                  <c:v>284.66903402235982</c:v>
                </c:pt>
                <c:pt idx="235">
                  <c:v>284.74028342597444</c:v>
                </c:pt>
                <c:pt idx="236">
                  <c:v>284.80251390221844</c:v>
                </c:pt>
                <c:pt idx="237">
                  <c:v>284.85927818563351</c:v>
                </c:pt>
                <c:pt idx="238">
                  <c:v>284.91143239058863</c:v>
                </c:pt>
                <c:pt idx="239">
                  <c:v>284.95733605415592</c:v>
                </c:pt>
                <c:pt idx="240">
                  <c:v>284.99895200252541</c:v>
                </c:pt>
                <c:pt idx="241">
                  <c:v>285.03875377523804</c:v>
                </c:pt>
                <c:pt idx="242">
                  <c:v>285.07521398141233</c:v>
                </c:pt>
                <c:pt idx="243">
                  <c:v>285.10722644564134</c:v>
                </c:pt>
                <c:pt idx="244">
                  <c:v>285.1351341049774</c:v>
                </c:pt>
                <c:pt idx="245">
                  <c:v>285.1598492652609</c:v>
                </c:pt>
                <c:pt idx="246">
                  <c:v>285.18266688139647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89.959859005979283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99.61306059249651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101.59893120636026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49.979391757537137</c:v>
                </c:pt>
                <c:pt idx="2">
                  <c:v>49.925779745900556</c:v>
                </c:pt>
                <c:pt idx="3">
                  <c:v>49.808942309668787</c:v>
                </c:pt>
                <c:pt idx="4">
                  <c:v>49.425069097821044</c:v>
                </c:pt>
                <c:pt idx="5">
                  <c:v>48.937885218529019</c:v>
                </c:pt>
                <c:pt idx="6">
                  <c:v>48.989409939028384</c:v>
                </c:pt>
                <c:pt idx="7">
                  <c:v>48.571890087599861</c:v>
                </c:pt>
                <c:pt idx="8">
                  <c:v>48.453879109674794</c:v>
                </c:pt>
                <c:pt idx="9">
                  <c:v>48.064507497619523</c:v>
                </c:pt>
                <c:pt idx="10">
                  <c:v>47.973387239410307</c:v>
                </c:pt>
                <c:pt idx="11">
                  <c:v>47.473811536839392</c:v>
                </c:pt>
                <c:pt idx="12">
                  <c:v>47.096611780549587</c:v>
                </c:pt>
                <c:pt idx="13">
                  <c:v>46.853100839378413</c:v>
                </c:pt>
                <c:pt idx="14">
                  <c:v>46.283930180972035</c:v>
                </c:pt>
                <c:pt idx="15">
                  <c:v>45.730902544251634</c:v>
                </c:pt>
                <c:pt idx="16">
                  <c:v>45.23319660162818</c:v>
                </c:pt>
                <c:pt idx="17">
                  <c:v>44.791693988166863</c:v>
                </c:pt>
                <c:pt idx="18">
                  <c:v>44.957106364418493</c:v>
                </c:pt>
                <c:pt idx="19">
                  <c:v>44.155072343214222</c:v>
                </c:pt>
                <c:pt idx="20">
                  <c:v>43.310827787570943</c:v>
                </c:pt>
                <c:pt idx="21">
                  <c:v>42.573130952786585</c:v>
                </c:pt>
                <c:pt idx="22">
                  <c:v>41.060575728393147</c:v>
                </c:pt>
                <c:pt idx="23">
                  <c:v>40.24779776355409</c:v>
                </c:pt>
                <c:pt idx="24">
                  <c:v>39.305498652479308</c:v>
                </c:pt>
                <c:pt idx="25">
                  <c:v>38.165945969572221</c:v>
                </c:pt>
                <c:pt idx="26">
                  <c:v>37.680118695720473</c:v>
                </c:pt>
                <c:pt idx="27">
                  <c:v>37.312783644559595</c:v>
                </c:pt>
                <c:pt idx="28">
                  <c:v>36.669480446877451</c:v>
                </c:pt>
                <c:pt idx="29">
                  <c:v>35.922299766317266</c:v>
                </c:pt>
                <c:pt idx="30">
                  <c:v>35.155965405427708</c:v>
                </c:pt>
                <c:pt idx="31">
                  <c:v>34.780824378553369</c:v>
                </c:pt>
                <c:pt idx="32">
                  <c:v>34.22859899046405</c:v>
                </c:pt>
                <c:pt idx="33">
                  <c:v>34.170101548683625</c:v>
                </c:pt>
                <c:pt idx="34">
                  <c:v>33.777992798659703</c:v>
                </c:pt>
                <c:pt idx="35">
                  <c:v>33.589232787657338</c:v>
                </c:pt>
                <c:pt idx="36">
                  <c:v>33.382307788198567</c:v>
                </c:pt>
                <c:pt idx="37">
                  <c:v>33.261215316471393</c:v>
                </c:pt>
                <c:pt idx="38">
                  <c:v>33.21164383929397</c:v>
                </c:pt>
                <c:pt idx="39">
                  <c:v>32.723849028468678</c:v>
                </c:pt>
                <c:pt idx="40">
                  <c:v>31.874022481565969</c:v>
                </c:pt>
                <c:pt idx="41">
                  <c:v>31.471947792651505</c:v>
                </c:pt>
                <c:pt idx="42">
                  <c:v>31.2002506047188</c:v>
                </c:pt>
                <c:pt idx="43">
                  <c:v>31.057337131331405</c:v>
                </c:pt>
                <c:pt idx="44">
                  <c:v>30.936518618378937</c:v>
                </c:pt>
                <c:pt idx="45">
                  <c:v>30.274282379671128</c:v>
                </c:pt>
                <c:pt idx="46">
                  <c:v>29.993018955683024</c:v>
                </c:pt>
                <c:pt idx="47">
                  <c:v>29.634790594129324</c:v>
                </c:pt>
                <c:pt idx="48">
                  <c:v>29.259611112368646</c:v>
                </c:pt>
                <c:pt idx="49">
                  <c:v>28.998654527344364</c:v>
                </c:pt>
                <c:pt idx="50">
                  <c:v>28.470759083637837</c:v>
                </c:pt>
                <c:pt idx="51">
                  <c:v>28.562976154442268</c:v>
                </c:pt>
                <c:pt idx="52">
                  <c:v>28.652359917693325</c:v>
                </c:pt>
                <c:pt idx="53">
                  <c:v>28.276802539347983</c:v>
                </c:pt>
                <c:pt idx="54">
                  <c:v>27.663906264893395</c:v>
                </c:pt>
                <c:pt idx="55">
                  <c:v>26.751274773424921</c:v>
                </c:pt>
                <c:pt idx="56">
                  <c:v>26.605965223909514</c:v>
                </c:pt>
                <c:pt idx="57">
                  <c:v>26.636682171267747</c:v>
                </c:pt>
                <c:pt idx="58">
                  <c:v>26.209939053885659</c:v>
                </c:pt>
                <c:pt idx="59">
                  <c:v>25.853643276357811</c:v>
                </c:pt>
                <c:pt idx="60">
                  <c:v>25.194226216342539</c:v>
                </c:pt>
                <c:pt idx="61">
                  <c:v>25.182605597008727</c:v>
                </c:pt>
                <c:pt idx="62">
                  <c:v>25.064267166305086</c:v>
                </c:pt>
                <c:pt idx="63">
                  <c:v>25.058948399081793</c:v>
                </c:pt>
                <c:pt idx="64">
                  <c:v>24.842655343680981</c:v>
                </c:pt>
                <c:pt idx="65">
                  <c:v>24.916640525494142</c:v>
                </c:pt>
                <c:pt idx="66">
                  <c:v>24.807935671538537</c:v>
                </c:pt>
                <c:pt idx="67">
                  <c:v>24.888673954216578</c:v>
                </c:pt>
                <c:pt idx="68">
                  <c:v>24.850124343188423</c:v>
                </c:pt>
                <c:pt idx="69">
                  <c:v>24.738047385078911</c:v>
                </c:pt>
                <c:pt idx="70">
                  <c:v>24.872027011893227</c:v>
                </c:pt>
                <c:pt idx="71">
                  <c:v>24.787383016857927</c:v>
                </c:pt>
                <c:pt idx="72">
                  <c:v>24.36940143971967</c:v>
                </c:pt>
                <c:pt idx="73">
                  <c:v>24.468341513454504</c:v>
                </c:pt>
                <c:pt idx="74">
                  <c:v>24.32908605339151</c:v>
                </c:pt>
                <c:pt idx="75">
                  <c:v>24.017380741745011</c:v>
                </c:pt>
                <c:pt idx="76">
                  <c:v>23.85207953935706</c:v>
                </c:pt>
                <c:pt idx="77">
                  <c:v>23.41891342406123</c:v>
                </c:pt>
                <c:pt idx="78">
                  <c:v>22.980515877240876</c:v>
                </c:pt>
                <c:pt idx="79">
                  <c:v>22.914847816928177</c:v>
                </c:pt>
                <c:pt idx="80">
                  <c:v>23.01931093396944</c:v>
                </c:pt>
                <c:pt idx="81">
                  <c:v>22.90744296855614</c:v>
                </c:pt>
                <c:pt idx="82">
                  <c:v>22.733120579062231</c:v>
                </c:pt>
                <c:pt idx="83">
                  <c:v>22.30308613730298</c:v>
                </c:pt>
                <c:pt idx="84">
                  <c:v>22.269136860690605</c:v>
                </c:pt>
                <c:pt idx="85">
                  <c:v>22.156792174938904</c:v>
                </c:pt>
                <c:pt idx="86">
                  <c:v>22.182166316343764</c:v>
                </c:pt>
                <c:pt idx="87">
                  <c:v>22.047350979205465</c:v>
                </c:pt>
                <c:pt idx="88">
                  <c:v>22.099353269862366</c:v>
                </c:pt>
                <c:pt idx="89">
                  <c:v>21.935798827721499</c:v>
                </c:pt>
                <c:pt idx="90">
                  <c:v>22.058832224951118</c:v>
                </c:pt>
                <c:pt idx="91">
                  <c:v>22.025059226009564</c:v>
                </c:pt>
                <c:pt idx="92">
                  <c:v>22.036727166245328</c:v>
                </c:pt>
                <c:pt idx="93">
                  <c:v>21.861998352203319</c:v>
                </c:pt>
                <c:pt idx="94">
                  <c:v>21.947931716078905</c:v>
                </c:pt>
                <c:pt idx="95">
                  <c:v>21.844835656033034</c:v>
                </c:pt>
                <c:pt idx="96">
                  <c:v>21.743167874151617</c:v>
                </c:pt>
                <c:pt idx="97">
                  <c:v>110.30194745915186</c:v>
                </c:pt>
                <c:pt idx="98">
                  <c:v>109.36881811142769</c:v>
                </c:pt>
                <c:pt idx="99">
                  <c:v>109.02529071950248</c:v>
                </c:pt>
                <c:pt idx="100">
                  <c:v>107.48915472352979</c:v>
                </c:pt>
                <c:pt idx="101">
                  <c:v>106.05976634968609</c:v>
                </c:pt>
                <c:pt idx="102">
                  <c:v>104.04561089105631</c:v>
                </c:pt>
                <c:pt idx="103">
                  <c:v>102.91603113724223</c:v>
                </c:pt>
                <c:pt idx="104">
                  <c:v>101.52696302492703</c:v>
                </c:pt>
                <c:pt idx="105">
                  <c:v>99.856276641284666</c:v>
                </c:pt>
                <c:pt idx="106">
                  <c:v>98.194035142122331</c:v>
                </c:pt>
                <c:pt idx="107">
                  <c:v>96.869037770297965</c:v>
                </c:pt>
                <c:pt idx="108">
                  <c:v>95.227684649800437</c:v>
                </c:pt>
                <c:pt idx="109">
                  <c:v>94.161210471400736</c:v>
                </c:pt>
                <c:pt idx="110">
                  <c:v>93.222925891827245</c:v>
                </c:pt>
                <c:pt idx="111">
                  <c:v>91.704289891884841</c:v>
                </c:pt>
                <c:pt idx="112">
                  <c:v>90.518778536797299</c:v>
                </c:pt>
                <c:pt idx="113">
                  <c:v>89.378127626679472</c:v>
                </c:pt>
                <c:pt idx="114">
                  <c:v>88.537007460878584</c:v>
                </c:pt>
                <c:pt idx="115">
                  <c:v>87.658842404407295</c:v>
                </c:pt>
                <c:pt idx="116">
                  <c:v>85.127171262990487</c:v>
                </c:pt>
                <c:pt idx="117">
                  <c:v>83.704477994511691</c:v>
                </c:pt>
                <c:pt idx="118">
                  <c:v>82.907354333955894</c:v>
                </c:pt>
                <c:pt idx="119">
                  <c:v>82.345671135257547</c:v>
                </c:pt>
                <c:pt idx="120">
                  <c:v>81.779339330406302</c:v>
                </c:pt>
                <c:pt idx="121">
                  <c:v>80.806767677600291</c:v>
                </c:pt>
                <c:pt idx="122">
                  <c:v>79.209533489482155</c:v>
                </c:pt>
                <c:pt idx="123">
                  <c:v>78.255435825269473</c:v>
                </c:pt>
                <c:pt idx="124">
                  <c:v>77.329340372685223</c:v>
                </c:pt>
                <c:pt idx="125">
                  <c:v>76.533898614737922</c:v>
                </c:pt>
                <c:pt idx="126">
                  <c:v>75.083400074342819</c:v>
                </c:pt>
                <c:pt idx="127">
                  <c:v>72.853875673907012</c:v>
                </c:pt>
                <c:pt idx="128">
                  <c:v>71.2942759261812</c:v>
                </c:pt>
                <c:pt idx="129">
                  <c:v>70.141927901166028</c:v>
                </c:pt>
                <c:pt idx="130">
                  <c:v>68.356011732522575</c:v>
                </c:pt>
                <c:pt idx="131">
                  <c:v>66.777337574539331</c:v>
                </c:pt>
                <c:pt idx="132">
                  <c:v>65.584298797721942</c:v>
                </c:pt>
                <c:pt idx="133">
                  <c:v>64.253934954729999</c:v>
                </c:pt>
                <c:pt idx="134">
                  <c:v>62.334431518475263</c:v>
                </c:pt>
                <c:pt idx="135">
                  <c:v>60.006450309118144</c:v>
                </c:pt>
                <c:pt idx="136">
                  <c:v>58.082560800193399</c:v>
                </c:pt>
                <c:pt idx="137">
                  <c:v>56.052663126070001</c:v>
                </c:pt>
                <c:pt idx="138">
                  <c:v>53.787000121246926</c:v>
                </c:pt>
                <c:pt idx="139">
                  <c:v>51.712662774370074</c:v>
                </c:pt>
                <c:pt idx="140">
                  <c:v>49.653249869134932</c:v>
                </c:pt>
                <c:pt idx="141">
                  <c:v>47.249221581459686</c:v>
                </c:pt>
                <c:pt idx="142">
                  <c:v>45.065981644798676</c:v>
                </c:pt>
                <c:pt idx="143">
                  <c:v>42.785850978362838</c:v>
                </c:pt>
                <c:pt idx="144">
                  <c:v>40.040381348301686</c:v>
                </c:pt>
                <c:pt idx="145">
                  <c:v>37.321220160071235</c:v>
                </c:pt>
                <c:pt idx="146">
                  <c:v>34.15565208839601</c:v>
                </c:pt>
                <c:pt idx="147">
                  <c:v>31.208956099533719</c:v>
                </c:pt>
                <c:pt idx="148">
                  <c:v>126.79360317621838</c:v>
                </c:pt>
                <c:pt idx="149">
                  <c:v>123.51389744725248</c:v>
                </c:pt>
                <c:pt idx="150">
                  <c:v>119.02079432910297</c:v>
                </c:pt>
                <c:pt idx="151">
                  <c:v>114.72612644815636</c:v>
                </c:pt>
                <c:pt idx="152">
                  <c:v>109.41176974568492</c:v>
                </c:pt>
                <c:pt idx="153">
                  <c:v>102.90737472446817</c:v>
                </c:pt>
                <c:pt idx="154">
                  <c:v>98.003436895451543</c:v>
                </c:pt>
                <c:pt idx="155">
                  <c:v>92.672779413511748</c:v>
                </c:pt>
                <c:pt idx="156">
                  <c:v>88.677669837614459</c:v>
                </c:pt>
                <c:pt idx="157">
                  <c:v>84.195233618891862</c:v>
                </c:pt>
                <c:pt idx="158">
                  <c:v>79.956350007965739</c:v>
                </c:pt>
                <c:pt idx="159">
                  <c:v>75.774942670637259</c:v>
                </c:pt>
                <c:pt idx="160">
                  <c:v>70.725091084387415</c:v>
                </c:pt>
                <c:pt idx="161">
                  <c:v>65.313501712824731</c:v>
                </c:pt>
                <c:pt idx="162">
                  <c:v>60.260275128120064</c:v>
                </c:pt>
                <c:pt idx="163">
                  <c:v>55.6214752018331</c:v>
                </c:pt>
                <c:pt idx="164">
                  <c:v>50.086905419818827</c:v>
                </c:pt>
                <c:pt idx="165">
                  <c:v>44.654850554538498</c:v>
                </c:pt>
                <c:pt idx="166">
                  <c:v>39.292503553467903</c:v>
                </c:pt>
                <c:pt idx="167">
                  <c:v>34.201390583746239</c:v>
                </c:pt>
                <c:pt idx="168">
                  <c:v>131.18194607061224</c:v>
                </c:pt>
                <c:pt idx="169">
                  <c:v>126.2084533898454</c:v>
                </c:pt>
                <c:pt idx="170">
                  <c:v>121.22908454849058</c:v>
                </c:pt>
                <c:pt idx="171">
                  <c:v>116.92911473938888</c:v>
                </c:pt>
                <c:pt idx="172">
                  <c:v>112.76035774827261</c:v>
                </c:pt>
                <c:pt idx="173">
                  <c:v>108.42286829983635</c:v>
                </c:pt>
                <c:pt idx="174">
                  <c:v>104.03460398163075</c:v>
                </c:pt>
                <c:pt idx="175">
                  <c:v>99.570447893511101</c:v>
                </c:pt>
                <c:pt idx="176">
                  <c:v>95.524039994679413</c:v>
                </c:pt>
                <c:pt idx="177">
                  <c:v>91.375338260053553</c:v>
                </c:pt>
                <c:pt idx="178">
                  <c:v>87.211233420689794</c:v>
                </c:pt>
                <c:pt idx="179">
                  <c:v>82.86635190404418</c:v>
                </c:pt>
                <c:pt idx="180">
                  <c:v>78.953635457994693</c:v>
                </c:pt>
                <c:pt idx="181">
                  <c:v>75.196802598623819</c:v>
                </c:pt>
                <c:pt idx="182">
                  <c:v>71.436914257543691</c:v>
                </c:pt>
                <c:pt idx="183">
                  <c:v>67.917978289071229</c:v>
                </c:pt>
                <c:pt idx="184">
                  <c:v>64.737199852995602</c:v>
                </c:pt>
                <c:pt idx="185">
                  <c:v>61.679990631514599</c:v>
                </c:pt>
                <c:pt idx="186">
                  <c:v>58.81227560850396</c:v>
                </c:pt>
                <c:pt idx="187">
                  <c:v>56.036339536203904</c:v>
                </c:pt>
                <c:pt idx="188">
                  <c:v>53.340672035838608</c:v>
                </c:pt>
                <c:pt idx="189">
                  <c:v>50.919101595672835</c:v>
                </c:pt>
                <c:pt idx="190">
                  <c:v>48.576382034568297</c:v>
                </c:pt>
                <c:pt idx="191">
                  <c:v>46.327146930846553</c:v>
                </c:pt>
                <c:pt idx="192">
                  <c:v>44.310910334739432</c:v>
                </c:pt>
                <c:pt idx="193">
                  <c:v>42.357056095488858</c:v>
                </c:pt>
                <c:pt idx="194">
                  <c:v>40.515737623661209</c:v>
                </c:pt>
                <c:pt idx="195">
                  <c:v>38.8201140615691</c:v>
                </c:pt>
                <c:pt idx="196">
                  <c:v>37.288356701261847</c:v>
                </c:pt>
                <c:pt idx="197">
                  <c:v>35.880171236428545</c:v>
                </c:pt>
                <c:pt idx="198">
                  <c:v>34.524462147957848</c:v>
                </c:pt>
                <c:pt idx="199">
                  <c:v>33.247145803501802</c:v>
                </c:pt>
                <c:pt idx="200">
                  <c:v>32.118645580702889</c:v>
                </c:pt>
                <c:pt idx="201">
                  <c:v>31.119843791617818</c:v>
                </c:pt>
                <c:pt idx="202">
                  <c:v>30.198313039783216</c:v>
                </c:pt>
                <c:pt idx="203">
                  <c:v>29.314685679484484</c:v>
                </c:pt>
                <c:pt idx="204">
                  <c:v>28.505848452419428</c:v>
                </c:pt>
                <c:pt idx="205">
                  <c:v>27.763964447750652</c:v>
                </c:pt>
                <c:pt idx="206">
                  <c:v>27.080576454190727</c:v>
                </c:pt>
                <c:pt idx="207">
                  <c:v>26.475991662909845</c:v>
                </c:pt>
                <c:pt idx="208">
                  <c:v>25.900778217956962</c:v>
                </c:pt>
                <c:pt idx="209">
                  <c:v>25.38649772397568</c:v>
                </c:pt>
                <c:pt idx="210">
                  <c:v>24.953503508823001</c:v>
                </c:pt>
                <c:pt idx="211">
                  <c:v>24.589331940661218</c:v>
                </c:pt>
                <c:pt idx="212">
                  <c:v>24.269529505216774</c:v>
                </c:pt>
                <c:pt idx="213">
                  <c:v>23.988521471304765</c:v>
                </c:pt>
                <c:pt idx="214">
                  <c:v>23.739915805071217</c:v>
                </c:pt>
                <c:pt idx="215">
                  <c:v>23.545171224353883</c:v>
                </c:pt>
                <c:pt idx="216">
                  <c:v>23.381898928945851</c:v>
                </c:pt>
                <c:pt idx="217">
                  <c:v>23.28465698441552</c:v>
                </c:pt>
                <c:pt idx="218">
                  <c:v>23.241962916914158</c:v>
                </c:pt>
                <c:pt idx="219">
                  <c:v>23.238049363021929</c:v>
                </c:pt>
                <c:pt idx="220">
                  <c:v>23.271223321108188</c:v>
                </c:pt>
                <c:pt idx="221">
                  <c:v>23.324302881059197</c:v>
                </c:pt>
                <c:pt idx="222">
                  <c:v>23.38976282839938</c:v>
                </c:pt>
                <c:pt idx="223">
                  <c:v>23.478092077116713</c:v>
                </c:pt>
                <c:pt idx="224">
                  <c:v>23.57710759756813</c:v>
                </c:pt>
                <c:pt idx="225">
                  <c:v>23.695128101365171</c:v>
                </c:pt>
                <c:pt idx="226">
                  <c:v>23.823128875531996</c:v>
                </c:pt>
                <c:pt idx="227">
                  <c:v>23.978625551624468</c:v>
                </c:pt>
                <c:pt idx="228">
                  <c:v>24.145402065240592</c:v>
                </c:pt>
                <c:pt idx="229">
                  <c:v>24.347569303585495</c:v>
                </c:pt>
                <c:pt idx="230">
                  <c:v>24.577425771744789</c:v>
                </c:pt>
                <c:pt idx="231">
                  <c:v>24.82530897075036</c:v>
                </c:pt>
                <c:pt idx="232">
                  <c:v>25.095495770920806</c:v>
                </c:pt>
                <c:pt idx="233">
                  <c:v>25.363231864741401</c:v>
                </c:pt>
                <c:pt idx="234">
                  <c:v>25.645177295731127</c:v>
                </c:pt>
                <c:pt idx="235">
                  <c:v>25.92512689440608</c:v>
                </c:pt>
                <c:pt idx="236">
                  <c:v>26.196748797048429</c:v>
                </c:pt>
                <c:pt idx="237">
                  <c:v>26.479721205791321</c:v>
                </c:pt>
                <c:pt idx="238">
                  <c:v>26.787744356968886</c:v>
                </c:pt>
                <c:pt idx="239">
                  <c:v>27.075744914406197</c:v>
                </c:pt>
                <c:pt idx="240">
                  <c:v>27.36037162473848</c:v>
                </c:pt>
                <c:pt idx="241">
                  <c:v>27.649086533411968</c:v>
                </c:pt>
                <c:pt idx="242">
                  <c:v>27.950567105322861</c:v>
                </c:pt>
                <c:pt idx="243">
                  <c:v>28.266120889156372</c:v>
                </c:pt>
                <c:pt idx="244">
                  <c:v>28.630023701336654</c:v>
                </c:pt>
                <c:pt idx="245">
                  <c:v>28.984112925673536</c:v>
                </c:pt>
                <c:pt idx="246">
                  <c:v>29.329850963413399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-4.9167581076407792E-2</c:v>
                </c:pt>
                <c:pt idx="3">
                  <c:v>-0.17556303410026536</c:v>
                </c:pt>
                <c:pt idx="4">
                  <c:v>-0.58434736377348628</c:v>
                </c:pt>
                <c:pt idx="5">
                  <c:v>-1.1121504992158389</c:v>
                </c:pt>
                <c:pt idx="6">
                  <c:v>-1.1121504992158389</c:v>
                </c:pt>
                <c:pt idx="7">
                  <c:v>-1.5913075625472892</c:v>
                </c:pt>
                <c:pt idx="8">
                  <c:v>-1.7782274398686071</c:v>
                </c:pt>
                <c:pt idx="9">
                  <c:v>-2.2489088899938903</c:v>
                </c:pt>
                <c:pt idx="10">
                  <c:v>-2.4355954287612995</c:v>
                </c:pt>
                <c:pt idx="11">
                  <c:v>-3.0457256163672057</c:v>
                </c:pt>
                <c:pt idx="12">
                  <c:v>-3.543008557075094</c:v>
                </c:pt>
                <c:pt idx="13">
                  <c:v>-3.9118105690264735</c:v>
                </c:pt>
                <c:pt idx="14">
                  <c:v>-4.61430911020331</c:v>
                </c:pt>
                <c:pt idx="15">
                  <c:v>-5.3096872577315537</c:v>
                </c:pt>
                <c:pt idx="16">
                  <c:v>-5.9516450660141436</c:v>
                </c:pt>
                <c:pt idx="17">
                  <c:v>-6.5427911512507855</c:v>
                </c:pt>
                <c:pt idx="18">
                  <c:v>-6.5427911512507855</c:v>
                </c:pt>
                <c:pt idx="19">
                  <c:v>-7.5168773376149964</c:v>
                </c:pt>
                <c:pt idx="20">
                  <c:v>-8.5456589006177577</c:v>
                </c:pt>
                <c:pt idx="21">
                  <c:v>-9.4650609092233768</c:v>
                </c:pt>
                <c:pt idx="22">
                  <c:v>-11.161126537320266</c:v>
                </c:pt>
                <c:pt idx="23">
                  <c:v>-12.161969782182648</c:v>
                </c:pt>
                <c:pt idx="24">
                  <c:v>-13.303561505328037</c:v>
                </c:pt>
                <c:pt idx="25">
                  <c:v>-14.65633657193829</c:v>
                </c:pt>
                <c:pt idx="26">
                  <c:v>-15.348153414844296</c:v>
                </c:pt>
                <c:pt idx="27">
                  <c:v>-15.911579919445991</c:v>
                </c:pt>
                <c:pt idx="28">
                  <c:v>-16.747939613985803</c:v>
                </c:pt>
                <c:pt idx="29">
                  <c:v>-17.698470880460086</c:v>
                </c:pt>
                <c:pt idx="30">
                  <c:v>-18.666042441185535</c:v>
                </c:pt>
                <c:pt idx="31">
                  <c:v>-19.246830019430607</c:v>
                </c:pt>
                <c:pt idx="32">
                  <c:v>-20.005133079125372</c:v>
                </c:pt>
                <c:pt idx="33">
                  <c:v>-20.261761823417906</c:v>
                </c:pt>
                <c:pt idx="34">
                  <c:v>-20.857510980717052</c:v>
                </c:pt>
                <c:pt idx="35">
                  <c:v>-21.255649340587667</c:v>
                </c:pt>
                <c:pt idx="36">
                  <c:v>-21.673638676379699</c:v>
                </c:pt>
                <c:pt idx="37">
                  <c:v>-22.011050078244153</c:v>
                </c:pt>
                <c:pt idx="38">
                  <c:v>-22.286008498064081</c:v>
                </c:pt>
                <c:pt idx="39">
                  <c:v>-23.010936871454096</c:v>
                </c:pt>
                <c:pt idx="40">
                  <c:v>-24.101078263648596</c:v>
                </c:pt>
                <c:pt idx="41">
                  <c:v>-24.747524587540681</c:v>
                </c:pt>
                <c:pt idx="42">
                  <c:v>-25.262135486763015</c:v>
                </c:pt>
                <c:pt idx="43">
                  <c:v>-25.645888813426094</c:v>
                </c:pt>
                <c:pt idx="44">
                  <c:v>-25.996782093081706</c:v>
                </c:pt>
                <c:pt idx="45">
                  <c:v>-26.892578030731372</c:v>
                </c:pt>
                <c:pt idx="46">
                  <c:v>-27.396520214530582</c:v>
                </c:pt>
                <c:pt idx="47">
                  <c:v>-27.980850008580344</c:v>
                </c:pt>
                <c:pt idx="48">
                  <c:v>-28.596034532872725</c:v>
                </c:pt>
                <c:pt idx="49">
                  <c:v>-29.090612130440885</c:v>
                </c:pt>
                <c:pt idx="50">
                  <c:v>-29.857632078787539</c:v>
                </c:pt>
                <c:pt idx="51">
                  <c:v>-30.008813718085598</c:v>
                </c:pt>
                <c:pt idx="52">
                  <c:v>-30.156361273366343</c:v>
                </c:pt>
                <c:pt idx="53">
                  <c:v>-30.764276852889637</c:v>
                </c:pt>
                <c:pt idx="54">
                  <c:v>-31.613547636633871</c:v>
                </c:pt>
                <c:pt idx="55">
                  <c:v>-32.767905671528673</c:v>
                </c:pt>
                <c:pt idx="56">
                  <c:v>-33.147594107525329</c:v>
                </c:pt>
                <c:pt idx="57">
                  <c:v>-33.35478977267671</c:v>
                </c:pt>
                <c:pt idx="58">
                  <c:v>-34.017661145637746</c:v>
                </c:pt>
                <c:pt idx="59">
                  <c:v>-34.613700380943804</c:v>
                </c:pt>
                <c:pt idx="60">
                  <c:v>-35.515908455456355</c:v>
                </c:pt>
                <c:pt idx="61">
                  <c:v>-35.757342012944306</c:v>
                </c:pt>
                <c:pt idx="62">
                  <c:v>-36.095522951811361</c:v>
                </c:pt>
                <c:pt idx="63">
                  <c:v>-36.324569422265654</c:v>
                </c:pt>
                <c:pt idx="64">
                  <c:v>-36.776282122314733</c:v>
                </c:pt>
                <c:pt idx="65">
                  <c:v>-36.950299078736563</c:v>
                </c:pt>
                <c:pt idx="66">
                  <c:v>-37.306818818938169</c:v>
                </c:pt>
                <c:pt idx="67">
                  <c:v>-37.473326563500443</c:v>
                </c:pt>
                <c:pt idx="68">
                  <c:v>-37.752725261536483</c:v>
                </c:pt>
                <c:pt idx="69">
                  <c:v>-38.109906325624515</c:v>
                </c:pt>
                <c:pt idx="70">
                  <c:v>-38.20663653131615</c:v>
                </c:pt>
                <c:pt idx="71">
                  <c:v>-38.514352184530161</c:v>
                </c:pt>
                <c:pt idx="72">
                  <c:v>-39.162753339680819</c:v>
                </c:pt>
                <c:pt idx="73">
                  <c:v>-39.29877323153255</c:v>
                </c:pt>
                <c:pt idx="74">
                  <c:v>-39.66434585176917</c:v>
                </c:pt>
                <c:pt idx="75">
                  <c:v>-40.223910162413119</c:v>
                </c:pt>
                <c:pt idx="76">
                  <c:v>-40.651585029918614</c:v>
                </c:pt>
                <c:pt idx="77">
                  <c:v>-41.341448261976616</c:v>
                </c:pt>
                <c:pt idx="78">
                  <c:v>-42.028155439294316</c:v>
                </c:pt>
                <c:pt idx="79">
                  <c:v>-42.339445899247771</c:v>
                </c:pt>
                <c:pt idx="80">
                  <c:v>-42.492694368263351</c:v>
                </c:pt>
                <c:pt idx="81">
                  <c:v>-42.85092366756875</c:v>
                </c:pt>
                <c:pt idx="82">
                  <c:v>-43.286188925076857</c:v>
                </c:pt>
                <c:pt idx="83">
                  <c:v>-43.974182542922428</c:v>
                </c:pt>
                <c:pt idx="84">
                  <c:v>-44.267287626804986</c:v>
                </c:pt>
                <c:pt idx="85">
                  <c:v>-44.625314234037432</c:v>
                </c:pt>
                <c:pt idx="86">
                  <c:v>-44.843705489009295</c:v>
                </c:pt>
                <c:pt idx="87">
                  <c:v>-45.232789562519379</c:v>
                </c:pt>
                <c:pt idx="88">
                  <c:v>-45.437433377947563</c:v>
                </c:pt>
                <c:pt idx="89">
                  <c:v>-45.862658833306398</c:v>
                </c:pt>
                <c:pt idx="90">
                  <c:v>-46.001443504067701</c:v>
                </c:pt>
                <c:pt idx="91">
                  <c:v>-46.299554492727893</c:v>
                </c:pt>
                <c:pt idx="92">
                  <c:v>-46.553709814126975</c:v>
                </c:pt>
                <c:pt idx="93">
                  <c:v>-47.003226082672228</c:v>
                </c:pt>
                <c:pt idx="94">
                  <c:v>-47.190585729331069</c:v>
                </c:pt>
                <c:pt idx="95">
                  <c:v>-47.564891433152724</c:v>
                </c:pt>
                <c:pt idx="96">
                  <c:v>-47.930667531344028</c:v>
                </c:pt>
                <c:pt idx="97">
                  <c:v>-49.334871995644995</c:v>
                </c:pt>
                <c:pt idx="98">
                  <c:v>-50.25658157270432</c:v>
                </c:pt>
                <c:pt idx="99">
                  <c:v>-50.575689872767526</c:v>
                </c:pt>
                <c:pt idx="100">
                  <c:v>-52.070056569611317</c:v>
                </c:pt>
                <c:pt idx="101">
                  <c:v>-53.449610197068537</c:v>
                </c:pt>
                <c:pt idx="102">
                  <c:v>-55.390618668289093</c:v>
                </c:pt>
                <c:pt idx="103">
                  <c:v>-56.440782492296123</c:v>
                </c:pt>
                <c:pt idx="104">
                  <c:v>-57.725384688062412</c:v>
                </c:pt>
                <c:pt idx="105">
                  <c:v>-59.279602004235862</c:v>
                </c:pt>
                <c:pt idx="106">
                  <c:v>-60.832959365184834</c:v>
                </c:pt>
                <c:pt idx="107">
                  <c:v>-62.032322318543088</c:v>
                </c:pt>
                <c:pt idx="108">
                  <c:v>-63.538445340180949</c:v>
                </c:pt>
                <c:pt idx="109">
                  <c:v>-64.453852121407891</c:v>
                </c:pt>
                <c:pt idx="110">
                  <c:v>-65.22133698661743</c:v>
                </c:pt>
                <c:pt idx="111">
                  <c:v>-66.533861364120497</c:v>
                </c:pt>
                <c:pt idx="112">
                  <c:v>-67.474272491714189</c:v>
                </c:pt>
                <c:pt idx="113">
                  <c:v>-68.337772452203197</c:v>
                </c:pt>
                <c:pt idx="114">
                  <c:v>-68.857605972451765</c:v>
                </c:pt>
                <c:pt idx="115">
                  <c:v>-69.384699413951708</c:v>
                </c:pt>
                <c:pt idx="116">
                  <c:v>-71.518556248767638</c:v>
                </c:pt>
                <c:pt idx="117">
                  <c:v>-72.522870484743606</c:v>
                </c:pt>
                <c:pt idx="118">
                  <c:v>-72.870535165031612</c:v>
                </c:pt>
                <c:pt idx="119">
                  <c:v>-72.982810697912626</c:v>
                </c:pt>
                <c:pt idx="120">
                  <c:v>-73.069718246477763</c:v>
                </c:pt>
                <c:pt idx="121">
                  <c:v>-73.514180414510506</c:v>
                </c:pt>
                <c:pt idx="122">
                  <c:v>-74.539877563347858</c:v>
                </c:pt>
                <c:pt idx="123">
                  <c:v>-74.903152603704754</c:v>
                </c:pt>
                <c:pt idx="124">
                  <c:v>-75.193008523896552</c:v>
                </c:pt>
                <c:pt idx="125">
                  <c:v>-75.232148637036616</c:v>
                </c:pt>
                <c:pt idx="126">
                  <c:v>-75.860729631037003</c:v>
                </c:pt>
                <c:pt idx="127">
                  <c:v>-77.185288624077373</c:v>
                </c:pt>
                <c:pt idx="128">
                  <c:v>-77.789495792926544</c:v>
                </c:pt>
                <c:pt idx="129">
                  <c:v>-77.977111033937959</c:v>
                </c:pt>
                <c:pt idx="130">
                  <c:v>-78.660100592040166</c:v>
                </c:pt>
                <c:pt idx="131">
                  <c:v>-79.13951289607833</c:v>
                </c:pt>
                <c:pt idx="132">
                  <c:v>-79.13951289607833</c:v>
                </c:pt>
                <c:pt idx="133">
                  <c:v>-79.178802000736482</c:v>
                </c:pt>
                <c:pt idx="134">
                  <c:v>-79.646146985505524</c:v>
                </c:pt>
                <c:pt idx="135">
                  <c:v>-80.496862829110214</c:v>
                </c:pt>
                <c:pt idx="136">
                  <c:v>-80.82173995158719</c:v>
                </c:pt>
                <c:pt idx="137">
                  <c:v>-81.084424637537936</c:v>
                </c:pt>
                <c:pt idx="138">
                  <c:v>-81.434280792986399</c:v>
                </c:pt>
                <c:pt idx="139">
                  <c:v>-81.515256996078165</c:v>
                </c:pt>
                <c:pt idx="140">
                  <c:v>-81.543562386925345</c:v>
                </c:pt>
                <c:pt idx="141">
                  <c:v>-81.845875606723794</c:v>
                </c:pt>
                <c:pt idx="142">
                  <c:v>-81.848503333680057</c:v>
                </c:pt>
                <c:pt idx="143">
                  <c:v>-81.881476613431317</c:v>
                </c:pt>
                <c:pt idx="144">
                  <c:v>-82.229854821737462</c:v>
                </c:pt>
                <c:pt idx="145">
                  <c:v>-82.404010533000161</c:v>
                </c:pt>
                <c:pt idx="146">
                  <c:v>-82.748343069323539</c:v>
                </c:pt>
                <c:pt idx="147">
                  <c:v>-82.872648953444255</c:v>
                </c:pt>
                <c:pt idx="148">
                  <c:v>-84.00746319395256</c:v>
                </c:pt>
                <c:pt idx="149">
                  <c:v>-84.125674800575439</c:v>
                </c:pt>
                <c:pt idx="150">
                  <c:v>-85.198818254548229</c:v>
                </c:pt>
                <c:pt idx="151">
                  <c:v>-85.794133429033749</c:v>
                </c:pt>
                <c:pt idx="152">
                  <c:v>-87.330780346630277</c:v>
                </c:pt>
                <c:pt idx="153">
                  <c:v>-90.059008464850535</c:v>
                </c:pt>
                <c:pt idx="154">
                  <c:v>-91.120524740466223</c:v>
                </c:pt>
                <c:pt idx="155">
                  <c:v>-92.350561094202405</c:v>
                </c:pt>
                <c:pt idx="156">
                  <c:v>-92.350561094202405</c:v>
                </c:pt>
                <c:pt idx="157">
                  <c:v>-92.738577982965097</c:v>
                </c:pt>
                <c:pt idx="158">
                  <c:v>-92.738577982965097</c:v>
                </c:pt>
                <c:pt idx="159">
                  <c:v>-92.738577982965097</c:v>
                </c:pt>
                <c:pt idx="160">
                  <c:v>-93.143592217355661</c:v>
                </c:pt>
                <c:pt idx="161">
                  <c:v>-93.730786580921858</c:v>
                </c:pt>
                <c:pt idx="162">
                  <c:v>-94.332853255045976</c:v>
                </c:pt>
                <c:pt idx="163">
                  <c:v>-94.332853255045976</c:v>
                </c:pt>
                <c:pt idx="164">
                  <c:v>-94.911003563403341</c:v>
                </c:pt>
                <c:pt idx="165">
                  <c:v>-95.428752565868962</c:v>
                </c:pt>
                <c:pt idx="166">
                  <c:v>-96.06748397848088</c:v>
                </c:pt>
                <c:pt idx="167">
                  <c:v>-96.62332950666034</c:v>
                </c:pt>
                <c:pt idx="168">
                  <c:v>-96.701963068285437</c:v>
                </c:pt>
                <c:pt idx="169">
                  <c:v>-96.846550761728167</c:v>
                </c:pt>
                <c:pt idx="170">
                  <c:v>-97.327357386153537</c:v>
                </c:pt>
                <c:pt idx="171">
                  <c:v>-97.327357386153537</c:v>
                </c:pt>
                <c:pt idx="172">
                  <c:v>-97.327357386153537</c:v>
                </c:pt>
                <c:pt idx="173">
                  <c:v>-97.327357386153537</c:v>
                </c:pt>
                <c:pt idx="174">
                  <c:v>-97.327357386153537</c:v>
                </c:pt>
                <c:pt idx="175">
                  <c:v>-97.327357386153537</c:v>
                </c:pt>
                <c:pt idx="176">
                  <c:v>-97.327357386153537</c:v>
                </c:pt>
                <c:pt idx="177">
                  <c:v>-97.327357386153537</c:v>
                </c:pt>
                <c:pt idx="178">
                  <c:v>-97.327357386153537</c:v>
                </c:pt>
                <c:pt idx="179">
                  <c:v>-97.327357386153537</c:v>
                </c:pt>
                <c:pt idx="180">
                  <c:v>-97.327357386153537</c:v>
                </c:pt>
                <c:pt idx="181">
                  <c:v>-97.327357386153537</c:v>
                </c:pt>
                <c:pt idx="182">
                  <c:v>-97.327357386153537</c:v>
                </c:pt>
                <c:pt idx="183">
                  <c:v>-97.327357386153537</c:v>
                </c:pt>
                <c:pt idx="184">
                  <c:v>-97.327357386153537</c:v>
                </c:pt>
                <c:pt idx="185">
                  <c:v>-97.327357386153537</c:v>
                </c:pt>
                <c:pt idx="186">
                  <c:v>-97.327357386153537</c:v>
                </c:pt>
                <c:pt idx="187">
                  <c:v>-97.327357386153537</c:v>
                </c:pt>
                <c:pt idx="188">
                  <c:v>-97.327357386153537</c:v>
                </c:pt>
                <c:pt idx="189">
                  <c:v>-97.327357386153537</c:v>
                </c:pt>
                <c:pt idx="190">
                  <c:v>-97.327357386153537</c:v>
                </c:pt>
                <c:pt idx="191">
                  <c:v>-97.327357386153537</c:v>
                </c:pt>
                <c:pt idx="192">
                  <c:v>-97.327357386153537</c:v>
                </c:pt>
                <c:pt idx="193">
                  <c:v>-97.327357386153537</c:v>
                </c:pt>
                <c:pt idx="194">
                  <c:v>-97.327357386153537</c:v>
                </c:pt>
                <c:pt idx="195">
                  <c:v>-97.327357386153537</c:v>
                </c:pt>
                <c:pt idx="196">
                  <c:v>-97.327357386153537</c:v>
                </c:pt>
                <c:pt idx="197">
                  <c:v>-97.327357386153537</c:v>
                </c:pt>
                <c:pt idx="198">
                  <c:v>-97.327357386153537</c:v>
                </c:pt>
                <c:pt idx="199">
                  <c:v>-97.327357386153537</c:v>
                </c:pt>
                <c:pt idx="200">
                  <c:v>-97.327357386153537</c:v>
                </c:pt>
                <c:pt idx="201">
                  <c:v>-97.327357386153537</c:v>
                </c:pt>
                <c:pt idx="202">
                  <c:v>-97.327357386153537</c:v>
                </c:pt>
                <c:pt idx="203">
                  <c:v>-97.327357386153537</c:v>
                </c:pt>
                <c:pt idx="204">
                  <c:v>-97.327357386153537</c:v>
                </c:pt>
                <c:pt idx="205">
                  <c:v>-97.327357386153537</c:v>
                </c:pt>
                <c:pt idx="206">
                  <c:v>-97.327357386153537</c:v>
                </c:pt>
                <c:pt idx="207">
                  <c:v>-97.327357386153537</c:v>
                </c:pt>
                <c:pt idx="208">
                  <c:v>-97.327357386153537</c:v>
                </c:pt>
                <c:pt idx="209">
                  <c:v>-97.327357386153537</c:v>
                </c:pt>
                <c:pt idx="210">
                  <c:v>-97.327357386153537</c:v>
                </c:pt>
                <c:pt idx="211">
                  <c:v>-97.327357386153537</c:v>
                </c:pt>
                <c:pt idx="212">
                  <c:v>-97.327357386153537</c:v>
                </c:pt>
                <c:pt idx="213">
                  <c:v>-97.327357386153537</c:v>
                </c:pt>
                <c:pt idx="214">
                  <c:v>-97.327357386153537</c:v>
                </c:pt>
                <c:pt idx="215">
                  <c:v>-97.327357386153537</c:v>
                </c:pt>
                <c:pt idx="216">
                  <c:v>-97.327357386153537</c:v>
                </c:pt>
                <c:pt idx="217">
                  <c:v>-97.327357386153537</c:v>
                </c:pt>
                <c:pt idx="218">
                  <c:v>-97.327357386153537</c:v>
                </c:pt>
                <c:pt idx="219">
                  <c:v>-97.327357386153537</c:v>
                </c:pt>
                <c:pt idx="220">
                  <c:v>-97.327357386153537</c:v>
                </c:pt>
                <c:pt idx="221">
                  <c:v>-97.327357386153537</c:v>
                </c:pt>
                <c:pt idx="222">
                  <c:v>-97.327357386153537</c:v>
                </c:pt>
                <c:pt idx="223">
                  <c:v>-97.327357386153537</c:v>
                </c:pt>
                <c:pt idx="224">
                  <c:v>-97.327357386153537</c:v>
                </c:pt>
                <c:pt idx="225">
                  <c:v>-97.327357386153537</c:v>
                </c:pt>
                <c:pt idx="226">
                  <c:v>-97.327357386153537</c:v>
                </c:pt>
                <c:pt idx="227">
                  <c:v>-97.327357386153537</c:v>
                </c:pt>
                <c:pt idx="228">
                  <c:v>-97.327357386153537</c:v>
                </c:pt>
                <c:pt idx="229">
                  <c:v>-97.327357386153537</c:v>
                </c:pt>
                <c:pt idx="230">
                  <c:v>-97.327357386153537</c:v>
                </c:pt>
                <c:pt idx="231">
                  <c:v>-97.327357386153537</c:v>
                </c:pt>
                <c:pt idx="232">
                  <c:v>-97.327357386153537</c:v>
                </c:pt>
                <c:pt idx="233">
                  <c:v>-97.327357386153537</c:v>
                </c:pt>
                <c:pt idx="234">
                  <c:v>-97.327357386153537</c:v>
                </c:pt>
                <c:pt idx="235">
                  <c:v>-97.327357386153537</c:v>
                </c:pt>
                <c:pt idx="236">
                  <c:v>-97.327357386153537</c:v>
                </c:pt>
                <c:pt idx="237">
                  <c:v>-97.327357386153537</c:v>
                </c:pt>
                <c:pt idx="238">
                  <c:v>-97.327357386153537</c:v>
                </c:pt>
                <c:pt idx="239">
                  <c:v>-97.327357386153537</c:v>
                </c:pt>
                <c:pt idx="240">
                  <c:v>-97.327357386153537</c:v>
                </c:pt>
                <c:pt idx="241">
                  <c:v>-97.327357386153537</c:v>
                </c:pt>
                <c:pt idx="242">
                  <c:v>-97.327357386153537</c:v>
                </c:pt>
                <c:pt idx="243">
                  <c:v>-97.327357386153537</c:v>
                </c:pt>
                <c:pt idx="244">
                  <c:v>-97.327357386153537</c:v>
                </c:pt>
                <c:pt idx="245">
                  <c:v>-97.327357386153537</c:v>
                </c:pt>
                <c:pt idx="246">
                  <c:v>-97.327357386153537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0.32813159407200737</c:v>
                </c:pt>
                <c:pt idx="1">
                  <c:v>0.6791844440623811</c:v>
                </c:pt>
                <c:pt idx="2">
                  <c:v>1.026971454038524</c:v>
                </c:pt>
                <c:pt idx="3">
                  <c:v>1.3666641902742427</c:v>
                </c:pt>
                <c:pt idx="4">
                  <c:v>1.7088539884210592</c:v>
                </c:pt>
                <c:pt idx="5">
                  <c:v>2.0558425436461314</c:v>
                </c:pt>
                <c:pt idx="6">
                  <c:v>2.3934681421245001</c:v>
                </c:pt>
                <c:pt idx="7">
                  <c:v>2.7235031411982353</c:v>
                </c:pt>
                <c:pt idx="8">
                  <c:v>3.041739428605704</c:v>
                </c:pt>
                <c:pt idx="9">
                  <c:v>3.3636515197084509</c:v>
                </c:pt>
                <c:pt idx="10">
                  <c:v>3.6936865187821861</c:v>
                </c:pt>
                <c:pt idx="11">
                  <c:v>4.0330028376040383</c:v>
                </c:pt>
                <c:pt idx="12">
                  <c:v>4.3700191678302192</c:v>
                </c:pt>
                <c:pt idx="13">
                  <c:v>4.6975535950337095</c:v>
                </c:pt>
                <c:pt idx="14">
                  <c:v>5.0227549098411073</c:v>
                </c:pt>
                <c:pt idx="15">
                  <c:v>5.3482771076947371</c:v>
                </c:pt>
                <c:pt idx="16">
                  <c:v>5.6625045104488994</c:v>
                </c:pt>
                <c:pt idx="17">
                  <c:v>5.972843395184861</c:v>
                </c:pt>
                <c:pt idx="18">
                  <c:v>6.2967631230226679</c:v>
                </c:pt>
                <c:pt idx="19">
                  <c:v>6.6193131745582638</c:v>
                </c:pt>
                <c:pt idx="20">
                  <c:v>6.9499496783946464</c:v>
                </c:pt>
                <c:pt idx="21">
                  <c:v>7.265749868851703</c:v>
                </c:pt>
                <c:pt idx="22">
                  <c:v>7.5748880519690092</c:v>
                </c:pt>
                <c:pt idx="23">
                  <c:v>7.8820314597729695</c:v>
                </c:pt>
                <c:pt idx="24">
                  <c:v>8.1968784115643434</c:v>
                </c:pt>
                <c:pt idx="25">
                  <c:v>8.5229878701678103</c:v>
                </c:pt>
                <c:pt idx="26">
                  <c:v>8.8316983513881766</c:v>
                </c:pt>
                <c:pt idx="27">
                  <c:v>9.1207259988363294</c:v>
                </c:pt>
                <c:pt idx="28">
                  <c:v>9.4001104287286292</c:v>
                </c:pt>
                <c:pt idx="29">
                  <c:v>9.68744710667508</c:v>
                </c:pt>
                <c:pt idx="30">
                  <c:v>9.9669983947099379</c:v>
                </c:pt>
                <c:pt idx="31">
                  <c:v>10.247343110341626</c:v>
                </c:pt>
                <c:pt idx="32">
                  <c:v>10.523737509642499</c:v>
                </c:pt>
                <c:pt idx="33">
                  <c:v>10.786313905485905</c:v>
                </c:pt>
                <c:pt idx="34">
                  <c:v>11.051801922770228</c:v>
                </c:pt>
                <c:pt idx="35">
                  <c:v>11.320516095365173</c:v>
                </c:pt>
                <c:pt idx="36">
                  <c:v>11.587718885288357</c:v>
                </c:pt>
                <c:pt idx="37">
                  <c:v>11.857738822225224</c:v>
                </c:pt>
                <c:pt idx="38">
                  <c:v>12.135033097114107</c:v>
                </c:pt>
                <c:pt idx="39">
                  <c:v>12.42261035669797</c:v>
                </c:pt>
                <c:pt idx="40">
                  <c:v>12.710582725421887</c:v>
                </c:pt>
                <c:pt idx="41">
                  <c:v>13.000050782746364</c:v>
                </c:pt>
                <c:pt idx="42">
                  <c:v>13.284915368424132</c:v>
                </c:pt>
                <c:pt idx="43">
                  <c:v>13.564704537025303</c:v>
                </c:pt>
                <c:pt idx="44">
                  <c:v>13.830025631174028</c:v>
                </c:pt>
                <c:pt idx="45">
                  <c:v>14.09689328591465</c:v>
                </c:pt>
                <c:pt idx="46">
                  <c:v>14.349687571786585</c:v>
                </c:pt>
                <c:pt idx="47">
                  <c:v>14.604244013902962</c:v>
                </c:pt>
                <c:pt idx="48">
                  <c:v>14.871916726857473</c:v>
                </c:pt>
                <c:pt idx="49">
                  <c:v>15.130784953393466</c:v>
                </c:pt>
                <c:pt idx="50">
                  <c:v>15.393753166388251</c:v>
                </c:pt>
                <c:pt idx="51">
                  <c:v>15.659520495877999</c:v>
                </c:pt>
                <c:pt idx="52">
                  <c:v>15.916743162412718</c:v>
                </c:pt>
                <c:pt idx="53">
                  <c:v>16.167592736446711</c:v>
                </c:pt>
                <c:pt idx="54">
                  <c:v>16.421219185861442</c:v>
                </c:pt>
                <c:pt idx="55">
                  <c:v>16.679038480581397</c:v>
                </c:pt>
                <c:pt idx="56">
                  <c:v>16.927828098739536</c:v>
                </c:pt>
                <c:pt idx="57">
                  <c:v>17.179028762858934</c:v>
                </c:pt>
                <c:pt idx="58">
                  <c:v>17.427161766144199</c:v>
                </c:pt>
                <c:pt idx="59">
                  <c:v>17.677868333839704</c:v>
                </c:pt>
                <c:pt idx="60">
                  <c:v>17.930583385066974</c:v>
                </c:pt>
                <c:pt idx="61">
                  <c:v>18.168913857984023</c:v>
                </c:pt>
                <c:pt idx="62">
                  <c:v>18.396095871443066</c:v>
                </c:pt>
                <c:pt idx="63">
                  <c:v>18.626370025208413</c:v>
                </c:pt>
                <c:pt idx="64">
                  <c:v>18.867677769975458</c:v>
                </c:pt>
                <c:pt idx="65">
                  <c:v>19.120869961428056</c:v>
                </c:pt>
                <c:pt idx="66">
                  <c:v>19.372978566551417</c:v>
                </c:pt>
                <c:pt idx="67">
                  <c:v>19.623661337926517</c:v>
                </c:pt>
                <c:pt idx="68">
                  <c:v>19.867095553781262</c:v>
                </c:pt>
                <c:pt idx="69">
                  <c:v>20.114058063519053</c:v>
                </c:pt>
                <c:pt idx="70">
                  <c:v>20.34586399832164</c:v>
                </c:pt>
                <c:pt idx="71">
                  <c:v>20.569387938890024</c:v>
                </c:pt>
                <c:pt idx="72">
                  <c:v>20.799665119477929</c:v>
                </c:pt>
                <c:pt idx="73">
                  <c:v>21.033883384199846</c:v>
                </c:pt>
                <c:pt idx="74">
                  <c:v>21.25892483714269</c:v>
                </c:pt>
                <c:pt idx="75">
                  <c:v>21.504849145586828</c:v>
                </c:pt>
                <c:pt idx="76">
                  <c:v>21.764604689883218</c:v>
                </c:pt>
                <c:pt idx="77">
                  <c:v>22.018153237721325</c:v>
                </c:pt>
                <c:pt idx="78">
                  <c:v>22.262867293969833</c:v>
                </c:pt>
                <c:pt idx="79">
                  <c:v>22.504436433141304</c:v>
                </c:pt>
                <c:pt idx="80">
                  <c:v>22.757466622268012</c:v>
                </c:pt>
                <c:pt idx="81">
                  <c:v>22.998847345738181</c:v>
                </c:pt>
                <c:pt idx="82">
                  <c:v>23.254151538581201</c:v>
                </c:pt>
                <c:pt idx="83">
                  <c:v>23.506089927103869</c:v>
                </c:pt>
                <c:pt idx="84">
                  <c:v>23.758796308323927</c:v>
                </c:pt>
                <c:pt idx="85">
                  <c:v>23.997904469905325</c:v>
                </c:pt>
                <c:pt idx="86">
                  <c:v>24.23479256243866</c:v>
                </c:pt>
                <c:pt idx="87">
                  <c:v>24.481635466651607</c:v>
                </c:pt>
                <c:pt idx="88">
                  <c:v>24.730476595700196</c:v>
                </c:pt>
                <c:pt idx="89">
                  <c:v>24.983911913626031</c:v>
                </c:pt>
                <c:pt idx="90">
                  <c:v>25.237185130837624</c:v>
                </c:pt>
                <c:pt idx="91">
                  <c:v>25.492625555010505</c:v>
                </c:pt>
                <c:pt idx="92">
                  <c:v>25.749234956914222</c:v>
                </c:pt>
                <c:pt idx="93">
                  <c:v>26.014305790228828</c:v>
                </c:pt>
                <c:pt idx="94">
                  <c:v>26.277660460500503</c:v>
                </c:pt>
                <c:pt idx="95">
                  <c:v>26.538744470645558</c:v>
                </c:pt>
                <c:pt idx="96">
                  <c:v>26.792700477648395</c:v>
                </c:pt>
                <c:pt idx="97">
                  <c:v>27.044867297423025</c:v>
                </c:pt>
                <c:pt idx="98">
                  <c:v>27.299549904116152</c:v>
                </c:pt>
                <c:pt idx="99">
                  <c:v>27.554162414498983</c:v>
                </c:pt>
                <c:pt idx="100">
                  <c:v>27.811876358473377</c:v>
                </c:pt>
                <c:pt idx="101">
                  <c:v>28.064259194069241</c:v>
                </c:pt>
                <c:pt idx="102">
                  <c:v>28.32291640787982</c:v>
                </c:pt>
                <c:pt idx="103">
                  <c:v>28.574774041098163</c:v>
                </c:pt>
                <c:pt idx="104">
                  <c:v>28.832283214210527</c:v>
                </c:pt>
                <c:pt idx="105">
                  <c:v>29.086461399683461</c:v>
                </c:pt>
                <c:pt idx="106">
                  <c:v>29.327606396356838</c:v>
                </c:pt>
                <c:pt idx="107">
                  <c:v>29.569498363609494</c:v>
                </c:pt>
                <c:pt idx="108">
                  <c:v>29.808567462957832</c:v>
                </c:pt>
                <c:pt idx="109">
                  <c:v>30.04763656230617</c:v>
                </c:pt>
                <c:pt idx="110">
                  <c:v>30.287996860277872</c:v>
                </c:pt>
                <c:pt idx="111">
                  <c:v>30.535079012287895</c:v>
                </c:pt>
                <c:pt idx="112">
                  <c:v>30.788960445450599</c:v>
                </c:pt>
                <c:pt idx="113">
                  <c:v>31.04585592246913</c:v>
                </c:pt>
                <c:pt idx="114">
                  <c:v>31.308930017823549</c:v>
                </c:pt>
                <c:pt idx="115">
                  <c:v>31.572294712112235</c:v>
                </c:pt>
                <c:pt idx="116">
                  <c:v>31.840546504726849</c:v>
                </c:pt>
                <c:pt idx="117">
                  <c:v>32.105158912507903</c:v>
                </c:pt>
                <c:pt idx="118">
                  <c:v>32.369146999376504</c:v>
                </c:pt>
                <c:pt idx="119">
                  <c:v>32.624713864827889</c:v>
                </c:pt>
                <c:pt idx="120">
                  <c:v>32.879817305546808</c:v>
                </c:pt>
                <c:pt idx="121">
                  <c:v>33.138303239920987</c:v>
                </c:pt>
                <c:pt idx="122">
                  <c:v>33.398320482747593</c:v>
                </c:pt>
                <c:pt idx="123">
                  <c:v>33.654644010830971</c:v>
                </c:pt>
                <c:pt idx="124">
                  <c:v>33.912408810392222</c:v>
                </c:pt>
                <c:pt idx="125">
                  <c:v>34.184575364251543</c:v>
                </c:pt>
                <c:pt idx="126">
                  <c:v>34.45946962779233</c:v>
                </c:pt>
                <c:pt idx="127">
                  <c:v>34.73924540955241</c:v>
                </c:pt>
                <c:pt idx="128">
                  <c:v>35.017684530508298</c:v>
                </c:pt>
                <c:pt idx="129">
                  <c:v>35.288624805423169</c:v>
                </c:pt>
                <c:pt idx="130">
                  <c:v>35.570996163695519</c:v>
                </c:pt>
                <c:pt idx="131">
                  <c:v>35.843851831038265</c:v>
                </c:pt>
                <c:pt idx="132">
                  <c:v>36.12067451401893</c:v>
                </c:pt>
                <c:pt idx="133">
                  <c:v>36.401197596314617</c:v>
                </c:pt>
                <c:pt idx="134">
                  <c:v>36.692077774692535</c:v>
                </c:pt>
                <c:pt idx="135">
                  <c:v>36.976375608018095</c:v>
                </c:pt>
                <c:pt idx="136">
                  <c:v>37.265051228476366</c:v>
                </c:pt>
                <c:pt idx="137">
                  <c:v>37.562070277477673</c:v>
                </c:pt>
                <c:pt idx="138">
                  <c:v>37.86417555203878</c:v>
                </c:pt>
                <c:pt idx="139">
                  <c:v>38.163724478469604</c:v>
                </c:pt>
                <c:pt idx="140">
                  <c:v>38.457342794328326</c:v>
                </c:pt>
                <c:pt idx="141">
                  <c:v>38.748472531174762</c:v>
                </c:pt>
                <c:pt idx="142">
                  <c:v>39.037978966566762</c:v>
                </c:pt>
                <c:pt idx="143">
                  <c:v>39.32501862881427</c:v>
                </c:pt>
                <c:pt idx="144">
                  <c:v>39.615977225489601</c:v>
                </c:pt>
                <c:pt idx="145">
                  <c:v>39.910241286128169</c:v>
                </c:pt>
                <c:pt idx="146">
                  <c:v>40.216456532555227</c:v>
                </c:pt>
                <c:pt idx="147">
                  <c:v>40.51470048055463</c:v>
                </c:pt>
                <c:pt idx="148">
                  <c:v>40.810467509571495</c:v>
                </c:pt>
                <c:pt idx="149">
                  <c:v>41.116434068833549</c:v>
                </c:pt>
                <c:pt idx="150">
                  <c:v>41.431281020624922</c:v>
                </c:pt>
                <c:pt idx="151">
                  <c:v>41.755714903329157</c:v>
                </c:pt>
                <c:pt idx="152">
                  <c:v>42.077124716247269</c:v>
                </c:pt>
                <c:pt idx="153">
                  <c:v>42.391507683664059</c:v>
                </c:pt>
                <c:pt idx="154">
                  <c:v>42.703530898494641</c:v>
                </c:pt>
                <c:pt idx="155">
                  <c:v>43.024072492529378</c:v>
                </c:pt>
                <c:pt idx="156">
                  <c:v>43.333655044353954</c:v>
                </c:pt>
                <c:pt idx="157">
                  <c:v>43.643949407328485</c:v>
                </c:pt>
                <c:pt idx="158">
                  <c:v>43.957590878151926</c:v>
                </c:pt>
                <c:pt idx="159">
                  <c:v>44.264790325909743</c:v>
                </c:pt>
                <c:pt idx="160">
                  <c:v>44.592086993230573</c:v>
                </c:pt>
                <c:pt idx="161">
                  <c:v>44.925455649026006</c:v>
                </c:pt>
                <c:pt idx="162">
                  <c:v>45.237993275089359</c:v>
                </c:pt>
                <c:pt idx="163">
                  <c:v>45.558140114103814</c:v>
                </c:pt>
                <c:pt idx="164">
                  <c:v>45.892946453655675</c:v>
                </c:pt>
                <c:pt idx="165">
                  <c:v>46.225215341959512</c:v>
                </c:pt>
                <c:pt idx="166">
                  <c:v>46.548330149036218</c:v>
                </c:pt>
                <c:pt idx="167">
                  <c:v>46.863119479805626</c:v>
                </c:pt>
                <c:pt idx="168">
                  <c:v>47.179495760907628</c:v>
                </c:pt>
                <c:pt idx="169">
                  <c:v>47.51241032698519</c:v>
                </c:pt>
                <c:pt idx="170">
                  <c:v>47.831442471936661</c:v>
                </c:pt>
                <c:pt idx="171">
                  <c:v>48.143590999245831</c:v>
                </c:pt>
                <c:pt idx="172">
                  <c:v>48.448399559923928</c:v>
                </c:pt>
                <c:pt idx="173">
                  <c:v>48.765717405954526</c:v>
                </c:pt>
                <c:pt idx="174">
                  <c:v>49.09431654065574</c:v>
                </c:pt>
                <c:pt idx="175">
                  <c:v>49.434585754566115</c:v>
                </c:pt>
                <c:pt idx="176">
                  <c:v>49.757749357350271</c:v>
                </c:pt>
                <c:pt idx="177">
                  <c:v>50.089317210121528</c:v>
                </c:pt>
                <c:pt idx="178">
                  <c:v>50.410136931837123</c:v>
                </c:pt>
                <c:pt idx="179">
                  <c:v>50.753137917880352</c:v>
                </c:pt>
                <c:pt idx="180">
                  <c:v>51.089693378074259</c:v>
                </c:pt>
                <c:pt idx="181">
                  <c:v>51.421348605233582</c:v>
                </c:pt>
                <c:pt idx="182">
                  <c:v>51.754754778961981</c:v>
                </c:pt>
                <c:pt idx="183">
                  <c:v>52.067444334575868</c:v>
                </c:pt>
                <c:pt idx="184">
                  <c:v>52.35619144037905</c:v>
                </c:pt>
                <c:pt idx="185">
                  <c:v>52.627301231628238</c:v>
                </c:pt>
                <c:pt idx="186">
                  <c:v>52.890619930186247</c:v>
                </c:pt>
                <c:pt idx="187">
                  <c:v>53.157544885868447</c:v>
                </c:pt>
                <c:pt idx="188">
                  <c:v>53.451173233992279</c:v>
                </c:pt>
                <c:pt idx="189">
                  <c:v>53.73915838052524</c:v>
                </c:pt>
                <c:pt idx="190">
                  <c:v>54.041006164403306</c:v>
                </c:pt>
                <c:pt idx="191">
                  <c:v>54.348923637385326</c:v>
                </c:pt>
                <c:pt idx="192">
                  <c:v>54.647294553953877</c:v>
                </c:pt>
                <c:pt idx="193">
                  <c:v>54.947502417591522</c:v>
                </c:pt>
                <c:pt idx="194">
                  <c:v>55.236466249887357</c:v>
                </c:pt>
                <c:pt idx="195">
                  <c:v>55.525897117436202</c:v>
                </c:pt>
                <c:pt idx="196">
                  <c:v>55.805061856572273</c:v>
                </c:pt>
                <c:pt idx="197">
                  <c:v>56.079484519039433</c:v>
                </c:pt>
                <c:pt idx="198">
                  <c:v>56.351358812563859</c:v>
                </c:pt>
                <c:pt idx="199">
                  <c:v>56.636521037359174</c:v>
                </c:pt>
                <c:pt idx="200">
                  <c:v>56.903357691944926</c:v>
                </c:pt>
                <c:pt idx="201">
                  <c:v>57.153558722362391</c:v>
                </c:pt>
                <c:pt idx="202">
                  <c:v>57.391759980104972</c:v>
                </c:pt>
                <c:pt idx="203">
                  <c:v>57.63272516424712</c:v>
                </c:pt>
                <c:pt idx="204">
                  <c:v>57.873535909072942</c:v>
                </c:pt>
                <c:pt idx="205">
                  <c:v>58.124424714165073</c:v>
                </c:pt>
                <c:pt idx="206">
                  <c:v>58.378020106205739</c:v>
                </c:pt>
                <c:pt idx="207">
                  <c:v>58.624168133043007</c:v>
                </c:pt>
                <c:pt idx="208">
                  <c:v>58.879448134237968</c:v>
                </c:pt>
                <c:pt idx="209">
                  <c:v>59.129144087205411</c:v>
                </c:pt>
                <c:pt idx="210">
                  <c:v>59.373650391633412</c:v>
                </c:pt>
                <c:pt idx="211">
                  <c:v>59.626680077718603</c:v>
                </c:pt>
                <c:pt idx="212">
                  <c:v>59.879406375797458</c:v>
                </c:pt>
                <c:pt idx="213">
                  <c:v>60.136700509919059</c:v>
                </c:pt>
                <c:pt idx="214">
                  <c:v>60.391135657726274</c:v>
                </c:pt>
                <c:pt idx="215">
                  <c:v>60.671408823283691</c:v>
                </c:pt>
                <c:pt idx="216">
                  <c:v>60.949975379529974</c:v>
                </c:pt>
                <c:pt idx="217">
                  <c:v>61.25452063755661</c:v>
                </c:pt>
                <c:pt idx="218">
                  <c:v>61.570377110919189</c:v>
                </c:pt>
                <c:pt idx="219">
                  <c:v>61.892121546431511</c:v>
                </c:pt>
                <c:pt idx="220">
                  <c:v>62.207584177943438</c:v>
                </c:pt>
                <c:pt idx="221">
                  <c:v>62.516164209299319</c:v>
                </c:pt>
                <c:pt idx="222">
                  <c:v>62.823186009157403</c:v>
                </c:pt>
                <c:pt idx="223">
                  <c:v>63.12876521053893</c:v>
                </c:pt>
                <c:pt idx="224">
                  <c:v>63.433266630283939</c:v>
                </c:pt>
                <c:pt idx="225">
                  <c:v>63.743365795415414</c:v>
                </c:pt>
                <c:pt idx="226">
                  <c:v>64.040660783271576</c:v>
                </c:pt>
                <c:pt idx="227">
                  <c:v>64.347365482215196</c:v>
                </c:pt>
                <c:pt idx="228">
                  <c:v>64.648278593504003</c:v>
                </c:pt>
                <c:pt idx="229">
                  <c:v>64.972077155145655</c:v>
                </c:pt>
                <c:pt idx="230">
                  <c:v>65.311636439916072</c:v>
                </c:pt>
                <c:pt idx="231">
                  <c:v>65.655662412586338</c:v>
                </c:pt>
                <c:pt idx="232">
                  <c:v>66.013569337913054</c:v>
                </c:pt>
                <c:pt idx="233">
                  <c:v>66.361783513539336</c:v>
                </c:pt>
                <c:pt idx="234">
                  <c:v>66.715734405320148</c:v>
                </c:pt>
                <c:pt idx="235">
                  <c:v>67.060889209805552</c:v>
                </c:pt>
                <c:pt idx="236">
                  <c:v>67.388958680473181</c:v>
                </c:pt>
                <c:pt idx="237">
                  <c:v>67.722959068421659</c:v>
                </c:pt>
                <c:pt idx="238">
                  <c:v>68.077403461086959</c:v>
                </c:pt>
                <c:pt idx="239">
                  <c:v>68.405785137534764</c:v>
                </c:pt>
                <c:pt idx="240">
                  <c:v>68.726575407889001</c:v>
                </c:pt>
                <c:pt idx="241">
                  <c:v>69.049434407267611</c:v>
                </c:pt>
                <c:pt idx="242">
                  <c:v>69.381697139772498</c:v>
                </c:pt>
                <c:pt idx="243">
                  <c:v>69.723780504177199</c:v>
                </c:pt>
                <c:pt idx="244">
                  <c:v>70.110338157256109</c:v>
                </c:pt>
                <c:pt idx="245">
                  <c:v>70.484045597970251</c:v>
                </c:pt>
                <c:pt idx="246">
                  <c:v>70.847466603403404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-0.37166109245323431</c:v>
                </c:pt>
                <c:pt idx="2">
                  <c:v>-0.7238925329895467</c:v>
                </c:pt>
                <c:pt idx="3">
                  <c:v>-1.0540272524331722</c:v>
                </c:pt>
                <c:pt idx="4">
                  <c:v>-1.3713059327545176</c:v>
                </c:pt>
                <c:pt idx="5">
                  <c:v>-1.6776752318292609</c:v>
                </c:pt>
                <c:pt idx="6">
                  <c:v>-1.9637761098082616</c:v>
                </c:pt>
                <c:pt idx="7">
                  <c:v>-2.2321738969790652</c:v>
                </c:pt>
                <c:pt idx="8">
                  <c:v>-2.4815012849902844</c:v>
                </c:pt>
                <c:pt idx="9">
                  <c:v>-2.7221035380230183</c:v>
                </c:pt>
                <c:pt idx="10">
                  <c:v>-2.9565722565385526</c:v>
                </c:pt>
                <c:pt idx="11">
                  <c:v>-3.1853340903254144</c:v>
                </c:pt>
                <c:pt idx="12">
                  <c:v>-3.4022672361335093</c:v>
                </c:pt>
                <c:pt idx="13">
                  <c:v>-3.6045105925567928</c:v>
                </c:pt>
                <c:pt idx="14">
                  <c:v>-3.7963840245937366</c:v>
                </c:pt>
                <c:pt idx="15">
                  <c:v>-3.9795557116395246</c:v>
                </c:pt>
                <c:pt idx="16">
                  <c:v>-4.1495312487345517</c:v>
                </c:pt>
                <c:pt idx="17">
                  <c:v>-4.3102266616951859</c:v>
                </c:pt>
                <c:pt idx="18">
                  <c:v>-4.4687340132813578</c:v>
                </c:pt>
                <c:pt idx="19">
                  <c:v>-4.6192318996570148</c:v>
                </c:pt>
                <c:pt idx="20">
                  <c:v>-4.7653313961339121</c:v>
                </c:pt>
                <c:pt idx="21">
                  <c:v>-4.8994264127697029</c:v>
                </c:pt>
                <c:pt idx="22">
                  <c:v>-5.0250541921835552</c:v>
                </c:pt>
                <c:pt idx="23">
                  <c:v>-5.1441323199641973</c:v>
                </c:pt>
                <c:pt idx="24">
                  <c:v>-5.2596866596849674</c:v>
                </c:pt>
                <c:pt idx="25">
                  <c:v>-5.3725737345852647</c:v>
                </c:pt>
                <c:pt idx="26">
                  <c:v>-5.4752946467513688</c:v>
                </c:pt>
                <c:pt idx="27">
                  <c:v>-5.5682308407587051</c:v>
                </c:pt>
                <c:pt idx="28">
                  <c:v>-5.6545587737933385</c:v>
                </c:pt>
                <c:pt idx="29">
                  <c:v>-5.738544865825685</c:v>
                </c:pt>
                <c:pt idx="30">
                  <c:v>-5.8168589540246494</c:v>
                </c:pt>
                <c:pt idx="31">
                  <c:v>-5.8915571182856032</c:v>
                </c:pt>
                <c:pt idx="32">
                  <c:v>-5.9618738459810361</c:v>
                </c:pt>
                <c:pt idx="33">
                  <c:v>-6.0263189393123326</c:v>
                </c:pt>
                <c:pt idx="34">
                  <c:v>-6.0881665493214321</c:v>
                </c:pt>
                <c:pt idx="35">
                  <c:v>-6.1475023730481277</c:v>
                </c:pt>
                <c:pt idx="36">
                  <c:v>-6.2036408266380505</c:v>
                </c:pt>
                <c:pt idx="37">
                  <c:v>-6.2573418334376445</c:v>
                </c:pt>
                <c:pt idx="38">
                  <c:v>-6.3092491656840206</c:v>
                </c:pt>
                <c:pt idx="39">
                  <c:v>-6.3596928627031577</c:v>
                </c:pt>
                <c:pt idx="40">
                  <c:v>-6.4073503861352901</c:v>
                </c:pt>
                <c:pt idx="41">
                  <c:v>-6.4524468084821462</c:v>
                </c:pt>
                <c:pt idx="42">
                  <c:v>-6.4943976828702841</c:v>
                </c:pt>
                <c:pt idx="43">
                  <c:v>-6.5333469981957712</c:v>
                </c:pt>
                <c:pt idx="44">
                  <c:v>-6.568593325641352</c:v>
                </c:pt>
                <c:pt idx="45">
                  <c:v>-6.601901281440119</c:v>
                </c:pt>
                <c:pt idx="46">
                  <c:v>-6.632016807500948</c:v>
                </c:pt>
                <c:pt idx="47">
                  <c:v>-6.6604718171212642</c:v>
                </c:pt>
                <c:pt idx="48">
                  <c:v>-6.6881394875440723</c:v>
                </c:pt>
                <c:pt idx="49">
                  <c:v>-6.7133867015361872</c:v>
                </c:pt>
                <c:pt idx="50">
                  <c:v>-6.7372304098908451</c:v>
                </c:pt>
                <c:pt idx="51">
                  <c:v>-6.7595990292781032</c:v>
                </c:pt>
                <c:pt idx="52">
                  <c:v>-6.7798903772810188</c:v>
                </c:pt>
                <c:pt idx="53">
                  <c:v>-6.7983817501370574</c:v>
                </c:pt>
                <c:pt idx="54">
                  <c:v>-6.8156336902621426</c:v>
                </c:pt>
                <c:pt idx="55">
                  <c:v>-6.8317264415557712</c:v>
                </c:pt>
                <c:pt idx="56">
                  <c:v>-6.8461371732326644</c:v>
                </c:pt>
                <c:pt idx="57">
                  <c:v>-6.8594252248424503</c:v>
                </c:pt>
                <c:pt idx="58">
                  <c:v>-6.8714299725487642</c:v>
                </c:pt>
                <c:pt idx="59">
                  <c:v>-6.8823930824660602</c:v>
                </c:pt>
                <c:pt idx="60">
                  <c:v>-6.8923171191960542</c:v>
                </c:pt>
                <c:pt idx="61">
                  <c:v>-6.900834653958964</c:v>
                </c:pt>
                <c:pt idx="62">
                  <c:v>-6.9081741592545907</c:v>
                </c:pt>
                <c:pt idx="63">
                  <c:v>-6.914720609788934</c:v>
                </c:pt>
                <c:pt idx="64">
                  <c:v>-6.9206087099077136</c:v>
                </c:pt>
                <c:pt idx="65">
                  <c:v>-6.9257987631253179</c:v>
                </c:pt>
                <c:pt idx="66">
                  <c:v>-6.9300924820026815</c:v>
                </c:pt>
                <c:pt idx="67">
                  <c:v>-6.9335292261374644</c:v>
                </c:pt>
                <c:pt idx="68">
                  <c:v>-6.9361143549843209</c:v>
                </c:pt>
                <c:pt idx="69">
                  <c:v>-6.93797275874359</c:v>
                </c:pt>
                <c:pt idx="70">
                  <c:v>-6.9390688610402265</c:v>
                </c:pt>
                <c:pt idx="71">
                  <c:v>-6.9395211434298991</c:v>
                </c:pt>
                <c:pt idx="72">
                  <c:v>-6.9393787460054028</c:v>
                </c:pt>
                <c:pt idx="73">
                  <c:v>-6.938637045140756</c:v>
                </c:pt>
                <c:pt idx="74">
                  <c:v>-6.9373613379099703</c:v>
                </c:pt>
                <c:pt idx="75">
                  <c:v>-6.9354266473566621</c:v>
                </c:pt>
                <c:pt idx="76">
                  <c:v>-6.9328085265355082</c:v>
                </c:pt>
                <c:pt idx="77">
                  <c:v>-6.9296599576114417</c:v>
                </c:pt>
                <c:pt idx="78">
                  <c:v>-6.9260643833626023</c:v>
                </c:pt>
                <c:pt idx="79">
                  <c:v>-6.9220111228933181</c:v>
                </c:pt>
                <c:pt idx="80">
                  <c:v>-6.9173297259631887</c:v>
                </c:pt>
                <c:pt idx="81">
                  <c:v>-6.9123491155412538</c:v>
                </c:pt>
                <c:pt idx="82">
                  <c:v>-6.9067104403700785</c:v>
                </c:pt>
                <c:pt idx="83">
                  <c:v>-6.9006896528064248</c:v>
                </c:pt>
                <c:pt idx="84">
                  <c:v>-6.8942402267563034</c:v>
                </c:pt>
                <c:pt idx="85">
                  <c:v>-6.8876664668569552</c:v>
                </c:pt>
                <c:pt idx="86">
                  <c:v>-6.8807891630135636</c:v>
                </c:pt>
                <c:pt idx="87">
                  <c:v>-6.8733633308547208</c:v>
                </c:pt>
                <c:pt idx="88">
                  <c:v>-6.8655583538182245</c:v>
                </c:pt>
                <c:pt idx="89">
                  <c:v>-6.8573226585260949</c:v>
                </c:pt>
                <c:pt idx="90">
                  <c:v>-6.8487778077467691</c:v>
                </c:pt>
                <c:pt idx="91">
                  <c:v>-6.8398802422010094</c:v>
                </c:pt>
                <c:pt idx="92">
                  <c:v>-6.8306663824698761</c:v>
                </c:pt>
                <c:pt idx="93">
                  <c:v>-6.8209497612812413</c:v>
                </c:pt>
                <c:pt idx="94">
                  <c:v>-6.8110114210184918</c:v>
                </c:pt>
                <c:pt idx="95">
                  <c:v>-6.8008857873877622</c:v>
                </c:pt>
                <c:pt idx="96">
                  <c:v>-6.7907334780807176</c:v>
                </c:pt>
                <c:pt idx="97">
                  <c:v>-6.7804213079565612</c:v>
                </c:pt>
                <c:pt idx="98">
                  <c:v>-6.7698339374523693</c:v>
                </c:pt>
                <c:pt idx="99">
                  <c:v>-6.7590589360323152</c:v>
                </c:pt>
                <c:pt idx="100">
                  <c:v>-6.7480083792638048</c:v>
                </c:pt>
                <c:pt idx="101">
                  <c:v>-6.7369575917754592</c:v>
                </c:pt>
                <c:pt idx="102">
                  <c:v>-6.7255499315501819</c:v>
                </c:pt>
                <c:pt idx="103">
                  <c:v>-6.7142151267491474</c:v>
                </c:pt>
                <c:pt idx="104">
                  <c:v>-6.7025596824035771</c:v>
                </c:pt>
                <c:pt idx="105">
                  <c:v>-6.6908870023869653</c:v>
                </c:pt>
                <c:pt idx="106">
                  <c:v>-6.6795355731021218</c:v>
                </c:pt>
                <c:pt idx="107">
                  <c:v>-6.6680584029517824</c:v>
                </c:pt>
                <c:pt idx="108">
                  <c:v>-6.6565842138063687</c:v>
                </c:pt>
                <c:pt idx="109">
                  <c:v>-6.6450255766924204</c:v>
                </c:pt>
                <c:pt idx="110">
                  <c:v>-6.6333448854328516</c:v>
                </c:pt>
                <c:pt idx="111">
                  <c:v>-6.6213591830272565</c:v>
                </c:pt>
                <c:pt idx="112">
                  <c:v>-6.6090680691908492</c:v>
                </c:pt>
                <c:pt idx="113">
                  <c:v>-6.5966079125409944</c:v>
                </c:pt>
                <c:pt idx="114">
                  <c:v>-6.583871697877651</c:v>
                </c:pt>
                <c:pt idx="115">
                  <c:v>-6.5710734106499658</c:v>
                </c:pt>
                <c:pt idx="116">
                  <c:v>-6.5580551139534151</c:v>
                </c:pt>
                <c:pt idx="117">
                  <c:v>-6.5451282139286704</c:v>
                </c:pt>
                <c:pt idx="118">
                  <c:v>-6.5321915657765377</c:v>
                </c:pt>
                <c:pt idx="119">
                  <c:v>-6.5195318747019844</c:v>
                </c:pt>
                <c:pt idx="120">
                  <c:v>-6.5068694643425227</c:v>
                </c:pt>
                <c:pt idx="121">
                  <c:v>-6.4940710852625561</c:v>
                </c:pt>
                <c:pt idx="122">
                  <c:v>-6.4812081917452087</c:v>
                </c:pt>
                <c:pt idx="123">
                  <c:v>-6.4684741214814716</c:v>
                </c:pt>
                <c:pt idx="124">
                  <c:v>-6.4556884602259004</c:v>
                </c:pt>
                <c:pt idx="125">
                  <c:v>-6.4423873408539754</c:v>
                </c:pt>
                <c:pt idx="126">
                  <c:v>-6.4289975309406433</c:v>
                </c:pt>
                <c:pt idx="127">
                  <c:v>-6.4154458582626415</c:v>
                </c:pt>
                <c:pt idx="128">
                  <c:v>-6.4019626853928786</c:v>
                </c:pt>
                <c:pt idx="129">
                  <c:v>-6.388774340157255</c:v>
                </c:pt>
                <c:pt idx="130">
                  <c:v>-6.3752018165059479</c:v>
                </c:pt>
                <c:pt idx="131">
                  <c:v>-6.3620045678757666</c:v>
                </c:pt>
                <c:pt idx="132">
                  <c:v>-6.3487007576375785</c:v>
                </c:pt>
                <c:pt idx="133">
                  <c:v>-6.3353045287610783</c:v>
                </c:pt>
                <c:pt idx="134">
                  <c:v>-6.3215825095632603</c:v>
                </c:pt>
                <c:pt idx="135">
                  <c:v>-6.3081452468576957</c:v>
                </c:pt>
                <c:pt idx="136">
                  <c:v>-6.2946047021486118</c:v>
                </c:pt>
                <c:pt idx="137">
                  <c:v>-6.2808251535015076</c:v>
                </c:pt>
                <c:pt idx="138">
                  <c:v>-6.2669279843720247</c:v>
                </c:pt>
                <c:pt idx="139">
                  <c:v>-6.2531878761795312</c:v>
                </c:pt>
                <c:pt idx="140">
                  <c:v>-6.2397242321230513</c:v>
                </c:pt>
                <c:pt idx="141">
                  <c:v>-6.2264167464642064</c:v>
                </c:pt>
                <c:pt idx="142">
                  <c:v>-6.213236640626274</c:v>
                </c:pt>
                <c:pt idx="143">
                  <c:v>-6.2002141564339768</c:v>
                </c:pt>
                <c:pt idx="144">
                  <c:v>-6.1871325601431444</c:v>
                </c:pt>
                <c:pt idx="145">
                  <c:v>-6.1740168748921471</c:v>
                </c:pt>
                <c:pt idx="146">
                  <c:v>-6.1605784153157348</c:v>
                </c:pt>
                <c:pt idx="147">
                  <c:v>-6.1474965153476884</c:v>
                </c:pt>
                <c:pt idx="148">
                  <c:v>-6.1345839654258185</c:v>
                </c:pt>
                <c:pt idx="149">
                  <c:v>-6.1214207590992036</c:v>
                </c:pt>
                <c:pt idx="150">
                  <c:v>-6.1080577271708654</c:v>
                </c:pt>
                <c:pt idx="151">
                  <c:v>-6.0944783500419941</c:v>
                </c:pt>
                <c:pt idx="152">
                  <c:v>-6.0811041913572756</c:v>
                </c:pt>
                <c:pt idx="153">
                  <c:v>-6.0680638546860903</c:v>
                </c:pt>
                <c:pt idx="154">
                  <c:v>-6.055202929235195</c:v>
                </c:pt>
                <c:pt idx="155">
                  <c:v>-6.0421742281561714</c:v>
                </c:pt>
                <c:pt idx="156">
                  <c:v>-6.0296008132049979</c:v>
                </c:pt>
                <c:pt idx="157">
                  <c:v>-6.0171095507772003</c:v>
                </c:pt>
                <c:pt idx="158">
                  <c:v>-6.0046201416842955</c:v>
                </c:pt>
                <c:pt idx="159">
                  <c:v>-5.9924366664026163</c:v>
                </c:pt>
                <c:pt idx="160">
                  <c:v>-5.9797447873856946</c:v>
                </c:pt>
                <c:pt idx="161">
                  <c:v>-5.9669849951779002</c:v>
                </c:pt>
                <c:pt idx="162">
                  <c:v>-5.9549724331520597</c:v>
                </c:pt>
                <c:pt idx="163">
                  <c:v>-5.9428438717588215</c:v>
                </c:pt>
                <c:pt idx="164">
                  <c:v>-5.9303963152146455</c:v>
                </c:pt>
                <c:pt idx="165">
                  <c:v>-5.9181464867352913</c:v>
                </c:pt>
                <c:pt idx="166">
                  <c:v>-5.906283930546536</c:v>
                </c:pt>
                <c:pt idx="167">
                  <c:v>-5.8947760216084202</c:v>
                </c:pt>
                <c:pt idx="168">
                  <c:v>-5.8833355341412155</c:v>
                </c:pt>
                <c:pt idx="169">
                  <c:v>-5.8715437113413609</c:v>
                </c:pt>
                <c:pt idx="170">
                  <c:v>-5.8602606350294364</c:v>
                </c:pt>
                <c:pt idx="171">
                  <c:v>-5.849280595626472</c:v>
                </c:pt>
                <c:pt idx="172">
                  <c:v>-5.8385031126587261</c:v>
                </c:pt>
                <c:pt idx="173">
                  <c:v>-5.8274911502522713</c:v>
                </c:pt>
                <c:pt idx="174">
                  <c:v>-5.8163792405303241</c:v>
                </c:pt>
                <c:pt idx="175">
                  <c:v>-5.8051043118614567</c:v>
                </c:pt>
                <c:pt idx="176">
                  <c:v>-5.7944030094683638</c:v>
                </c:pt>
                <c:pt idx="177">
                  <c:v>-5.7834810047782517</c:v>
                </c:pt>
                <c:pt idx="178">
                  <c:v>-5.7724623873506156</c:v>
                </c:pt>
                <c:pt idx="179">
                  <c:v>-5.760986308116653</c:v>
                </c:pt>
                <c:pt idx="180">
                  <c:v>-5.7500837974623034</c:v>
                </c:pt>
                <c:pt idx="181">
                  <c:v>-5.7392987007816441</c:v>
                </c:pt>
                <c:pt idx="182">
                  <c:v>-5.7283257993997125</c:v>
                </c:pt>
                <c:pt idx="183">
                  <c:v>-5.7176284365904859</c:v>
                </c:pt>
                <c:pt idx="184">
                  <c:v>-5.7074098444803329</c:v>
                </c:pt>
                <c:pt idx="185">
                  <c:v>-5.6972740377788664</c:v>
                </c:pt>
                <c:pt idx="186">
                  <c:v>-5.6873328733371302</c:v>
                </c:pt>
                <c:pt idx="187">
                  <c:v>-5.6773696491897336</c:v>
                </c:pt>
                <c:pt idx="188">
                  <c:v>-5.6672911989456178</c:v>
                </c:pt>
                <c:pt idx="189">
                  <c:v>-5.6576052834260269</c:v>
                </c:pt>
                <c:pt idx="190">
                  <c:v>-5.6478329666566518</c:v>
                </c:pt>
                <c:pt idx="191">
                  <c:v>-5.6380095664789334</c:v>
                </c:pt>
                <c:pt idx="192">
                  <c:v>-5.6285503919887105</c:v>
                </c:pt>
                <c:pt idx="193">
                  <c:v>-5.6189830200883977</c:v>
                </c:pt>
                <c:pt idx="194">
                  <c:v>-5.6094793487741033</c:v>
                </c:pt>
                <c:pt idx="195">
                  <c:v>-5.6001201618082828</c:v>
                </c:pt>
                <c:pt idx="196">
                  <c:v>-5.5910306497500946</c:v>
                </c:pt>
                <c:pt idx="197">
                  <c:v>-5.5820925765657883</c:v>
                </c:pt>
                <c:pt idx="198">
                  <c:v>-5.5730528644292496</c:v>
                </c:pt>
                <c:pt idx="199">
                  <c:v>-5.5639317312089691</c:v>
                </c:pt>
                <c:pt idx="200">
                  <c:v>-5.5551736727433827</c:v>
                </c:pt>
                <c:pt idx="201">
                  <c:v>-5.5467509570503957</c:v>
                </c:pt>
                <c:pt idx="202">
                  <c:v>-5.5384535710026288</c:v>
                </c:pt>
                <c:pt idx="203">
                  <c:v>-5.5300303955321839</c:v>
                </c:pt>
                <c:pt idx="204">
                  <c:v>-5.5216809970112202</c:v>
                </c:pt>
                <c:pt idx="205">
                  <c:v>-5.5133188594669154</c:v>
                </c:pt>
                <c:pt idx="206">
                  <c:v>-5.5049414002138954</c:v>
                </c:pt>
                <c:pt idx="207">
                  <c:v>-5.4967711461942255</c:v>
                </c:pt>
                <c:pt idx="208">
                  <c:v>-5.4883612923882055</c:v>
                </c:pt>
                <c:pt idx="209">
                  <c:v>-5.4800532658588592</c:v>
                </c:pt>
                <c:pt idx="210">
                  <c:v>-5.4720686906292872</c:v>
                </c:pt>
                <c:pt idx="211">
                  <c:v>-5.4642458486295027</c:v>
                </c:pt>
                <c:pt idx="212">
                  <c:v>-5.4564775755597896</c:v>
                </c:pt>
                <c:pt idx="213">
                  <c:v>-5.4486752423065115</c:v>
                </c:pt>
                <c:pt idx="214">
                  <c:v>-5.4408580480911262</c:v>
                </c:pt>
                <c:pt idx="215">
                  <c:v>-5.4329415902536651</c:v>
                </c:pt>
                <c:pt idx="216">
                  <c:v>-5.4249963176536484</c:v>
                </c:pt>
                <c:pt idx="217">
                  <c:v>-5.4171556133560053</c:v>
                </c:pt>
                <c:pt idx="218">
                  <c:v>-5.4095358325348393</c:v>
                </c:pt>
                <c:pt idx="219">
                  <c:v>-5.4020253050451865</c:v>
                </c:pt>
                <c:pt idx="220">
                  <c:v>-5.3948976744543815</c:v>
                </c:pt>
                <c:pt idx="221">
                  <c:v>-5.3879082207631228</c:v>
                </c:pt>
                <c:pt idx="222">
                  <c:v>-5.3808078486317195</c:v>
                </c:pt>
                <c:pt idx="223">
                  <c:v>-5.373862297398154</c:v>
                </c:pt>
                <c:pt idx="224">
                  <c:v>-5.3667752015952681</c:v>
                </c:pt>
                <c:pt idx="225">
                  <c:v>-5.3595798298235255</c:v>
                </c:pt>
                <c:pt idx="226">
                  <c:v>-5.3526217477369178</c:v>
                </c:pt>
                <c:pt idx="227">
                  <c:v>-5.3458201838146593</c:v>
                </c:pt>
                <c:pt idx="228">
                  <c:v>-5.3392113378356809</c:v>
                </c:pt>
                <c:pt idx="229">
                  <c:v>-5.3326707628581564</c:v>
                </c:pt>
                <c:pt idx="230">
                  <c:v>-5.3262209029163508</c:v>
                </c:pt>
                <c:pt idx="231">
                  <c:v>-5.3200114558865925</c:v>
                </c:pt>
                <c:pt idx="232">
                  <c:v>-5.3138322513255511</c:v>
                </c:pt>
                <c:pt idx="233">
                  <c:v>-5.3076416457989444</c:v>
                </c:pt>
                <c:pt idx="234">
                  <c:v>-5.3015592829444271</c:v>
                </c:pt>
                <c:pt idx="235">
                  <c:v>-5.2955150851402593</c:v>
                </c:pt>
                <c:pt idx="236">
                  <c:v>-5.2897321769215475</c:v>
                </c:pt>
                <c:pt idx="237">
                  <c:v>-5.2839958727120644</c:v>
                </c:pt>
                <c:pt idx="238">
                  <c:v>-5.2782629092446873</c:v>
                </c:pt>
                <c:pt idx="239">
                  <c:v>-5.272740364687901</c:v>
                </c:pt>
                <c:pt idx="240">
                  <c:v>-5.2672879763403557</c:v>
                </c:pt>
                <c:pt idx="241">
                  <c:v>-5.2616302943328481</c:v>
                </c:pt>
                <c:pt idx="242">
                  <c:v>-5.2559522487525392</c:v>
                </c:pt>
                <c:pt idx="243">
                  <c:v>-5.2504693650947205</c:v>
                </c:pt>
                <c:pt idx="244">
                  <c:v>-5.2452165466572964</c:v>
                </c:pt>
                <c:pt idx="245">
                  <c:v>-5.2401196027510561</c:v>
                </c:pt>
                <c:pt idx="246">
                  <c:v>-5.2349849543087812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3.3992420297040686</c:v>
                </c:pt>
                <c:pt idx="15">
                  <c:v>3.5694426398507102</c:v>
                </c:pt>
                <c:pt idx="16">
                  <c:v>3.751901152279844</c:v>
                </c:pt>
                <c:pt idx="17">
                  <c:v>3.9425980307252617</c:v>
                </c:pt>
                <c:pt idx="18">
                  <c:v>4.1460800717062689</c:v>
                </c:pt>
                <c:pt idx="19">
                  <c:v>4.3613519105680965</c:v>
                </c:pt>
                <c:pt idx="20">
                  <c:v>4.5877851272261552</c:v>
                </c:pt>
                <c:pt idx="21">
                  <c:v>4.8263463596156653</c:v>
                </c:pt>
                <c:pt idx="22">
                  <c:v>5.0811534043321451</c:v>
                </c:pt>
                <c:pt idx="23">
                  <c:v>5.3512748073793803</c:v>
                </c:pt>
                <c:pt idx="24">
                  <c:v>5.6285992627266754</c:v>
                </c:pt>
                <c:pt idx="25">
                  <c:v>5.9232337887845832</c:v>
                </c:pt>
                <c:pt idx="26">
                  <c:v>6.2380474885952966</c:v>
                </c:pt>
                <c:pt idx="27">
                  <c:v>6.5745448070956991</c:v>
                </c:pt>
                <c:pt idx="28">
                  <c:v>6.9271145485874941</c:v>
                </c:pt>
                <c:pt idx="29">
                  <c:v>7.3004044889762136</c:v>
                </c:pt>
                <c:pt idx="30">
                  <c:v>7.6868589997275922</c:v>
                </c:pt>
                <c:pt idx="31">
                  <c:v>8.0864549140541122</c:v>
                </c:pt>
                <c:pt idx="32">
                  <c:v>8.4874149209998571</c:v>
                </c:pt>
                <c:pt idx="33">
                  <c:v>8.9218419967396798</c:v>
                </c:pt>
                <c:pt idx="34">
                  <c:v>9.3735083842227205</c:v>
                </c:pt>
                <c:pt idx="35">
                  <c:v>9.850225808729121</c:v>
                </c:pt>
                <c:pt idx="36">
                  <c:v>10.348995739906652</c:v>
                </c:pt>
                <c:pt idx="37">
                  <c:v>10.876510287741024</c:v>
                </c:pt>
                <c:pt idx="38">
                  <c:v>11.443894414588911</c:v>
                </c:pt>
                <c:pt idx="39">
                  <c:v>12.046668566051942</c:v>
                </c:pt>
                <c:pt idx="40">
                  <c:v>12.675486522198392</c:v>
                </c:pt>
                <c:pt idx="41">
                  <c:v>13.32538917215599</c:v>
                </c:pt>
                <c:pt idx="42">
                  <c:v>14.00696342256574</c:v>
                </c:pt>
                <c:pt idx="43">
                  <c:v>14.708537583612683</c:v>
                </c:pt>
                <c:pt idx="44">
                  <c:v>15.436947317002758</c:v>
                </c:pt>
                <c:pt idx="45">
                  <c:v>16.199288623147353</c:v>
                </c:pt>
                <c:pt idx="46">
                  <c:v>17.002851943914958</c:v>
                </c:pt>
                <c:pt idx="47">
                  <c:v>17.842139151704231</c:v>
                </c:pt>
                <c:pt idx="48">
                  <c:v>18.723554018328009</c:v>
                </c:pt>
                <c:pt idx="49">
                  <c:v>19.639014164339134</c:v>
                </c:pt>
                <c:pt idx="50">
                  <c:v>20.579354216582924</c:v>
                </c:pt>
                <c:pt idx="51">
                  <c:v>21.557846812566567</c:v>
                </c:pt>
                <c:pt idx="52">
                  <c:v>22.545127092454354</c:v>
                </c:pt>
                <c:pt idx="53">
                  <c:v>23.533533866884301</c:v>
                </c:pt>
                <c:pt idx="54">
                  <c:v>24.567146839654047</c:v>
                </c:pt>
                <c:pt idx="55">
                  <c:v>25.647395898483595</c:v>
                </c:pt>
                <c:pt idx="56">
                  <c:v>26.744793339937047</c:v>
                </c:pt>
                <c:pt idx="57">
                  <c:v>27.885914511893425</c:v>
                </c:pt>
                <c:pt idx="58">
                  <c:v>29.101486261148356</c:v>
                </c:pt>
                <c:pt idx="59">
                  <c:v>30.364912185443046</c:v>
                </c:pt>
                <c:pt idx="60">
                  <c:v>31.6014704109094</c:v>
                </c:pt>
                <c:pt idx="61">
                  <c:v>32.869144112401528</c:v>
                </c:pt>
                <c:pt idx="62">
                  <c:v>34.218107410003412</c:v>
                </c:pt>
                <c:pt idx="63">
                  <c:v>35.548734006464009</c:v>
                </c:pt>
                <c:pt idx="64">
                  <c:v>36.956128952101658</c:v>
                </c:pt>
                <c:pt idx="65">
                  <c:v>38.431292614045944</c:v>
                </c:pt>
                <c:pt idx="66">
                  <c:v>39.916514560944208</c:v>
                </c:pt>
                <c:pt idx="67">
                  <c:v>41.422468707927088</c:v>
                </c:pt>
                <c:pt idx="68">
                  <c:v>42.989396842382405</c:v>
                </c:pt>
                <c:pt idx="69">
                  <c:v>44.550529405594155</c:v>
                </c:pt>
                <c:pt idx="70">
                  <c:v>46.149742804944481</c:v>
                </c:pt>
                <c:pt idx="71">
                  <c:v>47.765291029504425</c:v>
                </c:pt>
                <c:pt idx="72">
                  <c:v>49.435267894627955</c:v>
                </c:pt>
                <c:pt idx="73">
                  <c:v>51.137555218640365</c:v>
                </c:pt>
                <c:pt idx="74">
                  <c:v>52.863900501076614</c:v>
                </c:pt>
                <c:pt idx="75">
                  <c:v>54.560499812178968</c:v>
                </c:pt>
                <c:pt idx="76">
                  <c:v>56.295075839435356</c:v>
                </c:pt>
                <c:pt idx="77">
                  <c:v>58.099296647723207</c:v>
                </c:pt>
                <c:pt idx="78">
                  <c:v>59.917352700621805</c:v>
                </c:pt>
                <c:pt idx="79">
                  <c:v>61.712904409922729</c:v>
                </c:pt>
                <c:pt idx="80">
                  <c:v>63.521628690605269</c:v>
                </c:pt>
                <c:pt idx="81">
                  <c:v>65.355871985452566</c:v>
                </c:pt>
                <c:pt idx="82">
                  <c:v>67.224907394425799</c:v>
                </c:pt>
                <c:pt idx="83">
                  <c:v>69.137782382606176</c:v>
                </c:pt>
                <c:pt idx="84">
                  <c:v>71.06022106951022</c:v>
                </c:pt>
                <c:pt idx="85">
                  <c:v>73.032491111041764</c:v>
                </c:pt>
                <c:pt idx="86">
                  <c:v>74.989087981078058</c:v>
                </c:pt>
                <c:pt idx="87">
                  <c:v>76.925546136889338</c:v>
                </c:pt>
                <c:pt idx="88">
                  <c:v>78.826515872316307</c:v>
                </c:pt>
                <c:pt idx="89">
                  <c:v>80.722500453975158</c:v>
                </c:pt>
                <c:pt idx="90">
                  <c:v>82.652505432378291</c:v>
                </c:pt>
                <c:pt idx="91">
                  <c:v>84.522473736463724</c:v>
                </c:pt>
                <c:pt idx="92">
                  <c:v>86.395538867276827</c:v>
                </c:pt>
                <c:pt idx="93">
                  <c:v>88.273123500126275</c:v>
                </c:pt>
                <c:pt idx="94">
                  <c:v>90.145415498395494</c:v>
                </c:pt>
                <c:pt idx="95">
                  <c:v>91.975055309899076</c:v>
                </c:pt>
                <c:pt idx="96">
                  <c:v>93.754547029025986</c:v>
                </c:pt>
                <c:pt idx="97">
                  <c:v>95.515623123081468</c:v>
                </c:pt>
                <c:pt idx="98">
                  <c:v>97.227535694533969</c:v>
                </c:pt>
                <c:pt idx="99">
                  <c:v>98.943541399045458</c:v>
                </c:pt>
                <c:pt idx="100">
                  <c:v>100.69461325376264</c:v>
                </c:pt>
                <c:pt idx="101">
                  <c:v>102.38825270883014</c:v>
                </c:pt>
                <c:pt idx="102">
                  <c:v>104.04339339650814</c:v>
                </c:pt>
                <c:pt idx="103">
                  <c:v>105.76903257096673</c:v>
                </c:pt>
                <c:pt idx="104">
                  <c:v>107.44273891427424</c:v>
                </c:pt>
                <c:pt idx="105">
                  <c:v>109.10605419612847</c:v>
                </c:pt>
                <c:pt idx="106">
                  <c:v>110.71996229315178</c:v>
                </c:pt>
                <c:pt idx="107">
                  <c:v>112.35368565057436</c:v>
                </c:pt>
                <c:pt idx="108">
                  <c:v>113.94896365680705</c:v>
                </c:pt>
                <c:pt idx="109">
                  <c:v>115.41590151037919</c:v>
                </c:pt>
                <c:pt idx="110">
                  <c:v>116.89130750620991</c:v>
                </c:pt>
                <c:pt idx="111">
                  <c:v>118.32301594739806</c:v>
                </c:pt>
                <c:pt idx="112">
                  <c:v>119.78050675544121</c:v>
                </c:pt>
                <c:pt idx="113">
                  <c:v>121.25361131885802</c:v>
                </c:pt>
                <c:pt idx="114">
                  <c:v>122.76521704100247</c:v>
                </c:pt>
                <c:pt idx="115">
                  <c:v>124.29087822568349</c:v>
                </c:pt>
                <c:pt idx="116">
                  <c:v>125.66640066344974</c:v>
                </c:pt>
                <c:pt idx="117">
                  <c:v>126.96709540929335</c:v>
                </c:pt>
                <c:pt idx="118">
                  <c:v>128.25841227720997</c:v>
                </c:pt>
                <c:pt idx="119">
                  <c:v>129.51713115914362</c:v>
                </c:pt>
                <c:pt idx="120">
                  <c:v>130.74242687105621</c:v>
                </c:pt>
                <c:pt idx="121">
                  <c:v>131.91312245774841</c:v>
                </c:pt>
                <c:pt idx="122">
                  <c:v>133.07694076386716</c:v>
                </c:pt>
                <c:pt idx="123">
                  <c:v>134.24294983795306</c:v>
                </c:pt>
                <c:pt idx="124">
                  <c:v>135.35004155710863</c:v>
                </c:pt>
                <c:pt idx="125">
                  <c:v>136.40691562003622</c:v>
                </c:pt>
                <c:pt idx="126">
                  <c:v>137.39659407518121</c:v>
                </c:pt>
                <c:pt idx="127">
                  <c:v>138.3861266360193</c:v>
                </c:pt>
                <c:pt idx="128">
                  <c:v>139.39269656727345</c:v>
                </c:pt>
                <c:pt idx="129">
                  <c:v>140.41856736868112</c:v>
                </c:pt>
                <c:pt idx="130">
                  <c:v>141.4168310178197</c:v>
                </c:pt>
                <c:pt idx="131">
                  <c:v>142.36040029911746</c:v>
                </c:pt>
                <c:pt idx="132">
                  <c:v>143.27802502274631</c:v>
                </c:pt>
                <c:pt idx="133">
                  <c:v>144.18010626103171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28.581605831806613</c:v>
                </c:pt>
                <c:pt idx="1">
                  <c:v>27.877262596924172</c:v>
                </c:pt>
                <c:pt idx="2">
                  <c:v>27.245848418347784</c:v>
                </c:pt>
                <c:pt idx="3">
                  <c:v>26.664531826236541</c:v>
                </c:pt>
                <c:pt idx="4">
                  <c:v>26.119663231781971</c:v>
                </c:pt>
                <c:pt idx="5">
                  <c:v>25.629376257638658</c:v>
                </c:pt>
                <c:pt idx="6">
                  <c:v>25.194276558292017</c:v>
                </c:pt>
                <c:pt idx="7">
                  <c:v>24.806722096186217</c:v>
                </c:pt>
                <c:pt idx="8">
                  <c:v>24.466096666081153</c:v>
                </c:pt>
                <c:pt idx="9">
                  <c:v>24.160141051316444</c:v>
                </c:pt>
                <c:pt idx="10">
                  <c:v>23.906033164323858</c:v>
                </c:pt>
                <c:pt idx="11">
                  <c:v>23.690071291262779</c:v>
                </c:pt>
                <c:pt idx="12">
                  <c:v>23.506780827249081</c:v>
                </c:pt>
                <c:pt idx="13">
                  <c:v>23.366965059458721</c:v>
                </c:pt>
                <c:pt idx="14">
                  <c:v>23.268136384955227</c:v>
                </c:pt>
                <c:pt idx="15">
                  <c:v>23.029936293531563</c:v>
                </c:pt>
                <c:pt idx="16">
                  <c:v>22.808466594119643</c:v>
                </c:pt>
                <c:pt idx="17">
                  <c:v>22.600053712484296</c:v>
                </c:pt>
                <c:pt idx="18">
                  <c:v>22.454705984855725</c:v>
                </c:pt>
                <c:pt idx="19">
                  <c:v>22.335357249022955</c:v>
                </c:pt>
                <c:pt idx="20">
                  <c:v>22.22698427458235</c:v>
                </c:pt>
                <c:pt idx="21">
                  <c:v>22.136938930521463</c:v>
                </c:pt>
                <c:pt idx="22">
                  <c:v>22.062081872520746</c:v>
                </c:pt>
                <c:pt idx="23">
                  <c:v>21.980282298650437</c:v>
                </c:pt>
                <c:pt idx="24">
                  <c:v>21.903372557853125</c:v>
                </c:pt>
                <c:pt idx="25">
                  <c:v>21.819771373090411</c:v>
                </c:pt>
                <c:pt idx="26">
                  <c:v>21.730387647586099</c:v>
                </c:pt>
                <c:pt idx="27">
                  <c:v>21.643558731079697</c:v>
                </c:pt>
                <c:pt idx="28">
                  <c:v>21.556902699669507</c:v>
                </c:pt>
                <c:pt idx="29">
                  <c:v>21.452014415838132</c:v>
                </c:pt>
                <c:pt idx="30">
                  <c:v>21.353154780326836</c:v>
                </c:pt>
                <c:pt idx="31">
                  <c:v>21.235662720997034</c:v>
                </c:pt>
                <c:pt idx="32">
                  <c:v>21.133704995932408</c:v>
                </c:pt>
                <c:pt idx="33">
                  <c:v>21.015619231442106</c:v>
                </c:pt>
                <c:pt idx="34">
                  <c:v>20.866524918444043</c:v>
                </c:pt>
                <c:pt idx="35">
                  <c:v>20.689564433239433</c:v>
                </c:pt>
                <c:pt idx="36">
                  <c:v>20.49518650616761</c:v>
                </c:pt>
                <c:pt idx="37">
                  <c:v>20.270221775183476</c:v>
                </c:pt>
                <c:pt idx="38">
                  <c:v>20.012847974784609</c:v>
                </c:pt>
                <c:pt idx="39">
                  <c:v>19.730167746205112</c:v>
                </c:pt>
                <c:pt idx="40">
                  <c:v>19.426577801976784</c:v>
                </c:pt>
                <c:pt idx="41">
                  <c:v>19.083642853049014</c:v>
                </c:pt>
                <c:pt idx="42">
                  <c:v>18.705801403796283</c:v>
                </c:pt>
                <c:pt idx="43">
                  <c:v>18.305300824828947</c:v>
                </c:pt>
                <c:pt idx="44">
                  <c:v>17.870813430436421</c:v>
                </c:pt>
                <c:pt idx="45">
                  <c:v>17.42027480289617</c:v>
                </c:pt>
                <c:pt idx="46">
                  <c:v>16.921126567250159</c:v>
                </c:pt>
                <c:pt idx="47">
                  <c:v>16.378737169159795</c:v>
                </c:pt>
                <c:pt idx="48">
                  <c:v>15.8100718243677</c:v>
                </c:pt>
                <c:pt idx="49">
                  <c:v>15.211593218905172</c:v>
                </c:pt>
                <c:pt idx="50">
                  <c:v>14.576294198998569</c:v>
                </c:pt>
                <c:pt idx="51">
                  <c:v>13.909778045954994</c:v>
                </c:pt>
                <c:pt idx="52">
                  <c:v>13.220057038221558</c:v>
                </c:pt>
                <c:pt idx="53">
                  <c:v>12.510327864845056</c:v>
                </c:pt>
                <c:pt idx="54">
                  <c:v>11.757151236175947</c:v>
                </c:pt>
                <c:pt idx="55">
                  <c:v>10.955589309749987</c:v>
                </c:pt>
                <c:pt idx="56">
                  <c:v>10.143791087970868</c:v>
                </c:pt>
                <c:pt idx="57">
                  <c:v>9.3070070091896024</c:v>
                </c:pt>
                <c:pt idx="58">
                  <c:v>8.4057891441324024</c:v>
                </c:pt>
                <c:pt idx="59">
                  <c:v>7.46935412051951</c:v>
                </c:pt>
                <c:pt idx="60">
                  <c:v>6.5694020251021179</c:v>
                </c:pt>
                <c:pt idx="61">
                  <c:v>5.6349922317043717</c:v>
                </c:pt>
                <c:pt idx="62">
                  <c:v>4.6260331582754652</c:v>
                </c:pt>
                <c:pt idx="63">
                  <c:v>3.6236887603172798</c:v>
                </c:pt>
                <c:pt idx="64">
                  <c:v>2.5383098180319665</c:v>
                </c:pt>
                <c:pt idx="65">
                  <c:v>1.3981286775876054</c:v>
                </c:pt>
                <c:pt idx="66">
                  <c:v>0.23353808920567354</c:v>
                </c:pt>
                <c:pt idx="67">
                  <c:v>-0.92023111017630166</c:v>
                </c:pt>
                <c:pt idx="68">
                  <c:v>-2.1296628423084005</c:v>
                </c:pt>
                <c:pt idx="69">
                  <c:v>-3.3512342695397175</c:v>
                </c:pt>
                <c:pt idx="70">
                  <c:v>-4.6176799235603472</c:v>
                </c:pt>
                <c:pt idx="71">
                  <c:v>-5.9012804627153148</c:v>
                </c:pt>
                <c:pt idx="72">
                  <c:v>-7.2348952876251902</c:v>
                </c:pt>
                <c:pt idx="73">
                  <c:v>-8.6029063519817388</c:v>
                </c:pt>
                <c:pt idx="74">
                  <c:v>-10.00593160975448</c:v>
                </c:pt>
                <c:pt idx="75">
                  <c:v>-11.400004099764885</c:v>
                </c:pt>
                <c:pt idx="76">
                  <c:v>-12.82254120415317</c:v>
                </c:pt>
                <c:pt idx="77">
                  <c:v>-14.324433822017554</c:v>
                </c:pt>
                <c:pt idx="78">
                  <c:v>-15.839754186715124</c:v>
                </c:pt>
                <c:pt idx="79">
                  <c:v>-17.336558783695221</c:v>
                </c:pt>
                <c:pt idx="80">
                  <c:v>-18.854600238167372</c:v>
                </c:pt>
                <c:pt idx="81">
                  <c:v>-20.404044951887663</c:v>
                </c:pt>
                <c:pt idx="82">
                  <c:v>-21.978766645320359</c:v>
                </c:pt>
                <c:pt idx="83">
                  <c:v>-23.607018104253761</c:v>
                </c:pt>
                <c:pt idx="84">
                  <c:v>-25.246143475241812</c:v>
                </c:pt>
                <c:pt idx="85">
                  <c:v>-26.927738685791436</c:v>
                </c:pt>
                <c:pt idx="86">
                  <c:v>-28.608387138524826</c:v>
                </c:pt>
                <c:pt idx="87">
                  <c:v>-30.2685887782186</c:v>
                </c:pt>
                <c:pt idx="88">
                  <c:v>-31.90427257152934</c:v>
                </c:pt>
                <c:pt idx="89">
                  <c:v>-33.52973924770194</c:v>
                </c:pt>
                <c:pt idx="90">
                  <c:v>-35.183442950941625</c:v>
                </c:pt>
                <c:pt idx="91">
                  <c:v>-36.793288867378486</c:v>
                </c:pt>
                <c:pt idx="92">
                  <c:v>-38.411591957542463</c:v>
                </c:pt>
                <c:pt idx="93">
                  <c:v>-40.028828248828312</c:v>
                </c:pt>
                <c:pt idx="94">
                  <c:v>-41.642504572417671</c:v>
                </c:pt>
                <c:pt idx="95">
                  <c:v>-43.214319284146427</c:v>
                </c:pt>
                <c:pt idx="96">
                  <c:v>-44.726501330140806</c:v>
                </c:pt>
                <c:pt idx="97">
                  <c:v>-46.220723283064835</c:v>
                </c:pt>
                <c:pt idx="98">
                  <c:v>-47.670480011334867</c:v>
                </c:pt>
                <c:pt idx="99">
                  <c:v>-49.115700728451785</c:v>
                </c:pt>
                <c:pt idx="100">
                  <c:v>-50.591592747759442</c:v>
                </c:pt>
                <c:pt idx="101">
                  <c:v>-52.011707880452022</c:v>
                </c:pt>
                <c:pt idx="102">
                  <c:v>-53.39521647555091</c:v>
                </c:pt>
                <c:pt idx="103">
                  <c:v>-54.83070666391319</c:v>
                </c:pt>
                <c:pt idx="104">
                  <c:v>-56.217132100010971</c:v>
                </c:pt>
                <c:pt idx="105">
                  <c:v>-57.58949832780722</c:v>
                </c:pt>
                <c:pt idx="106">
                  <c:v>-58.917590513607031</c:v>
                </c:pt>
                <c:pt idx="107">
                  <c:v>-60.264666493947715</c:v>
                </c:pt>
                <c:pt idx="108">
                  <c:v>-61.567262146518324</c:v>
                </c:pt>
                <c:pt idx="109">
                  <c:v>-62.751367885194298</c:v>
                </c:pt>
                <c:pt idx="110">
                  <c:v>-63.940797826949563</c:v>
                </c:pt>
                <c:pt idx="111">
                  <c:v>-65.078736887978351</c:v>
                </c:pt>
                <c:pt idx="112">
                  <c:v>-66.206615824054992</c:v>
                </c:pt>
                <c:pt idx="113">
                  <c:v>-67.336986558147998</c:v>
                </c:pt>
                <c:pt idx="114">
                  <c:v>-68.489897524181274</c:v>
                </c:pt>
                <c:pt idx="115">
                  <c:v>-69.636892023280936</c:v>
                </c:pt>
                <c:pt idx="116">
                  <c:v>-70.652171234161443</c:v>
                </c:pt>
                <c:pt idx="117">
                  <c:v>-71.584420546612961</c:v>
                </c:pt>
                <c:pt idx="118">
                  <c:v>-72.495983334931921</c:v>
                </c:pt>
                <c:pt idx="119">
                  <c:v>-73.366645430678034</c:v>
                </c:pt>
                <c:pt idx="120">
                  <c:v>-74.207938320595488</c:v>
                </c:pt>
                <c:pt idx="121">
                  <c:v>-75.003896561729121</c:v>
                </c:pt>
                <c:pt idx="122">
                  <c:v>-75.790754157897169</c:v>
                </c:pt>
                <c:pt idx="123">
                  <c:v>-76.575095462059053</c:v>
                </c:pt>
                <c:pt idx="124">
                  <c:v>-77.311110674885526</c:v>
                </c:pt>
                <c:pt idx="125">
                  <c:v>-78.00554994209017</c:v>
                </c:pt>
                <c:pt idx="126">
                  <c:v>-78.645933697484452</c:v>
                </c:pt>
                <c:pt idx="127">
                  <c:v>-79.282628984029259</c:v>
                </c:pt>
                <c:pt idx="128">
                  <c:v>-79.928046712646378</c:v>
                </c:pt>
                <c:pt idx="129">
                  <c:v>-80.583224310239629</c:v>
                </c:pt>
                <c:pt idx="130">
                  <c:v>-81.21370318454106</c:v>
                </c:pt>
                <c:pt idx="131">
                  <c:v>-81.800080796435367</c:v>
                </c:pt>
                <c:pt idx="132">
                  <c:v>-82.363419093062817</c:v>
                </c:pt>
                <c:pt idx="133">
                  <c:v>-82.911269467963521</c:v>
                </c:pt>
                <c:pt idx="134">
                  <c:v>-83.41297409339974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0.34007215369775207</c:v>
                </c:pt>
                <c:pt idx="1">
                  <c:v>0.66982541385313255</c:v>
                </c:pt>
                <c:pt idx="2">
                  <c:v>0.97722753549938113</c:v>
                </c:pt>
                <c:pt idx="3">
                  <c:v>1.2779557379736988</c:v>
                </c:pt>
                <c:pt idx="4">
                  <c:v>1.580553499912412</c:v>
                </c:pt>
                <c:pt idx="5">
                  <c:v>1.8898038756568769</c:v>
                </c:pt>
                <c:pt idx="6">
                  <c:v>2.2076591815105822</c:v>
                </c:pt>
                <c:pt idx="7">
                  <c:v>2.5101160782765386</c:v>
                </c:pt>
                <c:pt idx="8">
                  <c:v>2.7969226593510257</c:v>
                </c:pt>
                <c:pt idx="9">
                  <c:v>3.0768236031771568</c:v>
                </c:pt>
                <c:pt idx="10">
                  <c:v>3.3696568858211053</c:v>
                </c:pt>
                <c:pt idx="11">
                  <c:v>3.6648456854085296</c:v>
                </c:pt>
                <c:pt idx="12">
                  <c:v>3.9504439247769922</c:v>
                </c:pt>
                <c:pt idx="13">
                  <c:v>4.2399166550927037</c:v>
                </c:pt>
                <c:pt idx="14">
                  <c:v>4.5284690761025015</c:v>
                </c:pt>
                <c:pt idx="15">
                  <c:v>4.8156693354029851</c:v>
                </c:pt>
                <c:pt idx="16">
                  <c:v>5.1067203575686886</c:v>
                </c:pt>
                <c:pt idx="17">
                  <c:v>5.3872453445358603</c:v>
                </c:pt>
                <c:pt idx="18">
                  <c:v>5.7191373223850377</c:v>
                </c:pt>
                <c:pt idx="19">
                  <c:v>6.0629529783420377</c:v>
                </c:pt>
                <c:pt idx="20">
                  <c:v>6.4031155157102182</c:v>
                </c:pt>
                <c:pt idx="21">
                  <c:v>6.7498628562102683</c:v>
                </c:pt>
                <c:pt idx="22">
                  <c:v>7.1077796462272955</c:v>
                </c:pt>
                <c:pt idx="23">
                  <c:v>7.4532177263729977</c:v>
                </c:pt>
                <c:pt idx="24">
                  <c:v>7.7870015832778758</c:v>
                </c:pt>
                <c:pt idx="25">
                  <c:v>8.1140155024614895</c:v>
                </c:pt>
                <c:pt idx="26">
                  <c:v>8.4392338273240952</c:v>
                </c:pt>
                <c:pt idx="27">
                  <c:v>8.772950903058641</c:v>
                </c:pt>
                <c:pt idx="28">
                  <c:v>9.1064128729888569</c:v>
                </c:pt>
                <c:pt idx="29">
                  <c:v>9.4277207892877541</c:v>
                </c:pt>
                <c:pt idx="30">
                  <c:v>9.7536943624736985</c:v>
                </c:pt>
                <c:pt idx="31">
                  <c:v>10.061283742765681</c:v>
                </c:pt>
                <c:pt idx="32">
                  <c:v>10.374100596121879</c:v>
                </c:pt>
                <c:pt idx="33">
                  <c:v>10.694621804578162</c:v>
                </c:pt>
                <c:pt idx="34">
                  <c:v>10.99197261448996</c:v>
                </c:pt>
                <c:pt idx="35">
                  <c:v>11.277769232239953</c:v>
                </c:pt>
                <c:pt idx="36">
                  <c:v>11.560189087262321</c:v>
                </c:pt>
                <c:pt idx="37">
                  <c:v>11.834773186039433</c:v>
                </c:pt>
                <c:pt idx="38">
                  <c:v>12.110914377221794</c:v>
                </c:pt>
                <c:pt idx="39">
                  <c:v>12.390913579944845</c:v>
                </c:pt>
                <c:pt idx="40">
                  <c:v>12.670622405344956</c:v>
                </c:pt>
                <c:pt idx="41">
                  <c:v>12.932415838002418</c:v>
                </c:pt>
                <c:pt idx="42">
                  <c:v>13.189214332683205</c:v>
                </c:pt>
                <c:pt idx="43">
                  <c:v>13.44123762219332</c:v>
                </c:pt>
                <c:pt idx="44">
                  <c:v>13.686003598597058</c:v>
                </c:pt>
                <c:pt idx="45">
                  <c:v>13.941700118974568</c:v>
                </c:pt>
                <c:pt idx="46">
                  <c:v>14.190943043644561</c:v>
                </c:pt>
                <c:pt idx="47">
                  <c:v>14.433760052601418</c:v>
                </c:pt>
                <c:pt idx="48">
                  <c:v>14.686313962492699</c:v>
                </c:pt>
                <c:pt idx="49">
                  <c:v>14.940298958787047</c:v>
                </c:pt>
                <c:pt idx="50">
                  <c:v>15.184614936073674</c:v>
                </c:pt>
                <c:pt idx="51">
                  <c:v>15.432554695592703</c:v>
                </c:pt>
                <c:pt idx="52">
                  <c:v>15.668873018444405</c:v>
                </c:pt>
                <c:pt idx="53">
                  <c:v>15.890764547251681</c:v>
                </c:pt>
                <c:pt idx="54">
                  <c:v>16.113672522753021</c:v>
                </c:pt>
                <c:pt idx="55">
                  <c:v>16.335447152012605</c:v>
                </c:pt>
                <c:pt idx="56">
                  <c:v>16.560215414221091</c:v>
                </c:pt>
                <c:pt idx="57">
                  <c:v>16.796760595603232</c:v>
                </c:pt>
                <c:pt idx="58">
                  <c:v>17.040603154091663</c:v>
                </c:pt>
                <c:pt idx="59">
                  <c:v>17.292445821101477</c:v>
                </c:pt>
                <c:pt idx="60">
                  <c:v>17.548248736553926</c:v>
                </c:pt>
                <c:pt idx="61">
                  <c:v>17.801289982421437</c:v>
                </c:pt>
                <c:pt idx="62">
                  <c:v>18.05968191370145</c:v>
                </c:pt>
                <c:pt idx="63">
                  <c:v>18.308595341527621</c:v>
                </c:pt>
                <c:pt idx="64">
                  <c:v>18.554268869375488</c:v>
                </c:pt>
                <c:pt idx="65">
                  <c:v>18.809110218575935</c:v>
                </c:pt>
                <c:pt idx="66">
                  <c:v>19.053745075995774</c:v>
                </c:pt>
                <c:pt idx="67">
                  <c:v>19.323009461330578</c:v>
                </c:pt>
                <c:pt idx="68">
                  <c:v>19.596751337480104</c:v>
                </c:pt>
                <c:pt idx="69">
                  <c:v>19.854947557081761</c:v>
                </c:pt>
                <c:pt idx="70">
                  <c:v>20.107217419807558</c:v>
                </c:pt>
                <c:pt idx="71">
                  <c:v>20.359384071751865</c:v>
                </c:pt>
                <c:pt idx="72">
                  <c:v>20.615622450463526</c:v>
                </c:pt>
                <c:pt idx="73">
                  <c:v>20.870414211405041</c:v>
                </c:pt>
                <c:pt idx="74">
                  <c:v>21.117244219957538</c:v>
                </c:pt>
                <c:pt idx="75">
                  <c:v>21.349294385504688</c:v>
                </c:pt>
                <c:pt idx="76">
                  <c:v>21.588219011847709</c:v>
                </c:pt>
                <c:pt idx="77">
                  <c:v>21.821746684952977</c:v>
                </c:pt>
                <c:pt idx="78">
                  <c:v>22.055613741326066</c:v>
                </c:pt>
                <c:pt idx="79">
                  <c:v>22.286281046050462</c:v>
                </c:pt>
                <c:pt idx="80">
                  <c:v>22.511697905739336</c:v>
                </c:pt>
                <c:pt idx="81">
                  <c:v>22.733582275998511</c:v>
                </c:pt>
                <c:pt idx="82">
                  <c:v>22.962479500600026</c:v>
                </c:pt>
                <c:pt idx="83">
                  <c:v>23.185650287151429</c:v>
                </c:pt>
                <c:pt idx="84">
                  <c:v>23.408141854805496</c:v>
                </c:pt>
                <c:pt idx="85">
                  <c:v>23.6365559085313</c:v>
                </c:pt>
                <c:pt idx="86">
                  <c:v>23.854879324666346</c:v>
                </c:pt>
                <c:pt idx="87">
                  <c:v>24.073192646804788</c:v>
                </c:pt>
                <c:pt idx="88">
                  <c:v>24.28365562931376</c:v>
                </c:pt>
                <c:pt idx="89">
                  <c:v>24.49780567582701</c:v>
                </c:pt>
                <c:pt idx="90">
                  <c:v>24.716755123186907</c:v>
                </c:pt>
                <c:pt idx="91">
                  <c:v>24.923933089669088</c:v>
                </c:pt>
                <c:pt idx="92">
                  <c:v>25.127791538821487</c:v>
                </c:pt>
                <c:pt idx="93">
                  <c:v>25.335879156220265</c:v>
                </c:pt>
                <c:pt idx="94">
                  <c:v>25.543054485838251</c:v>
                </c:pt>
                <c:pt idx="95">
                  <c:v>25.749425059652875</c:v>
                </c:pt>
                <c:pt idx="96">
                  <c:v>25.962250266488184</c:v>
                </c:pt>
                <c:pt idx="97">
                  <c:v>26.17502574151041</c:v>
                </c:pt>
                <c:pt idx="98">
                  <c:v>26.384315842857543</c:v>
                </c:pt>
                <c:pt idx="99">
                  <c:v>26.60258271374741</c:v>
                </c:pt>
                <c:pt idx="100">
                  <c:v>26.825001878496796</c:v>
                </c:pt>
                <c:pt idx="101">
                  <c:v>27.047529382908099</c:v>
                </c:pt>
                <c:pt idx="102">
                  <c:v>27.269456446637054</c:v>
                </c:pt>
                <c:pt idx="103">
                  <c:v>27.508839275443091</c:v>
                </c:pt>
                <c:pt idx="104">
                  <c:v>27.746898265095872</c:v>
                </c:pt>
                <c:pt idx="105">
                  <c:v>27.989246068851411</c:v>
                </c:pt>
                <c:pt idx="106">
                  <c:v>28.22786760122294</c:v>
                </c:pt>
                <c:pt idx="107">
                  <c:v>28.467261410878582</c:v>
                </c:pt>
                <c:pt idx="108">
                  <c:v>28.713817135690935</c:v>
                </c:pt>
                <c:pt idx="109">
                  <c:v>28.953399795497074</c:v>
                </c:pt>
                <c:pt idx="110">
                  <c:v>29.196251126795733</c:v>
                </c:pt>
                <c:pt idx="111">
                  <c:v>29.448020248060839</c:v>
                </c:pt>
                <c:pt idx="112">
                  <c:v>29.735388057212756</c:v>
                </c:pt>
                <c:pt idx="113">
                  <c:v>30.035808425836994</c:v>
                </c:pt>
                <c:pt idx="114">
                  <c:v>30.351630016911681</c:v>
                </c:pt>
                <c:pt idx="115">
                  <c:v>30.687324602212538</c:v>
                </c:pt>
                <c:pt idx="116">
                  <c:v>31.007800950261174</c:v>
                </c:pt>
                <c:pt idx="117">
                  <c:v>31.338103406290504</c:v>
                </c:pt>
                <c:pt idx="118">
                  <c:v>31.680069054811327</c:v>
                </c:pt>
                <c:pt idx="119">
                  <c:v>32.031121904801701</c:v>
                </c:pt>
                <c:pt idx="120">
                  <c:v>32.378908914777845</c:v>
                </c:pt>
                <c:pt idx="121">
                  <c:v>32.718601651013564</c:v>
                </c:pt>
                <c:pt idx="122">
                  <c:v>33.060791449160384</c:v>
                </c:pt>
                <c:pt idx="123">
                  <c:v>33.407780004385458</c:v>
                </c:pt>
                <c:pt idx="124">
                  <c:v>33.745405602863826</c:v>
                </c:pt>
                <c:pt idx="125">
                  <c:v>34.075440601937558</c:v>
                </c:pt>
                <c:pt idx="126">
                  <c:v>34.393676889345024</c:v>
                </c:pt>
                <c:pt idx="127">
                  <c:v>34.71558898044777</c:v>
                </c:pt>
                <c:pt idx="128">
                  <c:v>35.045623979521501</c:v>
                </c:pt>
                <c:pt idx="129">
                  <c:v>35.384940298343352</c:v>
                </c:pt>
                <c:pt idx="130">
                  <c:v>35.721956628569529</c:v>
                </c:pt>
                <c:pt idx="131">
                  <c:v>36.049491055773018</c:v>
                </c:pt>
                <c:pt idx="132">
                  <c:v>36.374692370580419</c:v>
                </c:pt>
                <c:pt idx="133">
                  <c:v>36.700214568434049</c:v>
                </c:pt>
                <c:pt idx="134">
                  <c:v>37.014441971188212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-1.0883172853045364</c:v>
                </c:pt>
                <c:pt idx="2">
                  <c:v>-2.1224137803423586</c:v>
                </c:pt>
                <c:pt idx="3">
                  <c:v>-3.0612300805649975</c:v>
                </c:pt>
                <c:pt idx="4">
                  <c:v>-3.9432748751505597</c:v>
                </c:pt>
                <c:pt idx="5">
                  <c:v>-4.7907412315438451</c:v>
                </c:pt>
                <c:pt idx="6">
                  <c:v>-5.5902785814316234</c:v>
                </c:pt>
                <c:pt idx="7">
                  <c:v>-6.3432335866319685</c:v>
                </c:pt>
                <c:pt idx="8">
                  <c:v>-7.0332449455037258</c:v>
                </c:pt>
                <c:pt idx="9">
                  <c:v>-7.6606769566832762</c:v>
                </c:pt>
                <c:pt idx="10">
                  <c:v>-8.2465335152741197</c:v>
                </c:pt>
                <c:pt idx="11">
                  <c:v>-8.7934746849106507</c:v>
                </c:pt>
                <c:pt idx="12">
                  <c:v>-9.3046253575591553</c:v>
                </c:pt>
                <c:pt idx="13">
                  <c:v>-9.7735140609413129</c:v>
                </c:pt>
                <c:pt idx="14">
                  <c:v>-10.202802559047385</c:v>
                </c:pt>
                <c:pt idx="15">
                  <c:v>-10.590183654560677</c:v>
                </c:pt>
                <c:pt idx="16">
                  <c:v>-10.945383395138185</c:v>
                </c:pt>
                <c:pt idx="17">
                  <c:v>-11.275445604286675</c:v>
                </c:pt>
                <c:pt idx="18">
                  <c:v>-11.573686594443776</c:v>
                </c:pt>
                <c:pt idx="19">
                  <c:v>-11.847444258940518</c:v>
                </c:pt>
                <c:pt idx="20">
                  <c:v>-12.095336811868462</c:v>
                </c:pt>
                <c:pt idx="21">
                  <c:v>-12.317439107019188</c:v>
                </c:pt>
                <c:pt idx="22">
                  <c:v>-12.515670559190616</c:v>
                </c:pt>
                <c:pt idx="23">
                  <c:v>-12.693637362491879</c:v>
                </c:pt>
                <c:pt idx="24">
                  <c:v>-12.850753613460656</c:v>
                </c:pt>
                <c:pt idx="25">
                  <c:v>-12.98412275581555</c:v>
                </c:pt>
                <c:pt idx="26">
                  <c:v>-13.100103333703968</c:v>
                </c:pt>
                <c:pt idx="27">
                  <c:v>-13.199891684260171</c:v>
                </c:pt>
                <c:pt idx="28">
                  <c:v>-13.283940358000715</c:v>
                </c:pt>
                <c:pt idx="29">
                  <c:v>-13.351488617849325</c:v>
                </c:pt>
                <c:pt idx="30">
                  <c:v>-13.404394877590876</c:v>
                </c:pt>
                <c:pt idx="31">
                  <c:v>-13.442773575536739</c:v>
                </c:pt>
                <c:pt idx="32">
                  <c:v>-13.468259100832006</c:v>
                </c:pt>
                <c:pt idx="33">
                  <c:v>-13.482073672307083</c:v>
                </c:pt>
                <c:pt idx="34">
                  <c:v>-13.486253569513844</c:v>
                </c:pt>
                <c:pt idx="35">
                  <c:v>-13.481032304940664</c:v>
                </c:pt>
                <c:pt idx="36">
                  <c:v>-13.467071983388868</c:v>
                </c:pt>
                <c:pt idx="37">
                  <c:v>-13.445099834305529</c:v>
                </c:pt>
                <c:pt idx="38">
                  <c:v>-13.417134116232402</c:v>
                </c:pt>
                <c:pt idx="39">
                  <c:v>-13.383264980965743</c:v>
                </c:pt>
                <c:pt idx="40">
                  <c:v>-13.343170260805261</c:v>
                </c:pt>
                <c:pt idx="41">
                  <c:v>-13.297651074287247</c:v>
                </c:pt>
                <c:pt idx="42">
                  <c:v>-13.252476805914879</c:v>
                </c:pt>
                <c:pt idx="43">
                  <c:v>-13.205542499438648</c:v>
                </c:pt>
                <c:pt idx="44">
                  <c:v>-13.156492206869151</c:v>
                </c:pt>
                <c:pt idx="45">
                  <c:v>-13.107335844275338</c:v>
                </c:pt>
                <c:pt idx="46">
                  <c:v>-13.051229686048503</c:v>
                </c:pt>
                <c:pt idx="47">
                  <c:v>-12.996057525596902</c:v>
                </c:pt>
                <c:pt idx="48">
                  <c:v>-12.941976724854849</c:v>
                </c:pt>
                <c:pt idx="49">
                  <c:v>-12.881781112914448</c:v>
                </c:pt>
                <c:pt idx="50">
                  <c:v>-12.818784568660197</c:v>
                </c:pt>
                <c:pt idx="51">
                  <c:v>-12.758059513609636</c:v>
                </c:pt>
                <c:pt idx="52">
                  <c:v>-12.694022830188599</c:v>
                </c:pt>
                <c:pt idx="53">
                  <c:v>-12.632781880885949</c:v>
                </c:pt>
                <c:pt idx="54">
                  <c:v>-12.57599580863978</c:v>
                </c:pt>
                <c:pt idx="55">
                  <c:v>-12.518467440040483</c:v>
                </c:pt>
                <c:pt idx="56">
                  <c:v>-12.461554936896482</c:v>
                </c:pt>
                <c:pt idx="57">
                  <c:v>-12.400723979430635</c:v>
                </c:pt>
                <c:pt idx="58">
                  <c:v>-12.332932067637666</c:v>
                </c:pt>
                <c:pt idx="59">
                  <c:v>-12.262420741928365</c:v>
                </c:pt>
                <c:pt idx="60">
                  <c:v>-12.187272508256383</c:v>
                </c:pt>
                <c:pt idx="61">
                  <c:v>-12.106469293659872</c:v>
                </c:pt>
                <c:pt idx="62">
                  <c:v>-12.026246631433002</c:v>
                </c:pt>
                <c:pt idx="63">
                  <c:v>-11.944634338540039</c:v>
                </c:pt>
                <c:pt idx="64">
                  <c:v>-11.865265567863799</c:v>
                </c:pt>
                <c:pt idx="65">
                  <c:v>-11.788923092359331</c:v>
                </c:pt>
                <c:pt idx="66">
                  <c:v>-11.708781920059854</c:v>
                </c:pt>
                <c:pt idx="67">
                  <c:v>-11.63278541896336</c:v>
                </c:pt>
                <c:pt idx="68">
                  <c:v>-11.54986485669726</c:v>
                </c:pt>
                <c:pt idx="69">
                  <c:v>-11.466110330523568</c:v>
                </c:pt>
                <c:pt idx="70">
                  <c:v>-11.384745414144794</c:v>
                </c:pt>
                <c:pt idx="71">
                  <c:v>-11.304247531540893</c:v>
                </c:pt>
                <c:pt idx="72">
                  <c:v>-11.224466498080224</c:v>
                </c:pt>
                <c:pt idx="73">
                  <c:v>-11.144342836578231</c:v>
                </c:pt>
                <c:pt idx="74">
                  <c:v>-11.064858337863884</c:v>
                </c:pt>
                <c:pt idx="75">
                  <c:v>-10.988368321752874</c:v>
                </c:pt>
                <c:pt idx="76">
                  <c:v>-10.917891666208076</c:v>
                </c:pt>
                <c:pt idx="77">
                  <c:v>-10.844777369682992</c:v>
                </c:pt>
                <c:pt idx="78">
                  <c:v>-10.77597685236479</c:v>
                </c:pt>
                <c:pt idx="79">
                  <c:v>-10.707108220536853</c:v>
                </c:pt>
                <c:pt idx="80">
                  <c:v>-10.639028412940419</c:v>
                </c:pt>
                <c:pt idx="81">
                  <c:v>-10.573762446418906</c:v>
                </c:pt>
                <c:pt idx="82">
                  <c:v>-10.510848235551073</c:v>
                </c:pt>
                <c:pt idx="83">
                  <c:v>-10.445431744612051</c:v>
                </c:pt>
                <c:pt idx="84">
                  <c:v>-10.383979001916481</c:v>
                </c:pt>
                <c:pt idx="85">
                  <c:v>-10.323157253654555</c:v>
                </c:pt>
                <c:pt idx="86">
                  <c:v>-10.260896476398438</c:v>
                </c:pt>
                <c:pt idx="87">
                  <c:v>-10.203271475230581</c:v>
                </c:pt>
                <c:pt idx="88">
                  <c:v>-10.145328281251517</c:v>
                </c:pt>
                <c:pt idx="89">
                  <c:v>-10.090505321644262</c:v>
                </c:pt>
                <c:pt idx="90">
                  <c:v>-10.034137462671259</c:v>
                </c:pt>
                <c:pt idx="91">
                  <c:v>-9.97678563486771</c:v>
                </c:pt>
                <c:pt idx="92">
                  <c:v>-9.9238412137013157</c:v>
                </c:pt>
                <c:pt idx="93">
                  <c:v>-9.8729376222045886</c:v>
                </c:pt>
                <c:pt idx="94">
                  <c:v>-9.8206768980397658</c:v>
                </c:pt>
                <c:pt idx="95">
                  <c:v>-9.769236552977894</c:v>
                </c:pt>
                <c:pt idx="96">
                  <c:v>-9.7177820270176891</c:v>
                </c:pt>
                <c:pt idx="97">
                  <c:v>-9.6632975607204692</c:v>
                </c:pt>
                <c:pt idx="98">
                  <c:v>-9.6092188946112405</c:v>
                </c:pt>
                <c:pt idx="99">
                  <c:v>-9.5563531527758983</c:v>
                </c:pt>
                <c:pt idx="100">
                  <c:v>-9.5038350362711999</c:v>
                </c:pt>
                <c:pt idx="101">
                  <c:v>-9.4510743656110652</c:v>
                </c:pt>
                <c:pt idx="102">
                  <c:v>-9.4000775476474505</c:v>
                </c:pt>
                <c:pt idx="103">
                  <c:v>-9.3503725187972986</c:v>
                </c:pt>
                <c:pt idx="104">
                  <c:v>-9.2996063615070224</c:v>
                </c:pt>
                <c:pt idx="105">
                  <c:v>-9.2503844439500647</c:v>
                </c:pt>
                <c:pt idx="106">
                  <c:v>-9.2017831936476284</c:v>
                </c:pt>
                <c:pt idx="107">
                  <c:v>-9.1545888147956607</c:v>
                </c:pt>
                <c:pt idx="108">
                  <c:v>-9.107335247369404</c:v>
                </c:pt>
                <c:pt idx="109">
                  <c:v>-9.0612086185196787</c:v>
                </c:pt>
                <c:pt idx="110">
                  <c:v>-9.0179591634296568</c:v>
                </c:pt>
                <c:pt idx="111">
                  <c:v>-8.9748344406528506</c:v>
                </c:pt>
                <c:pt idx="112">
                  <c:v>-8.9328341817586026</c:v>
                </c:pt>
                <c:pt idx="113">
                  <c:v>-8.8905901189440133</c:v>
                </c:pt>
                <c:pt idx="114">
                  <c:v>-8.8482766582444494</c:v>
                </c:pt>
                <c:pt idx="115">
                  <c:v>-8.8054034932079652</c:v>
                </c:pt>
                <c:pt idx="116">
                  <c:v>-8.7624313929274713</c:v>
                </c:pt>
                <c:pt idx="117">
                  <c:v>-8.7226645140903649</c:v>
                </c:pt>
                <c:pt idx="118">
                  <c:v>-8.684521536727603</c:v>
                </c:pt>
                <c:pt idx="119">
                  <c:v>-8.6467331056507764</c:v>
                </c:pt>
                <c:pt idx="120">
                  <c:v>-8.6097291694536064</c:v>
                </c:pt>
                <c:pt idx="121">
                  <c:v>-8.5735133574346172</c:v>
                </c:pt>
                <c:pt idx="122">
                  <c:v>-8.5384687481117645</c:v>
                </c:pt>
                <c:pt idx="123">
                  <c:v>-8.5036978363078841</c:v>
                </c:pt>
                <c:pt idx="124">
                  <c:v>-8.4690186216089316</c:v>
                </c:pt>
                <c:pt idx="125">
                  <c:v>-8.4355677137582141</c:v>
                </c:pt>
                <c:pt idx="126">
                  <c:v>-8.4031679171090055</c:v>
                </c:pt>
                <c:pt idx="127">
                  <c:v>-8.3721095047657705</c:v>
                </c:pt>
                <c:pt idx="128">
                  <c:v>-8.3411843215752324</c:v>
                </c:pt>
                <c:pt idx="129">
                  <c:v>-8.3100671180119363</c:v>
                </c:pt>
                <c:pt idx="130">
                  <c:v>-8.2786902330193737</c:v>
                </c:pt>
                <c:pt idx="131">
                  <c:v>-8.2479217884083997</c:v>
                </c:pt>
                <c:pt idx="132">
                  <c:v>-8.2182645462084327</c:v>
                </c:pt>
                <c:pt idx="133">
                  <c:v>-8.1891794340144326</c:v>
                </c:pt>
                <c:pt idx="134">
                  <c:v>-8.1604707684833642</c:v>
                </c:pt>
                <c:pt idx="135">
                  <c:v>-8.1329292693501749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118.68004369126777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119.91308780636133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119.17149422338815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118.1140437788859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119.38339234444388</c:v>
                </c:pt>
                <c:pt idx="157">
                  <c:v>120</c:v>
                </c:pt>
                <c:pt idx="158">
                  <c:v>119.55769672147251</c:v>
                </c:pt>
                <c:pt idx="159">
                  <c:v>119.08655688600162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118.84682091394764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117.7811103270159</c:v>
                </c:pt>
                <c:pt idx="172">
                  <c:v>114.0311739577525</c:v>
                </c:pt>
                <c:pt idx="173">
                  <c:v>113.99607286989909</c:v>
                </c:pt>
                <c:pt idx="174">
                  <c:v>114.97115665116868</c:v>
                </c:pt>
                <c:pt idx="175">
                  <c:v>117.3754111078232</c:v>
                </c:pt>
                <c:pt idx="176">
                  <c:v>117.48437324473579</c:v>
                </c:pt>
                <c:pt idx="177">
                  <c:v>113.94456967394606</c:v>
                </c:pt>
                <c:pt idx="178">
                  <c:v>108.41837759663504</c:v>
                </c:pt>
                <c:pt idx="179">
                  <c:v>108.68900574718594</c:v>
                </c:pt>
                <c:pt idx="180">
                  <c:v>111.40593878590353</c:v>
                </c:pt>
                <c:pt idx="181">
                  <c:v>109.8815001088184</c:v>
                </c:pt>
                <c:pt idx="182">
                  <c:v>106.99080042031879</c:v>
                </c:pt>
                <c:pt idx="183">
                  <c:v>102.45510700307247</c:v>
                </c:pt>
                <c:pt idx="184">
                  <c:v>98.875709160978943</c:v>
                </c:pt>
                <c:pt idx="185">
                  <c:v>92.629467317094409</c:v>
                </c:pt>
                <c:pt idx="186">
                  <c:v>90.785790505387581</c:v>
                </c:pt>
                <c:pt idx="187">
                  <c:v>90.404166607235368</c:v>
                </c:pt>
                <c:pt idx="188">
                  <c:v>96.454518196179336</c:v>
                </c:pt>
                <c:pt idx="189">
                  <c:v>97.723291861901998</c:v>
                </c:pt>
                <c:pt idx="190">
                  <c:v>99.642538197077542</c:v>
                </c:pt>
                <c:pt idx="191">
                  <c:v>99.451118403016721</c:v>
                </c:pt>
                <c:pt idx="192">
                  <c:v>99.325466488945523</c:v>
                </c:pt>
                <c:pt idx="193">
                  <c:v>97.157429566649881</c:v>
                </c:pt>
                <c:pt idx="194">
                  <c:v>92.920053878520122</c:v>
                </c:pt>
                <c:pt idx="195">
                  <c:v>93.284381965514939</c:v>
                </c:pt>
                <c:pt idx="196">
                  <c:v>91.742909818718758</c:v>
                </c:pt>
                <c:pt idx="197">
                  <c:v>90.57586452441771</c:v>
                </c:pt>
                <c:pt idx="198">
                  <c:v>87.010726024826567</c:v>
                </c:pt>
                <c:pt idx="199">
                  <c:v>88.876228578882248</c:v>
                </c:pt>
                <c:pt idx="200">
                  <c:v>85.755686023164998</c:v>
                </c:pt>
                <c:pt idx="201">
                  <c:v>82.728972875568616</c:v>
                </c:pt>
                <c:pt idx="202">
                  <c:v>78.475670135208276</c:v>
                </c:pt>
                <c:pt idx="203">
                  <c:v>76.392630567257044</c:v>
                </c:pt>
                <c:pt idx="204">
                  <c:v>75.785858504935135</c:v>
                </c:pt>
                <c:pt idx="205">
                  <c:v>77.797633397847704</c:v>
                </c:pt>
                <c:pt idx="206">
                  <c:v>77.036885237681119</c:v>
                </c:pt>
                <c:pt idx="207">
                  <c:v>75.486853501417286</c:v>
                </c:pt>
                <c:pt idx="208">
                  <c:v>74.151618282286307</c:v>
                </c:pt>
                <c:pt idx="209">
                  <c:v>71.8566276308309</c:v>
                </c:pt>
                <c:pt idx="210">
                  <c:v>72.566268074197836</c:v>
                </c:pt>
                <c:pt idx="211">
                  <c:v>76.247255915800778</c:v>
                </c:pt>
                <c:pt idx="212">
                  <c:v>75.307703325567729</c:v>
                </c:pt>
                <c:pt idx="213">
                  <c:v>74.870891057866388</c:v>
                </c:pt>
                <c:pt idx="214">
                  <c:v>72.0598135635083</c:v>
                </c:pt>
                <c:pt idx="215">
                  <c:v>77.825970364641464</c:v>
                </c:pt>
                <c:pt idx="216">
                  <c:v>75.247847384990891</c:v>
                </c:pt>
                <c:pt idx="217">
                  <c:v>82.951277178607981</c:v>
                </c:pt>
                <c:pt idx="218">
                  <c:v>87.494631627453856</c:v>
                </c:pt>
                <c:pt idx="219">
                  <c:v>88.971053619131283</c:v>
                </c:pt>
                <c:pt idx="220">
                  <c:v>90.936464804865068</c:v>
                </c:pt>
                <c:pt idx="221">
                  <c:v>89.314328245338729</c:v>
                </c:pt>
                <c:pt idx="222">
                  <c:v>85.540352957497475</c:v>
                </c:pt>
                <c:pt idx="223">
                  <c:v>85.697246868951709</c:v>
                </c:pt>
                <c:pt idx="224">
                  <c:v>81.614115178938974</c:v>
                </c:pt>
                <c:pt idx="225">
                  <c:v>80.001628384427022</c:v>
                </c:pt>
                <c:pt idx="226">
                  <c:v>77.806476400819378</c:v>
                </c:pt>
                <c:pt idx="227">
                  <c:v>81.158139426573527</c:v>
                </c:pt>
                <c:pt idx="228">
                  <c:v>80.601842727785694</c:v>
                </c:pt>
                <c:pt idx="229">
                  <c:v>86.538495618626001</c:v>
                </c:pt>
                <c:pt idx="230">
                  <c:v>90.520353051139395</c:v>
                </c:pt>
                <c:pt idx="231">
                  <c:v>93.846434969660478</c:v>
                </c:pt>
                <c:pt idx="232">
                  <c:v>96.216172445044862</c:v>
                </c:pt>
                <c:pt idx="233">
                  <c:v>91.725358752330308</c:v>
                </c:pt>
                <c:pt idx="234">
                  <c:v>93.220235728860899</c:v>
                </c:pt>
                <c:pt idx="235">
                  <c:v>89.761637265081859</c:v>
                </c:pt>
                <c:pt idx="236">
                  <c:v>87.82471040023843</c:v>
                </c:pt>
                <c:pt idx="237">
                  <c:v>88.49608266978629</c:v>
                </c:pt>
                <c:pt idx="238">
                  <c:v>92.173271965605551</c:v>
                </c:pt>
                <c:pt idx="239">
                  <c:v>87.196717472095315</c:v>
                </c:pt>
                <c:pt idx="240">
                  <c:v>84.583339595768649</c:v>
                </c:pt>
                <c:pt idx="241">
                  <c:v>79.692678846603641</c:v>
                </c:pt>
                <c:pt idx="242">
                  <c:v>80.08443763968846</c:v>
                </c:pt>
                <c:pt idx="243">
                  <c:v>84.258933692603946</c:v>
                </c:pt>
                <c:pt idx="244">
                  <c:v>97.815524631393671</c:v>
                </c:pt>
                <c:pt idx="245">
                  <c:v>95.881033344377542</c:v>
                </c:pt>
                <c:pt idx="246">
                  <c:v>90.729085209663396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0.15163310361584337</c:v>
                </c:pt>
                <c:pt idx="3">
                  <c:v>0.54235177839125015</c:v>
                </c:pt>
                <c:pt idx="4">
                  <c:v>1.8158167162596044</c:v>
                </c:pt>
                <c:pt idx="5">
                  <c:v>3.4764234928896869</c:v>
                </c:pt>
                <c:pt idx="6">
                  <c:v>3.4764234928896869</c:v>
                </c:pt>
                <c:pt idx="7">
                  <c:v>4.9953365972219004</c:v>
                </c:pt>
                <c:pt idx="8">
                  <c:v>5.5893099665495214</c:v>
                </c:pt>
                <c:pt idx="9">
                  <c:v>7.0971060963779919</c:v>
                </c:pt>
                <c:pt idx="10">
                  <c:v>7.6962796803946034</c:v>
                </c:pt>
                <c:pt idx="11">
                  <c:v>9.6751095165506911</c:v>
                </c:pt>
                <c:pt idx="12">
                  <c:v>11.300860160701227</c:v>
                </c:pt>
                <c:pt idx="13">
                  <c:v>12.512838842753446</c:v>
                </c:pt>
                <c:pt idx="14">
                  <c:v>14.849820130245753</c:v>
                </c:pt>
                <c:pt idx="15">
                  <c:v>17.191089072278643</c:v>
                </c:pt>
                <c:pt idx="16">
                  <c:v>19.376279269140518</c:v>
                </c:pt>
                <c:pt idx="17">
                  <c:v>21.408343206006016</c:v>
                </c:pt>
                <c:pt idx="18">
                  <c:v>21.408343206006016</c:v>
                </c:pt>
                <c:pt idx="19">
                  <c:v>24.805040318048178</c:v>
                </c:pt>
                <c:pt idx="20">
                  <c:v>28.462392026993385</c:v>
                </c:pt>
                <c:pt idx="21">
                  <c:v>31.787531722728886</c:v>
                </c:pt>
                <c:pt idx="22">
                  <c:v>38.147539643015072</c:v>
                </c:pt>
                <c:pt idx="23">
                  <c:v>41.976351077038025</c:v>
                </c:pt>
                <c:pt idx="24">
                  <c:v>46.448307254086856</c:v>
                </c:pt>
                <c:pt idx="25">
                  <c:v>51.905755136087826</c:v>
                </c:pt>
                <c:pt idx="26">
                  <c:v>54.732710211407799</c:v>
                </c:pt>
                <c:pt idx="27">
                  <c:v>57.057692566405514</c:v>
                </c:pt>
                <c:pt idx="28">
                  <c:v>60.569481263299444</c:v>
                </c:pt>
                <c:pt idx="29">
                  <c:v>64.643680962155884</c:v>
                </c:pt>
                <c:pt idx="30">
                  <c:v>68.881321402682175</c:v>
                </c:pt>
                <c:pt idx="31">
                  <c:v>71.755218010274888</c:v>
                </c:pt>
                <c:pt idx="32">
                  <c:v>75.568047438050115</c:v>
                </c:pt>
                <c:pt idx="33">
                  <c:v>76.860613418793164</c:v>
                </c:pt>
                <c:pt idx="34">
                  <c:v>79.896064861298157</c:v>
                </c:pt>
                <c:pt idx="35">
                  <c:v>81.936052946266145</c:v>
                </c:pt>
                <c:pt idx="36">
                  <c:v>84.091029436960383</c:v>
                </c:pt>
                <c:pt idx="37">
                  <c:v>85.836913226584358</c:v>
                </c:pt>
                <c:pt idx="38">
                  <c:v>87.261767152528989</c:v>
                </c:pt>
                <c:pt idx="39">
                  <c:v>91.074394948983624</c:v>
                </c:pt>
                <c:pt idx="40">
                  <c:v>96.960657741849474</c:v>
                </c:pt>
                <c:pt idx="41">
                  <c:v>100.49576455064835</c:v>
                </c:pt>
                <c:pt idx="42">
                  <c:v>103.33443247066401</c:v>
                </c:pt>
                <c:pt idx="43">
                  <c:v>105.4610119995383</c:v>
                </c:pt>
                <c:pt idx="44">
                  <c:v>107.41309061117184</c:v>
                </c:pt>
                <c:pt idx="45">
                  <c:v>112.50556581717743</c:v>
                </c:pt>
                <c:pt idx="46">
                  <c:v>115.3972724001086</c:v>
                </c:pt>
                <c:pt idx="47">
                  <c:v>118.79078807923301</c:v>
                </c:pt>
                <c:pt idx="48">
                  <c:v>122.40930446926339</c:v>
                </c:pt>
                <c:pt idx="49">
                  <c:v>125.34458953237376</c:v>
                </c:pt>
                <c:pt idx="50">
                  <c:v>129.98120740202597</c:v>
                </c:pt>
                <c:pt idx="51">
                  <c:v>130.89214637892502</c:v>
                </c:pt>
                <c:pt idx="52">
                  <c:v>131.77841487562645</c:v>
                </c:pt>
                <c:pt idx="53">
                  <c:v>135.47845698265922</c:v>
                </c:pt>
                <c:pt idx="54">
                  <c:v>140.76201367265176</c:v>
                </c:pt>
                <c:pt idx="55">
                  <c:v>148.18860865803538</c:v>
                </c:pt>
                <c:pt idx="56">
                  <c:v>150.64468602555593</c:v>
                </c:pt>
                <c:pt idx="57">
                  <c:v>151.98341982513344</c:v>
                </c:pt>
                <c:pt idx="58">
                  <c:v>156.33610187806246</c:v>
                </c:pt>
                <c:pt idx="59">
                  <c:v>160.30387461198484</c:v>
                </c:pt>
                <c:pt idx="60">
                  <c:v>166.46697691958656</c:v>
                </c:pt>
                <c:pt idx="61">
                  <c:v>168.55805758186261</c:v>
                </c:pt>
                <c:pt idx="62">
                  <c:v>171.50090625344995</c:v>
                </c:pt>
                <c:pt idx="63">
                  <c:v>173.49449042952591</c:v>
                </c:pt>
                <c:pt idx="64">
                  <c:v>177.46035703854031</c:v>
                </c:pt>
                <c:pt idx="65">
                  <c:v>178.98362356182164</c:v>
                </c:pt>
                <c:pt idx="66">
                  <c:v>182.11811270658961</c:v>
                </c:pt>
                <c:pt idx="67">
                  <c:v>183.57728473390665</c:v>
                </c:pt>
                <c:pt idx="68">
                  <c:v>186.02956231446424</c:v>
                </c:pt>
                <c:pt idx="69">
                  <c:v>189.17873753519009</c:v>
                </c:pt>
                <c:pt idx="70">
                  <c:v>190.02698925029787</c:v>
                </c:pt>
                <c:pt idx="71">
                  <c:v>192.73464050951497</c:v>
                </c:pt>
                <c:pt idx="72">
                  <c:v>198.5379099315283</c:v>
                </c:pt>
                <c:pt idx="73">
                  <c:v>199.75038190219186</c:v>
                </c:pt>
                <c:pt idx="74">
                  <c:v>203.02772329288345</c:v>
                </c:pt>
                <c:pt idx="75">
                  <c:v>208.10929642413953</c:v>
                </c:pt>
                <c:pt idx="76">
                  <c:v>212.0200576123535</c:v>
                </c:pt>
                <c:pt idx="77">
                  <c:v>218.44501236535967</c:v>
                </c:pt>
                <c:pt idx="78">
                  <c:v>224.9625812314157</c:v>
                </c:pt>
                <c:pt idx="79">
                  <c:v>227.92551981671517</c:v>
                </c:pt>
                <c:pt idx="80">
                  <c:v>229.37755667698229</c:v>
                </c:pt>
                <c:pt idx="81">
                  <c:v>232.7883727858428</c:v>
                </c:pt>
                <c:pt idx="82">
                  <c:v>236.96445234507456</c:v>
                </c:pt>
                <c:pt idx="83">
                  <c:v>243.69256514026532</c:v>
                </c:pt>
                <c:pt idx="84">
                  <c:v>246.56330462557128</c:v>
                </c:pt>
                <c:pt idx="85">
                  <c:v>250.08768062209305</c:v>
                </c:pt>
                <c:pt idx="86">
                  <c:v>252.23504182648011</c:v>
                </c:pt>
                <c:pt idx="87">
                  <c:v>256.08415653734625</c:v>
                </c:pt>
                <c:pt idx="88">
                  <c:v>258.10388448854781</c:v>
                </c:pt>
                <c:pt idx="89">
                  <c:v>262.33192963671775</c:v>
                </c:pt>
                <c:pt idx="90">
                  <c:v>263.70417824111041</c:v>
                </c:pt>
                <c:pt idx="91">
                  <c:v>266.65630305875573</c:v>
                </c:pt>
                <c:pt idx="92">
                  <c:v>269.09349291085687</c:v>
                </c:pt>
                <c:pt idx="93">
                  <c:v>273.43852317209513</c:v>
                </c:pt>
                <c:pt idx="94">
                  <c:v>275.24245327981373</c:v>
                </c:pt>
                <c:pt idx="95">
                  <c:v>278.86333978303935</c:v>
                </c:pt>
                <c:pt idx="96">
                  <c:v>282.41825913495251</c:v>
                </c:pt>
                <c:pt idx="97">
                  <c:v>285.11515838678304</c:v>
                </c:pt>
                <c:pt idx="98">
                  <c:v>286.89605139880672</c:v>
                </c:pt>
                <c:pt idx="99">
                  <c:v>287.51456335000836</c:v>
                </c:pt>
                <c:pt idx="100">
                  <c:v>290.452414455932</c:v>
                </c:pt>
                <c:pt idx="101">
                  <c:v>293.20110070733494</c:v>
                </c:pt>
                <c:pt idx="102">
                  <c:v>297.14332123504926</c:v>
                </c:pt>
                <c:pt idx="103">
                  <c:v>299.299631610868</c:v>
                </c:pt>
                <c:pt idx="104">
                  <c:v>301.97340448743114</c:v>
                </c:pt>
                <c:pt idx="105">
                  <c:v>305.26247832782747</c:v>
                </c:pt>
                <c:pt idx="106">
                  <c:v>308.60537937563799</c:v>
                </c:pt>
                <c:pt idx="107">
                  <c:v>311.22177185960822</c:v>
                </c:pt>
                <c:pt idx="108">
                  <c:v>314.56398752538786</c:v>
                </c:pt>
                <c:pt idx="109">
                  <c:v>316.61836072649919</c:v>
                </c:pt>
                <c:pt idx="110">
                  <c:v>318.35810068735657</c:v>
                </c:pt>
                <c:pt idx="111">
                  <c:v>321.38261033884612</c:v>
                </c:pt>
                <c:pt idx="112">
                  <c:v>323.57802380182721</c:v>
                </c:pt>
                <c:pt idx="113">
                  <c:v>325.61961280752598</c:v>
                </c:pt>
                <c:pt idx="114">
                  <c:v>326.86034111377842</c:v>
                </c:pt>
                <c:pt idx="115">
                  <c:v>328.13100044449203</c:v>
                </c:pt>
                <c:pt idx="116">
                  <c:v>333.42805352302463</c:v>
                </c:pt>
                <c:pt idx="117">
                  <c:v>335.96352176477666</c:v>
                </c:pt>
                <c:pt idx="118">
                  <c:v>336.84966671003843</c:v>
                </c:pt>
                <c:pt idx="119">
                  <c:v>337.13779214621343</c:v>
                </c:pt>
                <c:pt idx="120">
                  <c:v>337.36236184205131</c:v>
                </c:pt>
                <c:pt idx="121">
                  <c:v>338.52467810388305</c:v>
                </c:pt>
                <c:pt idx="122">
                  <c:v>341.2610740698122</c:v>
                </c:pt>
                <c:pt idx="123">
                  <c:v>342.19637143019861</c:v>
                </c:pt>
                <c:pt idx="124">
                  <c:v>342.95157934516055</c:v>
                </c:pt>
                <c:pt idx="125">
                  <c:v>343.05461722253551</c:v>
                </c:pt>
                <c:pt idx="126">
                  <c:v>344.74134880938749</c:v>
                </c:pt>
                <c:pt idx="127">
                  <c:v>348.40443644471657</c:v>
                </c:pt>
                <c:pt idx="128">
                  <c:v>350.11193315122051</c:v>
                </c:pt>
                <c:pt idx="129">
                  <c:v>350.65084667289858</c:v>
                </c:pt>
                <c:pt idx="130">
                  <c:v>352.66394974608454</c:v>
                </c:pt>
                <c:pt idx="131">
                  <c:v>354.11041744463114</c:v>
                </c:pt>
                <c:pt idx="132">
                  <c:v>354.11041744463114</c:v>
                </c:pt>
                <c:pt idx="133">
                  <c:v>354.2336147095225</c:v>
                </c:pt>
                <c:pt idx="134">
                  <c:v>355.7441756366328</c:v>
                </c:pt>
                <c:pt idx="135">
                  <c:v>358.60055079773031</c:v>
                </c:pt>
                <c:pt idx="136">
                  <c:v>359.72749402428713</c:v>
                </c:pt>
                <c:pt idx="137">
                  <c:v>360.67170091850272</c:v>
                </c:pt>
                <c:pt idx="138">
                  <c:v>361.98221248977683</c:v>
                </c:pt>
                <c:pt idx="139">
                  <c:v>362.29770508584363</c:v>
                </c:pt>
                <c:pt idx="140">
                  <c:v>362.41256014786586</c:v>
                </c:pt>
                <c:pt idx="141">
                  <c:v>363.70167361144991</c:v>
                </c:pt>
                <c:pt idx="142">
                  <c:v>363.71342150666618</c:v>
                </c:pt>
                <c:pt idx="143">
                  <c:v>363.86869260908924</c:v>
                </c:pt>
                <c:pt idx="144">
                  <c:v>365.62169068596256</c:v>
                </c:pt>
                <c:pt idx="145">
                  <c:v>366.56186969541534</c:v>
                </c:pt>
                <c:pt idx="146">
                  <c:v>368.59302973545715</c:v>
                </c:pt>
                <c:pt idx="147">
                  <c:v>369.39552246781403</c:v>
                </c:pt>
                <c:pt idx="148">
                  <c:v>371.20235949831033</c:v>
                </c:pt>
                <c:pt idx="149">
                  <c:v>371.39518876842601</c:v>
                </c:pt>
                <c:pt idx="150">
                  <c:v>373.21180671317842</c:v>
                </c:pt>
                <c:pt idx="151">
                  <c:v>374.25728083098301</c:v>
                </c:pt>
                <c:pt idx="152">
                  <c:v>377.08696985187072</c:v>
                </c:pt>
                <c:pt idx="153">
                  <c:v>381.57821590099877</c:v>
                </c:pt>
                <c:pt idx="154">
                  <c:v>383.41313963287593</c:v>
                </c:pt>
                <c:pt idx="155">
                  <c:v>385.66166828167042</c:v>
                </c:pt>
                <c:pt idx="156">
                  <c:v>385.66166828167042</c:v>
                </c:pt>
                <c:pt idx="157">
                  <c:v>386.4423891522805</c:v>
                </c:pt>
                <c:pt idx="158">
                  <c:v>386.4423891522805</c:v>
                </c:pt>
                <c:pt idx="159">
                  <c:v>386.4423891522805</c:v>
                </c:pt>
                <c:pt idx="160">
                  <c:v>387.41251804273577</c:v>
                </c:pt>
                <c:pt idx="161">
                  <c:v>388.93555897787957</c:v>
                </c:pt>
                <c:pt idx="162">
                  <c:v>390.62812705282107</c:v>
                </c:pt>
                <c:pt idx="163">
                  <c:v>390.62812705282107</c:v>
                </c:pt>
                <c:pt idx="164">
                  <c:v>392.58358836562786</c:v>
                </c:pt>
                <c:pt idx="165">
                  <c:v>394.54777746781599</c:v>
                </c:pt>
                <c:pt idx="166">
                  <c:v>397.30163355337947</c:v>
                </c:pt>
                <c:pt idx="167">
                  <c:v>400.05486688347366</c:v>
                </c:pt>
                <c:pt idx="168">
                  <c:v>400.15642751285145</c:v>
                </c:pt>
                <c:pt idx="169">
                  <c:v>400.35050517473189</c:v>
                </c:pt>
                <c:pt idx="170">
                  <c:v>401.02239224488233</c:v>
                </c:pt>
                <c:pt idx="171">
                  <c:v>401.02239224488233</c:v>
                </c:pt>
                <c:pt idx="172">
                  <c:v>401.02239224488233</c:v>
                </c:pt>
                <c:pt idx="173">
                  <c:v>401.02239224488233</c:v>
                </c:pt>
                <c:pt idx="174">
                  <c:v>401.02239224488233</c:v>
                </c:pt>
                <c:pt idx="175">
                  <c:v>401.02239224488233</c:v>
                </c:pt>
                <c:pt idx="176">
                  <c:v>401.02239224488233</c:v>
                </c:pt>
                <c:pt idx="177">
                  <c:v>401.02239224488233</c:v>
                </c:pt>
                <c:pt idx="178">
                  <c:v>401.02239224488233</c:v>
                </c:pt>
                <c:pt idx="179">
                  <c:v>401.02239224488233</c:v>
                </c:pt>
                <c:pt idx="180">
                  <c:v>401.02239224488233</c:v>
                </c:pt>
                <c:pt idx="181">
                  <c:v>401.02239224488233</c:v>
                </c:pt>
                <c:pt idx="182">
                  <c:v>401.02239224488233</c:v>
                </c:pt>
                <c:pt idx="183">
                  <c:v>401.02239224488233</c:v>
                </c:pt>
                <c:pt idx="184">
                  <c:v>401.02239224488233</c:v>
                </c:pt>
                <c:pt idx="185">
                  <c:v>401.02239224488233</c:v>
                </c:pt>
                <c:pt idx="186">
                  <c:v>401.02239224488233</c:v>
                </c:pt>
                <c:pt idx="187">
                  <c:v>401.02239224488233</c:v>
                </c:pt>
                <c:pt idx="188">
                  <c:v>401.02239224488233</c:v>
                </c:pt>
                <c:pt idx="189">
                  <c:v>401.02239224488233</c:v>
                </c:pt>
                <c:pt idx="190">
                  <c:v>401.02239224488233</c:v>
                </c:pt>
                <c:pt idx="191">
                  <c:v>401.02239224488233</c:v>
                </c:pt>
                <c:pt idx="192">
                  <c:v>401.02239224488233</c:v>
                </c:pt>
                <c:pt idx="193">
                  <c:v>401.02239224488233</c:v>
                </c:pt>
                <c:pt idx="194">
                  <c:v>401.02239224488233</c:v>
                </c:pt>
                <c:pt idx="195">
                  <c:v>401.02239224488233</c:v>
                </c:pt>
                <c:pt idx="196">
                  <c:v>401.02239224488233</c:v>
                </c:pt>
                <c:pt idx="197">
                  <c:v>401.02239224488233</c:v>
                </c:pt>
                <c:pt idx="198">
                  <c:v>401.02239224488233</c:v>
                </c:pt>
                <c:pt idx="199">
                  <c:v>401.02239224488233</c:v>
                </c:pt>
                <c:pt idx="200">
                  <c:v>401.02239224488233</c:v>
                </c:pt>
                <c:pt idx="201">
                  <c:v>401.02239224488233</c:v>
                </c:pt>
                <c:pt idx="202">
                  <c:v>401.02239224488233</c:v>
                </c:pt>
                <c:pt idx="203">
                  <c:v>401.02239224488233</c:v>
                </c:pt>
                <c:pt idx="204">
                  <c:v>401.02239224488233</c:v>
                </c:pt>
                <c:pt idx="205">
                  <c:v>401.02239224488233</c:v>
                </c:pt>
                <c:pt idx="206">
                  <c:v>401.02239224488233</c:v>
                </c:pt>
                <c:pt idx="207">
                  <c:v>401.02239224488233</c:v>
                </c:pt>
                <c:pt idx="208">
                  <c:v>401.02239224488233</c:v>
                </c:pt>
                <c:pt idx="209">
                  <c:v>401.02239224488233</c:v>
                </c:pt>
                <c:pt idx="210">
                  <c:v>401.02239224488233</c:v>
                </c:pt>
                <c:pt idx="211">
                  <c:v>401.02239224488233</c:v>
                </c:pt>
                <c:pt idx="212">
                  <c:v>401.02239224488233</c:v>
                </c:pt>
                <c:pt idx="213">
                  <c:v>401.02239224488233</c:v>
                </c:pt>
                <c:pt idx="214">
                  <c:v>401.02239224488233</c:v>
                </c:pt>
                <c:pt idx="215">
                  <c:v>401.02239224488233</c:v>
                </c:pt>
                <c:pt idx="216">
                  <c:v>401.02239224488233</c:v>
                </c:pt>
                <c:pt idx="217">
                  <c:v>401.02239224488233</c:v>
                </c:pt>
                <c:pt idx="218">
                  <c:v>401.02239224488233</c:v>
                </c:pt>
                <c:pt idx="219">
                  <c:v>401.02239224488233</c:v>
                </c:pt>
                <c:pt idx="220">
                  <c:v>401.02239224488233</c:v>
                </c:pt>
                <c:pt idx="221">
                  <c:v>401.02239224488233</c:v>
                </c:pt>
                <c:pt idx="222">
                  <c:v>401.02239224488233</c:v>
                </c:pt>
                <c:pt idx="223">
                  <c:v>401.02239224488233</c:v>
                </c:pt>
                <c:pt idx="224">
                  <c:v>401.02239224488233</c:v>
                </c:pt>
                <c:pt idx="225">
                  <c:v>401.02239224488233</c:v>
                </c:pt>
                <c:pt idx="226">
                  <c:v>401.02239224488233</c:v>
                </c:pt>
                <c:pt idx="227">
                  <c:v>401.02239224488233</c:v>
                </c:pt>
                <c:pt idx="228">
                  <c:v>401.02239224488233</c:v>
                </c:pt>
                <c:pt idx="229">
                  <c:v>401.02239224488233</c:v>
                </c:pt>
                <c:pt idx="230">
                  <c:v>401.02239224488233</c:v>
                </c:pt>
                <c:pt idx="231">
                  <c:v>401.02239224488233</c:v>
                </c:pt>
                <c:pt idx="232">
                  <c:v>401.02239224488233</c:v>
                </c:pt>
                <c:pt idx="233">
                  <c:v>401.02239224488233</c:v>
                </c:pt>
                <c:pt idx="234">
                  <c:v>401.02239224488233</c:v>
                </c:pt>
                <c:pt idx="235">
                  <c:v>401.02239224488233</c:v>
                </c:pt>
                <c:pt idx="236">
                  <c:v>401.02239224488233</c:v>
                </c:pt>
                <c:pt idx="237">
                  <c:v>401.02239224488233</c:v>
                </c:pt>
                <c:pt idx="238">
                  <c:v>401.02239224488233</c:v>
                </c:pt>
                <c:pt idx="239">
                  <c:v>401.02239224488233</c:v>
                </c:pt>
                <c:pt idx="240">
                  <c:v>401.02239224488233</c:v>
                </c:pt>
                <c:pt idx="241">
                  <c:v>401.02239224488233</c:v>
                </c:pt>
                <c:pt idx="242">
                  <c:v>401.02239224488233</c:v>
                </c:pt>
                <c:pt idx="243">
                  <c:v>401.02239224488233</c:v>
                </c:pt>
                <c:pt idx="244">
                  <c:v>401.02239224488233</c:v>
                </c:pt>
                <c:pt idx="245">
                  <c:v>401.02239224488233</c:v>
                </c:pt>
                <c:pt idx="246">
                  <c:v>401.02239224488233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8.0202247545556379E-3</c:v>
                </c:pt>
                <c:pt idx="97">
                  <c:v>9.5859505693399443E-3</c:v>
                </c:pt>
                <c:pt idx="98">
                  <c:v>1.1491283726920959E-2</c:v>
                </c:pt>
                <c:pt idx="99">
                  <c:v>1.3768815069370926E-2</c:v>
                </c:pt>
                <c:pt idx="100">
                  <c:v>1.6555958689654579E-2</c:v>
                </c:pt>
                <c:pt idx="101">
                  <c:v>1.9760374663656492E-2</c:v>
                </c:pt>
                <c:pt idx="102">
                  <c:v>2.3759554934904094E-2</c:v>
                </c:pt>
                <c:pt idx="103">
                  <c:v>2.8299047879422962E-2</c:v>
                </c:pt>
                <c:pt idx="104">
                  <c:v>3.3917562350796591E-2</c:v>
                </c:pt>
                <c:pt idx="105">
                  <c:v>4.0435898057853893E-2</c:v>
                </c:pt>
                <c:pt idx="106">
                  <c:v>4.7354688184432982E-2</c:v>
                </c:pt>
                <c:pt idx="107">
                  <c:v>5.5441927446176251E-2</c:v>
                </c:pt>
                <c:pt idx="108">
                  <c:v>6.45843955046497E-2</c:v>
                </c:pt>
                <c:pt idx="109">
                  <c:v>7.5114581748751422E-2</c:v>
                </c:pt>
                <c:pt idx="110">
                  <c:v>8.7341544273118285E-2</c:v>
                </c:pt>
                <c:pt idx="111">
                  <c:v>0.10216784954172617</c:v>
                </c:pt>
                <c:pt idx="112">
                  <c:v>0.12012994635134795</c:v>
                </c:pt>
                <c:pt idx="113">
                  <c:v>0.14123198674346502</c:v>
                </c:pt>
                <c:pt idx="114">
                  <c:v>0.16644916815000099</c:v>
                </c:pt>
                <c:pt idx="115">
                  <c:v>0.19520428984999882</c:v>
                </c:pt>
                <c:pt idx="116">
                  <c:v>0.22866749775820278</c:v>
                </c:pt>
                <c:pt idx="117">
                  <c:v>0.26506818058763959</c:v>
                </c:pt>
                <c:pt idx="118">
                  <c:v>0.30480307330601708</c:v>
                </c:pt>
                <c:pt idx="119">
                  <c:v>0.34521107397458745</c:v>
                </c:pt>
                <c:pt idx="120">
                  <c:v>0.38784249202303667</c:v>
                </c:pt>
                <c:pt idx="121">
                  <c:v>0.43334458478667531</c:v>
                </c:pt>
                <c:pt idx="122">
                  <c:v>0.48049402271453501</c:v>
                </c:pt>
                <c:pt idx="123">
                  <c:v>0.52679839563749875</c:v>
                </c:pt>
                <c:pt idx="124">
                  <c:v>0.57310536639685572</c:v>
                </c:pt>
                <c:pt idx="125">
                  <c:v>0.62249728409609539</c:v>
                </c:pt>
                <c:pt idx="126">
                  <c:v>0.67022545796635158</c:v>
                </c:pt>
                <c:pt idx="127">
                  <c:v>0.71591867434569589</c:v>
                </c:pt>
                <c:pt idx="128">
                  <c:v>0.75726721901173766</c:v>
                </c:pt>
                <c:pt idx="129">
                  <c:v>0.7927927295954672</c:v>
                </c:pt>
                <c:pt idx="130">
                  <c:v>0.82637305604073086</c:v>
                </c:pt>
                <c:pt idx="131">
                  <c:v>0.85403820819706378</c:v>
                </c:pt>
                <c:pt idx="132">
                  <c:v>0.87847586126917387</c:v>
                </c:pt>
                <c:pt idx="133">
                  <c:v>0.89971826365514107</c:v>
                </c:pt>
                <c:pt idx="134">
                  <c:v>0.91854476663991913</c:v>
                </c:pt>
                <c:pt idx="135">
                  <c:v>0.93360247590987699</c:v>
                </c:pt>
                <c:pt idx="136">
                  <c:v>0.94631126010578381</c:v>
                </c:pt>
                <c:pt idx="137">
                  <c:v>0.95711303141641146</c:v>
                </c:pt>
                <c:pt idx="138">
                  <c:v>0.96601808619604312</c:v>
                </c:pt>
                <c:pt idx="139">
                  <c:v>0.9730470407167352</c:v>
                </c:pt>
                <c:pt idx="140">
                  <c:v>0.97850628772368065</c:v>
                </c:pt>
                <c:pt idx="141">
                  <c:v>0.98282888226142651</c:v>
                </c:pt>
                <c:pt idx="142">
                  <c:v>0.98626784919741406</c:v>
                </c:pt>
                <c:pt idx="143">
                  <c:v>0.98899328509408413</c:v>
                </c:pt>
                <c:pt idx="144">
                  <c:v>0.99122396178885241</c:v>
                </c:pt>
                <c:pt idx="145">
                  <c:v>0.99303325209568261</c:v>
                </c:pt>
                <c:pt idx="146">
                  <c:v>0.99454868041083222</c:v>
                </c:pt>
                <c:pt idx="147">
                  <c:v>0.99569588808868625</c:v>
                </c:pt>
                <c:pt idx="148">
                  <c:v>0.99659250903923347</c:v>
                </c:pt>
                <c:pt idx="149">
                  <c:v>0.99733502282003283</c:v>
                </c:pt>
                <c:pt idx="150">
                  <c:v>0.99793733341223401</c:v>
                </c:pt>
                <c:pt idx="151">
                  <c:v>0.99842099989691624</c:v>
                </c:pt>
                <c:pt idx="152">
                  <c:v>0.99878726210876667</c:v>
                </c:pt>
                <c:pt idx="153">
                  <c:v>0.9990611622177018</c:v>
                </c:pt>
                <c:pt idx="154">
                  <c:v>0.99927127194366716</c:v>
                </c:pt>
                <c:pt idx="155">
                  <c:v>0.99943986647965311</c:v>
                </c:pt>
                <c:pt idx="156">
                  <c:v>0.99956403217999323</c:v>
                </c:pt>
                <c:pt idx="157">
                  <c:v>0.99966096269077132</c:v>
                </c:pt>
                <c:pt idx="158">
                  <c:v>0.99973736347744724</c:v>
                </c:pt>
                <c:pt idx="159">
                  <c:v>0.99979502953641142</c:v>
                </c:pt>
                <c:pt idx="160">
                  <c:v>0.99984366393381452</c:v>
                </c:pt>
                <c:pt idx="161">
                  <c:v>0.99988156330397016</c:v>
                </c:pt>
                <c:pt idx="162">
                  <c:v>0.99990814053033739</c:v>
                </c:pt>
                <c:pt idx="163">
                  <c:v>0.99992937141908711</c:v>
                </c:pt>
                <c:pt idx="164">
                  <c:v>0.9999465794676794</c:v>
                </c:pt>
                <c:pt idx="165">
                  <c:v>0.99995948145840863</c:v>
                </c:pt>
                <c:pt idx="166">
                  <c:v>0.9999689510908355</c:v>
                </c:pt>
                <c:pt idx="167">
                  <c:v>0.99997598119264874</c:v>
                </c:pt>
                <c:pt idx="168">
                  <c:v>0.99998145330137111</c:v>
                </c:pt>
                <c:pt idx="169">
                  <c:v>0.99998594283822895</c:v>
                </c:pt>
                <c:pt idx="170">
                  <c:v>0.99998917827610723</c:v>
                </c:pt>
                <c:pt idx="171">
                  <c:v>0.99999160311208457</c:v>
                </c:pt>
                <c:pt idx="172">
                  <c:v>0.99999345892422986</c:v>
                </c:pt>
                <c:pt idx="173">
                  <c:v>0.9999949787269139</c:v>
                </c:pt>
                <c:pt idx="174">
                  <c:v>0.99999618020675241</c:v>
                </c:pt>
                <c:pt idx="175">
                  <c:v>0.99999712820361297</c:v>
                </c:pt>
                <c:pt idx="176">
                  <c:v>0.99999779951481527</c:v>
                </c:pt>
                <c:pt idx="177">
                  <c:v>0.99999833814472927</c:v>
                </c:pt>
                <c:pt idx="178">
                  <c:v>0.99999875655655945</c:v>
                </c:pt>
                <c:pt idx="179">
                  <c:v>0.99999909189587499</c:v>
                </c:pt>
                <c:pt idx="180">
                  <c:v>0.99999932471084507</c:v>
                </c:pt>
                <c:pt idx="181">
                  <c:v>0.99999949809231514</c:v>
                </c:pt>
                <c:pt idx="182">
                  <c:v>0.99999963198754105</c:v>
                </c:pt>
                <c:pt idx="183">
                  <c:v>0.99999972853512564</c:v>
                </c:pt>
                <c:pt idx="184">
                  <c:v>0.99999979662741112</c:v>
                </c:pt>
                <c:pt idx="185">
                  <c:v>0.99999984791543683</c:v>
                </c:pt>
                <c:pt idx="186">
                  <c:v>0.99999988588720312</c:v>
                </c:pt>
                <c:pt idx="187">
                  <c:v>0.99999991494620988</c:v>
                </c:pt>
                <c:pt idx="188">
                  <c:v>0.99999993730336778</c:v>
                </c:pt>
                <c:pt idx="189">
                  <c:v>0.99999995320195145</c:v>
                </c:pt>
                <c:pt idx="190">
                  <c:v>0.9999999654131414</c:v>
                </c:pt>
                <c:pt idx="191">
                  <c:v>0.99999997465076906</c:v>
                </c:pt>
                <c:pt idx="192">
                  <c:v>0.99999998120730493</c:v>
                </c:pt>
                <c:pt idx="193">
                  <c:v>0.99027021861755726</c:v>
                </c:pt>
                <c:pt idx="194">
                  <c:v>0.95992667571299628</c:v>
                </c:pt>
                <c:pt idx="195">
                  <c:v>0.92967071179474703</c:v>
                </c:pt>
                <c:pt idx="196">
                  <c:v>0.90012568317714803</c:v>
                </c:pt>
                <c:pt idx="197">
                  <c:v>0.87074035741694178</c:v>
                </c:pt>
                <c:pt idx="198">
                  <c:v>0.84025256677021953</c:v>
                </c:pt>
                <c:pt idx="199">
                  <c:v>0.80874989022329402</c:v>
                </c:pt>
                <c:pt idx="200">
                  <c:v>0.77844240925427322</c:v>
                </c:pt>
                <c:pt idx="201">
                  <c:v>0.74927345510730792</c:v>
                </c:pt>
                <c:pt idx="202">
                  <c:v>0.7201766248314232</c:v>
                </c:pt>
                <c:pt idx="203">
                  <c:v>0.68980217169639912</c:v>
                </c:pt>
                <c:pt idx="204">
                  <c:v>0.65920104353797948</c:v>
                </c:pt>
                <c:pt idx="205">
                  <c:v>0.62790443519414074</c:v>
                </c:pt>
                <c:pt idx="206">
                  <c:v>0.59588658813949757</c:v>
                </c:pt>
                <c:pt idx="207">
                  <c:v>0.56434216501694656</c:v>
                </c:pt>
                <c:pt idx="208">
                  <c:v>0.53085252911525538</c:v>
                </c:pt>
                <c:pt idx="209">
                  <c:v>0.49723250178161116</c:v>
                </c:pt>
                <c:pt idx="210">
                  <c:v>0.46471493933448205</c:v>
                </c:pt>
                <c:pt idx="211">
                  <c:v>0.43244981043613462</c:v>
                </c:pt>
                <c:pt idx="212">
                  <c:v>0.39983418794753645</c:v>
                </c:pt>
                <c:pt idx="213">
                  <c:v>0.36634988139592528</c:v>
                </c:pt>
                <c:pt idx="214">
                  <c:v>0.3320928190827378</c:v>
                </c:pt>
                <c:pt idx="215">
                  <c:v>0.29656737145054946</c:v>
                </c:pt>
                <c:pt idx="216">
                  <c:v>0.26015511996507601</c:v>
                </c:pt>
                <c:pt idx="217">
                  <c:v>0.22359862073744174</c:v>
                </c:pt>
                <c:pt idx="218">
                  <c:v>0.1875830505429108</c:v>
                </c:pt>
                <c:pt idx="219">
                  <c:v>0.1514799013620679</c:v>
                </c:pt>
                <c:pt idx="220">
                  <c:v>0.11698923587038079</c:v>
                </c:pt>
                <c:pt idx="221">
                  <c:v>8.2663424941163188E-2</c:v>
                </c:pt>
                <c:pt idx="222">
                  <c:v>4.6915743410644972E-2</c:v>
                </c:pt>
                <c:pt idx="223">
                  <c:v>1.1420495428908661E-2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Q17" sqref="Q17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2" t="s">
        <v>153</v>
      </c>
      <c r="E1" s="133"/>
      <c r="F1" s="133"/>
      <c r="G1" s="133"/>
      <c r="H1" s="134"/>
      <c r="Z1"/>
      <c r="AA1"/>
      <c r="AB1"/>
      <c r="AC1"/>
    </row>
    <row r="2" spans="2:34" s="55" customFormat="1" ht="47.25" customHeight="1">
      <c r="C2" s="106"/>
      <c r="D2" s="135" t="s">
        <v>154</v>
      </c>
      <c r="E2" s="136"/>
      <c r="F2" s="136"/>
      <c r="G2" s="136"/>
      <c r="H2" s="137"/>
      <c r="Z2"/>
      <c r="AA2"/>
      <c r="AB2"/>
      <c r="AC2"/>
    </row>
    <row r="3" spans="2:34" s="54" customFormat="1" ht="15.75" thickBot="1">
      <c r="B3" s="55"/>
      <c r="C3" s="138" t="s">
        <v>185</v>
      </c>
      <c r="D3" s="138"/>
      <c r="E3" s="138"/>
      <c r="F3" s="138"/>
      <c r="G3" s="139"/>
      <c r="H3" s="139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8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271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Agria</v>
      </c>
      <c r="E7" s="92" t="s">
        <v>268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148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Interface'!V4:W4),0)&amp;" kg N/ha from all sources"</f>
        <v>requires 285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5" thickBot="1">
      <c r="B15" s="55">
        <f ca="1">SUMIF(B29:B43,1,G29:G43)</f>
        <v>291.17185080483603</v>
      </c>
      <c r="C15" s="111" t="s">
        <v>225</v>
      </c>
      <c r="D15" s="112" t="str">
        <f ca="1">SUMIF(B29:B43,1,G29:G43)&amp;" Kg/ha"</f>
        <v>291.171850804836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1" t="s">
        <v>228</v>
      </c>
      <c r="S15" s="131"/>
      <c r="T15" s="131"/>
      <c r="U15" s="131"/>
      <c r="V15" s="131"/>
      <c r="W15" s="124"/>
      <c r="X15" s="124"/>
      <c r="Y15" s="124"/>
      <c r="Z15" s="129" t="s">
        <v>227</v>
      </c>
      <c r="AA15" s="129"/>
      <c r="AB15" s="129"/>
      <c r="AC15" s="129"/>
      <c r="AD15" s="130" t="s">
        <v>229</v>
      </c>
      <c r="AE15" s="130"/>
      <c r="AF15" s="130"/>
      <c r="AG15" s="130"/>
      <c r="AH15" s="130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38" t="s">
        <v>186</v>
      </c>
      <c r="D17" s="138"/>
      <c r="E17" s="138"/>
      <c r="F17" s="138"/>
      <c r="G17" s="138"/>
      <c r="H17" s="138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116.01886383068427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0.32813159407200737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28.581605831806613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0.34007215369775207</v>
      </c>
      <c r="AK18" s="55">
        <f t="shared" ref="AK18" ca="1" si="10">VLOOKUP(AE18,ModelOutputs,4,FALSE)</f>
        <v>-1.0883172853045364</v>
      </c>
    </row>
    <row r="19" spans="1:37" s="55" customFormat="1">
      <c r="C19" s="57" t="s">
        <v>222</v>
      </c>
      <c r="D19" s="85">
        <f>IF(E19="",60,E19)</f>
        <v>30</v>
      </c>
      <c r="E19" s="16">
        <v>30</v>
      </c>
      <c r="F19" s="100" t="str">
        <f ca="1">ROUND('Model Interface'!T3,0)&amp;" kg N/ha available from SOM mineralisation"</f>
        <v>71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49.979391757537137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0.6791844440623811</v>
      </c>
      <c r="Y19" s="55">
        <f t="shared" ref="Y19:Y82" ca="1" si="14">VLOOKUP(S19,ModelOutputs,4,FALSE)+Y18</f>
        <v>-0.37166109245323431</v>
      </c>
      <c r="Z19">
        <f t="shared" ca="1" si="3"/>
        <v>118.68004369126777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27.877262596924172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0.66982541385313255</v>
      </c>
      <c r="AK19" s="55">
        <f t="shared" ref="AK19:AK82" ca="1" si="19">VLOOKUP(AE19,ModelOutputs,4,FALSE)+AK18</f>
        <v>-2.1224137803423586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45049</v>
      </c>
      <c r="S20" s="55">
        <f t="shared" ca="1" si="11"/>
        <v>45049</v>
      </c>
      <c r="T20" s="55">
        <f t="shared" ca="1" si="0"/>
        <v>49.925779745900556</v>
      </c>
      <c r="U20" s="55">
        <f t="shared" ca="1" si="1"/>
        <v>0</v>
      </c>
      <c r="V20" s="55">
        <f t="shared" ca="1" si="2"/>
        <v>0</v>
      </c>
      <c r="W20" s="55">
        <f t="shared" ca="1" si="12"/>
        <v>-4.9167581076407792E-2</v>
      </c>
      <c r="X20" s="55">
        <f t="shared" ca="1" si="13"/>
        <v>1.026971454038524</v>
      </c>
      <c r="Y20" s="55">
        <f t="shared" ca="1" si="14"/>
        <v>-0.7238925329895467</v>
      </c>
      <c r="Z20">
        <f t="shared" ca="1" si="3"/>
        <v>120</v>
      </c>
      <c r="AA20">
        <f t="shared" ca="1" si="15"/>
        <v>0.15163310361584337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27.245848418347784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0.97722753549938113</v>
      </c>
      <c r="AK20" s="55">
        <f t="shared" ca="1" si="19"/>
        <v>-3.0612300805649975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45050</v>
      </c>
      <c r="S21" s="55">
        <f t="shared" ca="1" si="11"/>
        <v>45050</v>
      </c>
      <c r="T21" s="55">
        <f t="shared" ca="1" si="0"/>
        <v>49.808942309668787</v>
      </c>
      <c r="U21" s="55">
        <f t="shared" ca="1" si="1"/>
        <v>0</v>
      </c>
      <c r="V21" s="55">
        <f t="shared" ca="1" si="2"/>
        <v>0</v>
      </c>
      <c r="W21" s="55">
        <f t="shared" ca="1" si="12"/>
        <v>-0.17556303410026536</v>
      </c>
      <c r="X21" s="55">
        <f t="shared" ca="1" si="13"/>
        <v>1.3666641902742427</v>
      </c>
      <c r="Y21" s="55">
        <f t="shared" ca="1" si="14"/>
        <v>-1.0540272524331722</v>
      </c>
      <c r="Z21">
        <f t="shared" ca="1" si="3"/>
        <v>120</v>
      </c>
      <c r="AA21">
        <f t="shared" ca="1" si="15"/>
        <v>0.54235177839125015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26.664531826236541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1.2779557379736988</v>
      </c>
      <c r="AK21" s="55">
        <f t="shared" ca="1" si="19"/>
        <v>-3.9432748751505597</v>
      </c>
    </row>
    <row r="22" spans="1:37" s="55" customFormat="1" ht="15" customHeight="1">
      <c r="C22" s="57" t="s">
        <v>212</v>
      </c>
      <c r="D22" s="85" t="str">
        <f>IF(E22="","loam",E22)</f>
        <v>Clay loam</v>
      </c>
      <c r="E22" s="16" t="s">
        <v>252</v>
      </c>
      <c r="F22" s="100"/>
      <c r="R22" s="83">
        <f ca="1"/>
        <v>45051</v>
      </c>
      <c r="S22" s="55">
        <f t="shared" ca="1" si="11"/>
        <v>45051</v>
      </c>
      <c r="T22" s="55">
        <f t="shared" ca="1" si="0"/>
        <v>49.425069097821044</v>
      </c>
      <c r="U22" s="55">
        <f t="shared" ca="1" si="1"/>
        <v>0</v>
      </c>
      <c r="V22" s="55">
        <f t="shared" ca="1" si="2"/>
        <v>0</v>
      </c>
      <c r="W22" s="55">
        <f t="shared" ca="1" si="12"/>
        <v>-0.58434736377348628</v>
      </c>
      <c r="X22" s="55">
        <f t="shared" ca="1" si="13"/>
        <v>1.7088539884210592</v>
      </c>
      <c r="Y22" s="55">
        <f t="shared" ca="1" si="14"/>
        <v>-1.3713059327545176</v>
      </c>
      <c r="Z22">
        <f t="shared" ca="1" si="3"/>
        <v>120</v>
      </c>
      <c r="AA22">
        <f t="shared" ca="1" si="15"/>
        <v>1.8158167162596044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26.119663231781971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1.580553499912412</v>
      </c>
      <c r="AK22" s="55">
        <f t="shared" ca="1" si="19"/>
        <v>-4.7907412315438451</v>
      </c>
    </row>
    <row r="23" spans="1:37" s="55" customFormat="1">
      <c r="C23" s="57"/>
      <c r="D23" s="85"/>
      <c r="E23" s="122"/>
      <c r="F23" s="100"/>
      <c r="R23" s="83">
        <f ca="1"/>
        <v>45052</v>
      </c>
      <c r="S23" s="55">
        <f t="shared" ca="1" si="11"/>
        <v>45052</v>
      </c>
      <c r="T23" s="55">
        <f t="shared" ca="1" si="0"/>
        <v>48.937885218529019</v>
      </c>
      <c r="U23" s="55">
        <f t="shared" ca="1" si="1"/>
        <v>0</v>
      </c>
      <c r="V23" s="55">
        <f t="shared" ca="1" si="2"/>
        <v>0</v>
      </c>
      <c r="W23" s="55">
        <f t="shared" ca="1" si="12"/>
        <v>-1.1121504992158389</v>
      </c>
      <c r="X23" s="55">
        <f t="shared" ca="1" si="13"/>
        <v>2.0558425436461314</v>
      </c>
      <c r="Y23" s="55">
        <f t="shared" ca="1" si="14"/>
        <v>-1.6776752318292609</v>
      </c>
      <c r="Z23">
        <f t="shared" ca="1" si="3"/>
        <v>120</v>
      </c>
      <c r="AA23">
        <f t="shared" ca="1" si="15"/>
        <v>3.4764234928896869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25.629376257638658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1.8898038756568769</v>
      </c>
      <c r="AK23" s="55">
        <f t="shared" ca="1" si="19"/>
        <v>-5.5902785814316234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45053</v>
      </c>
      <c r="S24" s="55">
        <f t="shared" ca="1" si="11"/>
        <v>45053</v>
      </c>
      <c r="T24" s="55">
        <f t="shared" ca="1" si="0"/>
        <v>48.989409939028384</v>
      </c>
      <c r="U24" s="55">
        <f t="shared" ca="1" si="1"/>
        <v>0</v>
      </c>
      <c r="V24" s="55">
        <f t="shared" ca="1" si="2"/>
        <v>0</v>
      </c>
      <c r="W24" s="55">
        <f t="shared" ca="1" si="12"/>
        <v>-1.1121504992158389</v>
      </c>
      <c r="X24" s="55">
        <f t="shared" ca="1" si="13"/>
        <v>2.3934681421245001</v>
      </c>
      <c r="Y24" s="55">
        <f t="shared" ca="1" si="14"/>
        <v>-1.9637761098082616</v>
      </c>
      <c r="Z24">
        <f t="shared" ca="1" si="3"/>
        <v>119.91308780636133</v>
      </c>
      <c r="AA24">
        <f t="shared" ca="1" si="15"/>
        <v>3.4764234928896869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25.194276558292017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2.2076591815105822</v>
      </c>
      <c r="AK24" s="55">
        <f t="shared" ca="1" si="19"/>
        <v>-6.3432335866319685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45054</v>
      </c>
      <c r="S25" s="55">
        <f t="shared" ca="1" si="11"/>
        <v>45054</v>
      </c>
      <c r="T25" s="55">
        <f t="shared" ca="1" si="0"/>
        <v>48.571890087599861</v>
      </c>
      <c r="U25" s="55">
        <f t="shared" ca="1" si="1"/>
        <v>0</v>
      </c>
      <c r="V25" s="55">
        <f t="shared" ca="1" si="2"/>
        <v>0</v>
      </c>
      <c r="W25" s="55">
        <f t="shared" ca="1" si="12"/>
        <v>-1.5913075625472892</v>
      </c>
      <c r="X25" s="55">
        <f t="shared" ca="1" si="13"/>
        <v>2.7235031411982353</v>
      </c>
      <c r="Y25" s="55">
        <f t="shared" ca="1" si="14"/>
        <v>-2.2321738969790652</v>
      </c>
      <c r="Z25">
        <f t="shared" ca="1" si="3"/>
        <v>120</v>
      </c>
      <c r="AA25">
        <f t="shared" ca="1" si="15"/>
        <v>4.9953365972219004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24.806722096186217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2.5101160782765386</v>
      </c>
      <c r="AK25" s="55">
        <f t="shared" ca="1" si="19"/>
        <v>-7.0332449455037258</v>
      </c>
    </row>
    <row r="26" spans="1:37" s="55" customFormat="1" ht="15.7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48.453879109674794</v>
      </c>
      <c r="U26" s="55">
        <f t="shared" ca="1" si="1"/>
        <v>0</v>
      </c>
      <c r="V26" s="55">
        <f t="shared" ca="1" si="2"/>
        <v>0</v>
      </c>
      <c r="W26" s="55">
        <f t="shared" ca="1" si="12"/>
        <v>-1.7782274398686071</v>
      </c>
      <c r="X26" s="55">
        <f t="shared" ca="1" si="13"/>
        <v>3.041739428605704</v>
      </c>
      <c r="Y26" s="55">
        <f t="shared" ca="1" si="14"/>
        <v>-2.4815012849902844</v>
      </c>
      <c r="Z26">
        <f t="shared" ca="1" si="3"/>
        <v>120</v>
      </c>
      <c r="AA26">
        <f t="shared" ca="1" si="15"/>
        <v>5.5893099665495214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24.466096666081153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2.7969226593510257</v>
      </c>
      <c r="AK26" s="55">
        <f t="shared" ca="1" si="19"/>
        <v>-7.6606769566832762</v>
      </c>
    </row>
    <row r="27" spans="1:37" s="55" customFormat="1" ht="15.75" thickBot="1">
      <c r="C27" s="141" t="s">
        <v>139</v>
      </c>
      <c r="D27" s="142"/>
      <c r="E27" s="60"/>
      <c r="F27" s="143" t="s">
        <v>146</v>
      </c>
      <c r="G27" s="144"/>
      <c r="R27" s="83">
        <f ca="1"/>
        <v>45056</v>
      </c>
      <c r="S27" s="55">
        <f t="shared" ca="1" si="11"/>
        <v>45056</v>
      </c>
      <c r="T27" s="55">
        <f t="shared" ca="1" si="0"/>
        <v>48.064507497619523</v>
      </c>
      <c r="U27" s="55">
        <f t="shared" ca="1" si="1"/>
        <v>0</v>
      </c>
      <c r="V27" s="55">
        <f t="shared" ca="1" si="2"/>
        <v>0</v>
      </c>
      <c r="W27" s="55">
        <f t="shared" ca="1" si="12"/>
        <v>-2.2489088899938903</v>
      </c>
      <c r="X27" s="55">
        <f t="shared" ca="1" si="13"/>
        <v>3.3636515197084509</v>
      </c>
      <c r="Y27" s="55">
        <f t="shared" ca="1" si="14"/>
        <v>-2.7221035380230183</v>
      </c>
      <c r="Z27">
        <f t="shared" ca="1" si="3"/>
        <v>120</v>
      </c>
      <c r="AA27">
        <f t="shared" ca="1" si="15"/>
        <v>7.0971060963779919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24.160141051316444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3.0768236031771568</v>
      </c>
      <c r="AK27" s="55">
        <f t="shared" ca="1" si="19"/>
        <v>-8.2465335152741197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45057</v>
      </c>
      <c r="S28" s="55">
        <f t="shared" ca="1" si="11"/>
        <v>45057</v>
      </c>
      <c r="T28" s="55">
        <f t="shared" ca="1" si="0"/>
        <v>47.973387239410307</v>
      </c>
      <c r="U28" s="55">
        <f t="shared" ca="1" si="1"/>
        <v>0</v>
      </c>
      <c r="V28" s="55">
        <f t="shared" ca="1" si="2"/>
        <v>0</v>
      </c>
      <c r="W28" s="55">
        <f t="shared" ca="1" si="12"/>
        <v>-2.4355954287612995</v>
      </c>
      <c r="X28" s="55">
        <f t="shared" ca="1" si="13"/>
        <v>3.6936865187821861</v>
      </c>
      <c r="Y28" s="55">
        <f t="shared" ca="1" si="14"/>
        <v>-2.9565722565385526</v>
      </c>
      <c r="Z28">
        <f t="shared" ca="1" si="3"/>
        <v>120</v>
      </c>
      <c r="AA28">
        <f t="shared" ca="1" si="15"/>
        <v>7.6962796803946034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23.906033164323858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3.3696568858211053</v>
      </c>
      <c r="AK28" s="55">
        <f t="shared" ca="1" si="19"/>
        <v>-8.7934746849106507</v>
      </c>
    </row>
    <row r="29" spans="1:37" s="55" customFormat="1">
      <c r="A29" s="83">
        <f t="array" aca="1" ref="A29:A43" ca="1">_xlfn._xlws.FILTER('Model Interface'!AD7:AD496,'Model Interface'!AE7:AE496&gt;0,"")</f>
        <v>45144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45144</v>
      </c>
      <c r="G29" s="76">
        <f ca="1">IFERROR(VLOOKUP(F29,'Model Interface'!$P$7:$U$496,6,FALSE),"")</f>
        <v>89.959859005979283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47.473811536839392</v>
      </c>
      <c r="U29" s="55">
        <f t="shared" ca="1" si="1"/>
        <v>0</v>
      </c>
      <c r="V29" s="55">
        <f t="shared" ca="1" si="2"/>
        <v>0</v>
      </c>
      <c r="W29" s="55">
        <f t="shared" ca="1" si="12"/>
        <v>-3.0457256163672057</v>
      </c>
      <c r="X29" s="55">
        <f t="shared" ca="1" si="13"/>
        <v>4.0330028376040383</v>
      </c>
      <c r="Y29" s="55">
        <f t="shared" ca="1" si="14"/>
        <v>-3.1853340903254144</v>
      </c>
      <c r="Z29">
        <f t="shared" ca="1" si="3"/>
        <v>120</v>
      </c>
      <c r="AA29">
        <f t="shared" ca="1" si="15"/>
        <v>9.6751095165506911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23.690071291262779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3.6648456854085296</v>
      </c>
      <c r="AK29" s="55">
        <f t="shared" ca="1" si="19"/>
        <v>-9.3046253575591553</v>
      </c>
    </row>
    <row r="30" spans="1:37" s="55" customFormat="1">
      <c r="A30" s="83">
        <f ca="1"/>
        <v>45195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45195</v>
      </c>
      <c r="G30" s="76">
        <f ca="1">IFERROR(VLOOKUP(F30,'Model Interface'!$P$7:$U$496,6,FALSE),"")</f>
        <v>99.61306059249651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47.096611780549587</v>
      </c>
      <c r="U30" s="55">
        <f t="shared" ca="1" si="1"/>
        <v>0</v>
      </c>
      <c r="V30" s="55">
        <f t="shared" ca="1" si="2"/>
        <v>0</v>
      </c>
      <c r="W30" s="55">
        <f t="shared" ca="1" si="12"/>
        <v>-3.543008557075094</v>
      </c>
      <c r="X30" s="55">
        <f t="shared" ca="1" si="13"/>
        <v>4.3700191678302192</v>
      </c>
      <c r="Y30" s="55">
        <f t="shared" ca="1" si="14"/>
        <v>-3.4022672361335093</v>
      </c>
      <c r="Z30">
        <f t="shared" ca="1" si="3"/>
        <v>120</v>
      </c>
      <c r="AA30">
        <f t="shared" ca="1" si="15"/>
        <v>11.300860160701227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23.506780827249081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3.9504439247769922</v>
      </c>
      <c r="AK30" s="55">
        <f t="shared" ca="1" si="19"/>
        <v>-9.7735140609413129</v>
      </c>
    </row>
    <row r="31" spans="1:37" s="55" customFormat="1">
      <c r="A31" s="83">
        <f ca="1"/>
        <v>45215</v>
      </c>
      <c r="B31" s="55">
        <f t="shared" ca="1" si="24"/>
        <v>1</v>
      </c>
      <c r="C31" s="78"/>
      <c r="D31" s="81"/>
      <c r="F31" s="74">
        <f t="shared" ca="1" si="25"/>
        <v>45215</v>
      </c>
      <c r="G31" s="76">
        <f ca="1">IFERROR(VLOOKUP(F31,'Model Interface'!$P$7:$U$496,6,FALSE),"")</f>
        <v>101.59893120636026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46.853100839378413</v>
      </c>
      <c r="U31" s="55">
        <f t="shared" ca="1" si="1"/>
        <v>0</v>
      </c>
      <c r="V31" s="55">
        <f t="shared" ca="1" si="2"/>
        <v>0</v>
      </c>
      <c r="W31" s="55">
        <f t="shared" ca="1" si="12"/>
        <v>-3.9118105690264735</v>
      </c>
      <c r="X31" s="55">
        <f t="shared" ca="1" si="13"/>
        <v>4.6975535950337095</v>
      </c>
      <c r="Y31" s="55">
        <f t="shared" ca="1" si="14"/>
        <v>-3.6045105925567928</v>
      </c>
      <c r="Z31">
        <f t="shared" ca="1" si="3"/>
        <v>120</v>
      </c>
      <c r="AA31">
        <f t="shared" ca="1" si="15"/>
        <v>12.512838842753446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23.366965059458721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4.2399166550927037</v>
      </c>
      <c r="AK31" s="55">
        <f t="shared" ca="1" si="19"/>
        <v>-10.202802559047385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46.283930180972035</v>
      </c>
      <c r="U32" s="55">
        <f t="shared" ca="1" si="1"/>
        <v>0</v>
      </c>
      <c r="V32" s="55">
        <f t="shared" ca="1" si="2"/>
        <v>0</v>
      </c>
      <c r="W32" s="55">
        <f t="shared" ca="1" si="12"/>
        <v>-4.61430911020331</v>
      </c>
      <c r="X32" s="55">
        <f t="shared" ca="1" si="13"/>
        <v>5.0227549098411073</v>
      </c>
      <c r="Y32" s="55">
        <f t="shared" ca="1" si="14"/>
        <v>-3.7963840245937366</v>
      </c>
      <c r="Z32">
        <f t="shared" ca="1" si="3"/>
        <v>120</v>
      </c>
      <c r="AA32">
        <f t="shared" ca="1" si="15"/>
        <v>14.849820130245753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23.268136384955227</v>
      </c>
      <c r="AG32" s="55">
        <f t="shared" ca="1" si="22"/>
        <v>3.3992420297040686</v>
      </c>
      <c r="AH32" s="55">
        <f t="shared" ca="1" si="23"/>
        <v>0</v>
      </c>
      <c r="AI32" s="55">
        <f t="shared" ca="1" si="17"/>
        <v>0</v>
      </c>
      <c r="AJ32" s="55">
        <f t="shared" ca="1" si="18"/>
        <v>4.5284690761025015</v>
      </c>
      <c r="AK32" s="55">
        <f t="shared" ca="1" si="19"/>
        <v>-10.590183654560677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45.730902544251634</v>
      </c>
      <c r="U33" s="55">
        <f t="shared" ca="1" si="1"/>
        <v>0</v>
      </c>
      <c r="V33" s="55">
        <f t="shared" ca="1" si="2"/>
        <v>0</v>
      </c>
      <c r="W33" s="55">
        <f t="shared" ca="1" si="12"/>
        <v>-5.3096872577315537</v>
      </c>
      <c r="X33" s="55">
        <f t="shared" ca="1" si="13"/>
        <v>5.3482771076947371</v>
      </c>
      <c r="Y33" s="55">
        <f t="shared" ca="1" si="14"/>
        <v>-3.9795557116395246</v>
      </c>
      <c r="Z33">
        <f t="shared" ca="1" si="3"/>
        <v>120</v>
      </c>
      <c r="AA33">
        <f t="shared" ca="1" si="15"/>
        <v>17.191089072278643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23.029936293531563</v>
      </c>
      <c r="AG33" s="55">
        <f t="shared" ca="1" si="22"/>
        <v>3.5694426398507102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4.8156693354029851</v>
      </c>
      <c r="AK33" s="55">
        <f t="shared" ca="1" si="19"/>
        <v>-10.945383395138185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45.23319660162818</v>
      </c>
      <c r="U34" s="55">
        <f t="shared" ca="1" si="1"/>
        <v>0</v>
      </c>
      <c r="V34" s="55">
        <f t="shared" ca="1" si="2"/>
        <v>0</v>
      </c>
      <c r="W34" s="55">
        <f t="shared" ca="1" si="12"/>
        <v>-5.9516450660141436</v>
      </c>
      <c r="X34" s="55">
        <f t="shared" ca="1" si="13"/>
        <v>5.6625045104488994</v>
      </c>
      <c r="Y34" s="55">
        <f t="shared" ca="1" si="14"/>
        <v>-4.1495312487345517</v>
      </c>
      <c r="Z34">
        <f t="shared" ca="1" si="3"/>
        <v>120</v>
      </c>
      <c r="AA34">
        <f t="shared" ca="1" si="15"/>
        <v>19.376279269140518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22.808466594119643</v>
      </c>
      <c r="AG34" s="55">
        <f t="shared" ca="1" si="22"/>
        <v>3.751901152279844</v>
      </c>
      <c r="AH34" s="55">
        <f t="shared" ca="1" si="23"/>
        <v>0</v>
      </c>
      <c r="AI34" s="55">
        <f t="shared" ca="1" si="17"/>
        <v>0</v>
      </c>
      <c r="AJ34" s="55">
        <f t="shared" ca="1" si="18"/>
        <v>5.1067203575686886</v>
      </c>
      <c r="AK34" s="55">
        <f t="shared" ca="1" si="19"/>
        <v>-11.275445604286675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44.791693988166863</v>
      </c>
      <c r="U35" s="55">
        <f t="shared" ca="1" si="1"/>
        <v>0</v>
      </c>
      <c r="V35" s="55">
        <f t="shared" ca="1" si="2"/>
        <v>0</v>
      </c>
      <c r="W35" s="55">
        <f t="shared" ca="1" si="12"/>
        <v>-6.5427911512507855</v>
      </c>
      <c r="X35" s="55">
        <f t="shared" ca="1" si="13"/>
        <v>5.972843395184861</v>
      </c>
      <c r="Y35" s="55">
        <f t="shared" ca="1" si="14"/>
        <v>-4.3102266616951859</v>
      </c>
      <c r="Z35">
        <f t="shared" ca="1" si="3"/>
        <v>120</v>
      </c>
      <c r="AA35">
        <f t="shared" ca="1" si="15"/>
        <v>21.408343206006016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22.600053712484296</v>
      </c>
      <c r="AG35" s="55">
        <f t="shared" ca="1" si="22"/>
        <v>3.9425980307252617</v>
      </c>
      <c r="AH35" s="55">
        <f t="shared" ca="1" si="23"/>
        <v>0</v>
      </c>
      <c r="AI35" s="55">
        <f t="shared" ca="1" si="17"/>
        <v>0</v>
      </c>
      <c r="AJ35" s="55">
        <f t="shared" ca="1" si="18"/>
        <v>5.3872453445358603</v>
      </c>
      <c r="AK35" s="55">
        <f t="shared" ca="1" si="19"/>
        <v>-11.573686594443776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41" t="s">
        <v>140</v>
      </c>
      <c r="D36" s="142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44.957106364418493</v>
      </c>
      <c r="U36" s="55">
        <f t="shared" ca="1" si="1"/>
        <v>0</v>
      </c>
      <c r="V36" s="55">
        <f t="shared" ca="1" si="2"/>
        <v>0</v>
      </c>
      <c r="W36" s="55">
        <f t="shared" ca="1" si="12"/>
        <v>-6.5427911512507855</v>
      </c>
      <c r="X36" s="55">
        <f t="shared" ca="1" si="13"/>
        <v>6.2967631230226679</v>
      </c>
      <c r="Y36" s="55">
        <f t="shared" ca="1" si="14"/>
        <v>-4.4687340132813578</v>
      </c>
      <c r="Z36">
        <f t="shared" ca="1" si="3"/>
        <v>119.17149422338815</v>
      </c>
      <c r="AA36">
        <f t="shared" ca="1" si="15"/>
        <v>21.408343206006016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22.454705984855725</v>
      </c>
      <c r="AG36" s="55">
        <f t="shared" ca="1" si="22"/>
        <v>4.1460800717062689</v>
      </c>
      <c r="AH36" s="55">
        <f t="shared" ca="1" si="23"/>
        <v>0</v>
      </c>
      <c r="AI36" s="55">
        <f t="shared" ca="1" si="17"/>
        <v>0</v>
      </c>
      <c r="AJ36" s="55">
        <f t="shared" ca="1" si="18"/>
        <v>5.7191373223850377</v>
      </c>
      <c r="AK36" s="55">
        <f t="shared" ca="1" si="19"/>
        <v>-11.847444258940518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44.155072343214222</v>
      </c>
      <c r="U37" s="55">
        <f t="shared" ca="1" si="1"/>
        <v>0</v>
      </c>
      <c r="V37" s="55">
        <f t="shared" ca="1" si="2"/>
        <v>0</v>
      </c>
      <c r="W37" s="55">
        <f t="shared" ca="1" si="12"/>
        <v>-7.5168773376149964</v>
      </c>
      <c r="X37" s="55">
        <f t="shared" ca="1" si="13"/>
        <v>6.6193131745582638</v>
      </c>
      <c r="Y37" s="55">
        <f t="shared" ca="1" si="14"/>
        <v>-4.6192318996570148</v>
      </c>
      <c r="Z37">
        <f t="shared" ca="1" si="3"/>
        <v>120</v>
      </c>
      <c r="AA37">
        <f t="shared" ca="1" si="15"/>
        <v>24.805040318048178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22.335357249022955</v>
      </c>
      <c r="AG37" s="55">
        <f t="shared" ca="1" si="22"/>
        <v>4.3613519105680965</v>
      </c>
      <c r="AH37" s="55">
        <f t="shared" ca="1" si="23"/>
        <v>0</v>
      </c>
      <c r="AI37" s="55">
        <f t="shared" ca="1" si="17"/>
        <v>0</v>
      </c>
      <c r="AJ37" s="55">
        <f t="shared" ca="1" si="18"/>
        <v>6.0629529783420377</v>
      </c>
      <c r="AK37" s="55">
        <f t="shared" ca="1" si="19"/>
        <v>-12.095336811868462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43.310827787570943</v>
      </c>
      <c r="U38" s="55">
        <f t="shared" ca="1" si="1"/>
        <v>0</v>
      </c>
      <c r="V38" s="55">
        <f t="shared" ca="1" si="2"/>
        <v>0</v>
      </c>
      <c r="W38" s="55">
        <f t="shared" ca="1" si="12"/>
        <v>-8.5456589006177577</v>
      </c>
      <c r="X38" s="55">
        <f t="shared" ca="1" si="13"/>
        <v>6.9499496783946464</v>
      </c>
      <c r="Y38" s="55">
        <f t="shared" ca="1" si="14"/>
        <v>-4.7653313961339121</v>
      </c>
      <c r="Z38">
        <f t="shared" ca="1" si="3"/>
        <v>120</v>
      </c>
      <c r="AA38">
        <f t="shared" ca="1" si="15"/>
        <v>28.462392026993385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22.22698427458235</v>
      </c>
      <c r="AG38" s="55">
        <f t="shared" ca="1" si="22"/>
        <v>4.5877851272261552</v>
      </c>
      <c r="AH38" s="55">
        <f t="shared" ca="1" si="23"/>
        <v>0</v>
      </c>
      <c r="AI38" s="55">
        <f t="shared" ca="1" si="17"/>
        <v>0</v>
      </c>
      <c r="AJ38" s="55">
        <f t="shared" ca="1" si="18"/>
        <v>6.4031155157102182</v>
      </c>
      <c r="AK38" s="55">
        <f t="shared" ca="1" si="19"/>
        <v>-12.317439107019188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42.573130952786585</v>
      </c>
      <c r="U39" s="55">
        <f t="shared" ca="1" si="1"/>
        <v>0</v>
      </c>
      <c r="V39" s="55">
        <f t="shared" ca="1" si="2"/>
        <v>0</v>
      </c>
      <c r="W39" s="55">
        <f t="shared" ca="1" si="12"/>
        <v>-9.4650609092233768</v>
      </c>
      <c r="X39" s="55">
        <f t="shared" ca="1" si="13"/>
        <v>7.265749868851703</v>
      </c>
      <c r="Y39" s="55">
        <f t="shared" ca="1" si="14"/>
        <v>-4.8994264127697029</v>
      </c>
      <c r="Z39">
        <f t="shared" ca="1" si="3"/>
        <v>120</v>
      </c>
      <c r="AA39">
        <f t="shared" ca="1" si="15"/>
        <v>31.787531722728886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22.136938930521463</v>
      </c>
      <c r="AG39" s="55">
        <f t="shared" ca="1" si="22"/>
        <v>4.8263463596156653</v>
      </c>
      <c r="AH39" s="55">
        <f t="shared" ca="1" si="23"/>
        <v>0</v>
      </c>
      <c r="AI39" s="55">
        <f t="shared" ca="1" si="17"/>
        <v>0</v>
      </c>
      <c r="AJ39" s="55">
        <f t="shared" ca="1" si="18"/>
        <v>6.7498628562102683</v>
      </c>
      <c r="AK39" s="55">
        <f t="shared" ca="1" si="19"/>
        <v>-12.515670559190616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41.060575728393147</v>
      </c>
      <c r="U40" s="55">
        <f t="shared" ca="1" si="1"/>
        <v>0</v>
      </c>
      <c r="V40" s="55">
        <f t="shared" ca="1" si="2"/>
        <v>0</v>
      </c>
      <c r="W40" s="55">
        <f t="shared" ca="1" si="12"/>
        <v>-11.161126537320266</v>
      </c>
      <c r="X40" s="55">
        <f t="shared" ca="1" si="13"/>
        <v>7.5748880519690092</v>
      </c>
      <c r="Y40" s="55">
        <f t="shared" ca="1" si="14"/>
        <v>-5.0250541921835552</v>
      </c>
      <c r="Z40">
        <f t="shared" ca="1" si="3"/>
        <v>120</v>
      </c>
      <c r="AA40">
        <f t="shared" ca="1" si="15"/>
        <v>38.147539643015072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22.062081872520746</v>
      </c>
      <c r="AG40" s="55">
        <f t="shared" ca="1" si="22"/>
        <v>5.0811534043321451</v>
      </c>
      <c r="AH40" s="55">
        <f t="shared" ca="1" si="23"/>
        <v>0</v>
      </c>
      <c r="AI40" s="55">
        <f t="shared" ca="1" si="17"/>
        <v>0</v>
      </c>
      <c r="AJ40" s="55">
        <f t="shared" ca="1" si="18"/>
        <v>7.1077796462272955</v>
      </c>
      <c r="AK40" s="55">
        <f t="shared" ca="1" si="19"/>
        <v>-12.693637362491879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40.24779776355409</v>
      </c>
      <c r="U41" s="55">
        <f t="shared" ca="1" si="1"/>
        <v>0</v>
      </c>
      <c r="V41" s="55">
        <f t="shared" ca="1" si="2"/>
        <v>0</v>
      </c>
      <c r="W41" s="55">
        <f t="shared" ca="1" si="12"/>
        <v>-12.161969782182648</v>
      </c>
      <c r="X41" s="55">
        <f t="shared" ca="1" si="13"/>
        <v>7.8820314597729695</v>
      </c>
      <c r="Y41" s="55">
        <f t="shared" ca="1" si="14"/>
        <v>-5.1441323199641973</v>
      </c>
      <c r="Z41">
        <f t="shared" ca="1" si="3"/>
        <v>120</v>
      </c>
      <c r="AA41">
        <f t="shared" ca="1" si="15"/>
        <v>41.976351077038025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21.980282298650437</v>
      </c>
      <c r="AG41" s="55">
        <f t="shared" ca="1" si="22"/>
        <v>5.3512748073793803</v>
      </c>
      <c r="AH41" s="55">
        <f t="shared" ca="1" si="23"/>
        <v>0</v>
      </c>
      <c r="AI41" s="55">
        <f t="shared" ca="1" si="17"/>
        <v>0</v>
      </c>
      <c r="AJ41" s="55">
        <f t="shared" ca="1" si="18"/>
        <v>7.4532177263729977</v>
      </c>
      <c r="AK41" s="55">
        <f t="shared" ca="1" si="19"/>
        <v>-12.850753613460656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39.305498652479308</v>
      </c>
      <c r="U42" s="55">
        <f t="shared" ca="1" si="1"/>
        <v>0</v>
      </c>
      <c r="V42" s="55">
        <f t="shared" ca="1" si="2"/>
        <v>0</v>
      </c>
      <c r="W42" s="55">
        <f t="shared" ca="1" si="12"/>
        <v>-13.303561505328037</v>
      </c>
      <c r="X42" s="55">
        <f t="shared" ca="1" si="13"/>
        <v>8.1968784115643434</v>
      </c>
      <c r="Y42" s="55">
        <f t="shared" ca="1" si="14"/>
        <v>-5.2596866596849674</v>
      </c>
      <c r="Z42">
        <f t="shared" ca="1" si="3"/>
        <v>120</v>
      </c>
      <c r="AA42">
        <f t="shared" ca="1" si="15"/>
        <v>46.448307254086856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21.903372557853125</v>
      </c>
      <c r="AG42" s="55">
        <f t="shared" ca="1" si="22"/>
        <v>5.6285992627266754</v>
      </c>
      <c r="AH42" s="55">
        <f t="shared" ca="1" si="23"/>
        <v>0</v>
      </c>
      <c r="AI42" s="55">
        <f t="shared" ca="1" si="17"/>
        <v>0</v>
      </c>
      <c r="AJ42" s="55">
        <f t="shared" ca="1" si="18"/>
        <v>7.7870015832778758</v>
      </c>
      <c r="AK42" s="55">
        <f t="shared" ca="1" si="19"/>
        <v>-12.98412275581555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38.165945969572221</v>
      </c>
      <c r="U43" s="55">
        <f t="shared" ca="1" si="1"/>
        <v>0</v>
      </c>
      <c r="V43" s="55">
        <f t="shared" ca="1" si="2"/>
        <v>0</v>
      </c>
      <c r="W43" s="55">
        <f t="shared" ca="1" si="12"/>
        <v>-14.65633657193829</v>
      </c>
      <c r="X43" s="55">
        <f t="shared" ca="1" si="13"/>
        <v>8.5229878701678103</v>
      </c>
      <c r="Y43" s="55">
        <f t="shared" ca="1" si="14"/>
        <v>-5.3725737345852647</v>
      </c>
      <c r="Z43">
        <f t="shared" ca="1" si="3"/>
        <v>120</v>
      </c>
      <c r="AA43">
        <f t="shared" ca="1" si="15"/>
        <v>51.905755136087826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21.819771373090411</v>
      </c>
      <c r="AG43" s="55">
        <f t="shared" ca="1" si="22"/>
        <v>5.9232337887845832</v>
      </c>
      <c r="AH43" s="55">
        <f t="shared" ca="1" si="23"/>
        <v>0</v>
      </c>
      <c r="AI43" s="55">
        <f t="shared" ca="1" si="17"/>
        <v>0</v>
      </c>
      <c r="AJ43" s="55">
        <f t="shared" ca="1" si="18"/>
        <v>8.1140155024614895</v>
      </c>
      <c r="AK43" s="55">
        <f t="shared" ca="1" si="19"/>
        <v>-13.100103333703968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100" t="s">
        <v>151</v>
      </c>
      <c r="D44" s="102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37.680118695720473</v>
      </c>
      <c r="U44" s="55">
        <f t="shared" ca="1" si="1"/>
        <v>0</v>
      </c>
      <c r="V44" s="55">
        <f t="shared" ca="1" si="2"/>
        <v>0</v>
      </c>
      <c r="W44" s="55">
        <f t="shared" ca="1" si="12"/>
        <v>-15.348153414844296</v>
      </c>
      <c r="X44" s="55">
        <f t="shared" ca="1" si="13"/>
        <v>8.8316983513881766</v>
      </c>
      <c r="Y44" s="55">
        <f t="shared" ca="1" si="14"/>
        <v>-5.4752946467513688</v>
      </c>
      <c r="Z44">
        <f t="shared" ca="1" si="3"/>
        <v>120</v>
      </c>
      <c r="AA44">
        <f t="shared" ca="1" si="15"/>
        <v>54.732710211407799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21.730387647586099</v>
      </c>
      <c r="AG44" s="55">
        <f t="shared" ca="1" si="22"/>
        <v>6.2380474885952966</v>
      </c>
      <c r="AH44" s="55">
        <f t="shared" ca="1" si="23"/>
        <v>0</v>
      </c>
      <c r="AI44" s="55">
        <f t="shared" ca="1" si="17"/>
        <v>0</v>
      </c>
      <c r="AJ44" s="55">
        <f t="shared" ca="1" si="18"/>
        <v>8.4392338273240952</v>
      </c>
      <c r="AK44" s="55">
        <f t="shared" ca="1" si="19"/>
        <v>-13.199891684260171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37.312783644559595</v>
      </c>
      <c r="U45" s="55">
        <f t="shared" ca="1" si="1"/>
        <v>0</v>
      </c>
      <c r="V45" s="55">
        <f t="shared" ca="1" si="2"/>
        <v>0</v>
      </c>
      <c r="W45" s="55">
        <f t="shared" ca="1" si="12"/>
        <v>-15.911579919445991</v>
      </c>
      <c r="X45" s="55">
        <f t="shared" ca="1" si="13"/>
        <v>9.1207259988363294</v>
      </c>
      <c r="Y45" s="55">
        <f t="shared" ca="1" si="14"/>
        <v>-5.5682308407587051</v>
      </c>
      <c r="Z45">
        <f t="shared" ca="1" si="3"/>
        <v>120</v>
      </c>
      <c r="AA45">
        <f t="shared" ca="1" si="15"/>
        <v>57.057692566405514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21.643558731079697</v>
      </c>
      <c r="AG45" s="55">
        <f t="shared" ca="1" si="22"/>
        <v>6.5745448070956991</v>
      </c>
      <c r="AH45" s="55">
        <f t="shared" ca="1" si="23"/>
        <v>0</v>
      </c>
      <c r="AI45" s="55">
        <f t="shared" ca="1" si="17"/>
        <v>0</v>
      </c>
      <c r="AJ45" s="55">
        <f t="shared" ca="1" si="18"/>
        <v>8.772950903058641</v>
      </c>
      <c r="AK45" s="55">
        <f t="shared" ca="1" si="19"/>
        <v>-13.283940358000715</v>
      </c>
    </row>
    <row r="46" spans="1:37" s="55" customFormat="1" ht="15.75" thickBot="1">
      <c r="C46" s="138" t="s">
        <v>155</v>
      </c>
      <c r="D46" s="138"/>
      <c r="E46" s="138"/>
      <c r="F46" s="138"/>
      <c r="G46" s="138"/>
      <c r="H46" s="138"/>
      <c r="R46" s="83">
        <f ca="1"/>
        <v>45075</v>
      </c>
      <c r="S46" s="55">
        <f t="shared" ca="1" si="11"/>
        <v>45075</v>
      </c>
      <c r="T46" s="55">
        <f t="shared" ca="1" si="0"/>
        <v>36.669480446877451</v>
      </c>
      <c r="U46" s="55">
        <f t="shared" ca="1" si="1"/>
        <v>0</v>
      </c>
      <c r="V46" s="55">
        <f t="shared" ca="1" si="2"/>
        <v>0</v>
      </c>
      <c r="W46" s="55">
        <f t="shared" ca="1" si="12"/>
        <v>-16.747939613985803</v>
      </c>
      <c r="X46" s="55">
        <f t="shared" ca="1" si="13"/>
        <v>9.4001104287286292</v>
      </c>
      <c r="Y46" s="55">
        <f t="shared" ca="1" si="14"/>
        <v>-5.6545587737933385</v>
      </c>
      <c r="Z46">
        <f t="shared" ca="1" si="3"/>
        <v>120</v>
      </c>
      <c r="AA46">
        <f t="shared" ca="1" si="15"/>
        <v>60.569481263299444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21.556902699669507</v>
      </c>
      <c r="AG46" s="55">
        <f t="shared" ca="1" si="22"/>
        <v>6.9271145485874941</v>
      </c>
      <c r="AH46" s="55">
        <f t="shared" ca="1" si="23"/>
        <v>0</v>
      </c>
      <c r="AI46" s="55">
        <f t="shared" ca="1" si="17"/>
        <v>0</v>
      </c>
      <c r="AJ46" s="55">
        <f t="shared" ca="1" si="18"/>
        <v>9.1064128729888569</v>
      </c>
      <c r="AK46" s="55">
        <f t="shared" ca="1" si="19"/>
        <v>-13.351488617849325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35.922299766317266</v>
      </c>
      <c r="U47" s="55">
        <f t="shared" ca="1" si="1"/>
        <v>0</v>
      </c>
      <c r="V47" s="55">
        <f t="shared" ca="1" si="2"/>
        <v>0</v>
      </c>
      <c r="W47" s="55">
        <f t="shared" ca="1" si="12"/>
        <v>-17.698470880460086</v>
      </c>
      <c r="X47" s="55">
        <f t="shared" ca="1" si="13"/>
        <v>9.68744710667508</v>
      </c>
      <c r="Y47" s="55">
        <f t="shared" ca="1" si="14"/>
        <v>-5.738544865825685</v>
      </c>
      <c r="Z47">
        <f t="shared" ca="1" si="3"/>
        <v>120</v>
      </c>
      <c r="AA47">
        <f t="shared" ca="1" si="15"/>
        <v>64.643680962155884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21.452014415838132</v>
      </c>
      <c r="AG47" s="55">
        <f t="shared" ca="1" si="22"/>
        <v>7.3004044889762136</v>
      </c>
      <c r="AH47" s="55">
        <f t="shared" ca="1" si="23"/>
        <v>0</v>
      </c>
      <c r="AI47" s="55">
        <f t="shared" ca="1" si="17"/>
        <v>0</v>
      </c>
      <c r="AJ47" s="55">
        <f t="shared" ca="1" si="18"/>
        <v>9.4277207892877541</v>
      </c>
      <c r="AK47" s="55">
        <f t="shared" ca="1" si="19"/>
        <v>-13.404394877590876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35.155965405427708</v>
      </c>
      <c r="U48" s="55">
        <f t="shared" ca="1" si="1"/>
        <v>0</v>
      </c>
      <c r="V48" s="55">
        <f t="shared" ca="1" si="2"/>
        <v>0</v>
      </c>
      <c r="W48" s="55">
        <f t="shared" ca="1" si="12"/>
        <v>-18.666042441185535</v>
      </c>
      <c r="X48" s="55">
        <f t="shared" ca="1" si="13"/>
        <v>9.9669983947099379</v>
      </c>
      <c r="Y48" s="55">
        <f t="shared" ca="1" si="14"/>
        <v>-5.8168589540246494</v>
      </c>
      <c r="Z48">
        <f t="shared" ca="1" si="3"/>
        <v>120</v>
      </c>
      <c r="AA48">
        <f t="shared" ca="1" si="15"/>
        <v>68.881321402682175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21.353154780326836</v>
      </c>
      <c r="AG48" s="55">
        <f t="shared" ca="1" si="22"/>
        <v>7.6868589997275922</v>
      </c>
      <c r="AH48" s="55">
        <f t="shared" ca="1" si="23"/>
        <v>0</v>
      </c>
      <c r="AI48" s="55">
        <f t="shared" ca="1" si="17"/>
        <v>0</v>
      </c>
      <c r="AJ48" s="55">
        <f t="shared" ca="1" si="18"/>
        <v>9.7536943624736985</v>
      </c>
      <c r="AK48" s="55">
        <f t="shared" ca="1" si="19"/>
        <v>-13.442773575536739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34.780824378553369</v>
      </c>
      <c r="U49" s="55">
        <f t="shared" ca="1" si="1"/>
        <v>0</v>
      </c>
      <c r="V49" s="55">
        <f t="shared" ca="1" si="2"/>
        <v>0</v>
      </c>
      <c r="W49" s="55">
        <f t="shared" ca="1" si="12"/>
        <v>-19.246830019430607</v>
      </c>
      <c r="X49" s="55">
        <f t="shared" ca="1" si="13"/>
        <v>10.247343110341626</v>
      </c>
      <c r="Y49" s="55">
        <f t="shared" ca="1" si="14"/>
        <v>-5.8915571182856032</v>
      </c>
      <c r="Z49">
        <f t="shared" ca="1" si="3"/>
        <v>120</v>
      </c>
      <c r="AA49">
        <f t="shared" ca="1" si="15"/>
        <v>71.755218010274888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21.235662720997034</v>
      </c>
      <c r="AG49" s="55">
        <f t="shared" ca="1" si="22"/>
        <v>8.0864549140541122</v>
      </c>
      <c r="AH49" s="55">
        <f t="shared" ca="1" si="23"/>
        <v>0</v>
      </c>
      <c r="AI49" s="55">
        <f t="shared" ca="1" si="17"/>
        <v>0</v>
      </c>
      <c r="AJ49" s="55">
        <f t="shared" ca="1" si="18"/>
        <v>10.061283742765681</v>
      </c>
      <c r="AK49" s="55">
        <f t="shared" ca="1" si="19"/>
        <v>-13.468259100832006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34.22859899046405</v>
      </c>
      <c r="U50" s="55">
        <f t="shared" ca="1" si="1"/>
        <v>0</v>
      </c>
      <c r="V50" s="55">
        <f t="shared" ca="1" si="2"/>
        <v>0</v>
      </c>
      <c r="W50" s="55">
        <f t="shared" ca="1" si="12"/>
        <v>-20.005133079125372</v>
      </c>
      <c r="X50" s="55">
        <f t="shared" ca="1" si="13"/>
        <v>10.523737509642499</v>
      </c>
      <c r="Y50" s="55">
        <f t="shared" ca="1" si="14"/>
        <v>-5.9618738459810361</v>
      </c>
      <c r="Z50">
        <f t="shared" ca="1" si="3"/>
        <v>120</v>
      </c>
      <c r="AA50">
        <f t="shared" ca="1" si="15"/>
        <v>75.568047438050115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21.133704995932408</v>
      </c>
      <c r="AG50" s="55">
        <f t="shared" ca="1" si="22"/>
        <v>8.4874149209998571</v>
      </c>
      <c r="AH50" s="55">
        <f t="shared" ca="1" si="23"/>
        <v>0</v>
      </c>
      <c r="AI50" s="55">
        <f t="shared" ca="1" si="17"/>
        <v>0</v>
      </c>
      <c r="AJ50" s="55">
        <f t="shared" ca="1" si="18"/>
        <v>10.374100596121879</v>
      </c>
      <c r="AK50" s="55">
        <f t="shared" ca="1" si="19"/>
        <v>-13.482073672307083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34.170101548683625</v>
      </c>
      <c r="U51" s="55">
        <f t="shared" ca="1" si="1"/>
        <v>0</v>
      </c>
      <c r="V51" s="55">
        <f t="shared" ca="1" si="2"/>
        <v>0</v>
      </c>
      <c r="W51" s="55">
        <f t="shared" ca="1" si="12"/>
        <v>-20.261761823417906</v>
      </c>
      <c r="X51" s="55">
        <f t="shared" ca="1" si="13"/>
        <v>10.786313905485905</v>
      </c>
      <c r="Y51" s="55">
        <f t="shared" ca="1" si="14"/>
        <v>-6.0263189393123326</v>
      </c>
      <c r="Z51">
        <f t="shared" ca="1" si="3"/>
        <v>120</v>
      </c>
      <c r="AA51">
        <f t="shared" ca="1" si="15"/>
        <v>76.860613418793164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21.015619231442106</v>
      </c>
      <c r="AG51" s="55">
        <f t="shared" ca="1" si="22"/>
        <v>8.9218419967396798</v>
      </c>
      <c r="AH51" s="55">
        <f t="shared" ca="1" si="23"/>
        <v>0</v>
      </c>
      <c r="AI51" s="55">
        <f t="shared" ca="1" si="17"/>
        <v>0</v>
      </c>
      <c r="AJ51" s="55">
        <f t="shared" ca="1" si="18"/>
        <v>10.694621804578162</v>
      </c>
      <c r="AK51" s="55">
        <f t="shared" ca="1" si="19"/>
        <v>-13.486253569513844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33.777992798659703</v>
      </c>
      <c r="U52" s="55">
        <f t="shared" ca="1" si="1"/>
        <v>0</v>
      </c>
      <c r="V52" s="55">
        <f t="shared" ca="1" si="2"/>
        <v>0</v>
      </c>
      <c r="W52" s="55">
        <f t="shared" ca="1" si="12"/>
        <v>-20.857510980717052</v>
      </c>
      <c r="X52" s="55">
        <f t="shared" ca="1" si="13"/>
        <v>11.051801922770228</v>
      </c>
      <c r="Y52" s="55">
        <f t="shared" ca="1" si="14"/>
        <v>-6.0881665493214321</v>
      </c>
      <c r="Z52">
        <f t="shared" ca="1" si="3"/>
        <v>120</v>
      </c>
      <c r="AA52">
        <f t="shared" ca="1" si="15"/>
        <v>79.896064861298157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20.866524918444043</v>
      </c>
      <c r="AG52" s="55">
        <f t="shared" ca="1" si="22"/>
        <v>9.3735083842227205</v>
      </c>
      <c r="AH52" s="55">
        <f t="shared" ca="1" si="23"/>
        <v>0</v>
      </c>
      <c r="AI52" s="55">
        <f t="shared" ca="1" si="17"/>
        <v>0</v>
      </c>
      <c r="AJ52" s="55">
        <f t="shared" ca="1" si="18"/>
        <v>10.99197261448996</v>
      </c>
      <c r="AK52" s="55">
        <f t="shared" ca="1" si="19"/>
        <v>-13.481032304940664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33.589232787657338</v>
      </c>
      <c r="U53" s="55">
        <f t="shared" ca="1" si="1"/>
        <v>0</v>
      </c>
      <c r="V53" s="55">
        <f t="shared" ca="1" si="2"/>
        <v>0</v>
      </c>
      <c r="W53" s="55">
        <f t="shared" ca="1" si="12"/>
        <v>-21.255649340587667</v>
      </c>
      <c r="X53" s="55">
        <f t="shared" ca="1" si="13"/>
        <v>11.320516095365173</v>
      </c>
      <c r="Y53" s="55">
        <f t="shared" ca="1" si="14"/>
        <v>-6.1475023730481277</v>
      </c>
      <c r="Z53">
        <f t="shared" ca="1" si="3"/>
        <v>120</v>
      </c>
      <c r="AA53">
        <f t="shared" ca="1" si="15"/>
        <v>81.936052946266145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20.689564433239433</v>
      </c>
      <c r="AG53" s="55">
        <f t="shared" ca="1" si="22"/>
        <v>9.850225808729121</v>
      </c>
      <c r="AH53" s="55">
        <f t="shared" ca="1" si="23"/>
        <v>0</v>
      </c>
      <c r="AI53" s="55">
        <f t="shared" ca="1" si="17"/>
        <v>0</v>
      </c>
      <c r="AJ53" s="55">
        <f t="shared" ca="1" si="18"/>
        <v>11.277769232239953</v>
      </c>
      <c r="AK53" s="55">
        <f t="shared" ca="1" si="19"/>
        <v>-13.467071983388868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33.382307788198567</v>
      </c>
      <c r="U54" s="55">
        <f t="shared" ca="1" si="1"/>
        <v>0</v>
      </c>
      <c r="V54" s="55">
        <f t="shared" ca="1" si="2"/>
        <v>0</v>
      </c>
      <c r="W54" s="55">
        <f t="shared" ca="1" si="12"/>
        <v>-21.673638676379699</v>
      </c>
      <c r="X54" s="55">
        <f t="shared" ca="1" si="13"/>
        <v>11.587718885288357</v>
      </c>
      <c r="Y54" s="55">
        <f t="shared" ca="1" si="14"/>
        <v>-6.2036408266380505</v>
      </c>
      <c r="Z54">
        <f t="shared" ca="1" si="3"/>
        <v>120</v>
      </c>
      <c r="AA54">
        <f t="shared" ca="1" si="15"/>
        <v>84.091029436960383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20.49518650616761</v>
      </c>
      <c r="AG54" s="55">
        <f t="shared" ca="1" si="22"/>
        <v>10.348995739906652</v>
      </c>
      <c r="AH54" s="55">
        <f t="shared" ca="1" si="23"/>
        <v>0</v>
      </c>
      <c r="AI54" s="55">
        <f t="shared" ca="1" si="17"/>
        <v>0</v>
      </c>
      <c r="AJ54" s="55">
        <f t="shared" ca="1" si="18"/>
        <v>11.560189087262321</v>
      </c>
      <c r="AK54" s="55">
        <f t="shared" ca="1" si="19"/>
        <v>-13.445099834305529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33.261215316471393</v>
      </c>
      <c r="U55" s="55">
        <f t="shared" ca="1" si="1"/>
        <v>0</v>
      </c>
      <c r="V55" s="55">
        <f t="shared" ca="1" si="2"/>
        <v>0</v>
      </c>
      <c r="W55" s="55">
        <f t="shared" ca="1" si="12"/>
        <v>-22.011050078244153</v>
      </c>
      <c r="X55" s="55">
        <f t="shared" ca="1" si="13"/>
        <v>11.857738822225224</v>
      </c>
      <c r="Y55" s="55">
        <f t="shared" ca="1" si="14"/>
        <v>-6.2573418334376445</v>
      </c>
      <c r="Z55">
        <f t="shared" ca="1" si="3"/>
        <v>120</v>
      </c>
      <c r="AA55">
        <f t="shared" ca="1" si="15"/>
        <v>85.836913226584358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20.270221775183476</v>
      </c>
      <c r="AG55" s="55">
        <f t="shared" ca="1" si="22"/>
        <v>10.876510287741024</v>
      </c>
      <c r="AH55" s="55">
        <f t="shared" ca="1" si="23"/>
        <v>0</v>
      </c>
      <c r="AI55" s="55">
        <f t="shared" ca="1" si="17"/>
        <v>0</v>
      </c>
      <c r="AJ55" s="55">
        <f t="shared" ca="1" si="18"/>
        <v>11.834773186039433</v>
      </c>
      <c r="AK55" s="55">
        <f t="shared" ca="1" si="19"/>
        <v>-13.417134116232402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33.21164383929397</v>
      </c>
      <c r="U56" s="55">
        <f t="shared" ca="1" si="1"/>
        <v>0</v>
      </c>
      <c r="V56" s="55">
        <f t="shared" ca="1" si="2"/>
        <v>0</v>
      </c>
      <c r="W56" s="55">
        <f t="shared" ca="1" si="12"/>
        <v>-22.286008498064081</v>
      </c>
      <c r="X56" s="55">
        <f t="shared" ca="1" si="13"/>
        <v>12.135033097114107</v>
      </c>
      <c r="Y56" s="55">
        <f t="shared" ca="1" si="14"/>
        <v>-6.3092491656840206</v>
      </c>
      <c r="Z56">
        <f t="shared" ca="1" si="3"/>
        <v>120</v>
      </c>
      <c r="AA56">
        <f t="shared" ca="1" si="15"/>
        <v>87.261767152528989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20.012847974784609</v>
      </c>
      <c r="AG56" s="55">
        <f t="shared" ca="1" si="22"/>
        <v>11.443894414588911</v>
      </c>
      <c r="AH56" s="55">
        <f t="shared" ca="1" si="23"/>
        <v>0</v>
      </c>
      <c r="AI56" s="55">
        <f t="shared" ca="1" si="17"/>
        <v>0</v>
      </c>
      <c r="AJ56" s="55">
        <f t="shared" ca="1" si="18"/>
        <v>12.110914377221794</v>
      </c>
      <c r="AK56" s="55">
        <f t="shared" ca="1" si="19"/>
        <v>-13.383264980965743</v>
      </c>
    </row>
    <row r="57" spans="2:37" s="55" customFormat="1" ht="15.75" thickBot="1">
      <c r="C57" s="138" t="s">
        <v>156</v>
      </c>
      <c r="D57" s="138"/>
      <c r="E57" s="138"/>
      <c r="F57" s="138"/>
      <c r="G57" s="138"/>
      <c r="H57" s="138"/>
      <c r="R57" s="83">
        <f ca="1"/>
        <v>45086</v>
      </c>
      <c r="S57" s="55">
        <f t="shared" ca="1" si="11"/>
        <v>45086</v>
      </c>
      <c r="T57" s="55">
        <f t="shared" ca="1" si="0"/>
        <v>32.723849028468678</v>
      </c>
      <c r="U57" s="55">
        <f t="shared" ca="1" si="1"/>
        <v>0</v>
      </c>
      <c r="V57" s="55">
        <f t="shared" ca="1" si="2"/>
        <v>0</v>
      </c>
      <c r="W57" s="55">
        <f t="shared" ca="1" si="12"/>
        <v>-23.010936871454096</v>
      </c>
      <c r="X57" s="55">
        <f t="shared" ca="1" si="13"/>
        <v>12.42261035669797</v>
      </c>
      <c r="Y57" s="55">
        <f t="shared" ca="1" si="14"/>
        <v>-6.3596928627031577</v>
      </c>
      <c r="Z57">
        <f t="shared" ca="1" si="3"/>
        <v>120</v>
      </c>
      <c r="AA57">
        <f t="shared" ca="1" si="15"/>
        <v>91.074394948983624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19.730167746205112</v>
      </c>
      <c r="AG57" s="55">
        <f t="shared" ca="1" si="22"/>
        <v>12.046668566051942</v>
      </c>
      <c r="AH57" s="55">
        <f t="shared" ca="1" si="23"/>
        <v>0</v>
      </c>
      <c r="AI57" s="55">
        <f t="shared" ca="1" si="17"/>
        <v>0</v>
      </c>
      <c r="AJ57" s="55">
        <f t="shared" ca="1" si="18"/>
        <v>12.390913579944845</v>
      </c>
      <c r="AK57" s="55">
        <f t="shared" ca="1" si="19"/>
        <v>-13.343170260805261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31.874022481565969</v>
      </c>
      <c r="U58" s="55">
        <f t="shared" ca="1" si="1"/>
        <v>0</v>
      </c>
      <c r="V58" s="55">
        <f t="shared" ca="1" si="2"/>
        <v>0</v>
      </c>
      <c r="W58" s="55">
        <f t="shared" ca="1" si="12"/>
        <v>-24.101078263648596</v>
      </c>
      <c r="X58" s="55">
        <f t="shared" ca="1" si="13"/>
        <v>12.710582725421887</v>
      </c>
      <c r="Y58" s="55">
        <f t="shared" ca="1" si="14"/>
        <v>-6.4073503861352901</v>
      </c>
      <c r="Z58">
        <f t="shared" ca="1" si="3"/>
        <v>120</v>
      </c>
      <c r="AA58">
        <f t="shared" ca="1" si="15"/>
        <v>96.960657741849474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19.426577801976784</v>
      </c>
      <c r="AG58" s="55">
        <f t="shared" ca="1" si="22"/>
        <v>12.675486522198392</v>
      </c>
      <c r="AH58" s="55">
        <f t="shared" ca="1" si="23"/>
        <v>0</v>
      </c>
      <c r="AI58" s="55">
        <f t="shared" ca="1" si="17"/>
        <v>0</v>
      </c>
      <c r="AJ58" s="55">
        <f t="shared" ca="1" si="18"/>
        <v>12.670622405344956</v>
      </c>
      <c r="AK58" s="55">
        <f t="shared" ca="1" si="19"/>
        <v>-13.297651074287247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31.471947792651505</v>
      </c>
      <c r="U59" s="55">
        <f t="shared" ca="1" si="1"/>
        <v>0</v>
      </c>
      <c r="V59" s="55">
        <f t="shared" ca="1" si="2"/>
        <v>0</v>
      </c>
      <c r="W59" s="55">
        <f t="shared" ca="1" si="12"/>
        <v>-24.747524587540681</v>
      </c>
      <c r="X59" s="55">
        <f t="shared" ca="1" si="13"/>
        <v>13.000050782746364</v>
      </c>
      <c r="Y59" s="55">
        <f t="shared" ca="1" si="14"/>
        <v>-6.4524468084821462</v>
      </c>
      <c r="Z59">
        <f t="shared" ca="1" si="3"/>
        <v>120</v>
      </c>
      <c r="AA59">
        <f t="shared" ca="1" si="15"/>
        <v>100.49576455064835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19.083642853049014</v>
      </c>
      <c r="AG59" s="55">
        <f t="shared" ca="1" si="22"/>
        <v>13.32538917215599</v>
      </c>
      <c r="AH59" s="55">
        <f t="shared" ca="1" si="23"/>
        <v>0</v>
      </c>
      <c r="AI59" s="55">
        <f t="shared" ca="1" si="17"/>
        <v>0</v>
      </c>
      <c r="AJ59" s="55">
        <f t="shared" ca="1" si="18"/>
        <v>12.932415838002418</v>
      </c>
      <c r="AK59" s="55">
        <f t="shared" ca="1" si="19"/>
        <v>-13.252476805914879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31.2002506047188</v>
      </c>
      <c r="U60" s="55">
        <f t="shared" ca="1" si="1"/>
        <v>0</v>
      </c>
      <c r="V60" s="55">
        <f t="shared" ca="1" si="2"/>
        <v>0</v>
      </c>
      <c r="W60" s="55">
        <f t="shared" ca="1" si="12"/>
        <v>-25.262135486763015</v>
      </c>
      <c r="X60" s="55">
        <f t="shared" ca="1" si="13"/>
        <v>13.284915368424132</v>
      </c>
      <c r="Y60" s="55">
        <f t="shared" ca="1" si="14"/>
        <v>-6.4943976828702841</v>
      </c>
      <c r="Z60">
        <f t="shared" ca="1" si="3"/>
        <v>120</v>
      </c>
      <c r="AA60">
        <f t="shared" ca="1" si="15"/>
        <v>103.33443247066401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18.705801403796283</v>
      </c>
      <c r="AG60" s="55">
        <f t="shared" ca="1" si="22"/>
        <v>14.00696342256574</v>
      </c>
      <c r="AH60" s="55">
        <f t="shared" ca="1" si="23"/>
        <v>0</v>
      </c>
      <c r="AI60" s="55">
        <f t="shared" ca="1" si="17"/>
        <v>0</v>
      </c>
      <c r="AJ60" s="55">
        <f t="shared" ca="1" si="18"/>
        <v>13.189214332683205</v>
      </c>
      <c r="AK60" s="55">
        <f t="shared" ca="1" si="19"/>
        <v>-13.205542499438648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31.057337131331405</v>
      </c>
      <c r="U61" s="55">
        <f t="shared" ca="1" si="1"/>
        <v>0</v>
      </c>
      <c r="V61" s="55">
        <f t="shared" ca="1" si="2"/>
        <v>0</v>
      </c>
      <c r="W61" s="55">
        <f t="shared" ca="1" si="12"/>
        <v>-25.645888813426094</v>
      </c>
      <c r="X61" s="55">
        <f t="shared" ca="1" si="13"/>
        <v>13.564704537025303</v>
      </c>
      <c r="Y61" s="55">
        <f t="shared" ca="1" si="14"/>
        <v>-6.5333469981957712</v>
      </c>
      <c r="Z61">
        <f t="shared" ca="1" si="3"/>
        <v>120</v>
      </c>
      <c r="AA61">
        <f t="shared" ca="1" si="15"/>
        <v>105.4610119995383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18.305300824828947</v>
      </c>
      <c r="AG61" s="55">
        <f t="shared" ca="1" si="22"/>
        <v>14.708537583612683</v>
      </c>
      <c r="AH61" s="55">
        <f t="shared" ca="1" si="23"/>
        <v>0</v>
      </c>
      <c r="AI61" s="55">
        <f t="shared" ca="1" si="17"/>
        <v>0</v>
      </c>
      <c r="AJ61" s="55">
        <f t="shared" ca="1" si="18"/>
        <v>13.44123762219332</v>
      </c>
      <c r="AK61" s="55">
        <f t="shared" ca="1" si="19"/>
        <v>-13.156492206869151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30.936518618378937</v>
      </c>
      <c r="U62" s="55">
        <f t="shared" ca="1" si="1"/>
        <v>0</v>
      </c>
      <c r="V62" s="55">
        <f t="shared" ca="1" si="2"/>
        <v>0</v>
      </c>
      <c r="W62" s="55">
        <f t="shared" ca="1" si="12"/>
        <v>-25.996782093081706</v>
      </c>
      <c r="X62" s="55">
        <f t="shared" ca="1" si="13"/>
        <v>13.830025631174028</v>
      </c>
      <c r="Y62" s="55">
        <f t="shared" ca="1" si="14"/>
        <v>-6.568593325641352</v>
      </c>
      <c r="Z62">
        <f t="shared" ca="1" si="3"/>
        <v>120</v>
      </c>
      <c r="AA62">
        <f t="shared" ca="1" si="15"/>
        <v>107.41309061117184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17.870813430436421</v>
      </c>
      <c r="AG62" s="55">
        <f t="shared" ca="1" si="22"/>
        <v>15.436947317002758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13.686003598597058</v>
      </c>
      <c r="AK62" s="55">
        <f t="shared" ca="1" si="19"/>
        <v>-13.107335844275338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30.274282379671128</v>
      </c>
      <c r="U63" s="55">
        <f t="shared" ca="1" si="1"/>
        <v>0</v>
      </c>
      <c r="V63" s="55">
        <f t="shared" ca="1" si="2"/>
        <v>0</v>
      </c>
      <c r="W63" s="55">
        <f t="shared" ca="1" si="12"/>
        <v>-26.892578030731372</v>
      </c>
      <c r="X63" s="55">
        <f t="shared" ca="1" si="13"/>
        <v>14.09689328591465</v>
      </c>
      <c r="Y63" s="55">
        <f t="shared" ca="1" si="14"/>
        <v>-6.601901281440119</v>
      </c>
      <c r="Z63">
        <f t="shared" ca="1" si="3"/>
        <v>120</v>
      </c>
      <c r="AA63">
        <f t="shared" ca="1" si="15"/>
        <v>112.50556581717743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17.42027480289617</v>
      </c>
      <c r="AG63" s="55">
        <f t="shared" ca="1" si="22"/>
        <v>16.199288623147353</v>
      </c>
      <c r="AH63" s="55">
        <f t="shared" ca="1" si="23"/>
        <v>0</v>
      </c>
      <c r="AI63" s="55">
        <f t="shared" ca="1" si="17"/>
        <v>0</v>
      </c>
      <c r="AJ63" s="55">
        <f t="shared" ca="1" si="18"/>
        <v>13.941700118974568</v>
      </c>
      <c r="AK63" s="55">
        <f t="shared" ca="1" si="19"/>
        <v>-13.051229686048503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29.993018955683024</v>
      </c>
      <c r="U64" s="55">
        <f t="shared" ca="1" si="1"/>
        <v>0</v>
      </c>
      <c r="V64" s="55">
        <f t="shared" ca="1" si="2"/>
        <v>0</v>
      </c>
      <c r="W64" s="55">
        <f t="shared" ca="1" si="12"/>
        <v>-27.396520214530582</v>
      </c>
      <c r="X64" s="55">
        <f t="shared" ca="1" si="13"/>
        <v>14.349687571786585</v>
      </c>
      <c r="Y64" s="55">
        <f t="shared" ca="1" si="14"/>
        <v>-6.632016807500948</v>
      </c>
      <c r="Z64">
        <f t="shared" ca="1" si="3"/>
        <v>120</v>
      </c>
      <c r="AA64">
        <f t="shared" ca="1" si="15"/>
        <v>115.3972724001086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16.921126567250159</v>
      </c>
      <c r="AG64" s="55">
        <f t="shared" ca="1" si="22"/>
        <v>17.002851943914958</v>
      </c>
      <c r="AH64" s="55">
        <f t="shared" ca="1" si="23"/>
        <v>0</v>
      </c>
      <c r="AI64" s="55">
        <f t="shared" ca="1" si="17"/>
        <v>0</v>
      </c>
      <c r="AJ64" s="55">
        <f t="shared" ca="1" si="18"/>
        <v>14.190943043644561</v>
      </c>
      <c r="AK64" s="55">
        <f t="shared" ca="1" si="19"/>
        <v>-12.996057525596902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29.634790594129324</v>
      </c>
      <c r="U65" s="55">
        <f t="shared" ca="1" si="1"/>
        <v>0</v>
      </c>
      <c r="V65" s="55">
        <f t="shared" ca="1" si="2"/>
        <v>0</v>
      </c>
      <c r="W65" s="55">
        <f t="shared" ca="1" si="12"/>
        <v>-27.980850008580344</v>
      </c>
      <c r="X65" s="55">
        <f t="shared" ca="1" si="13"/>
        <v>14.604244013902962</v>
      </c>
      <c r="Y65" s="55">
        <f t="shared" ca="1" si="14"/>
        <v>-6.6604718171212642</v>
      </c>
      <c r="Z65">
        <f t="shared" ca="1" si="3"/>
        <v>120</v>
      </c>
      <c r="AA65">
        <f t="shared" ca="1" si="15"/>
        <v>118.79078807923301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16.378737169159795</v>
      </c>
      <c r="AG65" s="55">
        <f t="shared" ca="1" si="22"/>
        <v>17.842139151704231</v>
      </c>
      <c r="AH65" s="55">
        <f t="shared" ca="1" si="23"/>
        <v>0</v>
      </c>
      <c r="AI65" s="55">
        <f t="shared" ca="1" si="17"/>
        <v>0</v>
      </c>
      <c r="AJ65" s="55">
        <f t="shared" ca="1" si="18"/>
        <v>14.433760052601418</v>
      </c>
      <c r="AK65" s="55">
        <f t="shared" ca="1" si="19"/>
        <v>-12.941976724854849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29.259611112368646</v>
      </c>
      <c r="U66" s="55">
        <f t="shared" ca="1" si="1"/>
        <v>0</v>
      </c>
      <c r="V66" s="55">
        <f t="shared" ca="1" si="2"/>
        <v>0</v>
      </c>
      <c r="W66" s="55">
        <f t="shared" ca="1" si="12"/>
        <v>-28.596034532872725</v>
      </c>
      <c r="X66" s="55">
        <f t="shared" ca="1" si="13"/>
        <v>14.871916726857473</v>
      </c>
      <c r="Y66" s="55">
        <f t="shared" ca="1" si="14"/>
        <v>-6.6881394875440723</v>
      </c>
      <c r="Z66">
        <f t="shared" ca="1" si="3"/>
        <v>120</v>
      </c>
      <c r="AA66">
        <f t="shared" ca="1" si="15"/>
        <v>122.40930446926339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15.8100718243677</v>
      </c>
      <c r="AG66" s="55">
        <f t="shared" ca="1" si="22"/>
        <v>18.723554018328009</v>
      </c>
      <c r="AH66" s="55">
        <f t="shared" ca="1" si="23"/>
        <v>0</v>
      </c>
      <c r="AI66" s="55">
        <f t="shared" ca="1" si="17"/>
        <v>0</v>
      </c>
      <c r="AJ66" s="55">
        <f t="shared" ca="1" si="18"/>
        <v>14.686313962492699</v>
      </c>
      <c r="AK66" s="55">
        <f t="shared" ca="1" si="19"/>
        <v>-12.881781112914448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142 kg N/ha</v>
      </c>
      <c r="R67" s="83">
        <f ca="1"/>
        <v>45096</v>
      </c>
      <c r="S67" s="55">
        <f t="shared" ca="1" si="11"/>
        <v>45096</v>
      </c>
      <c r="T67" s="55">
        <f t="shared" ca="1" si="0"/>
        <v>28.998654527344364</v>
      </c>
      <c r="U67" s="55">
        <f t="shared" ca="1" si="1"/>
        <v>0</v>
      </c>
      <c r="V67" s="55">
        <f t="shared" ca="1" si="2"/>
        <v>0</v>
      </c>
      <c r="W67" s="55">
        <f t="shared" ca="1" si="12"/>
        <v>-29.090612130440885</v>
      </c>
      <c r="X67" s="55">
        <f t="shared" ca="1" si="13"/>
        <v>15.130784953393466</v>
      </c>
      <c r="Y67" s="55">
        <f t="shared" ca="1" si="14"/>
        <v>-6.7133867015361872</v>
      </c>
      <c r="Z67">
        <f t="shared" ca="1" si="3"/>
        <v>120</v>
      </c>
      <c r="AA67">
        <f t="shared" ca="1" si="15"/>
        <v>125.34458953237376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15.211593218905172</v>
      </c>
      <c r="AG67" s="55">
        <f t="shared" ca="1" si="22"/>
        <v>19.639014164339134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14.940298958787047</v>
      </c>
      <c r="AK67" s="55">
        <f t="shared" ca="1" si="19"/>
        <v>-12.818784568660197</v>
      </c>
    </row>
    <row r="68" spans="2:37" ht="15.75" thickBot="1">
      <c r="C68" s="140" t="s">
        <v>187</v>
      </c>
      <c r="D68" s="140"/>
      <c r="E68" s="140"/>
      <c r="F68" s="140"/>
      <c r="G68" s="140"/>
      <c r="H68" s="140"/>
      <c r="R68" s="83">
        <f ca="1"/>
        <v>45097</v>
      </c>
      <c r="S68" s="55">
        <f t="shared" ca="1" si="11"/>
        <v>45097</v>
      </c>
      <c r="T68" s="55">
        <f t="shared" ca="1" si="0"/>
        <v>28.470759083637837</v>
      </c>
      <c r="U68" s="55">
        <f t="shared" ca="1" si="1"/>
        <v>0</v>
      </c>
      <c r="V68" s="55">
        <f t="shared" ca="1" si="2"/>
        <v>0</v>
      </c>
      <c r="W68" s="55">
        <f t="shared" ca="1" si="12"/>
        <v>-29.857632078787539</v>
      </c>
      <c r="X68" s="55">
        <f t="shared" ca="1" si="13"/>
        <v>15.393753166388251</v>
      </c>
      <c r="Y68" s="55">
        <f t="shared" ca="1" si="14"/>
        <v>-6.7372304098908451</v>
      </c>
      <c r="Z68">
        <f t="shared" ca="1" si="3"/>
        <v>120</v>
      </c>
      <c r="AA68">
        <f t="shared" ca="1" si="15"/>
        <v>129.98120740202597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14.576294198998569</v>
      </c>
      <c r="AG68" s="55">
        <f t="shared" ca="1" si="22"/>
        <v>20.579354216582924</v>
      </c>
      <c r="AH68" s="55">
        <f t="shared" ca="1" si="23"/>
        <v>0</v>
      </c>
      <c r="AI68" s="55">
        <f t="shared" ca="1" si="17"/>
        <v>0</v>
      </c>
      <c r="AJ68" s="55">
        <f t="shared" ca="1" si="18"/>
        <v>15.184614936073674</v>
      </c>
      <c r="AK68" s="55">
        <f t="shared" ca="1" si="19"/>
        <v>-12.758059513609636</v>
      </c>
    </row>
    <row r="69" spans="2:37">
      <c r="C69" s="61"/>
      <c r="D69" s="88"/>
      <c r="E69" s="105"/>
      <c r="R69" s="83">
        <f ca="1"/>
        <v>45098</v>
      </c>
      <c r="S69" s="55">
        <f t="shared" ca="1" si="11"/>
        <v>45098</v>
      </c>
      <c r="T69" s="55">
        <f t="shared" ca="1" si="0"/>
        <v>28.562976154442268</v>
      </c>
      <c r="U69" s="55">
        <f t="shared" ca="1" si="1"/>
        <v>0</v>
      </c>
      <c r="V69" s="55">
        <f t="shared" ca="1" si="2"/>
        <v>0</v>
      </c>
      <c r="W69" s="55">
        <f t="shared" ca="1" si="12"/>
        <v>-30.008813718085598</v>
      </c>
      <c r="X69" s="55">
        <f t="shared" ca="1" si="13"/>
        <v>15.659520495877999</v>
      </c>
      <c r="Y69" s="55">
        <f t="shared" ca="1" si="14"/>
        <v>-6.7595990292781032</v>
      </c>
      <c r="Z69">
        <f t="shared" ca="1" si="3"/>
        <v>120</v>
      </c>
      <c r="AA69">
        <f t="shared" ca="1" si="15"/>
        <v>130.89214637892502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13.909778045954994</v>
      </c>
      <c r="AG69" s="55">
        <f t="shared" ca="1" si="22"/>
        <v>21.557846812566567</v>
      </c>
      <c r="AH69" s="55">
        <f t="shared" ca="1" si="23"/>
        <v>0</v>
      </c>
      <c r="AI69" s="55">
        <f t="shared" ca="1" si="17"/>
        <v>0</v>
      </c>
      <c r="AJ69" s="55">
        <f t="shared" ca="1" si="18"/>
        <v>15.432554695592703</v>
      </c>
      <c r="AK69" s="55">
        <f t="shared" ca="1" si="19"/>
        <v>-12.694022830188599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28.652359917693325</v>
      </c>
      <c r="U70" s="55">
        <f t="shared" ca="1" si="1"/>
        <v>0</v>
      </c>
      <c r="V70" s="55">
        <f t="shared" ca="1" si="2"/>
        <v>0</v>
      </c>
      <c r="W70" s="55">
        <f t="shared" ca="1" si="12"/>
        <v>-30.156361273366343</v>
      </c>
      <c r="X70" s="55">
        <f t="shared" ca="1" si="13"/>
        <v>15.916743162412718</v>
      </c>
      <c r="Y70" s="55">
        <f t="shared" ca="1" si="14"/>
        <v>-6.7798903772810188</v>
      </c>
      <c r="Z70">
        <f t="shared" ca="1" si="3"/>
        <v>120</v>
      </c>
      <c r="AA70">
        <f t="shared" ca="1" si="15"/>
        <v>131.77841487562645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13.220057038221558</v>
      </c>
      <c r="AG70" s="55">
        <f t="shared" ca="1" si="22"/>
        <v>22.545127092454354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15.668873018444405</v>
      </c>
      <c r="AK70" s="55">
        <f t="shared" ca="1" si="19"/>
        <v>-12.632781880885949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28.276802539347983</v>
      </c>
      <c r="U71" s="55">
        <f t="shared" ca="1" si="1"/>
        <v>0</v>
      </c>
      <c r="V71" s="55">
        <f t="shared" ca="1" si="2"/>
        <v>0</v>
      </c>
      <c r="W71" s="55">
        <f t="shared" ca="1" si="12"/>
        <v>-30.764276852889637</v>
      </c>
      <c r="X71" s="55">
        <f t="shared" ca="1" si="13"/>
        <v>16.167592736446711</v>
      </c>
      <c r="Y71" s="55">
        <f t="shared" ca="1" si="14"/>
        <v>-6.7983817501370574</v>
      </c>
      <c r="Z71">
        <f t="shared" ca="1" si="3"/>
        <v>120</v>
      </c>
      <c r="AA71">
        <f t="shared" ca="1" si="15"/>
        <v>135.47845698265922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12.510327864845056</v>
      </c>
      <c r="AG71" s="55">
        <f t="shared" ca="1" si="22"/>
        <v>23.533533866884301</v>
      </c>
      <c r="AH71" s="55">
        <f t="shared" ca="1" si="23"/>
        <v>0</v>
      </c>
      <c r="AI71" s="55">
        <f t="shared" ca="1" si="17"/>
        <v>0</v>
      </c>
      <c r="AJ71" s="55">
        <f t="shared" ca="1" si="18"/>
        <v>15.890764547251681</v>
      </c>
      <c r="AK71" s="55">
        <f t="shared" ca="1" si="19"/>
        <v>-12.57599580863978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27.663906264893395</v>
      </c>
      <c r="U72" s="55">
        <f t="shared" ca="1" si="1"/>
        <v>0</v>
      </c>
      <c r="V72" s="55">
        <f t="shared" ca="1" si="2"/>
        <v>0</v>
      </c>
      <c r="W72" s="55">
        <f t="shared" ca="1" si="12"/>
        <v>-31.613547636633871</v>
      </c>
      <c r="X72" s="55">
        <f t="shared" ca="1" si="13"/>
        <v>16.421219185861442</v>
      </c>
      <c r="Y72" s="55">
        <f t="shared" ca="1" si="14"/>
        <v>-6.8156336902621426</v>
      </c>
      <c r="Z72">
        <f t="shared" ca="1" si="3"/>
        <v>120</v>
      </c>
      <c r="AA72">
        <f t="shared" ca="1" si="15"/>
        <v>140.76201367265176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11.757151236175947</v>
      </c>
      <c r="AG72" s="55">
        <f t="shared" ca="1" si="22"/>
        <v>24.567146839654047</v>
      </c>
      <c r="AH72" s="55">
        <f t="shared" ca="1" si="23"/>
        <v>0</v>
      </c>
      <c r="AI72" s="55">
        <f t="shared" ca="1" si="17"/>
        <v>0</v>
      </c>
      <c r="AJ72" s="55">
        <f t="shared" ca="1" si="18"/>
        <v>16.113672522753021</v>
      </c>
      <c r="AK72" s="55">
        <f t="shared" ca="1" si="19"/>
        <v>-12.518467440040483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26.751274773424921</v>
      </c>
      <c r="U73" s="55">
        <f t="shared" ca="1" si="1"/>
        <v>0</v>
      </c>
      <c r="V73" s="55">
        <f t="shared" ca="1" si="2"/>
        <v>0</v>
      </c>
      <c r="W73" s="55">
        <f t="shared" ca="1" si="12"/>
        <v>-32.767905671528673</v>
      </c>
      <c r="X73" s="55">
        <f t="shared" ca="1" si="13"/>
        <v>16.679038480581397</v>
      </c>
      <c r="Y73" s="55">
        <f t="shared" ca="1" si="14"/>
        <v>-6.8317264415557712</v>
      </c>
      <c r="Z73">
        <f t="shared" ca="1" si="3"/>
        <v>120</v>
      </c>
      <c r="AA73">
        <f t="shared" ca="1" si="15"/>
        <v>148.18860865803538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10.955589309749987</v>
      </c>
      <c r="AG73" s="55">
        <f t="shared" ca="1" si="22"/>
        <v>25.647395898483595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16.335447152012605</v>
      </c>
      <c r="AK73" s="55">
        <f t="shared" ca="1" si="19"/>
        <v>-12.461554936896482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26.605965223909514</v>
      </c>
      <c r="U74" s="55">
        <f t="shared" ca="1" si="1"/>
        <v>0</v>
      </c>
      <c r="V74" s="55">
        <f t="shared" ca="1" si="2"/>
        <v>0</v>
      </c>
      <c r="W74" s="55">
        <f t="shared" ca="1" si="12"/>
        <v>-33.147594107525329</v>
      </c>
      <c r="X74" s="55">
        <f t="shared" ca="1" si="13"/>
        <v>16.927828098739536</v>
      </c>
      <c r="Y74" s="55">
        <f t="shared" ca="1" si="14"/>
        <v>-6.8461371732326644</v>
      </c>
      <c r="Z74">
        <f t="shared" ca="1" si="3"/>
        <v>120</v>
      </c>
      <c r="AA74">
        <f t="shared" ca="1" si="15"/>
        <v>150.64468602555593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10.143791087970868</v>
      </c>
      <c r="AG74" s="55">
        <f t="shared" ca="1" si="22"/>
        <v>26.744793339937047</v>
      </c>
      <c r="AH74" s="55">
        <f t="shared" ca="1" si="23"/>
        <v>0</v>
      </c>
      <c r="AI74" s="55">
        <f t="shared" ca="1" si="17"/>
        <v>0</v>
      </c>
      <c r="AJ74" s="55">
        <f t="shared" ca="1" si="18"/>
        <v>16.560215414221091</v>
      </c>
      <c r="AK74" s="55">
        <f t="shared" ca="1" si="19"/>
        <v>-12.400723979430635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26.636682171267747</v>
      </c>
      <c r="U75" s="55">
        <f t="shared" ca="1" si="1"/>
        <v>0</v>
      </c>
      <c r="V75" s="55">
        <f t="shared" ca="1" si="2"/>
        <v>0</v>
      </c>
      <c r="W75" s="55">
        <f t="shared" ca="1" si="12"/>
        <v>-33.35478977267671</v>
      </c>
      <c r="X75" s="55">
        <f t="shared" ca="1" si="13"/>
        <v>17.179028762858934</v>
      </c>
      <c r="Y75" s="55">
        <f t="shared" ca="1" si="14"/>
        <v>-6.8594252248424503</v>
      </c>
      <c r="Z75">
        <f t="shared" ca="1" si="3"/>
        <v>120</v>
      </c>
      <c r="AA75">
        <f t="shared" ca="1" si="15"/>
        <v>151.98341982513344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9.3070070091896024</v>
      </c>
      <c r="AG75" s="55">
        <f t="shared" ca="1" si="22"/>
        <v>27.885914511893425</v>
      </c>
      <c r="AH75" s="55">
        <f t="shared" ca="1" si="23"/>
        <v>0</v>
      </c>
      <c r="AI75" s="55">
        <f t="shared" ca="1" si="17"/>
        <v>0</v>
      </c>
      <c r="AJ75" s="55">
        <f t="shared" ca="1" si="18"/>
        <v>16.796760595603232</v>
      </c>
      <c r="AK75" s="55">
        <f t="shared" ca="1" si="19"/>
        <v>-12.332932067637666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26.209939053885659</v>
      </c>
      <c r="U76" s="55">
        <f t="shared" ca="1" si="1"/>
        <v>0</v>
      </c>
      <c r="V76" s="55">
        <f t="shared" ca="1" si="2"/>
        <v>0</v>
      </c>
      <c r="W76" s="55">
        <f t="shared" ca="1" si="12"/>
        <v>-34.017661145637746</v>
      </c>
      <c r="X76" s="55">
        <f t="shared" ca="1" si="13"/>
        <v>17.427161766144199</v>
      </c>
      <c r="Y76" s="55">
        <f t="shared" ca="1" si="14"/>
        <v>-6.8714299725487642</v>
      </c>
      <c r="Z76">
        <f t="shared" ca="1" si="3"/>
        <v>120</v>
      </c>
      <c r="AA76">
        <f t="shared" ca="1" si="15"/>
        <v>156.33610187806246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8.4057891441324024</v>
      </c>
      <c r="AG76" s="55">
        <f t="shared" ca="1" si="22"/>
        <v>29.101486261148356</v>
      </c>
      <c r="AH76" s="55">
        <f t="shared" ca="1" si="23"/>
        <v>0</v>
      </c>
      <c r="AI76" s="55">
        <f t="shared" ca="1" si="17"/>
        <v>0</v>
      </c>
      <c r="AJ76" s="55">
        <f t="shared" ca="1" si="18"/>
        <v>17.040603154091663</v>
      </c>
      <c r="AK76" s="55">
        <f t="shared" ca="1" si="19"/>
        <v>-12.262420741928365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25.853643276357811</v>
      </c>
      <c r="U77" s="55">
        <f t="shared" ca="1" si="1"/>
        <v>0</v>
      </c>
      <c r="V77" s="55">
        <f t="shared" ca="1" si="2"/>
        <v>0</v>
      </c>
      <c r="W77" s="55">
        <f t="shared" ca="1" si="12"/>
        <v>-34.613700380943804</v>
      </c>
      <c r="X77" s="55">
        <f t="shared" ca="1" si="13"/>
        <v>17.677868333839704</v>
      </c>
      <c r="Y77" s="55">
        <f t="shared" ca="1" si="14"/>
        <v>-6.8823930824660602</v>
      </c>
      <c r="Z77">
        <f t="shared" ca="1" si="3"/>
        <v>120</v>
      </c>
      <c r="AA77">
        <f t="shared" ca="1" si="15"/>
        <v>160.30387461198484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7.46935412051951</v>
      </c>
      <c r="AG77" s="55">
        <f t="shared" ca="1" si="22"/>
        <v>30.364912185443046</v>
      </c>
      <c r="AH77" s="55">
        <f t="shared" ca="1" si="23"/>
        <v>0</v>
      </c>
      <c r="AI77" s="55">
        <f t="shared" ca="1" si="17"/>
        <v>0</v>
      </c>
      <c r="AJ77" s="55">
        <f t="shared" ca="1" si="18"/>
        <v>17.292445821101477</v>
      </c>
      <c r="AK77" s="55">
        <f t="shared" ca="1" si="19"/>
        <v>-12.187272508256383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25.194226216342539</v>
      </c>
      <c r="U78" s="55">
        <f t="shared" ca="1" si="1"/>
        <v>0</v>
      </c>
      <c r="V78" s="55">
        <f t="shared" ca="1" si="2"/>
        <v>0</v>
      </c>
      <c r="W78" s="55">
        <f t="shared" ca="1" si="12"/>
        <v>-35.515908455456355</v>
      </c>
      <c r="X78" s="55">
        <f t="shared" ca="1" si="13"/>
        <v>17.930583385066974</v>
      </c>
      <c r="Y78" s="55">
        <f t="shared" ca="1" si="14"/>
        <v>-6.8923171191960542</v>
      </c>
      <c r="Z78">
        <f t="shared" ca="1" si="3"/>
        <v>120</v>
      </c>
      <c r="AA78">
        <f t="shared" ca="1" si="15"/>
        <v>166.46697691958656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6.5694020251021179</v>
      </c>
      <c r="AG78" s="55">
        <f t="shared" ca="1" si="22"/>
        <v>31.6014704109094</v>
      </c>
      <c r="AH78" s="55">
        <f t="shared" ca="1" si="23"/>
        <v>0</v>
      </c>
      <c r="AI78" s="55">
        <f t="shared" ca="1" si="17"/>
        <v>0</v>
      </c>
      <c r="AJ78" s="55">
        <f t="shared" ca="1" si="18"/>
        <v>17.548248736553926</v>
      </c>
      <c r="AK78" s="55">
        <f t="shared" ca="1" si="19"/>
        <v>-12.106469293659872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25.182605597008727</v>
      </c>
      <c r="U79" s="55">
        <f t="shared" ca="1" si="1"/>
        <v>0</v>
      </c>
      <c r="V79" s="55">
        <f t="shared" ca="1" si="2"/>
        <v>0</v>
      </c>
      <c r="W79" s="55">
        <f t="shared" ca="1" si="12"/>
        <v>-35.757342012944306</v>
      </c>
      <c r="X79" s="55">
        <f t="shared" ca="1" si="13"/>
        <v>18.168913857984023</v>
      </c>
      <c r="Y79" s="55">
        <f t="shared" ca="1" si="14"/>
        <v>-6.900834653958964</v>
      </c>
      <c r="Z79">
        <f t="shared" ca="1" si="3"/>
        <v>120</v>
      </c>
      <c r="AA79">
        <f t="shared" ca="1" si="15"/>
        <v>168.55805758186261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5.6349922317043717</v>
      </c>
      <c r="AG79" s="55">
        <f t="shared" ca="1" si="22"/>
        <v>32.869144112401528</v>
      </c>
      <c r="AH79" s="55">
        <f t="shared" ca="1" si="23"/>
        <v>0</v>
      </c>
      <c r="AI79" s="55">
        <f t="shared" ca="1" si="17"/>
        <v>0</v>
      </c>
      <c r="AJ79" s="55">
        <f t="shared" ca="1" si="18"/>
        <v>17.801289982421437</v>
      </c>
      <c r="AK79" s="55">
        <f t="shared" ca="1" si="19"/>
        <v>-12.026246631433002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25.064267166305086</v>
      </c>
      <c r="U80" s="55">
        <f t="shared" ca="1" si="1"/>
        <v>0</v>
      </c>
      <c r="V80" s="55">
        <f t="shared" ca="1" si="2"/>
        <v>0</v>
      </c>
      <c r="W80" s="55">
        <f t="shared" ca="1" si="12"/>
        <v>-36.095522951811361</v>
      </c>
      <c r="X80" s="55">
        <f t="shared" ca="1" si="13"/>
        <v>18.396095871443066</v>
      </c>
      <c r="Y80" s="55">
        <f t="shared" ca="1" si="14"/>
        <v>-6.9081741592545907</v>
      </c>
      <c r="Z80">
        <f t="shared" ca="1" si="3"/>
        <v>120</v>
      </c>
      <c r="AA80">
        <f t="shared" ca="1" si="15"/>
        <v>171.50090625344995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4.6260331582754652</v>
      </c>
      <c r="AG80" s="55">
        <f t="shared" ca="1" si="22"/>
        <v>34.218107410003412</v>
      </c>
      <c r="AH80" s="55">
        <f t="shared" ca="1" si="23"/>
        <v>0</v>
      </c>
      <c r="AI80" s="55">
        <f t="shared" ca="1" si="17"/>
        <v>0</v>
      </c>
      <c r="AJ80" s="55">
        <f t="shared" ca="1" si="18"/>
        <v>18.05968191370145</v>
      </c>
      <c r="AK80" s="55">
        <f t="shared" ca="1" si="19"/>
        <v>-11.944634338540039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25.058948399081793</v>
      </c>
      <c r="U81" s="55">
        <f t="shared" ca="1" si="1"/>
        <v>0</v>
      </c>
      <c r="V81" s="55">
        <f t="shared" ca="1" si="2"/>
        <v>0</v>
      </c>
      <c r="W81" s="55">
        <f t="shared" ca="1" si="12"/>
        <v>-36.324569422265654</v>
      </c>
      <c r="X81" s="55">
        <f t="shared" ca="1" si="13"/>
        <v>18.626370025208413</v>
      </c>
      <c r="Y81" s="55">
        <f t="shared" ca="1" si="14"/>
        <v>-6.914720609788934</v>
      </c>
      <c r="Z81">
        <f t="shared" ca="1" si="3"/>
        <v>120</v>
      </c>
      <c r="AA81">
        <f t="shared" ca="1" si="15"/>
        <v>173.49449042952591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3.6236887603172798</v>
      </c>
      <c r="AG81" s="55">
        <f t="shared" ca="1" si="22"/>
        <v>35.548734006464009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18.308595341527621</v>
      </c>
      <c r="AK81" s="55">
        <f t="shared" ca="1" si="19"/>
        <v>-11.865265567863799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24.842655343680981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-36.776282122314733</v>
      </c>
      <c r="X82" s="55">
        <f t="shared" ca="1" si="13"/>
        <v>18.867677769975458</v>
      </c>
      <c r="Y82" s="55">
        <f t="shared" ca="1" si="14"/>
        <v>-6.9206087099077136</v>
      </c>
      <c r="Z82">
        <f t="shared" ref="Z82:Z145" ca="1" si="30">VLOOKUP(S82,ModelOutputs,10,FALSE)*AWC</f>
        <v>120</v>
      </c>
      <c r="AA82">
        <f t="shared" ca="1" si="15"/>
        <v>177.46035703854031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2.5383098180319665</v>
      </c>
      <c r="AG82" s="55">
        <f t="shared" ca="1" si="22"/>
        <v>36.956128952101658</v>
      </c>
      <c r="AH82" s="55">
        <f t="shared" ca="1" si="23"/>
        <v>0</v>
      </c>
      <c r="AI82" s="55">
        <f t="shared" ca="1" si="17"/>
        <v>0</v>
      </c>
      <c r="AJ82" s="55">
        <f t="shared" ca="1" si="18"/>
        <v>18.554268869375488</v>
      </c>
      <c r="AK82" s="55">
        <f t="shared" ca="1" si="19"/>
        <v>-11.788923092359331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24.916640525494142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-36.950299078736563</v>
      </c>
      <c r="X83" s="55">
        <f t="shared" ref="X83:X146" ca="1" si="35">VLOOKUP(S83,ModelOutputs,5,FALSE)+X82</f>
        <v>19.120869961428056</v>
      </c>
      <c r="Y83" s="55">
        <f t="shared" ref="Y83:Y146" ca="1" si="36">VLOOKUP(S83,ModelOutputs,4,FALSE)+Y82</f>
        <v>-6.9257987631253179</v>
      </c>
      <c r="Z83">
        <f t="shared" ca="1" si="30"/>
        <v>120</v>
      </c>
      <c r="AA83">
        <f t="shared" ref="AA83:AA146" ca="1" si="37">VLOOKUP(S83,ModelOutputs,11,FALSE)+AA82</f>
        <v>178.98362356182164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1.3981286775876054</v>
      </c>
      <c r="AG83" s="55">
        <f t="shared" ca="1" si="22"/>
        <v>38.431292614045944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18.809110218575935</v>
      </c>
      <c r="AK83" s="55">
        <f t="shared" ref="AK83:AK146" ca="1" si="40">VLOOKUP(AE83,ModelOutputs,4,FALSE)+AK82</f>
        <v>-11.708781920059854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24.807935671538537</v>
      </c>
      <c r="U84" s="55">
        <f t="shared" ca="1" si="28"/>
        <v>0</v>
      </c>
      <c r="V84" s="55">
        <f t="shared" ca="1" si="29"/>
        <v>0</v>
      </c>
      <c r="W84" s="55">
        <f t="shared" ca="1" si="34"/>
        <v>-37.306818818938169</v>
      </c>
      <c r="X84" s="55">
        <f t="shared" ca="1" si="35"/>
        <v>19.372978566551417</v>
      </c>
      <c r="Y84" s="55">
        <f t="shared" ca="1" si="36"/>
        <v>-6.9300924820026815</v>
      </c>
      <c r="Z84">
        <f t="shared" ca="1" si="30"/>
        <v>120</v>
      </c>
      <c r="AA84">
        <f t="shared" ca="1" si="37"/>
        <v>182.11811270658961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0.23353808920567354</v>
      </c>
      <c r="AG84" s="55">
        <f t="shared" ca="1" si="22"/>
        <v>39.916514560944208</v>
      </c>
      <c r="AH84" s="55">
        <f t="shared" ca="1" si="23"/>
        <v>0</v>
      </c>
      <c r="AI84" s="55">
        <f t="shared" ca="1" si="38"/>
        <v>0</v>
      </c>
      <c r="AJ84" s="55">
        <f t="shared" ca="1" si="39"/>
        <v>19.053745075995774</v>
      </c>
      <c r="AK84" s="55">
        <f t="shared" ca="1" si="40"/>
        <v>-11.63278541896336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24.888673954216578</v>
      </c>
      <c r="U85" s="55">
        <f t="shared" ca="1" si="28"/>
        <v>0</v>
      </c>
      <c r="V85" s="55">
        <f t="shared" ca="1" si="29"/>
        <v>0</v>
      </c>
      <c r="W85" s="55">
        <f t="shared" ca="1" si="34"/>
        <v>-37.473326563500443</v>
      </c>
      <c r="X85" s="55">
        <f t="shared" ca="1" si="35"/>
        <v>19.623661337926517</v>
      </c>
      <c r="Y85" s="55">
        <f t="shared" ca="1" si="36"/>
        <v>-6.9335292261374644</v>
      </c>
      <c r="Z85">
        <f t="shared" ca="1" si="30"/>
        <v>120</v>
      </c>
      <c r="AA85">
        <f t="shared" ca="1" si="37"/>
        <v>183.57728473390665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-0.92023111017630166</v>
      </c>
      <c r="AG85" s="55">
        <f t="shared" ref="AG85:AG148" ca="1" si="43">VLOOKUP(AE85,ModelOutputs,7,FALSE)</f>
        <v>41.422468707927088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19.323009461330578</v>
      </c>
      <c r="AK85" s="55">
        <f t="shared" ca="1" si="40"/>
        <v>-11.54986485669726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24.850124343188423</v>
      </c>
      <c r="U86" s="55">
        <f t="shared" ca="1" si="28"/>
        <v>0</v>
      </c>
      <c r="V86" s="55">
        <f t="shared" ca="1" si="29"/>
        <v>0</v>
      </c>
      <c r="W86" s="55">
        <f t="shared" ca="1" si="34"/>
        <v>-37.752725261536483</v>
      </c>
      <c r="X86" s="55">
        <f t="shared" ca="1" si="35"/>
        <v>19.867095553781262</v>
      </c>
      <c r="Y86" s="55">
        <f t="shared" ca="1" si="36"/>
        <v>-6.9361143549843209</v>
      </c>
      <c r="Z86">
        <f t="shared" ca="1" si="30"/>
        <v>120</v>
      </c>
      <c r="AA86">
        <f t="shared" ca="1" si="37"/>
        <v>186.02956231446424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-2.1296628423084005</v>
      </c>
      <c r="AG86" s="55">
        <f t="shared" ca="1" si="43"/>
        <v>42.989396842382405</v>
      </c>
      <c r="AH86" s="55">
        <f t="shared" ca="1" si="44"/>
        <v>0</v>
      </c>
      <c r="AI86" s="55">
        <f t="shared" ca="1" si="38"/>
        <v>0</v>
      </c>
      <c r="AJ86" s="55">
        <f t="shared" ca="1" si="39"/>
        <v>19.596751337480104</v>
      </c>
      <c r="AK86" s="55">
        <f t="shared" ca="1" si="40"/>
        <v>-11.466110330523568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24.738047385078911</v>
      </c>
      <c r="U87" s="55">
        <f t="shared" ca="1" si="28"/>
        <v>0</v>
      </c>
      <c r="V87" s="55">
        <f t="shared" ca="1" si="29"/>
        <v>0</v>
      </c>
      <c r="W87" s="55">
        <f t="shared" ca="1" si="34"/>
        <v>-38.109906325624515</v>
      </c>
      <c r="X87" s="55">
        <f t="shared" ca="1" si="35"/>
        <v>20.114058063519053</v>
      </c>
      <c r="Y87" s="55">
        <f t="shared" ca="1" si="36"/>
        <v>-6.93797275874359</v>
      </c>
      <c r="Z87">
        <f t="shared" ca="1" si="30"/>
        <v>120</v>
      </c>
      <c r="AA87">
        <f t="shared" ca="1" si="37"/>
        <v>189.17873753519009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-3.3512342695397175</v>
      </c>
      <c r="AG87" s="55">
        <f t="shared" ca="1" si="43"/>
        <v>44.550529405594155</v>
      </c>
      <c r="AH87" s="55">
        <f t="shared" ca="1" si="44"/>
        <v>0</v>
      </c>
      <c r="AI87" s="55">
        <f t="shared" ca="1" si="38"/>
        <v>0</v>
      </c>
      <c r="AJ87" s="55">
        <f t="shared" ca="1" si="39"/>
        <v>19.854947557081761</v>
      </c>
      <c r="AK87" s="55">
        <f t="shared" ca="1" si="40"/>
        <v>-11.384745414144794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24.872027011893227</v>
      </c>
      <c r="U88" s="55">
        <f t="shared" ca="1" si="28"/>
        <v>0</v>
      </c>
      <c r="V88" s="55">
        <f t="shared" ca="1" si="29"/>
        <v>0</v>
      </c>
      <c r="W88" s="55">
        <f t="shared" ca="1" si="34"/>
        <v>-38.20663653131615</v>
      </c>
      <c r="X88" s="55">
        <f t="shared" ca="1" si="35"/>
        <v>20.34586399832164</v>
      </c>
      <c r="Y88" s="55">
        <f t="shared" ca="1" si="36"/>
        <v>-6.9390688610402265</v>
      </c>
      <c r="Z88">
        <f t="shared" ca="1" si="30"/>
        <v>120</v>
      </c>
      <c r="AA88">
        <f t="shared" ca="1" si="37"/>
        <v>190.02698925029787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-4.6176799235603472</v>
      </c>
      <c r="AG88" s="55">
        <f t="shared" ca="1" si="43"/>
        <v>46.149742804944481</v>
      </c>
      <c r="AH88" s="55">
        <f t="shared" ca="1" si="44"/>
        <v>0</v>
      </c>
      <c r="AI88" s="55">
        <f t="shared" ca="1" si="38"/>
        <v>0</v>
      </c>
      <c r="AJ88" s="55">
        <f t="shared" ca="1" si="39"/>
        <v>20.107217419807558</v>
      </c>
      <c r="AK88" s="55">
        <f t="shared" ca="1" si="40"/>
        <v>-11.304247531540893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24.787383016857927</v>
      </c>
      <c r="U89" s="55">
        <f t="shared" ca="1" si="28"/>
        <v>0</v>
      </c>
      <c r="V89" s="55">
        <f t="shared" ca="1" si="29"/>
        <v>0</v>
      </c>
      <c r="W89" s="55">
        <f t="shared" ca="1" si="34"/>
        <v>-38.514352184530161</v>
      </c>
      <c r="X89" s="55">
        <f t="shared" ca="1" si="35"/>
        <v>20.569387938890024</v>
      </c>
      <c r="Y89" s="55">
        <f t="shared" ca="1" si="36"/>
        <v>-6.9395211434298991</v>
      </c>
      <c r="Z89">
        <f t="shared" ca="1" si="30"/>
        <v>120</v>
      </c>
      <c r="AA89">
        <f t="shared" ca="1" si="37"/>
        <v>192.73464050951497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-5.9012804627153148</v>
      </c>
      <c r="AG89" s="55">
        <f t="shared" ca="1" si="43"/>
        <v>47.765291029504425</v>
      </c>
      <c r="AH89" s="55">
        <f t="shared" ca="1" si="44"/>
        <v>0</v>
      </c>
      <c r="AI89" s="55">
        <f t="shared" ca="1" si="38"/>
        <v>0</v>
      </c>
      <c r="AJ89" s="55">
        <f t="shared" ca="1" si="39"/>
        <v>20.359384071751865</v>
      </c>
      <c r="AK89" s="55">
        <f t="shared" ca="1" si="40"/>
        <v>-11.224466498080224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24.36940143971967</v>
      </c>
      <c r="U90" s="55">
        <f t="shared" ca="1" si="28"/>
        <v>0</v>
      </c>
      <c r="V90" s="55">
        <f t="shared" ca="1" si="29"/>
        <v>0</v>
      </c>
      <c r="W90" s="55">
        <f t="shared" ca="1" si="34"/>
        <v>-39.162753339680819</v>
      </c>
      <c r="X90" s="55">
        <f t="shared" ca="1" si="35"/>
        <v>20.799665119477929</v>
      </c>
      <c r="Y90" s="55">
        <f t="shared" ca="1" si="36"/>
        <v>-6.9393787460054028</v>
      </c>
      <c r="Z90">
        <f t="shared" ca="1" si="30"/>
        <v>120</v>
      </c>
      <c r="AA90">
        <f t="shared" ca="1" si="37"/>
        <v>198.5379099315283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-7.2348952876251902</v>
      </c>
      <c r="AG90" s="55">
        <f t="shared" ca="1" si="43"/>
        <v>49.435267894627955</v>
      </c>
      <c r="AH90" s="55">
        <f t="shared" ca="1" si="44"/>
        <v>0</v>
      </c>
      <c r="AI90" s="55">
        <f t="shared" ca="1" si="38"/>
        <v>0</v>
      </c>
      <c r="AJ90" s="55">
        <f t="shared" ca="1" si="39"/>
        <v>20.615622450463526</v>
      </c>
      <c r="AK90" s="55">
        <f t="shared" ca="1" si="40"/>
        <v>-11.144342836578231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24.468341513454504</v>
      </c>
      <c r="U91" s="55">
        <f t="shared" ca="1" si="28"/>
        <v>0</v>
      </c>
      <c r="V91" s="55">
        <f t="shared" ca="1" si="29"/>
        <v>0</v>
      </c>
      <c r="W91" s="55">
        <f t="shared" ca="1" si="34"/>
        <v>-39.29877323153255</v>
      </c>
      <c r="X91" s="55">
        <f t="shared" ca="1" si="35"/>
        <v>21.033883384199846</v>
      </c>
      <c r="Y91" s="55">
        <f t="shared" ca="1" si="36"/>
        <v>-6.938637045140756</v>
      </c>
      <c r="Z91">
        <f t="shared" ca="1" si="30"/>
        <v>120</v>
      </c>
      <c r="AA91">
        <f t="shared" ca="1" si="37"/>
        <v>199.75038190219186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-8.6029063519817388</v>
      </c>
      <c r="AG91" s="55">
        <f t="shared" ca="1" si="43"/>
        <v>51.137555218640365</v>
      </c>
      <c r="AH91" s="55">
        <f t="shared" ca="1" si="44"/>
        <v>0</v>
      </c>
      <c r="AI91" s="55">
        <f t="shared" ca="1" si="38"/>
        <v>0</v>
      </c>
      <c r="AJ91" s="55">
        <f t="shared" ca="1" si="39"/>
        <v>20.870414211405041</v>
      </c>
      <c r="AK91" s="55">
        <f t="shared" ca="1" si="40"/>
        <v>-11.064858337863884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24.32908605339151</v>
      </c>
      <c r="U92" s="55">
        <f t="shared" ca="1" si="28"/>
        <v>0</v>
      </c>
      <c r="V92" s="55">
        <f t="shared" ca="1" si="29"/>
        <v>0</v>
      </c>
      <c r="W92" s="55">
        <f t="shared" ca="1" si="34"/>
        <v>-39.66434585176917</v>
      </c>
      <c r="X92" s="55">
        <f t="shared" ca="1" si="35"/>
        <v>21.25892483714269</v>
      </c>
      <c r="Y92" s="55">
        <f t="shared" ca="1" si="36"/>
        <v>-6.9373613379099703</v>
      </c>
      <c r="Z92">
        <f t="shared" ca="1" si="30"/>
        <v>120</v>
      </c>
      <c r="AA92">
        <f t="shared" ca="1" si="37"/>
        <v>203.02772329288345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-10.00593160975448</v>
      </c>
      <c r="AG92" s="55">
        <f t="shared" ca="1" si="43"/>
        <v>52.863900501076614</v>
      </c>
      <c r="AH92" s="55">
        <f t="shared" ca="1" si="44"/>
        <v>0</v>
      </c>
      <c r="AI92" s="55">
        <f t="shared" ca="1" si="38"/>
        <v>0</v>
      </c>
      <c r="AJ92" s="55">
        <f t="shared" ca="1" si="39"/>
        <v>21.117244219957538</v>
      </c>
      <c r="AK92" s="55">
        <f t="shared" ca="1" si="40"/>
        <v>-10.988368321752874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24.017380741745011</v>
      </c>
      <c r="U93" s="55">
        <f t="shared" ca="1" si="28"/>
        <v>0</v>
      </c>
      <c r="V93" s="55">
        <f t="shared" ca="1" si="29"/>
        <v>0</v>
      </c>
      <c r="W93" s="55">
        <f t="shared" ca="1" si="34"/>
        <v>-40.223910162413119</v>
      </c>
      <c r="X93" s="55">
        <f t="shared" ca="1" si="35"/>
        <v>21.504849145586828</v>
      </c>
      <c r="Y93" s="55">
        <f t="shared" ca="1" si="36"/>
        <v>-6.9354266473566621</v>
      </c>
      <c r="Z93">
        <f t="shared" ca="1" si="30"/>
        <v>120</v>
      </c>
      <c r="AA93">
        <f t="shared" ca="1" si="37"/>
        <v>208.10929642413953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-11.400004099764885</v>
      </c>
      <c r="AG93" s="55">
        <f t="shared" ca="1" si="43"/>
        <v>54.560499812178968</v>
      </c>
      <c r="AH93" s="55">
        <f t="shared" ca="1" si="44"/>
        <v>0</v>
      </c>
      <c r="AI93" s="55">
        <f t="shared" ca="1" si="38"/>
        <v>0</v>
      </c>
      <c r="AJ93" s="55">
        <f t="shared" ca="1" si="39"/>
        <v>21.349294385504688</v>
      </c>
      <c r="AK93" s="55">
        <f t="shared" ca="1" si="40"/>
        <v>-10.917891666208076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23.85207953935706</v>
      </c>
      <c r="U94" s="55">
        <f t="shared" ca="1" si="28"/>
        <v>0</v>
      </c>
      <c r="V94" s="55">
        <f t="shared" ca="1" si="29"/>
        <v>0</v>
      </c>
      <c r="W94" s="55">
        <f t="shared" ca="1" si="34"/>
        <v>-40.651585029918614</v>
      </c>
      <c r="X94" s="55">
        <f t="shared" ca="1" si="35"/>
        <v>21.764604689883218</v>
      </c>
      <c r="Y94" s="55">
        <f t="shared" ca="1" si="36"/>
        <v>-6.9328085265355082</v>
      </c>
      <c r="Z94">
        <f t="shared" ca="1" si="30"/>
        <v>120</v>
      </c>
      <c r="AA94">
        <f t="shared" ca="1" si="37"/>
        <v>212.0200576123535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-12.82254120415317</v>
      </c>
      <c r="AG94" s="55">
        <f t="shared" ca="1" si="43"/>
        <v>56.295075839435356</v>
      </c>
      <c r="AH94" s="55">
        <f t="shared" ca="1" si="44"/>
        <v>0</v>
      </c>
      <c r="AI94" s="55">
        <f t="shared" ca="1" si="38"/>
        <v>0</v>
      </c>
      <c r="AJ94" s="55">
        <f t="shared" ca="1" si="39"/>
        <v>21.588219011847709</v>
      </c>
      <c r="AK94" s="55">
        <f t="shared" ca="1" si="40"/>
        <v>-10.844777369682992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23.41891342406123</v>
      </c>
      <c r="U95" s="55">
        <f t="shared" ca="1" si="28"/>
        <v>0</v>
      </c>
      <c r="V95" s="55">
        <f t="shared" ca="1" si="29"/>
        <v>0</v>
      </c>
      <c r="W95" s="55">
        <f t="shared" ca="1" si="34"/>
        <v>-41.341448261976616</v>
      </c>
      <c r="X95" s="55">
        <f t="shared" ca="1" si="35"/>
        <v>22.018153237721325</v>
      </c>
      <c r="Y95" s="55">
        <f t="shared" ca="1" si="36"/>
        <v>-6.9296599576114417</v>
      </c>
      <c r="Z95">
        <f t="shared" ca="1" si="30"/>
        <v>120</v>
      </c>
      <c r="AA95">
        <f t="shared" ca="1" si="37"/>
        <v>218.44501236535967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-14.324433822017554</v>
      </c>
      <c r="AG95" s="55">
        <f t="shared" ca="1" si="43"/>
        <v>58.099296647723207</v>
      </c>
      <c r="AH95" s="55">
        <f t="shared" ca="1" si="44"/>
        <v>0</v>
      </c>
      <c r="AI95" s="55">
        <f t="shared" ca="1" si="38"/>
        <v>0</v>
      </c>
      <c r="AJ95" s="55">
        <f t="shared" ca="1" si="39"/>
        <v>21.821746684952977</v>
      </c>
      <c r="AK95" s="55">
        <f t="shared" ca="1" si="40"/>
        <v>-10.77597685236479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22.980515877240876</v>
      </c>
      <c r="U96" s="55">
        <f t="shared" ca="1" si="28"/>
        <v>0</v>
      </c>
      <c r="V96" s="55">
        <f t="shared" ca="1" si="29"/>
        <v>0</v>
      </c>
      <c r="W96" s="55">
        <f t="shared" ca="1" si="34"/>
        <v>-42.028155439294316</v>
      </c>
      <c r="X96" s="55">
        <f t="shared" ca="1" si="35"/>
        <v>22.262867293969833</v>
      </c>
      <c r="Y96" s="55">
        <f t="shared" ca="1" si="36"/>
        <v>-6.9260643833626023</v>
      </c>
      <c r="Z96">
        <f t="shared" ca="1" si="30"/>
        <v>120</v>
      </c>
      <c r="AA96">
        <f t="shared" ca="1" si="37"/>
        <v>224.9625812314157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-15.839754186715124</v>
      </c>
      <c r="AG96" s="55">
        <f t="shared" ca="1" si="43"/>
        <v>59.917352700621805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22.055613741326066</v>
      </c>
      <c r="AK96" s="55">
        <f t="shared" ca="1" si="40"/>
        <v>-10.707108220536853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22.914847816928177</v>
      </c>
      <c r="U97" s="55">
        <f t="shared" ca="1" si="28"/>
        <v>0</v>
      </c>
      <c r="V97" s="55">
        <f t="shared" ca="1" si="29"/>
        <v>0</v>
      </c>
      <c r="W97" s="55">
        <f t="shared" ca="1" si="34"/>
        <v>-42.339445899247771</v>
      </c>
      <c r="X97" s="55">
        <f t="shared" ca="1" si="35"/>
        <v>22.504436433141304</v>
      </c>
      <c r="Y97" s="55">
        <f t="shared" ca="1" si="36"/>
        <v>-6.9220111228933181</v>
      </c>
      <c r="Z97">
        <f t="shared" ca="1" si="30"/>
        <v>120</v>
      </c>
      <c r="AA97">
        <f t="shared" ca="1" si="37"/>
        <v>227.92551981671517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-17.336558783695221</v>
      </c>
      <c r="AG97" s="55">
        <f t="shared" ca="1" si="43"/>
        <v>61.712904409922729</v>
      </c>
      <c r="AH97" s="55">
        <f t="shared" ca="1" si="44"/>
        <v>0</v>
      </c>
      <c r="AI97" s="55">
        <f t="shared" ca="1" si="38"/>
        <v>0</v>
      </c>
      <c r="AJ97" s="55">
        <f t="shared" ca="1" si="39"/>
        <v>22.286281046050462</v>
      </c>
      <c r="AK97" s="55">
        <f t="shared" ca="1" si="40"/>
        <v>-10.639028412940419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23.01931093396944</v>
      </c>
      <c r="U98" s="55">
        <f t="shared" ca="1" si="28"/>
        <v>0</v>
      </c>
      <c r="V98" s="55">
        <f t="shared" ca="1" si="29"/>
        <v>0</v>
      </c>
      <c r="W98" s="55">
        <f t="shared" ca="1" si="34"/>
        <v>-42.492694368263351</v>
      </c>
      <c r="X98" s="55">
        <f t="shared" ca="1" si="35"/>
        <v>22.757466622268012</v>
      </c>
      <c r="Y98" s="55">
        <f t="shared" ca="1" si="36"/>
        <v>-6.9173297259631887</v>
      </c>
      <c r="Z98">
        <f t="shared" ca="1" si="30"/>
        <v>120</v>
      </c>
      <c r="AA98">
        <f t="shared" ca="1" si="37"/>
        <v>229.37755667698229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-18.854600238167372</v>
      </c>
      <c r="AG98" s="55">
        <f t="shared" ca="1" si="43"/>
        <v>63.521628690605269</v>
      </c>
      <c r="AH98" s="55">
        <f t="shared" ca="1" si="44"/>
        <v>0</v>
      </c>
      <c r="AI98" s="55">
        <f t="shared" ca="1" si="38"/>
        <v>0</v>
      </c>
      <c r="AJ98" s="55">
        <f t="shared" ca="1" si="39"/>
        <v>22.511697905739336</v>
      </c>
      <c r="AK98" s="55">
        <f t="shared" ca="1" si="40"/>
        <v>-10.573762446418906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22.90744296855614</v>
      </c>
      <c r="U99" s="55">
        <f t="shared" ca="1" si="28"/>
        <v>0</v>
      </c>
      <c r="V99" s="55">
        <f t="shared" ca="1" si="29"/>
        <v>0</v>
      </c>
      <c r="W99" s="55">
        <f t="shared" ca="1" si="34"/>
        <v>-42.85092366756875</v>
      </c>
      <c r="X99" s="55">
        <f t="shared" ca="1" si="35"/>
        <v>22.998847345738181</v>
      </c>
      <c r="Y99" s="55">
        <f t="shared" ca="1" si="36"/>
        <v>-6.9123491155412538</v>
      </c>
      <c r="Z99">
        <f t="shared" ca="1" si="30"/>
        <v>120</v>
      </c>
      <c r="AA99">
        <f t="shared" ca="1" si="37"/>
        <v>232.7883727858428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-20.404044951887663</v>
      </c>
      <c r="AG99" s="55">
        <f t="shared" ca="1" si="43"/>
        <v>65.355871985452566</v>
      </c>
      <c r="AH99" s="55">
        <f t="shared" ca="1" si="44"/>
        <v>0</v>
      </c>
      <c r="AI99" s="55">
        <f t="shared" ca="1" si="38"/>
        <v>0</v>
      </c>
      <c r="AJ99" s="55">
        <f t="shared" ca="1" si="39"/>
        <v>22.733582275998511</v>
      </c>
      <c r="AK99" s="55">
        <f t="shared" ca="1" si="40"/>
        <v>-10.510848235551073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22.733120579062231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-43.286188925076857</v>
      </c>
      <c r="X100" s="55">
        <f t="shared" ca="1" si="35"/>
        <v>23.254151538581201</v>
      </c>
      <c r="Y100" s="55">
        <f t="shared" ca="1" si="36"/>
        <v>-6.9067104403700785</v>
      </c>
      <c r="Z100">
        <f t="shared" ca="1" si="30"/>
        <v>120</v>
      </c>
      <c r="AA100">
        <f t="shared" ca="1" si="37"/>
        <v>236.96445234507456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-21.978766645320359</v>
      </c>
      <c r="AG100" s="55">
        <f t="shared" ca="1" si="43"/>
        <v>67.224907394425799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22.962479500600026</v>
      </c>
      <c r="AK100" s="55">
        <f t="shared" ca="1" si="40"/>
        <v>-10.445431744612051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22.30308613730298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-43.974182542922428</v>
      </c>
      <c r="X101" s="55">
        <f t="shared" ca="1" si="35"/>
        <v>23.506089927103869</v>
      </c>
      <c r="Y101" s="55">
        <f t="shared" ca="1" si="36"/>
        <v>-6.9006896528064248</v>
      </c>
      <c r="Z101">
        <f t="shared" ca="1" si="30"/>
        <v>120</v>
      </c>
      <c r="AA101">
        <f t="shared" ca="1" si="37"/>
        <v>243.69256514026532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-23.607018104253761</v>
      </c>
      <c r="AG101" s="55">
        <f t="shared" ca="1" si="43"/>
        <v>69.137782382606176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23.185650287151429</v>
      </c>
      <c r="AK101" s="55">
        <f t="shared" ca="1" si="40"/>
        <v>-10.383979001916481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22.269136860690605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-44.267287626804986</v>
      </c>
      <c r="X102" s="55">
        <f t="shared" ca="1" si="35"/>
        <v>23.758796308323927</v>
      </c>
      <c r="Y102" s="55">
        <f t="shared" ca="1" si="36"/>
        <v>-6.8942402267563034</v>
      </c>
      <c r="Z102">
        <f t="shared" ca="1" si="30"/>
        <v>120</v>
      </c>
      <c r="AA102">
        <f t="shared" ca="1" si="37"/>
        <v>246.56330462557128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-25.246143475241812</v>
      </c>
      <c r="AG102" s="55">
        <f t="shared" ca="1" si="43"/>
        <v>71.06022106951022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23.408141854805496</v>
      </c>
      <c r="AK102" s="55">
        <f t="shared" ca="1" si="40"/>
        <v>-10.323157253654555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22.156792174938904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-44.625314234037432</v>
      </c>
      <c r="X103" s="55">
        <f t="shared" ca="1" si="35"/>
        <v>23.997904469905325</v>
      </c>
      <c r="Y103" s="55">
        <f t="shared" ca="1" si="36"/>
        <v>-6.8876664668569552</v>
      </c>
      <c r="Z103">
        <f t="shared" ca="1" si="30"/>
        <v>120</v>
      </c>
      <c r="AA103">
        <f t="shared" ca="1" si="37"/>
        <v>250.08768062209305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-26.927738685791436</v>
      </c>
      <c r="AG103" s="55">
        <f t="shared" ca="1" si="43"/>
        <v>73.032491111041764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23.6365559085313</v>
      </c>
      <c r="AK103" s="55">
        <f t="shared" ca="1" si="40"/>
        <v>-10.260896476398438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22.182166316343764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-44.843705489009295</v>
      </c>
      <c r="X104" s="55">
        <f t="shared" ca="1" si="35"/>
        <v>24.23479256243866</v>
      </c>
      <c r="Y104" s="55">
        <f t="shared" ca="1" si="36"/>
        <v>-6.8807891630135636</v>
      </c>
      <c r="Z104">
        <f t="shared" ca="1" si="30"/>
        <v>120</v>
      </c>
      <c r="AA104">
        <f t="shared" ca="1" si="37"/>
        <v>252.23504182648011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-28.608387138524826</v>
      </c>
      <c r="AG104" s="55">
        <f t="shared" ca="1" si="43"/>
        <v>74.989087981078058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23.854879324666346</v>
      </c>
      <c r="AK104" s="55">
        <f t="shared" ca="1" si="40"/>
        <v>-10.203271475230581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22.047350979205465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-45.232789562519379</v>
      </c>
      <c r="X105" s="55">
        <f t="shared" ca="1" si="35"/>
        <v>24.481635466651607</v>
      </c>
      <c r="Y105" s="55">
        <f t="shared" ca="1" si="36"/>
        <v>-6.8733633308547208</v>
      </c>
      <c r="Z105">
        <f t="shared" ca="1" si="30"/>
        <v>120</v>
      </c>
      <c r="AA105">
        <f t="shared" ca="1" si="37"/>
        <v>256.08415653734625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-30.2685887782186</v>
      </c>
      <c r="AG105" s="55">
        <f t="shared" ca="1" si="43"/>
        <v>76.925546136889338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24.073192646804788</v>
      </c>
      <c r="AK105" s="55">
        <f t="shared" ca="1" si="40"/>
        <v>-10.145328281251517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22.099353269862366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-45.437433377947563</v>
      </c>
      <c r="X106" s="55">
        <f t="shared" ca="1" si="35"/>
        <v>24.730476595700196</v>
      </c>
      <c r="Y106" s="55">
        <f t="shared" ca="1" si="36"/>
        <v>-6.8655583538182245</v>
      </c>
      <c r="Z106">
        <f t="shared" ca="1" si="30"/>
        <v>120</v>
      </c>
      <c r="AA106">
        <f t="shared" ca="1" si="37"/>
        <v>258.10388448854781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-31.90427257152934</v>
      </c>
      <c r="AG106" s="55">
        <f t="shared" ca="1" si="43"/>
        <v>78.826515872316307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24.28365562931376</v>
      </c>
      <c r="AK106" s="55">
        <f t="shared" ca="1" si="40"/>
        <v>-10.090505321644262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21.935798827721499</v>
      </c>
      <c r="U107" s="55">
        <f t="shared" ca="1" si="28"/>
        <v>0</v>
      </c>
      <c r="V107" s="55">
        <f t="shared" ca="1" si="29"/>
        <v>0</v>
      </c>
      <c r="W107" s="55">
        <f t="shared" ca="1" si="34"/>
        <v>-45.862658833306398</v>
      </c>
      <c r="X107" s="55">
        <f t="shared" ca="1" si="35"/>
        <v>24.983911913626031</v>
      </c>
      <c r="Y107" s="55">
        <f t="shared" ca="1" si="36"/>
        <v>-6.8573226585260949</v>
      </c>
      <c r="Z107">
        <f t="shared" ca="1" si="30"/>
        <v>120</v>
      </c>
      <c r="AA107">
        <f t="shared" ca="1" si="37"/>
        <v>262.33192963671775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-33.52973924770194</v>
      </c>
      <c r="AG107" s="55">
        <f t="shared" ca="1" si="43"/>
        <v>80.722500453975158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24.49780567582701</v>
      </c>
      <c r="AK107" s="55">
        <f t="shared" ca="1" si="40"/>
        <v>-10.034137462671259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22.058832224951118</v>
      </c>
      <c r="U108" s="55">
        <f t="shared" ca="1" si="28"/>
        <v>0</v>
      </c>
      <c r="V108" s="55">
        <f t="shared" ca="1" si="29"/>
        <v>0</v>
      </c>
      <c r="W108" s="55">
        <f t="shared" ca="1" si="34"/>
        <v>-46.001443504067701</v>
      </c>
      <c r="X108" s="55">
        <f t="shared" ca="1" si="35"/>
        <v>25.237185130837624</v>
      </c>
      <c r="Y108" s="55">
        <f t="shared" ca="1" si="36"/>
        <v>-6.8487778077467691</v>
      </c>
      <c r="Z108">
        <f t="shared" ca="1" si="30"/>
        <v>120</v>
      </c>
      <c r="AA108">
        <f t="shared" ca="1" si="37"/>
        <v>263.70417824111041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-35.183442950941625</v>
      </c>
      <c r="AG108" s="55">
        <f t="shared" ca="1" si="43"/>
        <v>82.652505432378291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24.716755123186907</v>
      </c>
      <c r="AK108" s="55">
        <f t="shared" ca="1" si="40"/>
        <v>-9.97678563486771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22.025059226009564</v>
      </c>
      <c r="U109" s="55">
        <f t="shared" ca="1" si="28"/>
        <v>0</v>
      </c>
      <c r="V109" s="55">
        <f t="shared" ca="1" si="29"/>
        <v>0</v>
      </c>
      <c r="W109" s="55">
        <f t="shared" ca="1" si="34"/>
        <v>-46.299554492727893</v>
      </c>
      <c r="X109" s="55">
        <f t="shared" ca="1" si="35"/>
        <v>25.492625555010505</v>
      </c>
      <c r="Y109" s="55">
        <f t="shared" ca="1" si="36"/>
        <v>-6.8398802422010094</v>
      </c>
      <c r="Z109">
        <f t="shared" ca="1" si="30"/>
        <v>120</v>
      </c>
      <c r="AA109">
        <f t="shared" ca="1" si="37"/>
        <v>266.65630305875573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-36.793288867378486</v>
      </c>
      <c r="AG109" s="55">
        <f t="shared" ca="1" si="43"/>
        <v>84.522473736463724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24.923933089669088</v>
      </c>
      <c r="AK109" s="55">
        <f t="shared" ca="1" si="40"/>
        <v>-9.9238412137013157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22.036727166245328</v>
      </c>
      <c r="U110" s="55">
        <f t="shared" ca="1" si="28"/>
        <v>0</v>
      </c>
      <c r="V110" s="55">
        <f t="shared" ca="1" si="29"/>
        <v>0</v>
      </c>
      <c r="W110" s="55">
        <f t="shared" ca="1" si="34"/>
        <v>-46.553709814126975</v>
      </c>
      <c r="X110" s="55">
        <f t="shared" ca="1" si="35"/>
        <v>25.749234956914222</v>
      </c>
      <c r="Y110" s="55">
        <f t="shared" ca="1" si="36"/>
        <v>-6.8306663824698761</v>
      </c>
      <c r="Z110">
        <f t="shared" ca="1" si="30"/>
        <v>120</v>
      </c>
      <c r="AA110">
        <f t="shared" ca="1" si="37"/>
        <v>269.09349291085687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-38.411591957542463</v>
      </c>
      <c r="AG110" s="55">
        <f t="shared" ca="1" si="43"/>
        <v>86.395538867276827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25.127791538821487</v>
      </c>
      <c r="AK110" s="55">
        <f t="shared" ca="1" si="40"/>
        <v>-9.8729376222045886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21.861998352203319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-47.003226082672228</v>
      </c>
      <c r="X111" s="55">
        <f t="shared" ca="1" si="35"/>
        <v>26.014305790228828</v>
      </c>
      <c r="Y111" s="55">
        <f t="shared" ca="1" si="36"/>
        <v>-6.8209497612812413</v>
      </c>
      <c r="Z111">
        <f t="shared" ca="1" si="30"/>
        <v>120</v>
      </c>
      <c r="AA111">
        <f t="shared" ca="1" si="37"/>
        <v>273.43852317209513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-40.028828248828312</v>
      </c>
      <c r="AG111" s="55">
        <f t="shared" ca="1" si="43"/>
        <v>88.273123500126275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25.335879156220265</v>
      </c>
      <c r="AK111" s="55">
        <f t="shared" ca="1" si="40"/>
        <v>-9.8206768980397658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21.947931716078905</v>
      </c>
      <c r="U112" s="55">
        <f t="shared" ca="1" si="28"/>
        <v>0</v>
      </c>
      <c r="V112" s="55">
        <f t="shared" ca="1" si="29"/>
        <v>0</v>
      </c>
      <c r="W112" s="55">
        <f t="shared" ca="1" si="34"/>
        <v>-47.190585729331069</v>
      </c>
      <c r="X112" s="55">
        <f t="shared" ca="1" si="35"/>
        <v>26.277660460500503</v>
      </c>
      <c r="Y112" s="55">
        <f t="shared" ca="1" si="36"/>
        <v>-6.8110114210184918</v>
      </c>
      <c r="Z112">
        <f t="shared" ca="1" si="30"/>
        <v>120</v>
      </c>
      <c r="AA112">
        <f t="shared" ca="1" si="37"/>
        <v>275.24245327981373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-41.642504572417671</v>
      </c>
      <c r="AG112" s="55">
        <f t="shared" ca="1" si="43"/>
        <v>90.145415498395494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25.543054485838251</v>
      </c>
      <c r="AK112" s="55">
        <f t="shared" ca="1" si="40"/>
        <v>-9.769236552977894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21.844835656033034</v>
      </c>
      <c r="U113" s="55">
        <f t="shared" ca="1" si="28"/>
        <v>0</v>
      </c>
      <c r="V113" s="55">
        <f t="shared" ca="1" si="29"/>
        <v>0</v>
      </c>
      <c r="W113" s="55">
        <f t="shared" ca="1" si="34"/>
        <v>-47.564891433152724</v>
      </c>
      <c r="X113" s="55">
        <f t="shared" ca="1" si="35"/>
        <v>26.538744470645558</v>
      </c>
      <c r="Y113" s="55">
        <f t="shared" ca="1" si="36"/>
        <v>-6.8008857873877622</v>
      </c>
      <c r="Z113">
        <f t="shared" ca="1" si="30"/>
        <v>120</v>
      </c>
      <c r="AA113">
        <f t="shared" ca="1" si="37"/>
        <v>278.86333978303935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-43.214319284146427</v>
      </c>
      <c r="AG113" s="55">
        <f t="shared" ca="1" si="43"/>
        <v>91.975055309899076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25.749425059652875</v>
      </c>
      <c r="AK113" s="55">
        <f t="shared" ca="1" si="40"/>
        <v>-9.7177820270176891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21.743167874151617</v>
      </c>
      <c r="U114" s="55">
        <f t="shared" ca="1" si="28"/>
        <v>5.3836743711046724</v>
      </c>
      <c r="V114" s="55">
        <f t="shared" ca="1" si="29"/>
        <v>0</v>
      </c>
      <c r="W114" s="55">
        <f t="shared" ca="1" si="34"/>
        <v>-47.930667531344028</v>
      </c>
      <c r="X114" s="55">
        <f t="shared" ca="1" si="35"/>
        <v>26.792700477648395</v>
      </c>
      <c r="Y114" s="55">
        <f t="shared" ca="1" si="36"/>
        <v>-6.7907334780807176</v>
      </c>
      <c r="Z114">
        <f t="shared" ca="1" si="30"/>
        <v>120</v>
      </c>
      <c r="AA114">
        <f t="shared" ca="1" si="37"/>
        <v>282.41825913495251</v>
      </c>
      <c r="AB114">
        <f t="shared" ca="1" si="31"/>
        <v>0</v>
      </c>
      <c r="AC114">
        <f t="shared" ca="1" si="32"/>
        <v>8.0202247545556379E-3</v>
      </c>
      <c r="AD114" s="83">
        <f ca="1"/>
        <v>45390</v>
      </c>
      <c r="AE114" s="55">
        <f t="shared" ca="1" si="41"/>
        <v>45390</v>
      </c>
      <c r="AF114" s="55">
        <f t="shared" ca="1" si="42"/>
        <v>-44.726501330140806</v>
      </c>
      <c r="AG114" s="55">
        <f t="shared" ca="1" si="43"/>
        <v>93.754547029025986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25.962250266488184</v>
      </c>
      <c r="AK114" s="55">
        <f t="shared" ca="1" si="40"/>
        <v>-9.6632975607204692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110.30194745915186</v>
      </c>
      <c r="U115" s="55">
        <f t="shared" ca="1" si="28"/>
        <v>5.6430283176815212</v>
      </c>
      <c r="V115" s="55">
        <f t="shared" ca="1" si="29"/>
        <v>89.959859005979283</v>
      </c>
      <c r="W115" s="55">
        <f t="shared" ca="1" si="34"/>
        <v>-49.334871995644995</v>
      </c>
      <c r="X115" s="55">
        <f t="shared" ca="1" si="35"/>
        <v>27.044867297423025</v>
      </c>
      <c r="Y115" s="55">
        <f t="shared" ca="1" si="36"/>
        <v>-6.7804213079565612</v>
      </c>
      <c r="Z115">
        <f t="shared" ca="1" si="30"/>
        <v>120</v>
      </c>
      <c r="AA115">
        <f t="shared" ca="1" si="37"/>
        <v>285.11515838678304</v>
      </c>
      <c r="AB115">
        <f t="shared" ca="1" si="31"/>
        <v>0</v>
      </c>
      <c r="AC115">
        <f t="shared" ca="1" si="32"/>
        <v>9.5859505693399443E-3</v>
      </c>
      <c r="AD115" s="83">
        <f ca="1"/>
        <v>45391</v>
      </c>
      <c r="AE115" s="55">
        <f t="shared" ca="1" si="41"/>
        <v>45391</v>
      </c>
      <c r="AF115" s="55">
        <f t="shared" ca="1" si="42"/>
        <v>-46.220723283064835</v>
      </c>
      <c r="AG115" s="55">
        <f t="shared" ca="1" si="43"/>
        <v>95.515623123081468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26.17502574151041</v>
      </c>
      <c r="AK115" s="55">
        <f t="shared" ca="1" si="40"/>
        <v>-9.6092188946112405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109.36881811142769</v>
      </c>
      <c r="U116" s="55">
        <f t="shared" ca="1" si="28"/>
        <v>5.9197180655436963</v>
      </c>
      <c r="V116" s="55">
        <f t="shared" ca="1" si="29"/>
        <v>0</v>
      </c>
      <c r="W116" s="55">
        <f t="shared" ca="1" si="34"/>
        <v>-50.25658157270432</v>
      </c>
      <c r="X116" s="55">
        <f t="shared" ca="1" si="35"/>
        <v>27.299549904116152</v>
      </c>
      <c r="Y116" s="55">
        <f t="shared" ca="1" si="36"/>
        <v>-6.7698339374523693</v>
      </c>
      <c r="Z116">
        <f t="shared" ca="1" si="30"/>
        <v>120</v>
      </c>
      <c r="AA116">
        <f t="shared" ca="1" si="37"/>
        <v>286.89605139880672</v>
      </c>
      <c r="AB116">
        <f t="shared" ca="1" si="31"/>
        <v>0</v>
      </c>
      <c r="AC116">
        <f t="shared" ca="1" si="32"/>
        <v>1.1491283726920959E-2</v>
      </c>
      <c r="AD116" s="83">
        <f ca="1"/>
        <v>45392</v>
      </c>
      <c r="AE116" s="55">
        <f t="shared" ca="1" si="41"/>
        <v>45392</v>
      </c>
      <c r="AF116" s="55">
        <f t="shared" ca="1" si="42"/>
        <v>-47.670480011334867</v>
      </c>
      <c r="AG116" s="55">
        <f t="shared" ca="1" si="43"/>
        <v>97.227535694533969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26.384315842857543</v>
      </c>
      <c r="AK116" s="55">
        <f t="shared" ca="1" si="40"/>
        <v>-9.5563531527758983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109.02529071950248</v>
      </c>
      <c r="U117" s="55">
        <f t="shared" ca="1" si="28"/>
        <v>6.2095246692085793</v>
      </c>
      <c r="V117" s="55">
        <f t="shared" ca="1" si="29"/>
        <v>0</v>
      </c>
      <c r="W117" s="55">
        <f t="shared" ca="1" si="34"/>
        <v>-50.575689872767526</v>
      </c>
      <c r="X117" s="55">
        <f t="shared" ca="1" si="35"/>
        <v>27.554162414498983</v>
      </c>
      <c r="Y117" s="55">
        <f t="shared" ca="1" si="36"/>
        <v>-6.7590589360323152</v>
      </c>
      <c r="Z117">
        <f t="shared" ca="1" si="30"/>
        <v>120</v>
      </c>
      <c r="AA117">
        <f t="shared" ca="1" si="37"/>
        <v>287.51456335000836</v>
      </c>
      <c r="AB117">
        <f t="shared" ca="1" si="31"/>
        <v>0</v>
      </c>
      <c r="AC117">
        <f t="shared" ca="1" si="32"/>
        <v>1.3768815069370926E-2</v>
      </c>
      <c r="AD117" s="83">
        <f ca="1"/>
        <v>45393</v>
      </c>
      <c r="AE117" s="55">
        <f t="shared" ca="1" si="41"/>
        <v>45393</v>
      </c>
      <c r="AF117" s="55">
        <f t="shared" ca="1" si="42"/>
        <v>-49.115700728451785</v>
      </c>
      <c r="AG117" s="55">
        <f t="shared" ca="1" si="43"/>
        <v>98.943541399045458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26.60258271374741</v>
      </c>
      <c r="AK117" s="55">
        <f t="shared" ca="1" si="40"/>
        <v>-9.5038350362711999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107.48915472352979</v>
      </c>
      <c r="U118" s="55">
        <f t="shared" ca="1" si="28"/>
        <v>6.5200584690803769</v>
      </c>
      <c r="V118" s="55">
        <f t="shared" ca="1" si="29"/>
        <v>0</v>
      </c>
      <c r="W118" s="55">
        <f t="shared" ca="1" si="34"/>
        <v>-52.070056569611317</v>
      </c>
      <c r="X118" s="55">
        <f t="shared" ca="1" si="35"/>
        <v>27.811876358473377</v>
      </c>
      <c r="Y118" s="55">
        <f t="shared" ca="1" si="36"/>
        <v>-6.7480083792638048</v>
      </c>
      <c r="Z118">
        <f t="shared" ca="1" si="30"/>
        <v>120</v>
      </c>
      <c r="AA118">
        <f t="shared" ca="1" si="37"/>
        <v>290.452414455932</v>
      </c>
      <c r="AB118">
        <f t="shared" ca="1" si="31"/>
        <v>0</v>
      </c>
      <c r="AC118">
        <f t="shared" ca="1" si="32"/>
        <v>1.6555958689654579E-2</v>
      </c>
      <c r="AD118" s="83">
        <f ca="1"/>
        <v>45394</v>
      </c>
      <c r="AE118" s="55">
        <f t="shared" ca="1" si="41"/>
        <v>45394</v>
      </c>
      <c r="AF118" s="55">
        <f t="shared" ca="1" si="42"/>
        <v>-50.591592747759442</v>
      </c>
      <c r="AG118" s="55">
        <f t="shared" ca="1" si="43"/>
        <v>100.69461325376264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26.825001878496796</v>
      </c>
      <c r="AK118" s="55">
        <f t="shared" ca="1" si="40"/>
        <v>-9.4510743656110652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106.05976634968609</v>
      </c>
      <c r="U119" s="55">
        <f t="shared" ca="1" si="28"/>
        <v>6.8333268385510761</v>
      </c>
      <c r="V119" s="55">
        <f t="shared" ca="1" si="29"/>
        <v>0</v>
      </c>
      <c r="W119" s="55">
        <f t="shared" ca="1" si="34"/>
        <v>-53.449610197068537</v>
      </c>
      <c r="X119" s="55">
        <f t="shared" ca="1" si="35"/>
        <v>28.064259194069241</v>
      </c>
      <c r="Y119" s="55">
        <f t="shared" ca="1" si="36"/>
        <v>-6.7369575917754592</v>
      </c>
      <c r="Z119">
        <f t="shared" ca="1" si="30"/>
        <v>120</v>
      </c>
      <c r="AA119">
        <f t="shared" ca="1" si="37"/>
        <v>293.20110070733494</v>
      </c>
      <c r="AB119">
        <f t="shared" ca="1" si="31"/>
        <v>0</v>
      </c>
      <c r="AC119">
        <f t="shared" ca="1" si="32"/>
        <v>1.9760374663656492E-2</v>
      </c>
      <c r="AD119" s="83">
        <f ca="1"/>
        <v>45395</v>
      </c>
      <c r="AE119" s="55">
        <f t="shared" ca="1" si="41"/>
        <v>45395</v>
      </c>
      <c r="AF119" s="55">
        <f t="shared" ca="1" si="42"/>
        <v>-52.011707880452022</v>
      </c>
      <c r="AG119" s="55">
        <f t="shared" ca="1" si="43"/>
        <v>102.38825270883014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27.047529382908099</v>
      </c>
      <c r="AK119" s="55">
        <f t="shared" ca="1" si="40"/>
        <v>-9.4000775476474505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104.04561089105631</v>
      </c>
      <c r="U120" s="55">
        <f t="shared" ca="1" si="28"/>
        <v>7.1765386999961462</v>
      </c>
      <c r="V120" s="55">
        <f t="shared" ca="1" si="29"/>
        <v>0</v>
      </c>
      <c r="W120" s="55">
        <f t="shared" ca="1" si="34"/>
        <v>-55.390618668289093</v>
      </c>
      <c r="X120" s="55">
        <f t="shared" ca="1" si="35"/>
        <v>28.32291640787982</v>
      </c>
      <c r="Y120" s="55">
        <f t="shared" ca="1" si="36"/>
        <v>-6.7255499315501819</v>
      </c>
      <c r="Z120">
        <f t="shared" ca="1" si="30"/>
        <v>120</v>
      </c>
      <c r="AA120">
        <f t="shared" ca="1" si="37"/>
        <v>297.14332123504926</v>
      </c>
      <c r="AB120">
        <f t="shared" ca="1" si="31"/>
        <v>0</v>
      </c>
      <c r="AC120">
        <f t="shared" ca="1" si="32"/>
        <v>2.3759554934904094E-2</v>
      </c>
      <c r="AD120" s="83">
        <f ca="1"/>
        <v>45396</v>
      </c>
      <c r="AE120" s="55">
        <f t="shared" ca="1" si="41"/>
        <v>45396</v>
      </c>
      <c r="AF120" s="55">
        <f t="shared" ca="1" si="42"/>
        <v>-53.39521647555091</v>
      </c>
      <c r="AG120" s="55">
        <f t="shared" ca="1" si="43"/>
        <v>104.04339339650814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27.269456446637054</v>
      </c>
      <c r="AK120" s="55">
        <f t="shared" ca="1" si="40"/>
        <v>-9.3503725187972986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102.91603113724223</v>
      </c>
      <c r="U121" s="55">
        <f t="shared" ca="1" si="28"/>
        <v>7.5191470678225771</v>
      </c>
      <c r="V121" s="55">
        <f t="shared" ca="1" si="29"/>
        <v>0</v>
      </c>
      <c r="W121" s="55">
        <f t="shared" ca="1" si="34"/>
        <v>-56.440782492296123</v>
      </c>
      <c r="X121" s="55">
        <f t="shared" ca="1" si="35"/>
        <v>28.574774041098163</v>
      </c>
      <c r="Y121" s="55">
        <f t="shared" ca="1" si="36"/>
        <v>-6.7142151267491474</v>
      </c>
      <c r="Z121">
        <f t="shared" ca="1" si="30"/>
        <v>120</v>
      </c>
      <c r="AA121">
        <f t="shared" ca="1" si="37"/>
        <v>299.299631610868</v>
      </c>
      <c r="AB121">
        <f t="shared" ca="1" si="31"/>
        <v>0</v>
      </c>
      <c r="AC121">
        <f t="shared" ca="1" si="32"/>
        <v>2.8299047879422962E-2</v>
      </c>
      <c r="AD121" s="83">
        <f ca="1"/>
        <v>45397</v>
      </c>
      <c r="AE121" s="55">
        <f t="shared" ca="1" si="41"/>
        <v>45397</v>
      </c>
      <c r="AF121" s="55">
        <f t="shared" ca="1" si="42"/>
        <v>-54.83070666391319</v>
      </c>
      <c r="AG121" s="55">
        <f t="shared" ca="1" si="43"/>
        <v>105.76903257096673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27.508839275443091</v>
      </c>
      <c r="AK121" s="55">
        <f t="shared" ca="1" si="40"/>
        <v>-9.2996063615070224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101.52696302492703</v>
      </c>
      <c r="U122" s="55">
        <f t="shared" ca="1" si="28"/>
        <v>7.8927776018294304</v>
      </c>
      <c r="V122" s="55">
        <f t="shared" ca="1" si="29"/>
        <v>0</v>
      </c>
      <c r="W122" s="55">
        <f t="shared" ca="1" si="34"/>
        <v>-57.725384688062412</v>
      </c>
      <c r="X122" s="55">
        <f t="shared" ca="1" si="35"/>
        <v>28.832283214210527</v>
      </c>
      <c r="Y122" s="55">
        <f t="shared" ca="1" si="36"/>
        <v>-6.7025596824035771</v>
      </c>
      <c r="Z122">
        <f t="shared" ca="1" si="30"/>
        <v>120</v>
      </c>
      <c r="AA122">
        <f t="shared" ca="1" si="37"/>
        <v>301.97340448743114</v>
      </c>
      <c r="AB122">
        <f t="shared" ca="1" si="31"/>
        <v>0</v>
      </c>
      <c r="AC122">
        <f t="shared" ca="1" si="32"/>
        <v>3.3917562350796591E-2</v>
      </c>
      <c r="AD122" s="83">
        <f ca="1"/>
        <v>45398</v>
      </c>
      <c r="AE122" s="55">
        <f t="shared" ca="1" si="41"/>
        <v>45398</v>
      </c>
      <c r="AF122" s="55">
        <f t="shared" ca="1" si="42"/>
        <v>-56.217132100010971</v>
      </c>
      <c r="AG122" s="55">
        <f t="shared" ca="1" si="43"/>
        <v>107.44273891427424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27.746898265095872</v>
      </c>
      <c r="AK122" s="55">
        <f t="shared" ca="1" si="40"/>
        <v>-9.2503844439500647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99.856276641284666</v>
      </c>
      <c r="U123" s="55">
        <f t="shared" ca="1" si="28"/>
        <v>8.2750975347879017</v>
      </c>
      <c r="V123" s="55">
        <f t="shared" ca="1" si="29"/>
        <v>0</v>
      </c>
      <c r="W123" s="55">
        <f t="shared" ca="1" si="34"/>
        <v>-59.279602004235862</v>
      </c>
      <c r="X123" s="55">
        <f t="shared" ca="1" si="35"/>
        <v>29.086461399683461</v>
      </c>
      <c r="Y123" s="55">
        <f t="shared" ca="1" si="36"/>
        <v>-6.6908870023869653</v>
      </c>
      <c r="Z123">
        <f t="shared" ca="1" si="30"/>
        <v>120</v>
      </c>
      <c r="AA123">
        <f t="shared" ca="1" si="37"/>
        <v>305.26247832782747</v>
      </c>
      <c r="AB123">
        <f t="shared" ca="1" si="31"/>
        <v>0</v>
      </c>
      <c r="AC123">
        <f t="shared" ca="1" si="32"/>
        <v>4.0435898057853893E-2</v>
      </c>
      <c r="AD123" s="83">
        <f ca="1"/>
        <v>45399</v>
      </c>
      <c r="AE123" s="55">
        <f t="shared" ca="1" si="41"/>
        <v>45399</v>
      </c>
      <c r="AF123" s="55">
        <f t="shared" ca="1" si="42"/>
        <v>-57.58949832780722</v>
      </c>
      <c r="AG123" s="55">
        <f t="shared" ca="1" si="43"/>
        <v>109.10605419612847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27.989246068851411</v>
      </c>
      <c r="AK123" s="55">
        <f t="shared" ca="1" si="40"/>
        <v>-9.2017831936476284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98.194035142122331</v>
      </c>
      <c r="U124" s="55">
        <f t="shared" ca="1" si="28"/>
        <v>8.6364780989594898</v>
      </c>
      <c r="V124" s="55">
        <f t="shared" ca="1" si="29"/>
        <v>0</v>
      </c>
      <c r="W124" s="55">
        <f t="shared" ca="1" si="34"/>
        <v>-60.832959365184834</v>
      </c>
      <c r="X124" s="55">
        <f t="shared" ca="1" si="35"/>
        <v>29.327606396356838</v>
      </c>
      <c r="Y124" s="55">
        <f t="shared" ca="1" si="36"/>
        <v>-6.6795355731021218</v>
      </c>
      <c r="Z124">
        <f t="shared" ca="1" si="30"/>
        <v>120</v>
      </c>
      <c r="AA124">
        <f t="shared" ca="1" si="37"/>
        <v>308.60537937563799</v>
      </c>
      <c r="AB124">
        <f t="shared" ca="1" si="31"/>
        <v>0</v>
      </c>
      <c r="AC124">
        <f t="shared" ca="1" si="32"/>
        <v>4.7354688184432982E-2</v>
      </c>
      <c r="AD124" s="83">
        <f ca="1"/>
        <v>45400</v>
      </c>
      <c r="AE124" s="55">
        <f t="shared" ca="1" si="41"/>
        <v>45400</v>
      </c>
      <c r="AF124" s="55">
        <f t="shared" ca="1" si="42"/>
        <v>-58.917590513607031</v>
      </c>
      <c r="AG124" s="55">
        <f t="shared" ca="1" si="43"/>
        <v>110.71996229315178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28.22786760122294</v>
      </c>
      <c r="AK124" s="55">
        <f t="shared" ca="1" si="40"/>
        <v>-9.1545888147956607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96.869037770297965</v>
      </c>
      <c r="U125" s="55">
        <f t="shared" ca="1" si="28"/>
        <v>9.0154816548286121</v>
      </c>
      <c r="V125" s="55">
        <f t="shared" ca="1" si="29"/>
        <v>0</v>
      </c>
      <c r="W125" s="55">
        <f t="shared" ca="1" si="34"/>
        <v>-62.032322318543088</v>
      </c>
      <c r="X125" s="55">
        <f t="shared" ca="1" si="35"/>
        <v>29.569498363609494</v>
      </c>
      <c r="Y125" s="55">
        <f t="shared" ca="1" si="36"/>
        <v>-6.6680584029517824</v>
      </c>
      <c r="Z125">
        <f t="shared" ca="1" si="30"/>
        <v>120</v>
      </c>
      <c r="AA125">
        <f t="shared" ca="1" si="37"/>
        <v>311.22177185960822</v>
      </c>
      <c r="AB125">
        <f t="shared" ca="1" si="31"/>
        <v>0</v>
      </c>
      <c r="AC125">
        <f t="shared" ca="1" si="32"/>
        <v>5.5441927446176251E-2</v>
      </c>
      <c r="AD125" s="83">
        <f ca="1"/>
        <v>45401</v>
      </c>
      <c r="AE125" s="55">
        <f t="shared" ca="1" si="41"/>
        <v>45401</v>
      </c>
      <c r="AF125" s="55">
        <f t="shared" ca="1" si="42"/>
        <v>-60.264666493947715</v>
      </c>
      <c r="AG125" s="55">
        <f t="shared" ca="1" si="43"/>
        <v>112.35368565057436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28.467261410878582</v>
      </c>
      <c r="AK125" s="55">
        <f t="shared" ca="1" si="40"/>
        <v>-9.107335247369404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95.227684649800437</v>
      </c>
      <c r="U126" s="55">
        <f t="shared" ca="1" si="28"/>
        <v>9.4012550421820311</v>
      </c>
      <c r="V126" s="55">
        <f t="shared" ca="1" si="29"/>
        <v>0</v>
      </c>
      <c r="W126" s="55">
        <f t="shared" ca="1" si="34"/>
        <v>-63.538445340180949</v>
      </c>
      <c r="X126" s="55">
        <f t="shared" ca="1" si="35"/>
        <v>29.808567462957832</v>
      </c>
      <c r="Y126" s="55">
        <f t="shared" ca="1" si="36"/>
        <v>-6.6565842138063687</v>
      </c>
      <c r="Z126">
        <f t="shared" ca="1" si="30"/>
        <v>120</v>
      </c>
      <c r="AA126">
        <f t="shared" ca="1" si="37"/>
        <v>314.56398752538786</v>
      </c>
      <c r="AB126">
        <f t="shared" ca="1" si="31"/>
        <v>0</v>
      </c>
      <c r="AC126">
        <f t="shared" ca="1" si="32"/>
        <v>6.45843955046497E-2</v>
      </c>
      <c r="AD126" s="83">
        <f ca="1"/>
        <v>45402</v>
      </c>
      <c r="AE126" s="55">
        <f t="shared" ca="1" si="41"/>
        <v>45402</v>
      </c>
      <c r="AF126" s="55">
        <f t="shared" ca="1" si="42"/>
        <v>-61.567262146518324</v>
      </c>
      <c r="AG126" s="55">
        <f t="shared" ca="1" si="43"/>
        <v>113.94896365680705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28.713817135690935</v>
      </c>
      <c r="AK126" s="55">
        <f t="shared" ca="1" si="40"/>
        <v>-9.0612086185196787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94.161210471400736</v>
      </c>
      <c r="U127" s="55">
        <f t="shared" ca="1" si="28"/>
        <v>9.8029501758170916</v>
      </c>
      <c r="V127" s="55">
        <f t="shared" ca="1" si="29"/>
        <v>0</v>
      </c>
      <c r="W127" s="55">
        <f t="shared" ca="1" si="34"/>
        <v>-64.453852121407891</v>
      </c>
      <c r="X127" s="55">
        <f t="shared" ca="1" si="35"/>
        <v>30.04763656230617</v>
      </c>
      <c r="Y127" s="55">
        <f t="shared" ca="1" si="36"/>
        <v>-6.6450255766924204</v>
      </c>
      <c r="Z127">
        <f t="shared" ca="1" si="30"/>
        <v>120</v>
      </c>
      <c r="AA127">
        <f t="shared" ca="1" si="37"/>
        <v>316.61836072649919</v>
      </c>
      <c r="AB127">
        <f t="shared" ca="1" si="31"/>
        <v>0</v>
      </c>
      <c r="AC127">
        <f t="shared" ca="1" si="32"/>
        <v>7.5114581748751422E-2</v>
      </c>
      <c r="AD127" s="83">
        <f ca="1"/>
        <v>45403</v>
      </c>
      <c r="AE127" s="55">
        <f t="shared" ca="1" si="41"/>
        <v>45403</v>
      </c>
      <c r="AF127" s="55">
        <f t="shared" ca="1" si="42"/>
        <v>-62.751367885194298</v>
      </c>
      <c r="AG127" s="55">
        <f t="shared" ca="1" si="43"/>
        <v>115.41590151037919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28.953399795497074</v>
      </c>
      <c r="AK127" s="55">
        <f t="shared" ca="1" si="40"/>
        <v>-9.0179591634296568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93.222925891827245</v>
      </c>
      <c r="U128" s="55">
        <f t="shared" ca="1" si="28"/>
        <v>10.225790879412319</v>
      </c>
      <c r="V128" s="55">
        <f t="shared" ca="1" si="29"/>
        <v>0</v>
      </c>
      <c r="W128" s="55">
        <f t="shared" ca="1" si="34"/>
        <v>-65.22133698661743</v>
      </c>
      <c r="X128" s="55">
        <f t="shared" ca="1" si="35"/>
        <v>30.287996860277872</v>
      </c>
      <c r="Y128" s="55">
        <f t="shared" ca="1" si="36"/>
        <v>-6.6333448854328516</v>
      </c>
      <c r="Z128">
        <f t="shared" ca="1" si="30"/>
        <v>120</v>
      </c>
      <c r="AA128">
        <f t="shared" ca="1" si="37"/>
        <v>318.35810068735657</v>
      </c>
      <c r="AB128">
        <f t="shared" ca="1" si="31"/>
        <v>0</v>
      </c>
      <c r="AC128">
        <f t="shared" ca="1" si="32"/>
        <v>8.7341544273118285E-2</v>
      </c>
      <c r="AD128" s="83">
        <f ca="1"/>
        <v>45404</v>
      </c>
      <c r="AE128" s="55">
        <f t="shared" ca="1" si="41"/>
        <v>45404</v>
      </c>
      <c r="AF128" s="55">
        <f t="shared" ca="1" si="42"/>
        <v>-63.940797826949563</v>
      </c>
      <c r="AG128" s="55">
        <f t="shared" ca="1" si="43"/>
        <v>116.89130750620991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29.196251126795733</v>
      </c>
      <c r="AK128" s="55">
        <f t="shared" ca="1" si="40"/>
        <v>-8.9748344406528506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91.704289891884841</v>
      </c>
      <c r="U129" s="55">
        <f t="shared" ca="1" si="28"/>
        <v>10.690970356267275</v>
      </c>
      <c r="V129" s="55">
        <f t="shared" ca="1" si="29"/>
        <v>0</v>
      </c>
      <c r="W129" s="55">
        <f t="shared" ca="1" si="34"/>
        <v>-66.533861364120497</v>
      </c>
      <c r="X129" s="55">
        <f t="shared" ca="1" si="35"/>
        <v>30.535079012287895</v>
      </c>
      <c r="Y129" s="55">
        <f t="shared" ca="1" si="36"/>
        <v>-6.6213591830272565</v>
      </c>
      <c r="Z129">
        <f t="shared" ca="1" si="30"/>
        <v>120</v>
      </c>
      <c r="AA129">
        <f t="shared" ca="1" si="37"/>
        <v>321.38261033884612</v>
      </c>
      <c r="AB129">
        <f t="shared" ca="1" si="31"/>
        <v>0</v>
      </c>
      <c r="AC129">
        <f t="shared" ca="1" si="32"/>
        <v>0.10216784954172617</v>
      </c>
      <c r="AD129" s="83">
        <f ca="1"/>
        <v>45405</v>
      </c>
      <c r="AE129" s="55">
        <f t="shared" ca="1" si="41"/>
        <v>45405</v>
      </c>
      <c r="AF129" s="55">
        <f t="shared" ca="1" si="42"/>
        <v>-65.078736887978351</v>
      </c>
      <c r="AG129" s="55">
        <f t="shared" ca="1" si="43"/>
        <v>118.32301594739806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29.448020248060839</v>
      </c>
      <c r="AK129" s="55">
        <f t="shared" ca="1" si="40"/>
        <v>-8.9328341817586026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90.518778536797299</v>
      </c>
      <c r="U130" s="55">
        <f t="shared" ca="1" si="28"/>
        <v>11.202243130760239</v>
      </c>
      <c r="V130" s="55">
        <f t="shared" ca="1" si="29"/>
        <v>0</v>
      </c>
      <c r="W130" s="55">
        <f t="shared" ca="1" si="34"/>
        <v>-67.474272491714189</v>
      </c>
      <c r="X130" s="55">
        <f t="shared" ca="1" si="35"/>
        <v>30.788960445450599</v>
      </c>
      <c r="Y130" s="55">
        <f t="shared" ca="1" si="36"/>
        <v>-6.6090680691908492</v>
      </c>
      <c r="Z130">
        <f t="shared" ca="1" si="30"/>
        <v>120</v>
      </c>
      <c r="AA130">
        <f t="shared" ca="1" si="37"/>
        <v>323.57802380182721</v>
      </c>
      <c r="AB130">
        <f t="shared" ca="1" si="31"/>
        <v>0</v>
      </c>
      <c r="AC130">
        <f t="shared" ca="1" si="32"/>
        <v>0.12012994635134795</v>
      </c>
      <c r="AD130" s="83">
        <f ca="1"/>
        <v>45406</v>
      </c>
      <c r="AE130" s="55">
        <f t="shared" ca="1" si="41"/>
        <v>45406</v>
      </c>
      <c r="AF130" s="55">
        <f t="shared" ca="1" si="42"/>
        <v>-66.206615824054992</v>
      </c>
      <c r="AG130" s="55">
        <f t="shared" ca="1" si="43"/>
        <v>119.78050675544121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29.735388057212756</v>
      </c>
      <c r="AK130" s="55">
        <f t="shared" ca="1" si="40"/>
        <v>-8.8905901189440133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89.378127626679472</v>
      </c>
      <c r="U131" s="55">
        <f t="shared" ca="1" si="28"/>
        <v>11.748749714057444</v>
      </c>
      <c r="V131" s="55">
        <f t="shared" ca="1" si="29"/>
        <v>0</v>
      </c>
      <c r="W131" s="55">
        <f t="shared" ca="1" si="34"/>
        <v>-68.337772452203197</v>
      </c>
      <c r="X131" s="55">
        <f t="shared" ca="1" si="35"/>
        <v>31.04585592246913</v>
      </c>
      <c r="Y131" s="55">
        <f t="shared" ca="1" si="36"/>
        <v>-6.5966079125409944</v>
      </c>
      <c r="Z131">
        <f t="shared" ca="1" si="30"/>
        <v>120</v>
      </c>
      <c r="AA131">
        <f t="shared" ca="1" si="37"/>
        <v>325.61961280752598</v>
      </c>
      <c r="AB131">
        <f t="shared" ca="1" si="31"/>
        <v>0</v>
      </c>
      <c r="AC131">
        <f t="shared" ca="1" si="32"/>
        <v>0.14123198674346502</v>
      </c>
      <c r="AD131" s="83">
        <f ca="1"/>
        <v>45407</v>
      </c>
      <c r="AE131" s="55">
        <f t="shared" ca="1" si="41"/>
        <v>45407</v>
      </c>
      <c r="AF131" s="55">
        <f t="shared" ca="1" si="42"/>
        <v>-67.336986558147998</v>
      </c>
      <c r="AG131" s="55">
        <f t="shared" ca="1" si="43"/>
        <v>121.25361131885802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30.035808425836994</v>
      </c>
      <c r="AK131" s="55">
        <f t="shared" ca="1" si="40"/>
        <v>-8.8482766582444494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88.537007460878584</v>
      </c>
      <c r="U132" s="55">
        <f t="shared" ca="1" si="28"/>
        <v>12.345846669627528</v>
      </c>
      <c r="V132" s="55">
        <f t="shared" ca="1" si="29"/>
        <v>0</v>
      </c>
      <c r="W132" s="55">
        <f t="shared" ca="1" si="34"/>
        <v>-68.857605972451765</v>
      </c>
      <c r="X132" s="55">
        <f t="shared" ca="1" si="35"/>
        <v>31.308930017823549</v>
      </c>
      <c r="Y132" s="55">
        <f t="shared" ca="1" si="36"/>
        <v>-6.583871697877651</v>
      </c>
      <c r="Z132">
        <f t="shared" ca="1" si="30"/>
        <v>120</v>
      </c>
      <c r="AA132">
        <f t="shared" ca="1" si="37"/>
        <v>326.86034111377842</v>
      </c>
      <c r="AB132">
        <f t="shared" ca="1" si="31"/>
        <v>0</v>
      </c>
      <c r="AC132">
        <f t="shared" ca="1" si="32"/>
        <v>0.16644916815000099</v>
      </c>
      <c r="AD132" s="83">
        <f ca="1"/>
        <v>45408</v>
      </c>
      <c r="AE132" s="55">
        <f t="shared" ca="1" si="41"/>
        <v>45408</v>
      </c>
      <c r="AF132" s="55">
        <f t="shared" ca="1" si="42"/>
        <v>-68.489897524181274</v>
      </c>
      <c r="AG132" s="55">
        <f t="shared" ca="1" si="43"/>
        <v>122.76521704100247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30.351630016911681</v>
      </c>
      <c r="AK132" s="55">
        <f t="shared" ca="1" si="40"/>
        <v>-8.8054034932079652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87.658842404407295</v>
      </c>
      <c r="U133" s="55">
        <f t="shared" ca="1" si="28"/>
        <v>12.973081266115244</v>
      </c>
      <c r="V133" s="55">
        <f t="shared" ca="1" si="29"/>
        <v>0</v>
      </c>
      <c r="W133" s="55">
        <f t="shared" ca="1" si="34"/>
        <v>-69.384699413951708</v>
      </c>
      <c r="X133" s="55">
        <f t="shared" ca="1" si="35"/>
        <v>31.572294712112235</v>
      </c>
      <c r="Y133" s="55">
        <f t="shared" ca="1" si="36"/>
        <v>-6.5710734106499658</v>
      </c>
      <c r="Z133">
        <f t="shared" ca="1" si="30"/>
        <v>120</v>
      </c>
      <c r="AA133">
        <f t="shared" ca="1" si="37"/>
        <v>328.13100044449203</v>
      </c>
      <c r="AB133">
        <f t="shared" ca="1" si="31"/>
        <v>0</v>
      </c>
      <c r="AC133">
        <f t="shared" ca="1" si="32"/>
        <v>0.19520428984999882</v>
      </c>
      <c r="AD133" s="83">
        <f ca="1"/>
        <v>45409</v>
      </c>
      <c r="AE133" s="55">
        <f t="shared" ca="1" si="41"/>
        <v>45409</v>
      </c>
      <c r="AF133" s="55">
        <f t="shared" ca="1" si="42"/>
        <v>-69.636892023280936</v>
      </c>
      <c r="AG133" s="55">
        <f t="shared" ca="1" si="43"/>
        <v>124.29087822568349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30.687324602212538</v>
      </c>
      <c r="AK133" s="55">
        <f t="shared" ca="1" si="40"/>
        <v>-8.7624313929274713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85.127171262990487</v>
      </c>
      <c r="U134" s="55">
        <f t="shared" ca="1" si="28"/>
        <v>13.652165662027294</v>
      </c>
      <c r="V134" s="55">
        <f t="shared" ca="1" si="29"/>
        <v>0</v>
      </c>
      <c r="W134" s="55">
        <f t="shared" ca="1" si="34"/>
        <v>-71.518556248767638</v>
      </c>
      <c r="X134" s="55">
        <f t="shared" ca="1" si="35"/>
        <v>31.840546504726849</v>
      </c>
      <c r="Y134" s="55">
        <f t="shared" ca="1" si="36"/>
        <v>-6.5580551139534151</v>
      </c>
      <c r="Z134">
        <f t="shared" ca="1" si="30"/>
        <v>120</v>
      </c>
      <c r="AA134">
        <f t="shared" ca="1" si="37"/>
        <v>333.42805352302463</v>
      </c>
      <c r="AB134">
        <f t="shared" ca="1" si="31"/>
        <v>0</v>
      </c>
      <c r="AC134">
        <f t="shared" ca="1" si="32"/>
        <v>0.22866749775820278</v>
      </c>
      <c r="AD134" s="83">
        <f ca="1"/>
        <v>45410</v>
      </c>
      <c r="AE134" s="55">
        <f t="shared" ca="1" si="41"/>
        <v>45410</v>
      </c>
      <c r="AF134" s="55">
        <f t="shared" ca="1" si="42"/>
        <v>-70.652171234161443</v>
      </c>
      <c r="AG134" s="55">
        <f t="shared" ca="1" si="43"/>
        <v>125.66640066344974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31.007800950261174</v>
      </c>
      <c r="AK134" s="55">
        <f t="shared" ca="1" si="40"/>
        <v>-8.7226645140903649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83.704477994511691</v>
      </c>
      <c r="U135" s="55">
        <f t="shared" ca="1" si="28"/>
        <v>14.348084002335913</v>
      </c>
      <c r="V135" s="55">
        <f t="shared" ca="1" si="29"/>
        <v>0</v>
      </c>
      <c r="W135" s="55">
        <f t="shared" ca="1" si="34"/>
        <v>-72.522870484743606</v>
      </c>
      <c r="X135" s="55">
        <f t="shared" ca="1" si="35"/>
        <v>32.105158912507903</v>
      </c>
      <c r="Y135" s="55">
        <f t="shared" ca="1" si="36"/>
        <v>-6.5451282139286704</v>
      </c>
      <c r="Z135">
        <f t="shared" ca="1" si="30"/>
        <v>120</v>
      </c>
      <c r="AA135">
        <f t="shared" ca="1" si="37"/>
        <v>335.96352176477666</v>
      </c>
      <c r="AB135">
        <f t="shared" ca="1" si="31"/>
        <v>0</v>
      </c>
      <c r="AC135">
        <f t="shared" ca="1" si="32"/>
        <v>0.26506818058763959</v>
      </c>
      <c r="AD135" s="83">
        <f ca="1"/>
        <v>45411</v>
      </c>
      <c r="AE135" s="55">
        <f t="shared" ca="1" si="41"/>
        <v>45411</v>
      </c>
      <c r="AF135" s="55">
        <f t="shared" ca="1" si="42"/>
        <v>-71.584420546612961</v>
      </c>
      <c r="AG135" s="55">
        <f t="shared" ca="1" si="43"/>
        <v>126.96709540929335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31.338103406290504</v>
      </c>
      <c r="AK135" s="55">
        <f t="shared" ca="1" si="40"/>
        <v>-8.684521536727603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82.907354333955894</v>
      </c>
      <c r="U136" s="55">
        <f t="shared" ca="1" si="28"/>
        <v>15.074467717624435</v>
      </c>
      <c r="V136" s="55">
        <f t="shared" ca="1" si="29"/>
        <v>0</v>
      </c>
      <c r="W136" s="55">
        <f t="shared" ca="1" si="34"/>
        <v>-72.870535165031612</v>
      </c>
      <c r="X136" s="55">
        <f t="shared" ca="1" si="35"/>
        <v>32.369146999376504</v>
      </c>
      <c r="Y136" s="55">
        <f t="shared" ca="1" si="36"/>
        <v>-6.5321915657765377</v>
      </c>
      <c r="Z136">
        <f t="shared" ca="1" si="30"/>
        <v>120</v>
      </c>
      <c r="AA136">
        <f t="shared" ca="1" si="37"/>
        <v>336.84966671003843</v>
      </c>
      <c r="AB136">
        <f t="shared" ca="1" si="31"/>
        <v>0</v>
      </c>
      <c r="AC136">
        <f t="shared" ca="1" si="32"/>
        <v>0.30480307330601708</v>
      </c>
      <c r="AD136" s="83">
        <f ca="1"/>
        <v>45412</v>
      </c>
      <c r="AE136" s="55">
        <f t="shared" ca="1" si="41"/>
        <v>45412</v>
      </c>
      <c r="AF136" s="55">
        <f t="shared" ca="1" si="42"/>
        <v>-72.495983334931921</v>
      </c>
      <c r="AG136" s="55">
        <f t="shared" ca="1" si="43"/>
        <v>128.25841227720997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31.680069054811327</v>
      </c>
      <c r="AK136" s="55">
        <f t="shared" ca="1" si="40"/>
        <v>-8.6467331056507764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82.345671135257547</v>
      </c>
      <c r="U137" s="55">
        <f t="shared" ca="1" si="28"/>
        <v>15.792101939967692</v>
      </c>
      <c r="V137" s="55">
        <f t="shared" ca="1" si="29"/>
        <v>0</v>
      </c>
      <c r="W137" s="55">
        <f t="shared" ca="1" si="34"/>
        <v>-72.982810697912626</v>
      </c>
      <c r="X137" s="55">
        <f t="shared" ca="1" si="35"/>
        <v>32.624713864827889</v>
      </c>
      <c r="Y137" s="55">
        <f t="shared" ca="1" si="36"/>
        <v>-6.5195318747019844</v>
      </c>
      <c r="Z137">
        <f t="shared" ca="1" si="30"/>
        <v>120</v>
      </c>
      <c r="AA137">
        <f t="shared" ca="1" si="37"/>
        <v>337.13779214621343</v>
      </c>
      <c r="AB137">
        <f t="shared" ca="1" si="31"/>
        <v>0</v>
      </c>
      <c r="AC137">
        <f t="shared" ca="1" si="32"/>
        <v>0.34521107397458745</v>
      </c>
      <c r="AD137" s="83">
        <f ca="1"/>
        <v>45413</v>
      </c>
      <c r="AE137" s="55">
        <f t="shared" ca="1" si="41"/>
        <v>45413</v>
      </c>
      <c r="AF137" s="55">
        <f t="shared" ca="1" si="42"/>
        <v>-73.366645430678034</v>
      </c>
      <c r="AG137" s="55">
        <f t="shared" ca="1" si="43"/>
        <v>129.51713115914362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32.031121904801701</v>
      </c>
      <c r="AK137" s="55">
        <f t="shared" ca="1" si="40"/>
        <v>-8.6097291694536064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81.779339330406302</v>
      </c>
      <c r="U138" s="55">
        <f t="shared" ca="1" si="28"/>
        <v>16.539292047332186</v>
      </c>
      <c r="V138" s="55">
        <f t="shared" ca="1" si="29"/>
        <v>0</v>
      </c>
      <c r="W138" s="55">
        <f t="shared" ca="1" si="34"/>
        <v>-73.069718246477763</v>
      </c>
      <c r="X138" s="55">
        <f t="shared" ca="1" si="35"/>
        <v>32.879817305546808</v>
      </c>
      <c r="Y138" s="55">
        <f t="shared" ca="1" si="36"/>
        <v>-6.5068694643425227</v>
      </c>
      <c r="Z138">
        <f t="shared" ca="1" si="30"/>
        <v>120</v>
      </c>
      <c r="AA138">
        <f t="shared" ca="1" si="37"/>
        <v>337.36236184205131</v>
      </c>
      <c r="AB138">
        <f t="shared" ca="1" si="31"/>
        <v>0</v>
      </c>
      <c r="AC138">
        <f t="shared" ca="1" si="32"/>
        <v>0.38784249202303667</v>
      </c>
      <c r="AD138" s="83">
        <f ca="1"/>
        <v>45414</v>
      </c>
      <c r="AE138" s="55">
        <f t="shared" ca="1" si="41"/>
        <v>45414</v>
      </c>
      <c r="AF138" s="55">
        <f t="shared" ca="1" si="42"/>
        <v>-74.207938320595488</v>
      </c>
      <c r="AG138" s="55">
        <f t="shared" ca="1" si="43"/>
        <v>130.74242687105621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32.378908914777845</v>
      </c>
      <c r="AK138" s="55">
        <f t="shared" ca="1" si="40"/>
        <v>-8.5735133574346172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80.806767677600291</v>
      </c>
      <c r="U139" s="55">
        <f t="shared" ca="1" si="28"/>
        <v>17.338685845559599</v>
      </c>
      <c r="V139" s="55">
        <f t="shared" ca="1" si="29"/>
        <v>0</v>
      </c>
      <c r="W139" s="55">
        <f t="shared" ca="1" si="34"/>
        <v>-73.514180414510506</v>
      </c>
      <c r="X139" s="55">
        <f t="shared" ca="1" si="35"/>
        <v>33.138303239920987</v>
      </c>
      <c r="Y139" s="55">
        <f t="shared" ca="1" si="36"/>
        <v>-6.4940710852625561</v>
      </c>
      <c r="Z139">
        <f t="shared" ca="1" si="30"/>
        <v>120</v>
      </c>
      <c r="AA139">
        <f t="shared" ca="1" si="37"/>
        <v>338.52467810388305</v>
      </c>
      <c r="AB139">
        <f t="shared" ca="1" si="31"/>
        <v>0</v>
      </c>
      <c r="AC139">
        <f t="shared" ca="1" si="32"/>
        <v>0.43334458478667531</v>
      </c>
      <c r="AD139" s="83">
        <f ca="1"/>
        <v>45415</v>
      </c>
      <c r="AE139" s="55">
        <f t="shared" ca="1" si="41"/>
        <v>45415</v>
      </c>
      <c r="AF139" s="55">
        <f t="shared" ca="1" si="42"/>
        <v>-75.003896561729121</v>
      </c>
      <c r="AG139" s="55">
        <f t="shared" ca="1" si="43"/>
        <v>131.91312245774841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32.718601651013564</v>
      </c>
      <c r="AK139" s="55">
        <f t="shared" ca="1" si="40"/>
        <v>-8.5384687481117645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79.209533489482155</v>
      </c>
      <c r="U140" s="55">
        <f t="shared" ca="1" si="28"/>
        <v>18.183103021184333</v>
      </c>
      <c r="V140" s="55">
        <f t="shared" ca="1" si="29"/>
        <v>0</v>
      </c>
      <c r="W140" s="55">
        <f t="shared" ca="1" si="34"/>
        <v>-74.539877563347858</v>
      </c>
      <c r="X140" s="55">
        <f t="shared" ca="1" si="35"/>
        <v>33.398320482747593</v>
      </c>
      <c r="Y140" s="55">
        <f t="shared" ca="1" si="36"/>
        <v>-6.4812081917452087</v>
      </c>
      <c r="Z140">
        <f t="shared" ca="1" si="30"/>
        <v>120</v>
      </c>
      <c r="AA140">
        <f t="shared" ca="1" si="37"/>
        <v>341.2610740698122</v>
      </c>
      <c r="AB140">
        <f t="shared" ca="1" si="31"/>
        <v>0</v>
      </c>
      <c r="AC140">
        <f t="shared" ca="1" si="32"/>
        <v>0.48049402271453501</v>
      </c>
      <c r="AD140" s="83">
        <f ca="1"/>
        <v>45416</v>
      </c>
      <c r="AE140" s="55">
        <f t="shared" ca="1" si="41"/>
        <v>45416</v>
      </c>
      <c r="AF140" s="55">
        <f t="shared" ca="1" si="42"/>
        <v>-75.790754157897169</v>
      </c>
      <c r="AG140" s="55">
        <f t="shared" ca="1" si="43"/>
        <v>133.07694076386716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33.060791449160384</v>
      </c>
      <c r="AK140" s="55">
        <f t="shared" ca="1" si="40"/>
        <v>-8.5036978363078841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78.255435825269473</v>
      </c>
      <c r="U141" s="55">
        <f t="shared" ca="1" si="28"/>
        <v>19.042983243387226</v>
      </c>
      <c r="V141" s="55">
        <f t="shared" ca="1" si="29"/>
        <v>0</v>
      </c>
      <c r="W141" s="55">
        <f t="shared" ca="1" si="34"/>
        <v>-74.903152603704754</v>
      </c>
      <c r="X141" s="55">
        <f t="shared" ca="1" si="35"/>
        <v>33.654644010830971</v>
      </c>
      <c r="Y141" s="55">
        <f t="shared" ca="1" si="36"/>
        <v>-6.4684741214814716</v>
      </c>
      <c r="Z141">
        <f t="shared" ca="1" si="30"/>
        <v>120</v>
      </c>
      <c r="AA141">
        <f t="shared" ca="1" si="37"/>
        <v>342.19637143019861</v>
      </c>
      <c r="AB141">
        <f t="shared" ca="1" si="31"/>
        <v>0</v>
      </c>
      <c r="AC141">
        <f t="shared" ca="1" si="32"/>
        <v>0.52679839563749875</v>
      </c>
      <c r="AD141" s="83">
        <f ca="1"/>
        <v>45417</v>
      </c>
      <c r="AE141" s="55">
        <f t="shared" ca="1" si="41"/>
        <v>45417</v>
      </c>
      <c r="AF141" s="55">
        <f t="shared" ca="1" si="42"/>
        <v>-76.575095462059053</v>
      </c>
      <c r="AG141" s="55">
        <f t="shared" ca="1" si="43"/>
        <v>134.24294983795306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33.407780004385458</v>
      </c>
      <c r="AK141" s="55">
        <f t="shared" ca="1" si="40"/>
        <v>-8.4690186216089316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77.329340372685223</v>
      </c>
      <c r="U142" s="55">
        <f t="shared" ca="1" si="28"/>
        <v>19.949773236596496</v>
      </c>
      <c r="V142" s="55">
        <f t="shared" ca="1" si="29"/>
        <v>0</v>
      </c>
      <c r="W142" s="55">
        <f t="shared" ca="1" si="34"/>
        <v>-75.193008523896552</v>
      </c>
      <c r="X142" s="55">
        <f t="shared" ca="1" si="35"/>
        <v>33.912408810392222</v>
      </c>
      <c r="Y142" s="55">
        <f t="shared" ca="1" si="36"/>
        <v>-6.4556884602259004</v>
      </c>
      <c r="Z142">
        <f t="shared" ca="1" si="30"/>
        <v>120</v>
      </c>
      <c r="AA142">
        <f t="shared" ca="1" si="37"/>
        <v>342.95157934516055</v>
      </c>
      <c r="AB142">
        <f t="shared" ca="1" si="31"/>
        <v>0</v>
      </c>
      <c r="AC142">
        <f t="shared" ca="1" si="32"/>
        <v>0.57310536639685572</v>
      </c>
      <c r="AD142" s="83">
        <f ca="1"/>
        <v>45418</v>
      </c>
      <c r="AE142" s="55">
        <f t="shared" ca="1" si="41"/>
        <v>45418</v>
      </c>
      <c r="AF142" s="55">
        <f t="shared" ca="1" si="42"/>
        <v>-77.311110674885526</v>
      </c>
      <c r="AG142" s="55">
        <f t="shared" ca="1" si="43"/>
        <v>135.35004155710863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33.745405602863826</v>
      </c>
      <c r="AK142" s="55">
        <f t="shared" ca="1" si="40"/>
        <v>-8.4355677137582141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76.533898614737922</v>
      </c>
      <c r="U143" s="55">
        <f t="shared" ca="1" si="28"/>
        <v>20.991542554634979</v>
      </c>
      <c r="V143" s="55">
        <f t="shared" ca="1" si="29"/>
        <v>0</v>
      </c>
      <c r="W143" s="55">
        <f t="shared" ca="1" si="34"/>
        <v>-75.232148637036616</v>
      </c>
      <c r="X143" s="55">
        <f t="shared" ca="1" si="35"/>
        <v>34.184575364251543</v>
      </c>
      <c r="Y143" s="55">
        <f t="shared" ca="1" si="36"/>
        <v>-6.4423873408539754</v>
      </c>
      <c r="Z143">
        <f t="shared" ca="1" si="30"/>
        <v>120</v>
      </c>
      <c r="AA143">
        <f t="shared" ca="1" si="37"/>
        <v>343.05461722253551</v>
      </c>
      <c r="AB143">
        <f t="shared" ca="1" si="31"/>
        <v>0</v>
      </c>
      <c r="AC143">
        <f t="shared" ca="1" si="32"/>
        <v>0.62249728409609539</v>
      </c>
      <c r="AD143" s="83">
        <f ca="1"/>
        <v>45419</v>
      </c>
      <c r="AE143" s="55">
        <f t="shared" ca="1" si="41"/>
        <v>45419</v>
      </c>
      <c r="AF143" s="55">
        <f t="shared" ca="1" si="42"/>
        <v>-78.00554994209017</v>
      </c>
      <c r="AG143" s="55">
        <f t="shared" ca="1" si="43"/>
        <v>136.40691562003622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34.075440601937558</v>
      </c>
      <c r="AK143" s="55">
        <f t="shared" ca="1" si="40"/>
        <v>-8.4031679171090055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75.083400074342819</v>
      </c>
      <c r="U144" s="55">
        <f t="shared" ca="1" si="28"/>
        <v>22.101744174483812</v>
      </c>
      <c r="V144" s="55">
        <f t="shared" ca="1" si="29"/>
        <v>0</v>
      </c>
      <c r="W144" s="55">
        <f t="shared" ca="1" si="34"/>
        <v>-75.860729631037003</v>
      </c>
      <c r="X144" s="55">
        <f t="shared" ca="1" si="35"/>
        <v>34.45946962779233</v>
      </c>
      <c r="Y144" s="55">
        <f t="shared" ca="1" si="36"/>
        <v>-6.4289975309406433</v>
      </c>
      <c r="Z144">
        <f t="shared" ca="1" si="30"/>
        <v>120</v>
      </c>
      <c r="AA144">
        <f t="shared" ca="1" si="37"/>
        <v>344.74134880938749</v>
      </c>
      <c r="AB144">
        <f t="shared" ca="1" si="31"/>
        <v>0</v>
      </c>
      <c r="AC144">
        <f t="shared" ca="1" si="32"/>
        <v>0.67022545796635158</v>
      </c>
      <c r="AD144" s="83">
        <f ca="1"/>
        <v>45420</v>
      </c>
      <c r="AE144" s="55">
        <f t="shared" ca="1" si="41"/>
        <v>45420</v>
      </c>
      <c r="AF144" s="55">
        <f t="shared" ca="1" si="42"/>
        <v>-78.645933697484452</v>
      </c>
      <c r="AG144" s="55">
        <f t="shared" ca="1" si="43"/>
        <v>137.39659407518121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34.393676889345024</v>
      </c>
      <c r="AK144" s="55">
        <f t="shared" ca="1" si="40"/>
        <v>-8.3721095047657705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72.853875673907012</v>
      </c>
      <c r="U145" s="55">
        <f t="shared" ca="1" si="28"/>
        <v>23.300037036317331</v>
      </c>
      <c r="V145" s="55">
        <f t="shared" ca="1" si="29"/>
        <v>0</v>
      </c>
      <c r="W145" s="55">
        <f t="shared" ca="1" si="34"/>
        <v>-77.185288624077373</v>
      </c>
      <c r="X145" s="55">
        <f t="shared" ca="1" si="35"/>
        <v>34.73924540955241</v>
      </c>
      <c r="Y145" s="55">
        <f t="shared" ca="1" si="36"/>
        <v>-6.4154458582626415</v>
      </c>
      <c r="Z145">
        <f t="shared" ca="1" si="30"/>
        <v>120</v>
      </c>
      <c r="AA145">
        <f t="shared" ca="1" si="37"/>
        <v>348.40443644471657</v>
      </c>
      <c r="AB145">
        <f t="shared" ca="1" si="31"/>
        <v>0</v>
      </c>
      <c r="AC145">
        <f t="shared" ca="1" si="32"/>
        <v>0.71591867434569589</v>
      </c>
      <c r="AD145" s="83">
        <f ca="1"/>
        <v>45421</v>
      </c>
      <c r="AE145" s="55">
        <f t="shared" ca="1" si="41"/>
        <v>45421</v>
      </c>
      <c r="AF145" s="55">
        <f t="shared" ca="1" si="42"/>
        <v>-79.282628984029259</v>
      </c>
      <c r="AG145" s="55">
        <f t="shared" ca="1" si="43"/>
        <v>138.3861266360193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34.71558898044777</v>
      </c>
      <c r="AK145" s="55">
        <f t="shared" ca="1" si="40"/>
        <v>-8.3411843215752324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71.2942759261812</v>
      </c>
      <c r="U146" s="55">
        <f t="shared" ref="U146:U209" ca="1" si="46">VLOOKUP(S146,ModelOutputs,7,FALSE)</f>
        <v>24.547351909019621</v>
      </c>
      <c r="V146" s="55">
        <f t="shared" ref="V146:V209" ca="1" si="47">VLOOKUP(S146,ModelOutputs,6,FALSE)</f>
        <v>0</v>
      </c>
      <c r="W146" s="55">
        <f t="shared" ca="1" si="34"/>
        <v>-77.789495792926544</v>
      </c>
      <c r="X146" s="55">
        <f t="shared" ca="1" si="35"/>
        <v>35.017684530508298</v>
      </c>
      <c r="Y146" s="55">
        <f t="shared" ca="1" si="36"/>
        <v>-6.4019626853928786</v>
      </c>
      <c r="Z146">
        <f t="shared" ref="Z146:Z209" ca="1" si="48">VLOOKUP(S146,ModelOutputs,10,FALSE)*AWC</f>
        <v>120</v>
      </c>
      <c r="AA146">
        <f t="shared" ca="1" si="37"/>
        <v>350.11193315122051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0.75726721901173766</v>
      </c>
      <c r="AD146" s="83">
        <f ca="1"/>
        <v>45422</v>
      </c>
      <c r="AE146" s="55">
        <f t="shared" ca="1" si="41"/>
        <v>45422</v>
      </c>
      <c r="AF146" s="55">
        <f t="shared" ca="1" si="42"/>
        <v>-79.928046712646378</v>
      </c>
      <c r="AG146" s="55">
        <f t="shared" ca="1" si="43"/>
        <v>139.39269656727345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35.045623979521501</v>
      </c>
      <c r="AK146" s="55">
        <f t="shared" ca="1" si="40"/>
        <v>-8.3100671180119363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70.141927901166028</v>
      </c>
      <c r="U147" s="55">
        <f t="shared" ca="1" si="46"/>
        <v>25.796213313173869</v>
      </c>
      <c r="V147" s="55">
        <f t="shared" ca="1" si="47"/>
        <v>0</v>
      </c>
      <c r="W147" s="55">
        <f t="shared" ref="W147:W210" ca="1" si="52">-VLOOKUP(S147,ModelOutputs,9,FALSE)+W146</f>
        <v>-77.977111033937959</v>
      </c>
      <c r="X147" s="55">
        <f t="shared" ref="X147:X210" ca="1" si="53">VLOOKUP(S147,ModelOutputs,5,FALSE)+X146</f>
        <v>35.288624805423169</v>
      </c>
      <c r="Y147" s="55">
        <f t="shared" ref="Y147:Y210" ca="1" si="54">VLOOKUP(S147,ModelOutputs,4,FALSE)+Y146</f>
        <v>-6.388774340157255</v>
      </c>
      <c r="Z147">
        <f t="shared" ca="1" si="48"/>
        <v>120</v>
      </c>
      <c r="AA147">
        <f t="shared" ref="AA147:AA210" ca="1" si="55">VLOOKUP(S147,ModelOutputs,11,FALSE)+AA146</f>
        <v>350.65084667289858</v>
      </c>
      <c r="AB147">
        <f t="shared" ca="1" si="49"/>
        <v>0</v>
      </c>
      <c r="AC147">
        <f t="shared" ca="1" si="50"/>
        <v>0.7927927295954672</v>
      </c>
      <c r="AD147" s="83">
        <f ca="1"/>
        <v>45423</v>
      </c>
      <c r="AE147" s="55">
        <f t="shared" ca="1" si="41"/>
        <v>45423</v>
      </c>
      <c r="AF147" s="55">
        <f t="shared" ca="1" si="42"/>
        <v>-80.583224310239629</v>
      </c>
      <c r="AG147" s="55">
        <f t="shared" ca="1" si="43"/>
        <v>140.41856736868112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35.384940298343352</v>
      </c>
      <c r="AK147" s="55">
        <f t="shared" ref="AK147:AK210" ca="1" si="58">VLOOKUP(AE147,ModelOutputs,4,FALSE)+AK146</f>
        <v>-8.2786902330193737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68.356011732522575</v>
      </c>
      <c r="U148" s="55">
        <f t="shared" ca="1" si="46"/>
        <v>27.195083805638756</v>
      </c>
      <c r="V148" s="55">
        <f t="shared" ca="1" si="47"/>
        <v>0</v>
      </c>
      <c r="W148" s="55">
        <f t="shared" ca="1" si="52"/>
        <v>-78.660100592040166</v>
      </c>
      <c r="X148" s="55">
        <f t="shared" ca="1" si="53"/>
        <v>35.570996163695519</v>
      </c>
      <c r="Y148" s="55">
        <f t="shared" ca="1" si="54"/>
        <v>-6.3752018165059479</v>
      </c>
      <c r="Z148">
        <f t="shared" ca="1" si="48"/>
        <v>120</v>
      </c>
      <c r="AA148">
        <f t="shared" ca="1" si="55"/>
        <v>352.66394974608454</v>
      </c>
      <c r="AB148">
        <f t="shared" ca="1" si="49"/>
        <v>0</v>
      </c>
      <c r="AC148">
        <f t="shared" ca="1" si="50"/>
        <v>0.82637305604073086</v>
      </c>
      <c r="AD148" s="83">
        <f ca="1"/>
        <v>45424</v>
      </c>
      <c r="AE148" s="55">
        <f t="shared" ca="1" si="41"/>
        <v>45424</v>
      </c>
      <c r="AF148" s="55">
        <f t="shared" ca="1" si="42"/>
        <v>-81.21370318454106</v>
      </c>
      <c r="AG148" s="55">
        <f t="shared" ca="1" si="43"/>
        <v>141.4168310178197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35.721956628569529</v>
      </c>
      <c r="AK148" s="55">
        <f t="shared" ca="1" si="58"/>
        <v>-8.2479217884083997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66.777337574539331</v>
      </c>
      <c r="U149" s="55">
        <f t="shared" ca="1" si="46"/>
        <v>28.580398575556757</v>
      </c>
      <c r="V149" s="55">
        <f t="shared" ca="1" si="47"/>
        <v>0</v>
      </c>
      <c r="W149" s="55">
        <f t="shared" ca="1" si="52"/>
        <v>-79.13951289607833</v>
      </c>
      <c r="X149" s="55">
        <f t="shared" ca="1" si="53"/>
        <v>35.843851831038265</v>
      </c>
      <c r="Y149" s="55">
        <f t="shared" ca="1" si="54"/>
        <v>-6.3620045678757666</v>
      </c>
      <c r="Z149">
        <f t="shared" ca="1" si="48"/>
        <v>120</v>
      </c>
      <c r="AA149">
        <f t="shared" ca="1" si="55"/>
        <v>354.11041744463114</v>
      </c>
      <c r="AB149">
        <f t="shared" ca="1" si="49"/>
        <v>0</v>
      </c>
      <c r="AC149">
        <f t="shared" ca="1" si="50"/>
        <v>0.85403820819706378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-81.800080796435367</v>
      </c>
      <c r="AG149" s="55">
        <f t="shared" ref="AG149:AG212" ca="1" si="61">VLOOKUP(AE149,ModelOutputs,7,FALSE)</f>
        <v>142.36040029911746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36.049491055773018</v>
      </c>
      <c r="AK149" s="55">
        <f t="shared" ca="1" si="58"/>
        <v>-8.2182645462084327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65.584298797721942</v>
      </c>
      <c r="U150" s="55">
        <f t="shared" ca="1" si="46"/>
        <v>30.063563845592991</v>
      </c>
      <c r="V150" s="55">
        <f t="shared" ca="1" si="47"/>
        <v>0</v>
      </c>
      <c r="W150" s="55">
        <f t="shared" ca="1" si="52"/>
        <v>-79.13951289607833</v>
      </c>
      <c r="X150" s="55">
        <f t="shared" ca="1" si="53"/>
        <v>36.12067451401893</v>
      </c>
      <c r="Y150" s="55">
        <f t="shared" ca="1" si="54"/>
        <v>-6.3487007576375785</v>
      </c>
      <c r="Z150">
        <f t="shared" ca="1" si="48"/>
        <v>118.1140437788859</v>
      </c>
      <c r="AA150">
        <f t="shared" ca="1" si="55"/>
        <v>354.11041744463114</v>
      </c>
      <c r="AB150">
        <f t="shared" ca="1" si="49"/>
        <v>0</v>
      </c>
      <c r="AC150">
        <f t="shared" ca="1" si="50"/>
        <v>0.87847586126917387</v>
      </c>
      <c r="AD150" s="83">
        <f ca="1"/>
        <v>45426</v>
      </c>
      <c r="AE150" s="55">
        <f t="shared" ca="1" si="59"/>
        <v>45426</v>
      </c>
      <c r="AF150" s="55">
        <f t="shared" ca="1" si="60"/>
        <v>-82.363419093062817</v>
      </c>
      <c r="AG150" s="55">
        <f t="shared" ca="1" si="61"/>
        <v>143.27802502274631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36.374692370580419</v>
      </c>
      <c r="AK150" s="55">
        <f t="shared" ca="1" si="58"/>
        <v>-8.1891794340144326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64.253934954729999</v>
      </c>
      <c r="U151" s="55">
        <f t="shared" ca="1" si="46"/>
        <v>31.648557895098971</v>
      </c>
      <c r="V151" s="55">
        <f t="shared" ca="1" si="47"/>
        <v>0</v>
      </c>
      <c r="W151" s="55">
        <f t="shared" ca="1" si="52"/>
        <v>-79.178802000736482</v>
      </c>
      <c r="X151" s="55">
        <f t="shared" ca="1" si="53"/>
        <v>36.401197596314617</v>
      </c>
      <c r="Y151" s="55">
        <f t="shared" ca="1" si="54"/>
        <v>-6.3353045287610783</v>
      </c>
      <c r="Z151">
        <f t="shared" ca="1" si="48"/>
        <v>120</v>
      </c>
      <c r="AA151">
        <f t="shared" ca="1" si="55"/>
        <v>354.2336147095225</v>
      </c>
      <c r="AB151">
        <f t="shared" ca="1" si="49"/>
        <v>0</v>
      </c>
      <c r="AC151">
        <f t="shared" ca="1" si="50"/>
        <v>0.89971826365514107</v>
      </c>
      <c r="AD151" s="83">
        <f ca="1"/>
        <v>45427</v>
      </c>
      <c r="AE151" s="55">
        <f t="shared" ca="1" si="59"/>
        <v>45427</v>
      </c>
      <c r="AF151" s="55">
        <f t="shared" ca="1" si="60"/>
        <v>-82.911269467963521</v>
      </c>
      <c r="AG151" s="55">
        <f t="shared" ca="1" si="61"/>
        <v>144.18010626103171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36.700214568434049</v>
      </c>
      <c r="AK151" s="55">
        <f t="shared" ca="1" si="58"/>
        <v>-8.1604707684833642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62.334431518475263</v>
      </c>
      <c r="U152" s="55">
        <f t="shared" ca="1" si="46"/>
        <v>33.405318544160409</v>
      </c>
      <c r="V152" s="55">
        <f t="shared" ca="1" si="47"/>
        <v>0</v>
      </c>
      <c r="W152" s="55">
        <f t="shared" ca="1" si="52"/>
        <v>-79.646146985505524</v>
      </c>
      <c r="X152" s="55">
        <f t="shared" ca="1" si="53"/>
        <v>36.692077774692535</v>
      </c>
      <c r="Y152" s="55">
        <f t="shared" ca="1" si="54"/>
        <v>-6.3215825095632603</v>
      </c>
      <c r="Z152">
        <f t="shared" ca="1" si="48"/>
        <v>120</v>
      </c>
      <c r="AA152">
        <f t="shared" ca="1" si="55"/>
        <v>355.7441756366328</v>
      </c>
      <c r="AB152">
        <f t="shared" ca="1" si="49"/>
        <v>0</v>
      </c>
      <c r="AC152">
        <f t="shared" ca="1" si="50"/>
        <v>0.91854476663991913</v>
      </c>
      <c r="AD152" s="83">
        <f ca="1"/>
        <v>45428</v>
      </c>
      <c r="AE152" s="55">
        <f t="shared" ca="1" si="59"/>
        <v>45428</v>
      </c>
      <c r="AF152" s="55">
        <f t="shared" ca="1" si="60"/>
        <v>-83.41297409339974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37.014441971188212</v>
      </c>
      <c r="AK152" s="55">
        <f t="shared" ca="1" si="58"/>
        <v>-8.1329292693501749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60.006450309118144</v>
      </c>
      <c r="U153" s="55">
        <f t="shared" ca="1" si="46"/>
        <v>35.180319005943964</v>
      </c>
      <c r="V153" s="55">
        <f t="shared" ca="1" si="47"/>
        <v>0</v>
      </c>
      <c r="W153" s="55">
        <f t="shared" ca="1" si="52"/>
        <v>-80.496862829110214</v>
      </c>
      <c r="X153" s="55">
        <f t="shared" ca="1" si="53"/>
        <v>36.976375608018095</v>
      </c>
      <c r="Y153" s="55">
        <f t="shared" ca="1" si="54"/>
        <v>-6.3081452468576957</v>
      </c>
      <c r="Z153">
        <f t="shared" ca="1" si="48"/>
        <v>120</v>
      </c>
      <c r="AA153">
        <f t="shared" ca="1" si="55"/>
        <v>358.60055079773031</v>
      </c>
      <c r="AB153">
        <f t="shared" ca="1" si="49"/>
        <v>0</v>
      </c>
      <c r="AC153">
        <f t="shared" ca="1" si="50"/>
        <v>0.93360247590987699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58.082560800193399</v>
      </c>
      <c r="U154" s="55">
        <f t="shared" ca="1" si="46"/>
        <v>37.081547557559091</v>
      </c>
      <c r="V154" s="55">
        <f t="shared" ca="1" si="47"/>
        <v>0</v>
      </c>
      <c r="W154" s="55">
        <f t="shared" ca="1" si="52"/>
        <v>-80.82173995158719</v>
      </c>
      <c r="X154" s="55">
        <f t="shared" ca="1" si="53"/>
        <v>37.265051228476366</v>
      </c>
      <c r="Y154" s="55">
        <f t="shared" ca="1" si="54"/>
        <v>-6.2946047021486118</v>
      </c>
      <c r="Z154">
        <f t="shared" ca="1" si="48"/>
        <v>120</v>
      </c>
      <c r="AA154">
        <f t="shared" ca="1" si="55"/>
        <v>359.72749402428713</v>
      </c>
      <c r="AB154">
        <f t="shared" ca="1" si="49"/>
        <v>0</v>
      </c>
      <c r="AC154">
        <f t="shared" ca="1" si="50"/>
        <v>0.94631126010578381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56.052663126070001</v>
      </c>
      <c r="U155" s="55">
        <f t="shared" ca="1" si="46"/>
        <v>39.15955914338015</v>
      </c>
      <c r="V155" s="55">
        <f t="shared" ca="1" si="47"/>
        <v>0</v>
      </c>
      <c r="W155" s="55">
        <f t="shared" ca="1" si="52"/>
        <v>-81.084424637537936</v>
      </c>
      <c r="X155" s="55">
        <f t="shared" ca="1" si="53"/>
        <v>37.562070277477673</v>
      </c>
      <c r="Y155" s="55">
        <f t="shared" ca="1" si="54"/>
        <v>-6.2808251535015076</v>
      </c>
      <c r="Z155">
        <f t="shared" ca="1" si="48"/>
        <v>120</v>
      </c>
      <c r="AA155">
        <f t="shared" ca="1" si="55"/>
        <v>360.67170091850272</v>
      </c>
      <c r="AB155">
        <f t="shared" ca="1" si="49"/>
        <v>0</v>
      </c>
      <c r="AC155">
        <f t="shared" ca="1" si="50"/>
        <v>0.95711303141641146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53.787000121246926</v>
      </c>
      <c r="U156" s="55">
        <f t="shared" ca="1" si="46"/>
        <v>41.391368436445354</v>
      </c>
      <c r="V156" s="55">
        <f t="shared" ca="1" si="47"/>
        <v>0</v>
      </c>
      <c r="W156" s="55">
        <f t="shared" ca="1" si="52"/>
        <v>-81.434280792986399</v>
      </c>
      <c r="X156" s="55">
        <f t="shared" ca="1" si="53"/>
        <v>37.86417555203878</v>
      </c>
      <c r="Y156" s="55">
        <f t="shared" ca="1" si="54"/>
        <v>-6.2669279843720247</v>
      </c>
      <c r="Z156">
        <f t="shared" ca="1" si="48"/>
        <v>120</v>
      </c>
      <c r="AA156">
        <f t="shared" ca="1" si="55"/>
        <v>361.98221248977683</v>
      </c>
      <c r="AB156">
        <f t="shared" ca="1" si="49"/>
        <v>0</v>
      </c>
      <c r="AC156">
        <f t="shared" ca="1" si="50"/>
        <v>0.96601808619604312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51.712662774370074</v>
      </c>
      <c r="U157" s="55">
        <f t="shared" ca="1" si="46"/>
        <v>43.698018614853758</v>
      </c>
      <c r="V157" s="55">
        <f t="shared" ca="1" si="47"/>
        <v>0</v>
      </c>
      <c r="W157" s="55">
        <f t="shared" ca="1" si="52"/>
        <v>-81.515256996078165</v>
      </c>
      <c r="X157" s="55">
        <f t="shared" ca="1" si="53"/>
        <v>38.163724478469604</v>
      </c>
      <c r="Y157" s="55">
        <f t="shared" ca="1" si="54"/>
        <v>-6.2531878761795312</v>
      </c>
      <c r="Z157">
        <f t="shared" ca="1" si="48"/>
        <v>120</v>
      </c>
      <c r="AA157">
        <f t="shared" ca="1" si="55"/>
        <v>362.29770508584363</v>
      </c>
      <c r="AB157">
        <f t="shared" ca="1" si="49"/>
        <v>0</v>
      </c>
      <c r="AC157">
        <f t="shared" ca="1" si="50"/>
        <v>0.9730470407167352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49.653249869134932</v>
      </c>
      <c r="U158" s="55">
        <f t="shared" ca="1" si="46"/>
        <v>46.036208089156922</v>
      </c>
      <c r="V158" s="55">
        <f t="shared" ca="1" si="47"/>
        <v>0</v>
      </c>
      <c r="W158" s="55">
        <f t="shared" ca="1" si="52"/>
        <v>-81.543562386925345</v>
      </c>
      <c r="X158" s="55">
        <f t="shared" ca="1" si="53"/>
        <v>38.457342794328326</v>
      </c>
      <c r="Y158" s="55">
        <f t="shared" ca="1" si="54"/>
        <v>-6.2397242321230513</v>
      </c>
      <c r="Z158">
        <f t="shared" ca="1" si="48"/>
        <v>120</v>
      </c>
      <c r="AA158">
        <f t="shared" ca="1" si="55"/>
        <v>362.41256014786586</v>
      </c>
      <c r="AB158">
        <f t="shared" ca="1" si="49"/>
        <v>0</v>
      </c>
      <c r="AC158">
        <f t="shared" ca="1" si="50"/>
        <v>0.97850628772368065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47.249221581459686</v>
      </c>
      <c r="U159" s="55">
        <f t="shared" ca="1" si="46"/>
        <v>48.442360379538989</v>
      </c>
      <c r="V159" s="55">
        <f t="shared" ca="1" si="47"/>
        <v>0</v>
      </c>
      <c r="W159" s="55">
        <f t="shared" ca="1" si="52"/>
        <v>-81.845875606723794</v>
      </c>
      <c r="X159" s="55">
        <f t="shared" ca="1" si="53"/>
        <v>38.748472531174762</v>
      </c>
      <c r="Y159" s="55">
        <f t="shared" ca="1" si="54"/>
        <v>-6.2264167464642064</v>
      </c>
      <c r="Z159">
        <f t="shared" ca="1" si="48"/>
        <v>120</v>
      </c>
      <c r="AA159">
        <f t="shared" ca="1" si="55"/>
        <v>363.70167361144991</v>
      </c>
      <c r="AB159">
        <f t="shared" ca="1" si="49"/>
        <v>0</v>
      </c>
      <c r="AC159">
        <f t="shared" ca="1" si="50"/>
        <v>0.98282888226142651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45.065981644798676</v>
      </c>
      <c r="U160" s="55">
        <f t="shared" ca="1" si="46"/>
        <v>50.925659130473676</v>
      </c>
      <c r="V160" s="55">
        <f t="shared" ca="1" si="47"/>
        <v>0</v>
      </c>
      <c r="W160" s="55">
        <f t="shared" ca="1" si="52"/>
        <v>-81.848503333680057</v>
      </c>
      <c r="X160" s="55">
        <f t="shared" ca="1" si="53"/>
        <v>39.037978966566762</v>
      </c>
      <c r="Y160" s="55">
        <f t="shared" ca="1" si="54"/>
        <v>-6.213236640626274</v>
      </c>
      <c r="Z160">
        <f t="shared" ca="1" si="48"/>
        <v>120</v>
      </c>
      <c r="AA160">
        <f t="shared" ca="1" si="55"/>
        <v>363.71342150666618</v>
      </c>
      <c r="AB160">
        <f t="shared" ca="1" si="49"/>
        <v>0</v>
      </c>
      <c r="AC160">
        <f t="shared" ca="1" si="50"/>
        <v>0.98626784919741406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42.785850978362838</v>
      </c>
      <c r="U161" s="55">
        <f t="shared" ca="1" si="46"/>
        <v>53.472878663598067</v>
      </c>
      <c r="V161" s="55">
        <f t="shared" ca="1" si="47"/>
        <v>0</v>
      </c>
      <c r="W161" s="55">
        <f t="shared" ca="1" si="52"/>
        <v>-81.881476613431317</v>
      </c>
      <c r="X161" s="55">
        <f t="shared" ca="1" si="53"/>
        <v>39.32501862881427</v>
      </c>
      <c r="Y161" s="55">
        <f t="shared" ca="1" si="54"/>
        <v>-6.2002141564339768</v>
      </c>
      <c r="Z161">
        <f t="shared" ca="1" si="48"/>
        <v>120</v>
      </c>
      <c r="AA161">
        <f t="shared" ca="1" si="55"/>
        <v>363.86869260908924</v>
      </c>
      <c r="AB161">
        <f t="shared" ca="1" si="49"/>
        <v>0</v>
      </c>
      <c r="AC161">
        <f t="shared" ca="1" si="50"/>
        <v>0.98899328509408413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40.040381348301686</v>
      </c>
      <c r="U162" s="55">
        <f t="shared" ca="1" si="46"/>
        <v>56.174010278319237</v>
      </c>
      <c r="V162" s="55">
        <f t="shared" ca="1" si="47"/>
        <v>0</v>
      </c>
      <c r="W162" s="55">
        <f t="shared" ca="1" si="52"/>
        <v>-82.229854821737462</v>
      </c>
      <c r="X162" s="55">
        <f t="shared" ca="1" si="53"/>
        <v>39.615977225489601</v>
      </c>
      <c r="Y162" s="55">
        <f t="shared" ca="1" si="54"/>
        <v>-6.1871325601431444</v>
      </c>
      <c r="Z162">
        <f t="shared" ca="1" si="48"/>
        <v>120</v>
      </c>
      <c r="AA162">
        <f t="shared" ca="1" si="55"/>
        <v>365.62169068596256</v>
      </c>
      <c r="AB162">
        <f t="shared" ca="1" si="49"/>
        <v>0</v>
      </c>
      <c r="AC162">
        <f t="shared" ca="1" si="50"/>
        <v>0.99122396178885241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37.321220160071235</v>
      </c>
      <c r="U163" s="55">
        <f t="shared" ca="1" si="46"/>
        <v>59.026395501176552</v>
      </c>
      <c r="V163" s="55">
        <f t="shared" ca="1" si="47"/>
        <v>0</v>
      </c>
      <c r="W163" s="55">
        <f t="shared" ca="1" si="52"/>
        <v>-82.404010533000161</v>
      </c>
      <c r="X163" s="55">
        <f t="shared" ca="1" si="53"/>
        <v>39.910241286128169</v>
      </c>
      <c r="Y163" s="55">
        <f t="shared" ca="1" si="54"/>
        <v>-6.1740168748921471</v>
      </c>
      <c r="Z163">
        <f t="shared" ca="1" si="48"/>
        <v>120</v>
      </c>
      <c r="AA163">
        <f t="shared" ca="1" si="55"/>
        <v>366.56186969541534</v>
      </c>
      <c r="AB163">
        <f t="shared" ca="1" si="49"/>
        <v>0</v>
      </c>
      <c r="AC163">
        <f t="shared" ca="1" si="50"/>
        <v>0.99303325209568261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34.15565208839601</v>
      </c>
      <c r="U164" s="55">
        <f t="shared" ca="1" si="46"/>
        <v>62.167284742531869</v>
      </c>
      <c r="V164" s="55">
        <f t="shared" ca="1" si="47"/>
        <v>0</v>
      </c>
      <c r="W164" s="55">
        <f t="shared" ca="1" si="52"/>
        <v>-82.748343069323539</v>
      </c>
      <c r="X164" s="55">
        <f t="shared" ca="1" si="53"/>
        <v>40.216456532555227</v>
      </c>
      <c r="Y164" s="55">
        <f t="shared" ca="1" si="54"/>
        <v>-6.1605784153157348</v>
      </c>
      <c r="Z164">
        <f t="shared" ca="1" si="48"/>
        <v>120</v>
      </c>
      <c r="AA164">
        <f t="shared" ca="1" si="55"/>
        <v>368.59302973545715</v>
      </c>
      <c r="AB164">
        <f t="shared" ca="1" si="49"/>
        <v>0</v>
      </c>
      <c r="AC164">
        <f t="shared" ca="1" si="50"/>
        <v>0.99454868041083222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31.208956099533719</v>
      </c>
      <c r="U165" s="55">
        <f t="shared" ca="1" si="46"/>
        <v>65.301000695240901</v>
      </c>
      <c r="V165" s="55">
        <f t="shared" ca="1" si="47"/>
        <v>0</v>
      </c>
      <c r="W165" s="55">
        <f t="shared" ca="1" si="52"/>
        <v>-82.872648953444255</v>
      </c>
      <c r="X165" s="55">
        <f t="shared" ca="1" si="53"/>
        <v>40.51470048055463</v>
      </c>
      <c r="Y165" s="55">
        <f t="shared" ca="1" si="54"/>
        <v>-6.1474965153476884</v>
      </c>
      <c r="Z165">
        <f t="shared" ca="1" si="48"/>
        <v>120</v>
      </c>
      <c r="AA165">
        <f t="shared" ca="1" si="55"/>
        <v>369.39552246781403</v>
      </c>
      <c r="AB165">
        <f t="shared" ca="1" si="49"/>
        <v>0</v>
      </c>
      <c r="AC165">
        <f t="shared" ca="1" si="50"/>
        <v>0.99569588808868625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126.79360317621838</v>
      </c>
      <c r="U166" s="55">
        <f t="shared" ca="1" si="46"/>
        <v>68.503279549483167</v>
      </c>
      <c r="V166" s="55">
        <f t="shared" ca="1" si="47"/>
        <v>99.61306059249651</v>
      </c>
      <c r="W166" s="55">
        <f t="shared" ca="1" si="52"/>
        <v>-84.00746319395256</v>
      </c>
      <c r="X166" s="55">
        <f t="shared" ca="1" si="53"/>
        <v>40.810467509571495</v>
      </c>
      <c r="Y166" s="55">
        <f t="shared" ca="1" si="54"/>
        <v>-6.1345839654258185</v>
      </c>
      <c r="Z166">
        <f t="shared" ca="1" si="48"/>
        <v>120</v>
      </c>
      <c r="AA166">
        <f t="shared" ca="1" si="55"/>
        <v>371.20235949831033</v>
      </c>
      <c r="AB166">
        <f t="shared" ca="1" si="49"/>
        <v>0</v>
      </c>
      <c r="AC166">
        <f t="shared" ca="1" si="50"/>
        <v>0.99659250903923347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123.51389744725248</v>
      </c>
      <c r="U167" s="55">
        <f t="shared" ca="1" si="46"/>
        <v>71.983903437414853</v>
      </c>
      <c r="V167" s="55">
        <f t="shared" ca="1" si="47"/>
        <v>0</v>
      </c>
      <c r="W167" s="55">
        <f t="shared" ca="1" si="52"/>
        <v>-84.125674800575439</v>
      </c>
      <c r="X167" s="55">
        <f t="shared" ca="1" si="53"/>
        <v>41.116434068833549</v>
      </c>
      <c r="Y167" s="55">
        <f t="shared" ca="1" si="54"/>
        <v>-6.1214207590992036</v>
      </c>
      <c r="Z167">
        <f t="shared" ca="1" si="48"/>
        <v>120</v>
      </c>
      <c r="AA167">
        <f t="shared" ca="1" si="55"/>
        <v>371.39518876842601</v>
      </c>
      <c r="AB167">
        <f t="shared" ca="1" si="49"/>
        <v>0</v>
      </c>
      <c r="AC167">
        <f t="shared" ca="1" si="50"/>
        <v>0.99733502282003283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119.02079432910297</v>
      </c>
      <c r="U168" s="55">
        <f t="shared" ca="1" si="46"/>
        <v>75.732073085311271</v>
      </c>
      <c r="V168" s="55">
        <f t="shared" ca="1" si="47"/>
        <v>0</v>
      </c>
      <c r="W168" s="55">
        <f t="shared" ca="1" si="52"/>
        <v>-85.198818254548229</v>
      </c>
      <c r="X168" s="55">
        <f t="shared" ca="1" si="53"/>
        <v>41.431281020624922</v>
      </c>
      <c r="Y168" s="55">
        <f t="shared" ca="1" si="54"/>
        <v>-6.1080577271708654</v>
      </c>
      <c r="Z168">
        <f t="shared" ca="1" si="48"/>
        <v>120</v>
      </c>
      <c r="AA168">
        <f t="shared" ca="1" si="55"/>
        <v>373.21180671317842</v>
      </c>
      <c r="AB168">
        <f t="shared" ca="1" si="49"/>
        <v>0</v>
      </c>
      <c r="AC168">
        <f t="shared" ca="1" si="50"/>
        <v>0.99793733341223401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114.72612644815636</v>
      </c>
      <c r="U169" s="55">
        <f t="shared" ca="1" si="46"/>
        <v>79.769439051605474</v>
      </c>
      <c r="V169" s="55">
        <f t="shared" ca="1" si="47"/>
        <v>0</v>
      </c>
      <c r="W169" s="55">
        <f t="shared" ca="1" si="52"/>
        <v>-85.794133429033749</v>
      </c>
      <c r="X169" s="55">
        <f t="shared" ca="1" si="53"/>
        <v>41.755714903329157</v>
      </c>
      <c r="Y169" s="55">
        <f t="shared" ca="1" si="54"/>
        <v>-6.0944783500419941</v>
      </c>
      <c r="Z169">
        <f t="shared" ca="1" si="48"/>
        <v>120</v>
      </c>
      <c r="AA169">
        <f t="shared" ca="1" si="55"/>
        <v>374.25728083098301</v>
      </c>
      <c r="AB169">
        <f t="shared" ca="1" si="49"/>
        <v>0</v>
      </c>
      <c r="AC169">
        <f t="shared" ca="1" si="50"/>
        <v>0.99842099989691624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109.41176974568492</v>
      </c>
      <c r="U170" s="55">
        <f t="shared" ca="1" si="46"/>
        <v>83.881932808083207</v>
      </c>
      <c r="V170" s="55">
        <f t="shared" ca="1" si="47"/>
        <v>0</v>
      </c>
      <c r="W170" s="55">
        <f t="shared" ca="1" si="52"/>
        <v>-87.330780346630277</v>
      </c>
      <c r="X170" s="55">
        <f t="shared" ca="1" si="53"/>
        <v>42.077124716247269</v>
      </c>
      <c r="Y170" s="55">
        <f t="shared" ca="1" si="54"/>
        <v>-6.0811041913572756</v>
      </c>
      <c r="Z170">
        <f t="shared" ca="1" si="48"/>
        <v>120</v>
      </c>
      <c r="AA170">
        <f t="shared" ca="1" si="55"/>
        <v>377.08696985187072</v>
      </c>
      <c r="AB170">
        <f t="shared" ca="1" si="49"/>
        <v>0</v>
      </c>
      <c r="AC170">
        <f t="shared" ca="1" si="50"/>
        <v>0.99878726210876667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102.90737472446817</v>
      </c>
      <c r="U171" s="55">
        <f t="shared" ca="1" si="46"/>
        <v>87.985523015167672</v>
      </c>
      <c r="V171" s="55">
        <f t="shared" ca="1" si="47"/>
        <v>0</v>
      </c>
      <c r="W171" s="55">
        <f t="shared" ca="1" si="52"/>
        <v>-90.059008464850535</v>
      </c>
      <c r="X171" s="55">
        <f t="shared" ca="1" si="53"/>
        <v>42.391507683664059</v>
      </c>
      <c r="Y171" s="55">
        <f t="shared" ca="1" si="54"/>
        <v>-6.0680638546860903</v>
      </c>
      <c r="Z171">
        <f t="shared" ca="1" si="48"/>
        <v>120</v>
      </c>
      <c r="AA171">
        <f t="shared" ca="1" si="55"/>
        <v>381.57821590099877</v>
      </c>
      <c r="AB171">
        <f t="shared" ca="1" si="49"/>
        <v>0</v>
      </c>
      <c r="AC171">
        <f t="shared" ca="1" si="50"/>
        <v>0.9990611622177018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98.003436895451543</v>
      </c>
      <c r="U172" s="55">
        <f t="shared" ca="1" si="46"/>
        <v>92.15282870885008</v>
      </c>
      <c r="V172" s="55">
        <f t="shared" ca="1" si="47"/>
        <v>0</v>
      </c>
      <c r="W172" s="55">
        <f t="shared" ca="1" si="52"/>
        <v>-91.120524740466223</v>
      </c>
      <c r="X172" s="55">
        <f t="shared" ca="1" si="53"/>
        <v>42.703530898494641</v>
      </c>
      <c r="Y172" s="55">
        <f t="shared" ca="1" si="54"/>
        <v>-6.055202929235195</v>
      </c>
      <c r="Z172">
        <f t="shared" ca="1" si="48"/>
        <v>120</v>
      </c>
      <c r="AA172">
        <f t="shared" ca="1" si="55"/>
        <v>383.41313963287593</v>
      </c>
      <c r="AB172">
        <f t="shared" ca="1" si="49"/>
        <v>0</v>
      </c>
      <c r="AC172">
        <f t="shared" ca="1" si="50"/>
        <v>0.99927127194366716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92.672779413511748</v>
      </c>
      <c r="U173" s="55">
        <f t="shared" ca="1" si="46"/>
        <v>96.587020132167453</v>
      </c>
      <c r="V173" s="55">
        <f t="shared" ca="1" si="47"/>
        <v>0</v>
      </c>
      <c r="W173" s="55">
        <f t="shared" ca="1" si="52"/>
        <v>-92.350561094202405</v>
      </c>
      <c r="X173" s="55">
        <f t="shared" ca="1" si="53"/>
        <v>43.024072492529378</v>
      </c>
      <c r="Y173" s="55">
        <f t="shared" ca="1" si="54"/>
        <v>-6.0421742281561714</v>
      </c>
      <c r="Z173">
        <f t="shared" ca="1" si="48"/>
        <v>120</v>
      </c>
      <c r="AA173">
        <f t="shared" ca="1" si="55"/>
        <v>385.66166828167042</v>
      </c>
      <c r="AB173">
        <f t="shared" ca="1" si="49"/>
        <v>0</v>
      </c>
      <c r="AC173">
        <f t="shared" ca="1" si="50"/>
        <v>0.99943986647965311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88.677669837614459</v>
      </c>
      <c r="U174" s="55">
        <f t="shared" ca="1" si="46"/>
        <v>100.90428567484049</v>
      </c>
      <c r="V174" s="55">
        <f t="shared" ca="1" si="47"/>
        <v>0</v>
      </c>
      <c r="W174" s="55">
        <f t="shared" ca="1" si="52"/>
        <v>-92.350561094202405</v>
      </c>
      <c r="X174" s="55">
        <f t="shared" ca="1" si="53"/>
        <v>43.333655044353954</v>
      </c>
      <c r="Y174" s="55">
        <f t="shared" ca="1" si="54"/>
        <v>-6.0296008132049979</v>
      </c>
      <c r="Z174">
        <f t="shared" ca="1" si="48"/>
        <v>119.38339234444388</v>
      </c>
      <c r="AA174">
        <f t="shared" ca="1" si="55"/>
        <v>385.66166828167042</v>
      </c>
      <c r="AB174">
        <f t="shared" ca="1" si="49"/>
        <v>0</v>
      </c>
      <c r="AC174">
        <f t="shared" ca="1" si="50"/>
        <v>0.99956403217999323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84.195233618891862</v>
      </c>
      <c r="U175" s="55">
        <f t="shared" ca="1" si="46"/>
        <v>105.32149063020273</v>
      </c>
      <c r="V175" s="55">
        <f t="shared" ca="1" si="47"/>
        <v>0</v>
      </c>
      <c r="W175" s="55">
        <f t="shared" ca="1" si="52"/>
        <v>-92.738577982965097</v>
      </c>
      <c r="X175" s="55">
        <f t="shared" ca="1" si="53"/>
        <v>43.643949407328485</v>
      </c>
      <c r="Y175" s="55">
        <f t="shared" ca="1" si="54"/>
        <v>-6.0171095507772003</v>
      </c>
      <c r="Z175">
        <f t="shared" ca="1" si="48"/>
        <v>120</v>
      </c>
      <c r="AA175">
        <f t="shared" ca="1" si="55"/>
        <v>386.4423891522805</v>
      </c>
      <c r="AB175">
        <f t="shared" ca="1" si="49"/>
        <v>0</v>
      </c>
      <c r="AC175">
        <f t="shared" ca="1" si="50"/>
        <v>0.99966096269077132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79.956350007965739</v>
      </c>
      <c r="U176" s="55">
        <f t="shared" ca="1" si="46"/>
        <v>109.8865051210452</v>
      </c>
      <c r="V176" s="55">
        <f t="shared" ca="1" si="47"/>
        <v>0</v>
      </c>
      <c r="W176" s="55">
        <f t="shared" ca="1" si="52"/>
        <v>-92.738577982965097</v>
      </c>
      <c r="X176" s="55">
        <f t="shared" ca="1" si="53"/>
        <v>43.957590878151926</v>
      </c>
      <c r="Y176" s="55">
        <f t="shared" ca="1" si="54"/>
        <v>-6.0046201416842955</v>
      </c>
      <c r="Z176">
        <f t="shared" ca="1" si="48"/>
        <v>119.55769672147251</v>
      </c>
      <c r="AA176">
        <f t="shared" ca="1" si="55"/>
        <v>386.4423891522805</v>
      </c>
      <c r="AB176">
        <f t="shared" ca="1" si="49"/>
        <v>0</v>
      </c>
      <c r="AC176">
        <f t="shared" ca="1" si="50"/>
        <v>0.99973736347744724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75.774942670637259</v>
      </c>
      <c r="U177" s="55">
        <f t="shared" ca="1" si="46"/>
        <v>114.38729538141318</v>
      </c>
      <c r="V177" s="55">
        <f t="shared" ca="1" si="47"/>
        <v>0</v>
      </c>
      <c r="W177" s="55">
        <f t="shared" ca="1" si="52"/>
        <v>-92.738577982965097</v>
      </c>
      <c r="X177" s="55">
        <f t="shared" ca="1" si="53"/>
        <v>44.264790325909743</v>
      </c>
      <c r="Y177" s="55">
        <f t="shared" ca="1" si="54"/>
        <v>-5.9924366664026163</v>
      </c>
      <c r="Z177">
        <f t="shared" ca="1" si="48"/>
        <v>119.08655688600162</v>
      </c>
      <c r="AA177">
        <f t="shared" ca="1" si="55"/>
        <v>386.4423891522805</v>
      </c>
      <c r="AB177">
        <f t="shared" ca="1" si="49"/>
        <v>0</v>
      </c>
      <c r="AC177">
        <f t="shared" ca="1" si="50"/>
        <v>0.99979502953641142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70.725091084387415</v>
      </c>
      <c r="U178" s="55">
        <f t="shared" ca="1" si="46"/>
        <v>119.37212127961023</v>
      </c>
      <c r="V178" s="55">
        <f t="shared" ca="1" si="47"/>
        <v>0</v>
      </c>
      <c r="W178" s="55">
        <f t="shared" ca="1" si="52"/>
        <v>-93.143592217355661</v>
      </c>
      <c r="X178" s="55">
        <f t="shared" ca="1" si="53"/>
        <v>44.592086993230573</v>
      </c>
      <c r="Y178" s="55">
        <f t="shared" ca="1" si="54"/>
        <v>-5.9797447873856946</v>
      </c>
      <c r="Z178">
        <f t="shared" ca="1" si="48"/>
        <v>120</v>
      </c>
      <c r="AA178">
        <f t="shared" ca="1" si="55"/>
        <v>387.41251804273577</v>
      </c>
      <c r="AB178">
        <f t="shared" ca="1" si="49"/>
        <v>0</v>
      </c>
      <c r="AC178">
        <f t="shared" ca="1" si="50"/>
        <v>0.99984366393381452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65.313501712824731</v>
      </c>
      <c r="U179" s="55">
        <f t="shared" ca="1" si="46"/>
        <v>124.54264473560994</v>
      </c>
      <c r="V179" s="55">
        <f t="shared" ca="1" si="47"/>
        <v>0</v>
      </c>
      <c r="W179" s="55">
        <f t="shared" ca="1" si="52"/>
        <v>-93.730786580921858</v>
      </c>
      <c r="X179" s="55">
        <f t="shared" ca="1" si="53"/>
        <v>44.925455649026006</v>
      </c>
      <c r="Y179" s="55">
        <f t="shared" ca="1" si="54"/>
        <v>-5.9669849951779002</v>
      </c>
      <c r="Z179">
        <f t="shared" ca="1" si="48"/>
        <v>120</v>
      </c>
      <c r="AA179">
        <f t="shared" ca="1" si="55"/>
        <v>388.93555897787957</v>
      </c>
      <c r="AB179">
        <f t="shared" ca="1" si="49"/>
        <v>0</v>
      </c>
      <c r="AC179">
        <f t="shared" ca="1" si="50"/>
        <v>0.99988156330397016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60.260275128120064</v>
      </c>
      <c r="U180" s="55">
        <f t="shared" ca="1" si="46"/>
        <v>129.31835483427969</v>
      </c>
      <c r="V180" s="55">
        <f t="shared" ca="1" si="47"/>
        <v>0</v>
      </c>
      <c r="W180" s="55">
        <f t="shared" ca="1" si="52"/>
        <v>-94.332853255045976</v>
      </c>
      <c r="X180" s="55">
        <f t="shared" ca="1" si="53"/>
        <v>45.237993275089359</v>
      </c>
      <c r="Y180" s="55">
        <f t="shared" ca="1" si="54"/>
        <v>-5.9549724331520597</v>
      </c>
      <c r="Z180">
        <f t="shared" ca="1" si="48"/>
        <v>120</v>
      </c>
      <c r="AA180">
        <f t="shared" ca="1" si="55"/>
        <v>390.62812705282107</v>
      </c>
      <c r="AB180">
        <f t="shared" ca="1" si="49"/>
        <v>0</v>
      </c>
      <c r="AC180">
        <f t="shared" ca="1" si="50"/>
        <v>0.99990814053033739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55.6214752018331</v>
      </c>
      <c r="U181" s="55">
        <f t="shared" ca="1" si="46"/>
        <v>134.28943016097435</v>
      </c>
      <c r="V181" s="55">
        <f t="shared" ca="1" si="47"/>
        <v>0</v>
      </c>
      <c r="W181" s="55">
        <f t="shared" ca="1" si="52"/>
        <v>-94.332853255045976</v>
      </c>
      <c r="X181" s="55">
        <f t="shared" ca="1" si="53"/>
        <v>45.558140114103814</v>
      </c>
      <c r="Y181" s="55">
        <f t="shared" ca="1" si="54"/>
        <v>-5.9428438717588215</v>
      </c>
      <c r="Z181">
        <f t="shared" ca="1" si="48"/>
        <v>118.84682091394764</v>
      </c>
      <c r="AA181">
        <f t="shared" ca="1" si="55"/>
        <v>390.62812705282107</v>
      </c>
      <c r="AB181">
        <f t="shared" ca="1" si="49"/>
        <v>0</v>
      </c>
      <c r="AC181">
        <f t="shared" ca="1" si="50"/>
        <v>0.99992937141908711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50.086905419818827</v>
      </c>
      <c r="U182" s="55">
        <f t="shared" ca="1" si="46"/>
        <v>139.59310353072729</v>
      </c>
      <c r="V182" s="55">
        <f t="shared" ca="1" si="47"/>
        <v>0</v>
      </c>
      <c r="W182" s="55">
        <f t="shared" ca="1" si="52"/>
        <v>-94.911003563403341</v>
      </c>
      <c r="X182" s="55">
        <f t="shared" ca="1" si="53"/>
        <v>45.892946453655675</v>
      </c>
      <c r="Y182" s="55">
        <f t="shared" ca="1" si="54"/>
        <v>-5.9303963152146455</v>
      </c>
      <c r="Z182">
        <f t="shared" ca="1" si="48"/>
        <v>120</v>
      </c>
      <c r="AA182">
        <f t="shared" ca="1" si="55"/>
        <v>392.58358836562786</v>
      </c>
      <c r="AB182">
        <f t="shared" ca="1" si="49"/>
        <v>0</v>
      </c>
      <c r="AC182">
        <f t="shared" ca="1" si="50"/>
        <v>0.9999465794676794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44.654850554538498</v>
      </c>
      <c r="U183" s="55">
        <f t="shared" ca="1" si="46"/>
        <v>144.85192811032519</v>
      </c>
      <c r="V183" s="55">
        <f t="shared" ca="1" si="47"/>
        <v>0</v>
      </c>
      <c r="W183" s="55">
        <f t="shared" ca="1" si="52"/>
        <v>-95.428752565868962</v>
      </c>
      <c r="X183" s="55">
        <f t="shared" ca="1" si="53"/>
        <v>46.225215341959512</v>
      </c>
      <c r="Y183" s="55">
        <f t="shared" ca="1" si="54"/>
        <v>-5.9181464867352913</v>
      </c>
      <c r="Z183">
        <f t="shared" ca="1" si="48"/>
        <v>120</v>
      </c>
      <c r="AA183">
        <f t="shared" ca="1" si="55"/>
        <v>394.54777746781599</v>
      </c>
      <c r="AB183">
        <f t="shared" ca="1" si="49"/>
        <v>0</v>
      </c>
      <c r="AC183">
        <f t="shared" ca="1" si="50"/>
        <v>0.99995948145840863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39.292503553467903</v>
      </c>
      <c r="U184" s="55">
        <f t="shared" ca="1" si="46"/>
        <v>149.91052106204933</v>
      </c>
      <c r="V184" s="55">
        <f t="shared" ca="1" si="47"/>
        <v>0</v>
      </c>
      <c r="W184" s="55">
        <f t="shared" ca="1" si="52"/>
        <v>-96.06748397848088</v>
      </c>
      <c r="X184" s="55">
        <f t="shared" ca="1" si="53"/>
        <v>46.548330149036218</v>
      </c>
      <c r="Y184" s="55">
        <f t="shared" ca="1" si="54"/>
        <v>-5.906283930546536</v>
      </c>
      <c r="Z184">
        <f t="shared" ca="1" si="48"/>
        <v>120</v>
      </c>
      <c r="AA184">
        <f t="shared" ca="1" si="55"/>
        <v>397.30163355337947</v>
      </c>
      <c r="AB184">
        <f t="shared" ca="1" si="49"/>
        <v>0</v>
      </c>
      <c r="AC184">
        <f t="shared" ca="1" si="50"/>
        <v>0.9999689510908355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34.201390583746239</v>
      </c>
      <c r="U185" s="55">
        <f t="shared" ca="1" si="46"/>
        <v>154.77208574329904</v>
      </c>
      <c r="V185" s="55">
        <f t="shared" ca="1" si="47"/>
        <v>0</v>
      </c>
      <c r="W185" s="55">
        <f t="shared" ca="1" si="52"/>
        <v>-96.62332950666034</v>
      </c>
      <c r="X185" s="55">
        <f t="shared" ca="1" si="53"/>
        <v>46.863119479805626</v>
      </c>
      <c r="Y185" s="55">
        <f t="shared" ca="1" si="54"/>
        <v>-5.8947760216084202</v>
      </c>
      <c r="Z185">
        <f t="shared" ca="1" si="48"/>
        <v>120</v>
      </c>
      <c r="AA185">
        <f t="shared" ca="1" si="55"/>
        <v>400.05486688347366</v>
      </c>
      <c r="AB185">
        <f t="shared" ca="1" si="49"/>
        <v>0</v>
      </c>
      <c r="AC185">
        <f t="shared" ca="1" si="50"/>
        <v>0.99997598119264874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131.18194607061224</v>
      </c>
      <c r="U186" s="55">
        <f t="shared" ca="1" si="46"/>
        <v>159.63964466973744</v>
      </c>
      <c r="V186" s="55">
        <f t="shared" ca="1" si="47"/>
        <v>101.59893120636026</v>
      </c>
      <c r="W186" s="55">
        <f t="shared" ca="1" si="52"/>
        <v>-96.701963068285437</v>
      </c>
      <c r="X186" s="55">
        <f t="shared" ca="1" si="53"/>
        <v>47.179495760907628</v>
      </c>
      <c r="Y186" s="55">
        <f t="shared" ca="1" si="54"/>
        <v>-5.8833355341412155</v>
      </c>
      <c r="Z186">
        <f t="shared" ca="1" si="48"/>
        <v>120</v>
      </c>
      <c r="AA186">
        <f t="shared" ca="1" si="55"/>
        <v>400.15642751285145</v>
      </c>
      <c r="AB186">
        <f t="shared" ca="1" si="49"/>
        <v>0</v>
      </c>
      <c r="AC186">
        <f t="shared" ca="1" si="50"/>
        <v>0.99998145330137111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126.2084533898454</v>
      </c>
      <c r="U187" s="55">
        <f t="shared" ca="1" si="46"/>
        <v>164.81325604593897</v>
      </c>
      <c r="V187" s="55">
        <f t="shared" ca="1" si="47"/>
        <v>0</v>
      </c>
      <c r="W187" s="55">
        <f t="shared" ca="1" si="52"/>
        <v>-96.846550761728167</v>
      </c>
      <c r="X187" s="55">
        <f t="shared" ca="1" si="53"/>
        <v>47.51241032698519</v>
      </c>
      <c r="Y187" s="55">
        <f t="shared" ca="1" si="54"/>
        <v>-5.8715437113413609</v>
      </c>
      <c r="Z187">
        <f t="shared" ca="1" si="48"/>
        <v>120</v>
      </c>
      <c r="AA187">
        <f t="shared" ca="1" si="55"/>
        <v>400.35050517473189</v>
      </c>
      <c r="AB187">
        <f t="shared" ca="1" si="49"/>
        <v>0</v>
      </c>
      <c r="AC187">
        <f t="shared" ca="1" si="50"/>
        <v>0.99998594283822895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121.22908454849058</v>
      </c>
      <c r="U188" s="55">
        <f t="shared" ca="1" si="46"/>
        <v>169.64213348413182</v>
      </c>
      <c r="V188" s="55">
        <f t="shared" ca="1" si="47"/>
        <v>0</v>
      </c>
      <c r="W188" s="55">
        <f t="shared" ca="1" si="52"/>
        <v>-97.327357386153537</v>
      </c>
      <c r="X188" s="55">
        <f t="shared" ca="1" si="53"/>
        <v>47.831442471936661</v>
      </c>
      <c r="Y188" s="55">
        <f t="shared" ca="1" si="54"/>
        <v>-5.8602606350294364</v>
      </c>
      <c r="Z188">
        <f t="shared" ca="1" si="48"/>
        <v>120</v>
      </c>
      <c r="AA188">
        <f t="shared" ca="1" si="55"/>
        <v>401.02239224488233</v>
      </c>
      <c r="AB188">
        <f t="shared" ca="1" si="49"/>
        <v>0</v>
      </c>
      <c r="AC188">
        <f t="shared" ca="1" si="50"/>
        <v>0.99998917827610723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116.92911473938888</v>
      </c>
      <c r="U189" s="55">
        <f t="shared" ca="1" si="46"/>
        <v>174.26523185994566</v>
      </c>
      <c r="V189" s="55">
        <f t="shared" ca="1" si="47"/>
        <v>0</v>
      </c>
      <c r="W189" s="55">
        <f t="shared" ca="1" si="52"/>
        <v>-97.327357386153537</v>
      </c>
      <c r="X189" s="55">
        <f t="shared" ca="1" si="53"/>
        <v>48.143590999245831</v>
      </c>
      <c r="Y189" s="55">
        <f t="shared" ca="1" si="54"/>
        <v>-5.849280595626472</v>
      </c>
      <c r="Z189">
        <f t="shared" ca="1" si="48"/>
        <v>117.7811103270159</v>
      </c>
      <c r="AA189">
        <f t="shared" ca="1" si="55"/>
        <v>401.02239224488233</v>
      </c>
      <c r="AB189">
        <f t="shared" ca="1" si="49"/>
        <v>0</v>
      </c>
      <c r="AC189">
        <f t="shared" ca="1" si="50"/>
        <v>0.99999160311208457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112.76035774827261</v>
      </c>
      <c r="U190" s="55">
        <f t="shared" ca="1" si="46"/>
        <v>178.74957489470776</v>
      </c>
      <c r="V190" s="55">
        <f t="shared" ca="1" si="47"/>
        <v>0</v>
      </c>
      <c r="W190" s="55">
        <f t="shared" ca="1" si="52"/>
        <v>-97.327357386153537</v>
      </c>
      <c r="X190" s="55">
        <f t="shared" ca="1" si="53"/>
        <v>48.448399559923928</v>
      </c>
      <c r="Y190" s="55">
        <f t="shared" ca="1" si="54"/>
        <v>-5.8385031126587261</v>
      </c>
      <c r="Z190">
        <f t="shared" ca="1" si="48"/>
        <v>114.0311739577525</v>
      </c>
      <c r="AA190">
        <f t="shared" ca="1" si="55"/>
        <v>401.02239224488233</v>
      </c>
      <c r="AB190">
        <f t="shared" ca="1" si="49"/>
        <v>0</v>
      </c>
      <c r="AC190">
        <f t="shared" ca="1" si="50"/>
        <v>0.99999345892422986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108.42286829983635</v>
      </c>
      <c r="U191" s="55">
        <f t="shared" ca="1" si="46"/>
        <v>183.41539415158107</v>
      </c>
      <c r="V191" s="55">
        <f t="shared" ca="1" si="47"/>
        <v>0</v>
      </c>
      <c r="W191" s="55">
        <f t="shared" ca="1" si="52"/>
        <v>-97.327357386153537</v>
      </c>
      <c r="X191" s="55">
        <f t="shared" ca="1" si="53"/>
        <v>48.765717405954526</v>
      </c>
      <c r="Y191" s="55">
        <f t="shared" ca="1" si="54"/>
        <v>-5.8274911502522713</v>
      </c>
      <c r="Z191">
        <f t="shared" ca="1" si="48"/>
        <v>113.99607286989909</v>
      </c>
      <c r="AA191">
        <f t="shared" ca="1" si="55"/>
        <v>401.02239224488233</v>
      </c>
      <c r="AB191">
        <f t="shared" ca="1" si="49"/>
        <v>0</v>
      </c>
      <c r="AC191">
        <f t="shared" ca="1" si="50"/>
        <v>0.9999949787269139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104.03460398163075</v>
      </c>
      <c r="U192" s="55">
        <f t="shared" ca="1" si="46"/>
        <v>188.14336951420984</v>
      </c>
      <c r="V192" s="55">
        <f t="shared" ca="1" si="47"/>
        <v>0</v>
      </c>
      <c r="W192" s="55">
        <f t="shared" ca="1" si="52"/>
        <v>-97.327357386153537</v>
      </c>
      <c r="X192" s="55">
        <f t="shared" ca="1" si="53"/>
        <v>49.09431654065574</v>
      </c>
      <c r="Y192" s="55">
        <f t="shared" ca="1" si="54"/>
        <v>-5.8163792405303241</v>
      </c>
      <c r="Z192">
        <f t="shared" ca="1" si="48"/>
        <v>114.97115665116868</v>
      </c>
      <c r="AA192">
        <f t="shared" ca="1" si="55"/>
        <v>401.02239224488233</v>
      </c>
      <c r="AB192">
        <f t="shared" ca="1" si="49"/>
        <v>0</v>
      </c>
      <c r="AC192">
        <f t="shared" ca="1" si="50"/>
        <v>0.99999618020675241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99.570447893511101</v>
      </c>
      <c r="U193" s="55">
        <f t="shared" ca="1" si="46"/>
        <v>192.95906974490873</v>
      </c>
      <c r="V193" s="55">
        <f t="shared" ca="1" si="47"/>
        <v>0</v>
      </c>
      <c r="W193" s="55">
        <f t="shared" ca="1" si="52"/>
        <v>-97.327357386153537</v>
      </c>
      <c r="X193" s="55">
        <f t="shared" ca="1" si="53"/>
        <v>49.434585754566115</v>
      </c>
      <c r="Y193" s="55">
        <f t="shared" ca="1" si="54"/>
        <v>-5.8051043118614567</v>
      </c>
      <c r="Z193">
        <f t="shared" ca="1" si="48"/>
        <v>117.3754111078232</v>
      </c>
      <c r="AA193">
        <f t="shared" ca="1" si="55"/>
        <v>401.02239224488233</v>
      </c>
      <c r="AB193">
        <f t="shared" ca="1" si="49"/>
        <v>0</v>
      </c>
      <c r="AC193">
        <f t="shared" ca="1" si="50"/>
        <v>0.99999712820361297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95.524039994679413</v>
      </c>
      <c r="U194" s="55">
        <f t="shared" ca="1" si="46"/>
        <v>197.33934254891767</v>
      </c>
      <c r="V194" s="55">
        <f t="shared" ca="1" si="47"/>
        <v>0</v>
      </c>
      <c r="W194" s="55">
        <f t="shared" ca="1" si="52"/>
        <v>-97.327357386153537</v>
      </c>
      <c r="X194" s="55">
        <f t="shared" ca="1" si="53"/>
        <v>49.757749357350271</v>
      </c>
      <c r="Y194" s="55">
        <f t="shared" ca="1" si="54"/>
        <v>-5.7944030094683638</v>
      </c>
      <c r="Z194">
        <f t="shared" ca="1" si="48"/>
        <v>117.48437324473579</v>
      </c>
      <c r="AA194">
        <f t="shared" ca="1" si="55"/>
        <v>401.02239224488233</v>
      </c>
      <c r="AB194">
        <f t="shared" ca="1" si="49"/>
        <v>0</v>
      </c>
      <c r="AC194">
        <f t="shared" ca="1" si="50"/>
        <v>0.99999779951481527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91.375338260053553</v>
      </c>
      <c r="U195" s="55">
        <f t="shared" ca="1" si="46"/>
        <v>201.8305341410049</v>
      </c>
      <c r="V195" s="55">
        <f t="shared" ca="1" si="47"/>
        <v>0</v>
      </c>
      <c r="W195" s="55">
        <f t="shared" ca="1" si="52"/>
        <v>-97.327357386153537</v>
      </c>
      <c r="X195" s="55">
        <f t="shared" ca="1" si="53"/>
        <v>50.089317210121528</v>
      </c>
      <c r="Y195" s="55">
        <f t="shared" ca="1" si="54"/>
        <v>-5.7834810047782517</v>
      </c>
      <c r="Z195">
        <f t="shared" ca="1" si="48"/>
        <v>113.94456967394606</v>
      </c>
      <c r="AA195">
        <f t="shared" ca="1" si="55"/>
        <v>401.02239224488233</v>
      </c>
      <c r="AB195">
        <f t="shared" ca="1" si="49"/>
        <v>0</v>
      </c>
      <c r="AC195">
        <f t="shared" ca="1" si="50"/>
        <v>0.99999833814472927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87.211233420689794</v>
      </c>
      <c r="U196" s="55">
        <f t="shared" ca="1" si="46"/>
        <v>206.32647731951189</v>
      </c>
      <c r="V196" s="55">
        <f t="shared" ca="1" si="47"/>
        <v>0</v>
      </c>
      <c r="W196" s="55">
        <f t="shared" ca="1" si="52"/>
        <v>-97.327357386153537</v>
      </c>
      <c r="X196" s="55">
        <f t="shared" ca="1" si="53"/>
        <v>50.410136931837123</v>
      </c>
      <c r="Y196" s="55">
        <f t="shared" ca="1" si="54"/>
        <v>-5.7724623873506156</v>
      </c>
      <c r="Z196">
        <f t="shared" ca="1" si="48"/>
        <v>108.41837759663504</v>
      </c>
      <c r="AA196">
        <f t="shared" ca="1" si="55"/>
        <v>401.02239224488233</v>
      </c>
      <c r="AB196">
        <f t="shared" ca="1" si="49"/>
        <v>0</v>
      </c>
      <c r="AC196">
        <f t="shared" ca="1" si="50"/>
        <v>0.99999875655655945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82.86635190404418</v>
      </c>
      <c r="U197" s="55">
        <f t="shared" ca="1" si="46"/>
        <v>211.0258359014347</v>
      </c>
      <c r="V197" s="55">
        <f t="shared" ca="1" si="47"/>
        <v>0</v>
      </c>
      <c r="W197" s="55">
        <f t="shared" ca="1" si="52"/>
        <v>-97.327357386153537</v>
      </c>
      <c r="X197" s="55">
        <f t="shared" ca="1" si="53"/>
        <v>50.753137917880352</v>
      </c>
      <c r="Y197" s="55">
        <f t="shared" ca="1" si="54"/>
        <v>-5.760986308116653</v>
      </c>
      <c r="Z197">
        <f t="shared" ca="1" si="48"/>
        <v>108.68900574718594</v>
      </c>
      <c r="AA197">
        <f t="shared" ca="1" si="55"/>
        <v>401.02239224488233</v>
      </c>
      <c r="AB197">
        <f t="shared" ca="1" si="49"/>
        <v>0</v>
      </c>
      <c r="AC197">
        <f t="shared" ca="1" si="50"/>
        <v>0.99999909189587499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78.953635457994693</v>
      </c>
      <c r="U198" s="55">
        <f t="shared" ca="1" si="46"/>
        <v>215.28601031833244</v>
      </c>
      <c r="V198" s="55">
        <f t="shared" ca="1" si="47"/>
        <v>0</v>
      </c>
      <c r="W198" s="55">
        <f t="shared" ca="1" si="52"/>
        <v>-97.327357386153537</v>
      </c>
      <c r="X198" s="55">
        <f t="shared" ca="1" si="53"/>
        <v>51.089693378074259</v>
      </c>
      <c r="Y198" s="55">
        <f t="shared" ca="1" si="54"/>
        <v>-5.7500837974623034</v>
      </c>
      <c r="Z198">
        <f t="shared" ca="1" si="48"/>
        <v>111.40593878590353</v>
      </c>
      <c r="AA198">
        <f t="shared" ca="1" si="55"/>
        <v>401.02239224488233</v>
      </c>
      <c r="AB198">
        <f t="shared" ca="1" si="49"/>
        <v>0</v>
      </c>
      <c r="AC198">
        <f t="shared" ca="1" si="50"/>
        <v>0.99999932471084507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75.196802598623819</v>
      </c>
      <c r="U199" s="55">
        <f t="shared" ca="1" si="46"/>
        <v>219.38528350154331</v>
      </c>
      <c r="V199" s="55">
        <f t="shared" ca="1" si="47"/>
        <v>0</v>
      </c>
      <c r="W199" s="55">
        <f t="shared" ca="1" si="52"/>
        <v>-97.327357386153537</v>
      </c>
      <c r="X199" s="55">
        <f t="shared" ca="1" si="53"/>
        <v>51.421348605233582</v>
      </c>
      <c r="Y199" s="55">
        <f t="shared" ca="1" si="54"/>
        <v>-5.7392987007816441</v>
      </c>
      <c r="Z199">
        <f t="shared" ca="1" si="48"/>
        <v>109.8815001088184</v>
      </c>
      <c r="AA199">
        <f t="shared" ca="1" si="55"/>
        <v>401.02239224488233</v>
      </c>
      <c r="AB199">
        <f t="shared" ca="1" si="49"/>
        <v>0</v>
      </c>
      <c r="AC199">
        <f t="shared" ca="1" si="50"/>
        <v>0.99999949809231514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71.436914257543691</v>
      </c>
      <c r="U200" s="55">
        <f t="shared" ca="1" si="46"/>
        <v>223.48955091773377</v>
      </c>
      <c r="V200" s="55">
        <f t="shared" ca="1" si="47"/>
        <v>0</v>
      </c>
      <c r="W200" s="55">
        <f t="shared" ca="1" si="52"/>
        <v>-97.327357386153537</v>
      </c>
      <c r="X200" s="55">
        <f t="shared" ca="1" si="53"/>
        <v>51.754754778961981</v>
      </c>
      <c r="Y200" s="55">
        <f t="shared" ca="1" si="54"/>
        <v>-5.7283257993997125</v>
      </c>
      <c r="Z200">
        <f t="shared" ca="1" si="48"/>
        <v>106.99080042031879</v>
      </c>
      <c r="AA200">
        <f t="shared" ca="1" si="55"/>
        <v>401.02239224488233</v>
      </c>
      <c r="AB200">
        <f t="shared" ca="1" si="49"/>
        <v>0</v>
      </c>
      <c r="AC200">
        <f t="shared" ca="1" si="50"/>
        <v>0.99999963198754105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67.917978289071229</v>
      </c>
      <c r="U201" s="55">
        <f t="shared" ca="1" si="46"/>
        <v>227.33187380462934</v>
      </c>
      <c r="V201" s="55">
        <f t="shared" ca="1" si="47"/>
        <v>0</v>
      </c>
      <c r="W201" s="55">
        <f t="shared" ca="1" si="52"/>
        <v>-97.327357386153537</v>
      </c>
      <c r="X201" s="55">
        <f t="shared" ca="1" si="53"/>
        <v>52.067444334575868</v>
      </c>
      <c r="Y201" s="55">
        <f t="shared" ca="1" si="54"/>
        <v>-5.7176284365904859</v>
      </c>
      <c r="Z201">
        <f t="shared" ca="1" si="48"/>
        <v>102.45510700307247</v>
      </c>
      <c r="AA201">
        <f t="shared" ca="1" si="55"/>
        <v>401.02239224488233</v>
      </c>
      <c r="AB201">
        <f t="shared" ca="1" si="49"/>
        <v>0</v>
      </c>
      <c r="AC201">
        <f t="shared" ca="1" si="50"/>
        <v>0.99999972853512564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64.737199852995602</v>
      </c>
      <c r="U202" s="55">
        <f t="shared" ca="1" si="46"/>
        <v>230.8116179386183</v>
      </c>
      <c r="V202" s="55">
        <f t="shared" ca="1" si="47"/>
        <v>0</v>
      </c>
      <c r="W202" s="55">
        <f t="shared" ca="1" si="52"/>
        <v>-97.327357386153537</v>
      </c>
      <c r="X202" s="55">
        <f t="shared" ca="1" si="53"/>
        <v>52.35619144037905</v>
      </c>
      <c r="Y202" s="55">
        <f t="shared" ca="1" si="54"/>
        <v>-5.7074098444803329</v>
      </c>
      <c r="Z202">
        <f t="shared" ca="1" si="48"/>
        <v>98.875709160978943</v>
      </c>
      <c r="AA202">
        <f t="shared" ca="1" si="55"/>
        <v>401.02239224488233</v>
      </c>
      <c r="AB202">
        <f t="shared" ca="1" si="49"/>
        <v>0</v>
      </c>
      <c r="AC202">
        <f t="shared" ca="1" si="50"/>
        <v>0.99999979662741112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61.679990631514599</v>
      </c>
      <c r="U203" s="55">
        <f t="shared" ca="1" si="46"/>
        <v>234.15007275804996</v>
      </c>
      <c r="V203" s="55">
        <f t="shared" ca="1" si="47"/>
        <v>0</v>
      </c>
      <c r="W203" s="55">
        <f t="shared" ca="1" si="52"/>
        <v>-97.327357386153537</v>
      </c>
      <c r="X203" s="55">
        <f t="shared" ca="1" si="53"/>
        <v>52.627301231628238</v>
      </c>
      <c r="Y203" s="55">
        <f t="shared" ca="1" si="54"/>
        <v>-5.6972740377788664</v>
      </c>
      <c r="Z203">
        <f t="shared" ca="1" si="48"/>
        <v>92.629467317094409</v>
      </c>
      <c r="AA203">
        <f t="shared" ca="1" si="55"/>
        <v>401.02239224488233</v>
      </c>
      <c r="AB203">
        <f t="shared" ca="1" si="49"/>
        <v>0</v>
      </c>
      <c r="AC203">
        <f t="shared" ca="1" si="50"/>
        <v>0.99999984791543683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58.81227560850396</v>
      </c>
      <c r="U204" s="55">
        <f t="shared" ca="1" si="46"/>
        <v>237.29104764406034</v>
      </c>
      <c r="V204" s="55">
        <f t="shared" ca="1" si="47"/>
        <v>0</v>
      </c>
      <c r="W204" s="55">
        <f t="shared" ca="1" si="52"/>
        <v>-97.327357386153537</v>
      </c>
      <c r="X204" s="55">
        <f t="shared" ca="1" si="53"/>
        <v>52.890619930186247</v>
      </c>
      <c r="Y204" s="55">
        <f t="shared" ca="1" si="54"/>
        <v>-5.6873328733371302</v>
      </c>
      <c r="Z204">
        <f t="shared" ca="1" si="48"/>
        <v>90.785790505387581</v>
      </c>
      <c r="AA204">
        <f t="shared" ca="1" si="55"/>
        <v>401.02239224488233</v>
      </c>
      <c r="AB204">
        <f t="shared" ca="1" si="49"/>
        <v>0</v>
      </c>
      <c r="AC204">
        <f t="shared" ca="1" si="50"/>
        <v>0.99999988588720312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56.036339536203904</v>
      </c>
      <c r="U205" s="55">
        <f t="shared" ca="1" si="46"/>
        <v>240.34387189619</v>
      </c>
      <c r="V205" s="55">
        <f t="shared" ca="1" si="47"/>
        <v>0</v>
      </c>
      <c r="W205" s="55">
        <f t="shared" ca="1" si="52"/>
        <v>-97.327357386153537</v>
      </c>
      <c r="X205" s="55">
        <f t="shared" ca="1" si="53"/>
        <v>53.157544885868447</v>
      </c>
      <c r="Y205" s="55">
        <f t="shared" ca="1" si="54"/>
        <v>-5.6773696491897336</v>
      </c>
      <c r="Z205">
        <f t="shared" ca="1" si="48"/>
        <v>90.404166607235368</v>
      </c>
      <c r="AA205">
        <f t="shared" ca="1" si="55"/>
        <v>401.02239224488233</v>
      </c>
      <c r="AB205">
        <f t="shared" ca="1" si="49"/>
        <v>0</v>
      </c>
      <c r="AC205">
        <f t="shared" ca="1" si="50"/>
        <v>0.99999991494620988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53.340672035838608</v>
      </c>
      <c r="U206" s="55">
        <f t="shared" ca="1" si="46"/>
        <v>243.34324619492324</v>
      </c>
      <c r="V206" s="55">
        <f t="shared" ca="1" si="47"/>
        <v>0</v>
      </c>
      <c r="W206" s="55">
        <f t="shared" ca="1" si="52"/>
        <v>-97.327357386153537</v>
      </c>
      <c r="X206" s="55">
        <f t="shared" ca="1" si="53"/>
        <v>53.451173233992279</v>
      </c>
      <c r="Y206" s="55">
        <f t="shared" ca="1" si="54"/>
        <v>-5.6672911989456178</v>
      </c>
      <c r="Z206">
        <f t="shared" ca="1" si="48"/>
        <v>96.454518196179336</v>
      </c>
      <c r="AA206">
        <f t="shared" ca="1" si="55"/>
        <v>401.02239224488233</v>
      </c>
      <c r="AB206">
        <f t="shared" ca="1" si="49"/>
        <v>0</v>
      </c>
      <c r="AC206">
        <f t="shared" ca="1" si="50"/>
        <v>0.99999993730336778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50.919101595672835</v>
      </c>
      <c r="U207" s="55">
        <f t="shared" ca="1" si="46"/>
        <v>246.06248769714156</v>
      </c>
      <c r="V207" s="55">
        <f t="shared" ca="1" si="47"/>
        <v>0</v>
      </c>
      <c r="W207" s="55">
        <f t="shared" ca="1" si="52"/>
        <v>-97.327357386153537</v>
      </c>
      <c r="X207" s="55">
        <f t="shared" ca="1" si="53"/>
        <v>53.73915838052524</v>
      </c>
      <c r="Y207" s="55">
        <f t="shared" ca="1" si="54"/>
        <v>-5.6576052834260269</v>
      </c>
      <c r="Z207">
        <f t="shared" ca="1" si="48"/>
        <v>97.723291861901998</v>
      </c>
      <c r="AA207">
        <f t="shared" ca="1" si="55"/>
        <v>401.02239224488233</v>
      </c>
      <c r="AB207">
        <f t="shared" ca="1" si="49"/>
        <v>0</v>
      </c>
      <c r="AC207">
        <f t="shared" ca="1" si="50"/>
        <v>0.99999995320195145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48.576382034568297</v>
      </c>
      <c r="U208" s="55">
        <f t="shared" ca="1" si="46"/>
        <v>248.71682735889354</v>
      </c>
      <c r="V208" s="55">
        <f t="shared" ca="1" si="47"/>
        <v>0</v>
      </c>
      <c r="W208" s="55">
        <f t="shared" ca="1" si="52"/>
        <v>-97.327357386153537</v>
      </c>
      <c r="X208" s="55">
        <f t="shared" ca="1" si="53"/>
        <v>54.041006164403306</v>
      </c>
      <c r="Y208" s="55">
        <f t="shared" ca="1" si="54"/>
        <v>-5.6478329666566518</v>
      </c>
      <c r="Z208">
        <f t="shared" ca="1" si="48"/>
        <v>99.642538197077542</v>
      </c>
      <c r="AA208">
        <f t="shared" ca="1" si="55"/>
        <v>401.02239224488233</v>
      </c>
      <c r="AB208">
        <f t="shared" ca="1" si="49"/>
        <v>0</v>
      </c>
      <c r="AC208">
        <f t="shared" ca="1" si="50"/>
        <v>0.9999999654131414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46.327146930846553</v>
      </c>
      <c r="U209" s="55">
        <f t="shared" ca="1" si="46"/>
        <v>251.28380333577502</v>
      </c>
      <c r="V209" s="55">
        <f t="shared" ca="1" si="47"/>
        <v>0</v>
      </c>
      <c r="W209" s="55">
        <f t="shared" ca="1" si="52"/>
        <v>-97.327357386153537</v>
      </c>
      <c r="X209" s="55">
        <f t="shared" ca="1" si="53"/>
        <v>54.348923637385326</v>
      </c>
      <c r="Y209" s="55">
        <f t="shared" ca="1" si="54"/>
        <v>-5.6380095664789334</v>
      </c>
      <c r="Z209">
        <f t="shared" ca="1" si="48"/>
        <v>99.451118403016721</v>
      </c>
      <c r="AA209">
        <f t="shared" ca="1" si="55"/>
        <v>401.02239224488233</v>
      </c>
      <c r="AB209">
        <f t="shared" ca="1" si="49"/>
        <v>0</v>
      </c>
      <c r="AC209">
        <f t="shared" ca="1" si="50"/>
        <v>0.99999997465076906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44.310910334739432</v>
      </c>
      <c r="U210" s="55">
        <f t="shared" ref="U210:U273" ca="1" si="64">VLOOKUP(S210,ModelOutputs,7,FALSE)</f>
        <v>253.60787002294092</v>
      </c>
      <c r="V210" s="55">
        <f t="shared" ref="V210:V273" ca="1" si="65">VLOOKUP(S210,ModelOutputs,6,FALSE)</f>
        <v>0</v>
      </c>
      <c r="W210" s="55">
        <f t="shared" ca="1" si="52"/>
        <v>-97.327357386153537</v>
      </c>
      <c r="X210" s="55">
        <f t="shared" ca="1" si="53"/>
        <v>54.647294553953877</v>
      </c>
      <c r="Y210" s="55">
        <f t="shared" ca="1" si="54"/>
        <v>-5.6285503919887105</v>
      </c>
      <c r="Z210">
        <f t="shared" ref="Z210:Z273" ca="1" si="66">VLOOKUP(S210,ModelOutputs,10,FALSE)*AWC</f>
        <v>99.325466488945523</v>
      </c>
      <c r="AA210">
        <f t="shared" ca="1" si="55"/>
        <v>401.02239224488233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0.99999998120730493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42.357056095488858</v>
      </c>
      <c r="U211" s="55">
        <f t="shared" ca="1" si="64"/>
        <v>255.87149949772945</v>
      </c>
      <c r="V211" s="55">
        <f t="shared" ca="1" si="65"/>
        <v>0</v>
      </c>
      <c r="W211" s="55">
        <f t="shared" ref="W211:W274" ca="1" si="70">-VLOOKUP(S211,ModelOutputs,9,FALSE)+W210</f>
        <v>-97.327357386153537</v>
      </c>
      <c r="X211" s="55">
        <f t="shared" ref="X211:X274" ca="1" si="71">VLOOKUP(S211,ModelOutputs,5,FALSE)+X210</f>
        <v>54.947502417591522</v>
      </c>
      <c r="Y211" s="55">
        <f t="shared" ref="Y211:Y274" ca="1" si="72">VLOOKUP(S211,ModelOutputs,4,FALSE)+Y210</f>
        <v>-5.6189830200883977</v>
      </c>
      <c r="Z211">
        <f t="shared" ca="1" si="66"/>
        <v>97.157429566649881</v>
      </c>
      <c r="AA211">
        <f t="shared" ref="AA211:AA274" ca="1" si="73">VLOOKUP(S211,ModelOutputs,11,FALSE)+AA210</f>
        <v>401.02239224488233</v>
      </c>
      <c r="AB211">
        <f t="shared" ca="1" si="67"/>
        <v>0</v>
      </c>
      <c r="AC211">
        <f t="shared" ca="1" si="68"/>
        <v>0.99027021861755726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40.515737623661209</v>
      </c>
      <c r="U212" s="55">
        <f t="shared" ca="1" si="64"/>
        <v>258.01128547316722</v>
      </c>
      <c r="V212" s="55">
        <f t="shared" ca="1" si="65"/>
        <v>0</v>
      </c>
      <c r="W212" s="55">
        <f t="shared" ca="1" si="70"/>
        <v>-97.327357386153537</v>
      </c>
      <c r="X212" s="55">
        <f t="shared" ca="1" si="71"/>
        <v>55.236466249887357</v>
      </c>
      <c r="Y212" s="55">
        <f t="shared" ca="1" si="72"/>
        <v>-5.6094793487741033</v>
      </c>
      <c r="Z212">
        <f t="shared" ca="1" si="66"/>
        <v>92.920053878520122</v>
      </c>
      <c r="AA212">
        <f t="shared" ca="1" si="73"/>
        <v>401.02239224488233</v>
      </c>
      <c r="AB212">
        <f t="shared" ca="1" si="67"/>
        <v>0</v>
      </c>
      <c r="AC212">
        <f t="shared" ca="1" si="68"/>
        <v>0.95992667571299628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38.8201140615691</v>
      </c>
      <c r="U213" s="55">
        <f t="shared" ca="1" si="64"/>
        <v>260.005699089774</v>
      </c>
      <c r="V213" s="55">
        <f t="shared" ca="1" si="65"/>
        <v>0</v>
      </c>
      <c r="W213" s="55">
        <f t="shared" ca="1" si="70"/>
        <v>-97.327357386153537</v>
      </c>
      <c r="X213" s="55">
        <f t="shared" ca="1" si="71"/>
        <v>55.525897117436202</v>
      </c>
      <c r="Y213" s="55">
        <f t="shared" ca="1" si="72"/>
        <v>-5.6001201618082828</v>
      </c>
      <c r="Z213">
        <f t="shared" ca="1" si="66"/>
        <v>93.284381965514939</v>
      </c>
      <c r="AA213">
        <f t="shared" ca="1" si="73"/>
        <v>401.02239224488233</v>
      </c>
      <c r="AB213">
        <f t="shared" ca="1" si="67"/>
        <v>0</v>
      </c>
      <c r="AC213">
        <f t="shared" ca="1" si="68"/>
        <v>0.92967071179474703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37.288356701261847</v>
      </c>
      <c r="U214" s="55">
        <f t="shared" ca="1" si="64"/>
        <v>261.82571070127551</v>
      </c>
      <c r="V214" s="55">
        <f t="shared" ca="1" si="65"/>
        <v>0</v>
      </c>
      <c r="W214" s="55">
        <f t="shared" ca="1" si="70"/>
        <v>-97.327357386153537</v>
      </c>
      <c r="X214" s="55">
        <f t="shared" ca="1" si="71"/>
        <v>55.805061856572273</v>
      </c>
      <c r="Y214" s="55">
        <f t="shared" ca="1" si="72"/>
        <v>-5.5910306497500946</v>
      </c>
      <c r="Z214">
        <f t="shared" ca="1" si="66"/>
        <v>91.742909818718758</v>
      </c>
      <c r="AA214">
        <f t="shared" ca="1" si="73"/>
        <v>401.02239224488233</v>
      </c>
      <c r="AB214">
        <f t="shared" ca="1" si="67"/>
        <v>0</v>
      </c>
      <c r="AC214">
        <f t="shared" ca="1" si="68"/>
        <v>0.90012568317714803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35.880171236428545</v>
      </c>
      <c r="U215" s="55">
        <f t="shared" ca="1" si="64"/>
        <v>263.51725690176028</v>
      </c>
      <c r="V215" s="55">
        <f t="shared" ca="1" si="65"/>
        <v>0</v>
      </c>
      <c r="W215" s="55">
        <f t="shared" ca="1" si="70"/>
        <v>-97.327357386153537</v>
      </c>
      <c r="X215" s="55">
        <f t="shared" ca="1" si="71"/>
        <v>56.079484519039433</v>
      </c>
      <c r="Y215" s="55">
        <f t="shared" ca="1" si="72"/>
        <v>-5.5820925765657883</v>
      </c>
      <c r="Z215">
        <f t="shared" ca="1" si="66"/>
        <v>90.57586452441771</v>
      </c>
      <c r="AA215">
        <f t="shared" ca="1" si="73"/>
        <v>401.02239224488233</v>
      </c>
      <c r="AB215">
        <f t="shared" ca="1" si="67"/>
        <v>0</v>
      </c>
      <c r="AC215">
        <f t="shared" ca="1" si="68"/>
        <v>0.87074035741694178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34.524462147957848</v>
      </c>
      <c r="U216" s="55">
        <f t="shared" ca="1" si="64"/>
        <v>265.15387999589194</v>
      </c>
      <c r="V216" s="55">
        <f t="shared" ca="1" si="65"/>
        <v>0</v>
      </c>
      <c r="W216" s="55">
        <f t="shared" ca="1" si="70"/>
        <v>-97.327357386153537</v>
      </c>
      <c r="X216" s="55">
        <f t="shared" ca="1" si="71"/>
        <v>56.351358812563859</v>
      </c>
      <c r="Y216" s="55">
        <f t="shared" ca="1" si="72"/>
        <v>-5.5730528644292496</v>
      </c>
      <c r="Z216">
        <f t="shared" ca="1" si="66"/>
        <v>87.010726024826567</v>
      </c>
      <c r="AA216">
        <f t="shared" ca="1" si="73"/>
        <v>401.02239224488233</v>
      </c>
      <c r="AB216">
        <f t="shared" ca="1" si="67"/>
        <v>0</v>
      </c>
      <c r="AC216">
        <f t="shared" ca="1" si="68"/>
        <v>0.84025256677021953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33.247145803501802</v>
      </c>
      <c r="U217" s="55">
        <f t="shared" ca="1" si="64"/>
        <v>266.72547969836359</v>
      </c>
      <c r="V217" s="55">
        <f t="shared" ca="1" si="65"/>
        <v>0</v>
      </c>
      <c r="W217" s="55">
        <f t="shared" ca="1" si="70"/>
        <v>-97.327357386153537</v>
      </c>
      <c r="X217" s="55">
        <f t="shared" ca="1" si="71"/>
        <v>56.636521037359174</v>
      </c>
      <c r="Y217" s="55">
        <f t="shared" ca="1" si="72"/>
        <v>-5.5639317312089691</v>
      </c>
      <c r="Z217">
        <f t="shared" ca="1" si="66"/>
        <v>88.876228578882248</v>
      </c>
      <c r="AA217">
        <f t="shared" ca="1" si="73"/>
        <v>401.02239224488233</v>
      </c>
      <c r="AB217">
        <f t="shared" ca="1" si="67"/>
        <v>0</v>
      </c>
      <c r="AC217">
        <f t="shared" ca="1" si="68"/>
        <v>0.80874989022329402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32.118645580702889</v>
      </c>
      <c r="U218" s="55">
        <f t="shared" ca="1" si="64"/>
        <v>268.12957463421384</v>
      </c>
      <c r="V218" s="55">
        <f t="shared" ca="1" si="65"/>
        <v>0</v>
      </c>
      <c r="W218" s="55">
        <f t="shared" ca="1" si="70"/>
        <v>-97.327357386153537</v>
      </c>
      <c r="X218" s="55">
        <f t="shared" ca="1" si="71"/>
        <v>56.903357691944926</v>
      </c>
      <c r="Y218" s="55">
        <f t="shared" ca="1" si="72"/>
        <v>-5.5551736727433827</v>
      </c>
      <c r="Z218">
        <f t="shared" ca="1" si="66"/>
        <v>85.755686023164998</v>
      </c>
      <c r="AA218">
        <f t="shared" ca="1" si="73"/>
        <v>401.02239224488233</v>
      </c>
      <c r="AB218">
        <f t="shared" ca="1" si="67"/>
        <v>0</v>
      </c>
      <c r="AC218">
        <f t="shared" ca="1" si="68"/>
        <v>0.77844240925427322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31.119843791617818</v>
      </c>
      <c r="U219" s="55">
        <f t="shared" ca="1" si="64"/>
        <v>269.38700016940936</v>
      </c>
      <c r="V219" s="55">
        <f t="shared" ca="1" si="65"/>
        <v>0</v>
      </c>
      <c r="W219" s="55">
        <f t="shared" ca="1" si="70"/>
        <v>-97.327357386153537</v>
      </c>
      <c r="X219" s="55">
        <f t="shared" ca="1" si="71"/>
        <v>57.153558722362391</v>
      </c>
      <c r="Y219" s="55">
        <f t="shared" ca="1" si="72"/>
        <v>-5.5467509570503957</v>
      </c>
      <c r="Z219">
        <f t="shared" ca="1" si="66"/>
        <v>82.728972875568616</v>
      </c>
      <c r="AA219">
        <f t="shared" ca="1" si="73"/>
        <v>401.02239224488233</v>
      </c>
      <c r="AB219">
        <f t="shared" ca="1" si="67"/>
        <v>0</v>
      </c>
      <c r="AC219">
        <f t="shared" ca="1" si="68"/>
        <v>0.74927345510730792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30.198313039783216</v>
      </c>
      <c r="U220" s="55">
        <f t="shared" ca="1" si="64"/>
        <v>270.55502956503432</v>
      </c>
      <c r="V220" s="55">
        <f t="shared" ca="1" si="65"/>
        <v>0</v>
      </c>
      <c r="W220" s="55">
        <f t="shared" ca="1" si="70"/>
        <v>-97.327357386153537</v>
      </c>
      <c r="X220" s="55">
        <f t="shared" ca="1" si="71"/>
        <v>57.391759980104972</v>
      </c>
      <c r="Y220" s="55">
        <f t="shared" ca="1" si="72"/>
        <v>-5.5384535710026288</v>
      </c>
      <c r="Z220">
        <f t="shared" ca="1" si="66"/>
        <v>78.475670135208276</v>
      </c>
      <c r="AA220">
        <f t="shared" ca="1" si="73"/>
        <v>401.02239224488233</v>
      </c>
      <c r="AB220">
        <f t="shared" ca="1" si="67"/>
        <v>0</v>
      </c>
      <c r="AC220">
        <f t="shared" ca="1" si="68"/>
        <v>0.7201766248314232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29.314685679484484</v>
      </c>
      <c r="U221" s="55">
        <f t="shared" ca="1" si="64"/>
        <v>271.68804528494564</v>
      </c>
      <c r="V221" s="55">
        <f t="shared" ca="1" si="65"/>
        <v>0</v>
      </c>
      <c r="W221" s="55">
        <f t="shared" ca="1" si="70"/>
        <v>-97.327357386153537</v>
      </c>
      <c r="X221" s="55">
        <f t="shared" ca="1" si="71"/>
        <v>57.63272516424712</v>
      </c>
      <c r="Y221" s="55">
        <f t="shared" ca="1" si="72"/>
        <v>-5.5300303955321839</v>
      </c>
      <c r="Z221">
        <f t="shared" ca="1" si="66"/>
        <v>76.392630567257044</v>
      </c>
      <c r="AA221">
        <f t="shared" ca="1" si="73"/>
        <v>401.02239224488233</v>
      </c>
      <c r="AB221">
        <f t="shared" ca="1" si="67"/>
        <v>0</v>
      </c>
      <c r="AC221">
        <f t="shared" ca="1" si="68"/>
        <v>0.68980217169639912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28.505848452419428</v>
      </c>
      <c r="U222" s="55">
        <f t="shared" ca="1" si="64"/>
        <v>272.74604265535748</v>
      </c>
      <c r="V222" s="55">
        <f t="shared" ca="1" si="65"/>
        <v>0</v>
      </c>
      <c r="W222" s="55">
        <f t="shared" ca="1" si="70"/>
        <v>-97.327357386153537</v>
      </c>
      <c r="X222" s="55">
        <f t="shared" ca="1" si="71"/>
        <v>57.873535909072942</v>
      </c>
      <c r="Y222" s="55">
        <f t="shared" ca="1" si="72"/>
        <v>-5.5216809970112202</v>
      </c>
      <c r="Z222">
        <f t="shared" ca="1" si="66"/>
        <v>75.785858504935135</v>
      </c>
      <c r="AA222">
        <f t="shared" ca="1" si="73"/>
        <v>401.02239224488233</v>
      </c>
      <c r="AB222">
        <f t="shared" ca="1" si="67"/>
        <v>0</v>
      </c>
      <c r="AC222">
        <f t="shared" ca="1" si="68"/>
        <v>0.65920104353797948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27.763964447750652</v>
      </c>
      <c r="U223" s="55">
        <f t="shared" ca="1" si="64"/>
        <v>273.7471776026627</v>
      </c>
      <c r="V223" s="55">
        <f t="shared" ca="1" si="65"/>
        <v>0</v>
      </c>
      <c r="W223" s="55">
        <f t="shared" ca="1" si="70"/>
        <v>-97.327357386153537</v>
      </c>
      <c r="X223" s="55">
        <f t="shared" ca="1" si="71"/>
        <v>58.124424714165073</v>
      </c>
      <c r="Y223" s="55">
        <f t="shared" ca="1" si="72"/>
        <v>-5.5133188594669154</v>
      </c>
      <c r="Z223">
        <f t="shared" ca="1" si="66"/>
        <v>77.797633397847704</v>
      </c>
      <c r="AA223">
        <f t="shared" ca="1" si="73"/>
        <v>401.02239224488233</v>
      </c>
      <c r="AB223">
        <f t="shared" ca="1" si="67"/>
        <v>0</v>
      </c>
      <c r="AC223">
        <f t="shared" ca="1" si="68"/>
        <v>0.62790443519414074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27.080576454190727</v>
      </c>
      <c r="U224" s="55">
        <f t="shared" ca="1" si="64"/>
        <v>274.69253844751631</v>
      </c>
      <c r="V224" s="55">
        <f t="shared" ca="1" si="65"/>
        <v>0</v>
      </c>
      <c r="W224" s="55">
        <f t="shared" ca="1" si="70"/>
        <v>-97.327357386153537</v>
      </c>
      <c r="X224" s="55">
        <f t="shared" ca="1" si="71"/>
        <v>58.378020106205739</v>
      </c>
      <c r="Y224" s="55">
        <f t="shared" ca="1" si="72"/>
        <v>-5.5049414002138954</v>
      </c>
      <c r="Z224">
        <f t="shared" ca="1" si="66"/>
        <v>77.036885237681119</v>
      </c>
      <c r="AA224">
        <f t="shared" ca="1" si="73"/>
        <v>401.02239224488233</v>
      </c>
      <c r="AB224">
        <f t="shared" ca="1" si="67"/>
        <v>0</v>
      </c>
      <c r="AC224">
        <f t="shared" ca="1" si="68"/>
        <v>0.59588658813949757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26.475991662909845</v>
      </c>
      <c r="U225" s="55">
        <f t="shared" ca="1" si="64"/>
        <v>275.55144151965413</v>
      </c>
      <c r="V225" s="55">
        <f t="shared" ca="1" si="65"/>
        <v>0</v>
      </c>
      <c r="W225" s="55">
        <f t="shared" ca="1" si="70"/>
        <v>-97.327357386153537</v>
      </c>
      <c r="X225" s="55">
        <f t="shared" ca="1" si="71"/>
        <v>58.624168133043007</v>
      </c>
      <c r="Y225" s="55">
        <f t="shared" ca="1" si="72"/>
        <v>-5.4967711461942255</v>
      </c>
      <c r="Z225">
        <f t="shared" ca="1" si="66"/>
        <v>75.486853501417286</v>
      </c>
      <c r="AA225">
        <f t="shared" ca="1" si="73"/>
        <v>401.02239224488233</v>
      </c>
      <c r="AB225">
        <f t="shared" ca="1" si="67"/>
        <v>0</v>
      </c>
      <c r="AC225">
        <f t="shared" ca="1" si="68"/>
        <v>0.56434216501694656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25.900778217956962</v>
      </c>
      <c r="U226" s="55">
        <f t="shared" ca="1" si="64"/>
        <v>276.390344819608</v>
      </c>
      <c r="V226" s="55">
        <f t="shared" ca="1" si="65"/>
        <v>0</v>
      </c>
      <c r="W226" s="55">
        <f t="shared" ca="1" si="70"/>
        <v>-97.327357386153537</v>
      </c>
      <c r="X226" s="55">
        <f t="shared" ca="1" si="71"/>
        <v>58.879448134237968</v>
      </c>
      <c r="Y226" s="55">
        <f t="shared" ca="1" si="72"/>
        <v>-5.4883612923882055</v>
      </c>
      <c r="Z226">
        <f t="shared" ca="1" si="66"/>
        <v>74.151618282286307</v>
      </c>
      <c r="AA226">
        <f t="shared" ca="1" si="73"/>
        <v>401.02239224488233</v>
      </c>
      <c r="AB226">
        <f t="shared" ca="1" si="67"/>
        <v>0</v>
      </c>
      <c r="AC226">
        <f t="shared" ca="1" si="68"/>
        <v>0.53085252911525538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25.38649772397568</v>
      </c>
      <c r="U227" s="55">
        <f t="shared" ca="1" si="64"/>
        <v>277.16262929308607</v>
      </c>
      <c r="V227" s="55">
        <f t="shared" ca="1" si="65"/>
        <v>0</v>
      </c>
      <c r="W227" s="55">
        <f t="shared" ca="1" si="70"/>
        <v>-97.327357386153537</v>
      </c>
      <c r="X227" s="55">
        <f t="shared" ca="1" si="71"/>
        <v>59.129144087205411</v>
      </c>
      <c r="Y227" s="55">
        <f t="shared" ca="1" si="72"/>
        <v>-5.4800532658588592</v>
      </c>
      <c r="Z227">
        <f t="shared" ca="1" si="66"/>
        <v>71.8566276308309</v>
      </c>
      <c r="AA227">
        <f t="shared" ca="1" si="73"/>
        <v>401.02239224488233</v>
      </c>
      <c r="AB227">
        <f t="shared" ca="1" si="67"/>
        <v>0</v>
      </c>
      <c r="AC227">
        <f t="shared" ca="1" si="68"/>
        <v>0.49723250178161116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24.953503508823001</v>
      </c>
      <c r="U228" s="55">
        <f t="shared" ca="1" si="64"/>
        <v>277.84811438789632</v>
      </c>
      <c r="V228" s="55">
        <f t="shared" ca="1" si="65"/>
        <v>0</v>
      </c>
      <c r="W228" s="55">
        <f t="shared" ca="1" si="70"/>
        <v>-97.327357386153537</v>
      </c>
      <c r="X228" s="55">
        <f t="shared" ca="1" si="71"/>
        <v>59.373650391633412</v>
      </c>
      <c r="Y228" s="55">
        <f t="shared" ca="1" si="72"/>
        <v>-5.4720686906292872</v>
      </c>
      <c r="Z228">
        <f t="shared" ca="1" si="66"/>
        <v>72.566268074197836</v>
      </c>
      <c r="AA228">
        <f t="shared" ca="1" si="73"/>
        <v>401.02239224488233</v>
      </c>
      <c r="AB228">
        <f t="shared" ca="1" si="67"/>
        <v>0</v>
      </c>
      <c r="AC228">
        <f t="shared" ca="1" si="68"/>
        <v>0.46471493933448205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24.589331940661218</v>
      </c>
      <c r="U229" s="55">
        <f t="shared" ca="1" si="64"/>
        <v>278.47313848414308</v>
      </c>
      <c r="V229" s="55">
        <f t="shared" ca="1" si="65"/>
        <v>0</v>
      </c>
      <c r="W229" s="55">
        <f t="shared" ca="1" si="70"/>
        <v>-97.327357386153537</v>
      </c>
      <c r="X229" s="55">
        <f t="shared" ca="1" si="71"/>
        <v>59.626680077718603</v>
      </c>
      <c r="Y229" s="55">
        <f t="shared" ca="1" si="72"/>
        <v>-5.4642458486295027</v>
      </c>
      <c r="Z229">
        <f t="shared" ca="1" si="66"/>
        <v>76.247255915800778</v>
      </c>
      <c r="AA229">
        <f t="shared" ca="1" si="73"/>
        <v>401.02239224488233</v>
      </c>
      <c r="AB229">
        <f t="shared" ca="1" si="67"/>
        <v>0</v>
      </c>
      <c r="AC229">
        <f t="shared" ca="1" si="68"/>
        <v>0.43244981043613462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24.269529505216774</v>
      </c>
      <c r="U230" s="55">
        <f t="shared" ca="1" si="64"/>
        <v>279.05343549073609</v>
      </c>
      <c r="V230" s="55">
        <f t="shared" ca="1" si="65"/>
        <v>0</v>
      </c>
      <c r="W230" s="55">
        <f t="shared" ca="1" si="70"/>
        <v>-97.327357386153537</v>
      </c>
      <c r="X230" s="55">
        <f t="shared" ca="1" si="71"/>
        <v>59.879406375797458</v>
      </c>
      <c r="Y230" s="55">
        <f t="shared" ca="1" si="72"/>
        <v>-5.4564775755597896</v>
      </c>
      <c r="Z230">
        <f t="shared" ca="1" si="66"/>
        <v>75.307703325567729</v>
      </c>
      <c r="AA230">
        <f t="shared" ca="1" si="73"/>
        <v>401.02239224488233</v>
      </c>
      <c r="AB230">
        <f t="shared" ca="1" si="67"/>
        <v>0</v>
      </c>
      <c r="AC230">
        <f t="shared" ca="1" si="68"/>
        <v>0.39983418794753645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23.988521471304765</v>
      </c>
      <c r="U231" s="55">
        <f t="shared" ca="1" si="64"/>
        <v>279.59953999202298</v>
      </c>
      <c r="V231" s="55">
        <f t="shared" ca="1" si="65"/>
        <v>0</v>
      </c>
      <c r="W231" s="55">
        <f t="shared" ca="1" si="70"/>
        <v>-97.327357386153537</v>
      </c>
      <c r="X231" s="55">
        <f t="shared" ca="1" si="71"/>
        <v>60.136700509919059</v>
      </c>
      <c r="Y231" s="55">
        <f t="shared" ca="1" si="72"/>
        <v>-5.4486752423065115</v>
      </c>
      <c r="Z231">
        <f t="shared" ca="1" si="66"/>
        <v>74.870891057866388</v>
      </c>
      <c r="AA231">
        <f t="shared" ca="1" si="73"/>
        <v>401.02239224488233</v>
      </c>
      <c r="AB231">
        <f t="shared" ca="1" si="67"/>
        <v>0</v>
      </c>
      <c r="AC231">
        <f t="shared" ca="1" si="68"/>
        <v>0.36634988139592528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23.739915805071217</v>
      </c>
      <c r="U232" s="55">
        <f t="shared" ca="1" si="64"/>
        <v>280.11039800027913</v>
      </c>
      <c r="V232" s="55">
        <f t="shared" ca="1" si="65"/>
        <v>0</v>
      </c>
      <c r="W232" s="55">
        <f t="shared" ca="1" si="70"/>
        <v>-97.327357386153537</v>
      </c>
      <c r="X232" s="55">
        <f t="shared" ca="1" si="71"/>
        <v>60.391135657726274</v>
      </c>
      <c r="Y232" s="55">
        <f t="shared" ca="1" si="72"/>
        <v>-5.4408580480911262</v>
      </c>
      <c r="Z232">
        <f t="shared" ca="1" si="66"/>
        <v>72.0598135635083</v>
      </c>
      <c r="AA232">
        <f t="shared" ca="1" si="73"/>
        <v>401.02239224488233</v>
      </c>
      <c r="AB232">
        <f t="shared" ca="1" si="67"/>
        <v>0</v>
      </c>
      <c r="AC232">
        <f t="shared" ca="1" si="68"/>
        <v>0.3320928190827378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23.545171224353883</v>
      </c>
      <c r="U233" s="55">
        <f t="shared" ca="1" si="64"/>
        <v>280.59333220439134</v>
      </c>
      <c r="V233" s="55">
        <f t="shared" ca="1" si="65"/>
        <v>0</v>
      </c>
      <c r="W233" s="55">
        <f t="shared" ca="1" si="70"/>
        <v>-97.327357386153537</v>
      </c>
      <c r="X233" s="55">
        <f t="shared" ca="1" si="71"/>
        <v>60.671408823283691</v>
      </c>
      <c r="Y233" s="55">
        <f t="shared" ca="1" si="72"/>
        <v>-5.4329415902536651</v>
      </c>
      <c r="Z233">
        <f t="shared" ca="1" si="66"/>
        <v>77.825970364641464</v>
      </c>
      <c r="AA233">
        <f t="shared" ca="1" si="73"/>
        <v>401.02239224488233</v>
      </c>
      <c r="AB233">
        <f t="shared" ca="1" si="67"/>
        <v>0</v>
      </c>
      <c r="AC233">
        <f t="shared" ca="1" si="68"/>
        <v>0.29656737145054946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23.381898928945851</v>
      </c>
      <c r="U234" s="55">
        <f t="shared" ca="1" si="64"/>
        <v>281.04311632864568</v>
      </c>
      <c r="V234" s="55">
        <f t="shared" ca="1" si="65"/>
        <v>0</v>
      </c>
      <c r="W234" s="55">
        <f t="shared" ca="1" si="70"/>
        <v>-97.327357386153537</v>
      </c>
      <c r="X234" s="55">
        <f t="shared" ca="1" si="71"/>
        <v>60.949975379529974</v>
      </c>
      <c r="Y234" s="55">
        <f t="shared" ca="1" si="72"/>
        <v>-5.4249963176536484</v>
      </c>
      <c r="Z234">
        <f t="shared" ca="1" si="66"/>
        <v>75.247847384990891</v>
      </c>
      <c r="AA234">
        <f t="shared" ca="1" si="73"/>
        <v>401.02239224488233</v>
      </c>
      <c r="AB234">
        <f t="shared" ca="1" si="67"/>
        <v>0</v>
      </c>
      <c r="AC234">
        <f t="shared" ca="1" si="68"/>
        <v>0.26015511996507601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23.28465698441552</v>
      </c>
      <c r="U235" s="55">
        <f t="shared" ca="1" si="64"/>
        <v>281.45274423550029</v>
      </c>
      <c r="V235" s="55">
        <f t="shared" ca="1" si="65"/>
        <v>0</v>
      </c>
      <c r="W235" s="55">
        <f t="shared" ca="1" si="70"/>
        <v>-97.327357386153537</v>
      </c>
      <c r="X235" s="55">
        <f t="shared" ca="1" si="71"/>
        <v>61.25452063755661</v>
      </c>
      <c r="Y235" s="55">
        <f t="shared" ca="1" si="72"/>
        <v>-5.4171556133560053</v>
      </c>
      <c r="Z235">
        <f t="shared" ca="1" si="66"/>
        <v>82.951277178607981</v>
      </c>
      <c r="AA235">
        <f t="shared" ca="1" si="73"/>
        <v>401.02239224488233</v>
      </c>
      <c r="AB235">
        <f t="shared" ca="1" si="67"/>
        <v>0</v>
      </c>
      <c r="AC235">
        <f t="shared" ca="1" si="68"/>
        <v>0.22359862073744174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23.241962916914158</v>
      </c>
      <c r="U236" s="55">
        <f t="shared" ca="1" si="64"/>
        <v>281.81891455718539</v>
      </c>
      <c r="V236" s="55">
        <f t="shared" ca="1" si="65"/>
        <v>0</v>
      </c>
      <c r="W236" s="55">
        <f t="shared" ca="1" si="70"/>
        <v>-97.327357386153537</v>
      </c>
      <c r="X236" s="55">
        <f t="shared" ca="1" si="71"/>
        <v>61.570377110919189</v>
      </c>
      <c r="Y236" s="55">
        <f t="shared" ca="1" si="72"/>
        <v>-5.4095358325348393</v>
      </c>
      <c r="Z236">
        <f t="shared" ca="1" si="66"/>
        <v>87.494631627453856</v>
      </c>
      <c r="AA236">
        <f t="shared" ca="1" si="73"/>
        <v>401.02239224488233</v>
      </c>
      <c r="AB236">
        <f t="shared" ca="1" si="67"/>
        <v>0</v>
      </c>
      <c r="AC236">
        <f t="shared" ca="1" si="68"/>
        <v>0.1875830505429108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23.238049363021929</v>
      </c>
      <c r="U237" s="55">
        <f t="shared" ca="1" si="64"/>
        <v>282.1520830740796</v>
      </c>
      <c r="V237" s="55">
        <f t="shared" ca="1" si="65"/>
        <v>0</v>
      </c>
      <c r="W237" s="55">
        <f t="shared" ca="1" si="70"/>
        <v>-97.327357386153537</v>
      </c>
      <c r="X237" s="55">
        <f t="shared" ca="1" si="71"/>
        <v>61.892121546431511</v>
      </c>
      <c r="Y237" s="55">
        <f t="shared" ca="1" si="72"/>
        <v>-5.4020253050451865</v>
      </c>
      <c r="Z237">
        <f t="shared" ca="1" si="66"/>
        <v>88.971053619131283</v>
      </c>
      <c r="AA237">
        <f t="shared" ca="1" si="73"/>
        <v>401.02239224488233</v>
      </c>
      <c r="AB237">
        <f t="shared" ca="1" si="67"/>
        <v>0</v>
      </c>
      <c r="AC237">
        <f t="shared" ca="1" si="68"/>
        <v>0.1514799013620679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23.271223321108188</v>
      </c>
      <c r="U238" s="55">
        <f t="shared" ca="1" si="64"/>
        <v>282.44149937809607</v>
      </c>
      <c r="V238" s="55">
        <f t="shared" ca="1" si="65"/>
        <v>0</v>
      </c>
      <c r="W238" s="55">
        <f t="shared" ca="1" si="70"/>
        <v>-97.327357386153537</v>
      </c>
      <c r="X238" s="55">
        <f t="shared" ca="1" si="71"/>
        <v>62.207584177943438</v>
      </c>
      <c r="Y238" s="55">
        <f t="shared" ca="1" si="72"/>
        <v>-5.3948976744543815</v>
      </c>
      <c r="Z238">
        <f t="shared" ca="1" si="66"/>
        <v>90.936464804865068</v>
      </c>
      <c r="AA238">
        <f t="shared" ca="1" si="73"/>
        <v>401.02239224488233</v>
      </c>
      <c r="AB238">
        <f t="shared" ca="1" si="67"/>
        <v>0</v>
      </c>
      <c r="AC238">
        <f t="shared" ca="1" si="68"/>
        <v>0.11698923587038079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23.324302881059197</v>
      </c>
      <c r="U239" s="55">
        <f t="shared" ca="1" si="64"/>
        <v>282.7039893031922</v>
      </c>
      <c r="V239" s="55">
        <f t="shared" ca="1" si="65"/>
        <v>0</v>
      </c>
      <c r="W239" s="55">
        <f t="shared" ca="1" si="70"/>
        <v>-97.327357386153537</v>
      </c>
      <c r="X239" s="55">
        <f t="shared" ca="1" si="71"/>
        <v>62.516164209299319</v>
      </c>
      <c r="Y239" s="55">
        <f t="shared" ca="1" si="72"/>
        <v>-5.3879082207631228</v>
      </c>
      <c r="Z239">
        <f t="shared" ca="1" si="66"/>
        <v>89.314328245338729</v>
      </c>
      <c r="AA239">
        <f t="shared" ca="1" si="73"/>
        <v>401.02239224488233</v>
      </c>
      <c r="AB239">
        <f t="shared" ca="1" si="67"/>
        <v>0</v>
      </c>
      <c r="AC239">
        <f t="shared" ca="1" si="68"/>
        <v>8.2663424941163188E-2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23.38976282839938</v>
      </c>
      <c r="U240" s="55">
        <f t="shared" ca="1" si="64"/>
        <v>282.95265152784151</v>
      </c>
      <c r="V240" s="55">
        <f t="shared" ca="1" si="65"/>
        <v>0</v>
      </c>
      <c r="W240" s="55">
        <f t="shared" ca="1" si="70"/>
        <v>-97.327357386153537</v>
      </c>
      <c r="X240" s="55">
        <f t="shared" ca="1" si="71"/>
        <v>62.823186009157403</v>
      </c>
      <c r="Y240" s="55">
        <f t="shared" ca="1" si="72"/>
        <v>-5.3808078486317195</v>
      </c>
      <c r="Z240">
        <f t="shared" ca="1" si="66"/>
        <v>85.540352957497475</v>
      </c>
      <c r="AA240">
        <f t="shared" ca="1" si="73"/>
        <v>401.02239224488233</v>
      </c>
      <c r="AB240">
        <f t="shared" ca="1" si="67"/>
        <v>0</v>
      </c>
      <c r="AC240">
        <f t="shared" ca="1" si="68"/>
        <v>4.6915743410644972E-2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23.478092077116713</v>
      </c>
      <c r="U241" s="55">
        <f t="shared" ca="1" si="64"/>
        <v>283.17684703173927</v>
      </c>
      <c r="V241" s="55">
        <f t="shared" ca="1" si="65"/>
        <v>0</v>
      </c>
      <c r="W241" s="55">
        <f t="shared" ca="1" si="70"/>
        <v>-97.327357386153537</v>
      </c>
      <c r="X241" s="55">
        <f t="shared" ca="1" si="71"/>
        <v>63.12876521053893</v>
      </c>
      <c r="Y241" s="55">
        <f t="shared" ca="1" si="72"/>
        <v>-5.373862297398154</v>
      </c>
      <c r="Z241">
        <f t="shared" ca="1" si="66"/>
        <v>85.697246868951709</v>
      </c>
      <c r="AA241">
        <f t="shared" ca="1" si="73"/>
        <v>401.02239224488233</v>
      </c>
      <c r="AB241">
        <f t="shared" ca="1" si="67"/>
        <v>0</v>
      </c>
      <c r="AC241">
        <f t="shared" ca="1" si="68"/>
        <v>1.1420495428908661E-2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23.57710759756813</v>
      </c>
      <c r="U242" s="55">
        <f t="shared" ca="1" si="64"/>
        <v>283.38942002683575</v>
      </c>
      <c r="V242" s="55">
        <f t="shared" ca="1" si="65"/>
        <v>0</v>
      </c>
      <c r="W242" s="55">
        <f t="shared" ca="1" si="70"/>
        <v>-97.327357386153537</v>
      </c>
      <c r="X242" s="55">
        <f t="shared" ca="1" si="71"/>
        <v>63.433266630283939</v>
      </c>
      <c r="Y242" s="55">
        <f t="shared" ca="1" si="72"/>
        <v>-5.3667752015952681</v>
      </c>
      <c r="Z242">
        <f t="shared" ca="1" si="66"/>
        <v>81.614115178938974</v>
      </c>
      <c r="AA242">
        <f t="shared" ca="1" si="73"/>
        <v>401.02239224488233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23.695128101365171</v>
      </c>
      <c r="U243" s="55">
        <f t="shared" ca="1" si="64"/>
        <v>283.58869405994193</v>
      </c>
      <c r="V243" s="55">
        <f t="shared" ca="1" si="65"/>
        <v>0</v>
      </c>
      <c r="W243" s="55">
        <f t="shared" ca="1" si="70"/>
        <v>-97.327357386153537</v>
      </c>
      <c r="X243" s="55">
        <f t="shared" ca="1" si="71"/>
        <v>63.743365795415414</v>
      </c>
      <c r="Y243" s="55">
        <f t="shared" ca="1" si="72"/>
        <v>-5.3595798298235255</v>
      </c>
      <c r="Z243">
        <f t="shared" ca="1" si="66"/>
        <v>80.001628384427022</v>
      </c>
      <c r="AA243">
        <f t="shared" ca="1" si="73"/>
        <v>401.02239224488233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23.823128875531996</v>
      </c>
      <c r="U244" s="55">
        <f t="shared" ca="1" si="64"/>
        <v>283.76494635571788</v>
      </c>
      <c r="V244" s="55">
        <f t="shared" ca="1" si="65"/>
        <v>0</v>
      </c>
      <c r="W244" s="55">
        <f t="shared" ca="1" si="70"/>
        <v>-97.327357386153537</v>
      </c>
      <c r="X244" s="55">
        <f t="shared" ca="1" si="71"/>
        <v>64.040660783271576</v>
      </c>
      <c r="Y244" s="55">
        <f t="shared" ca="1" si="72"/>
        <v>-5.3526217477369178</v>
      </c>
      <c r="Z244">
        <f t="shared" ca="1" si="66"/>
        <v>77.806476400819378</v>
      </c>
      <c r="AA244">
        <f t="shared" ca="1" si="73"/>
        <v>401.02239224488233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23.978625551624468</v>
      </c>
      <c r="U245" s="55">
        <f t="shared" ca="1" si="64"/>
        <v>283.92295594249128</v>
      </c>
      <c r="V245" s="55">
        <f t="shared" ca="1" si="65"/>
        <v>0</v>
      </c>
      <c r="W245" s="55">
        <f t="shared" ca="1" si="70"/>
        <v>-97.327357386153537</v>
      </c>
      <c r="X245" s="55">
        <f t="shared" ca="1" si="71"/>
        <v>64.347365482215196</v>
      </c>
      <c r="Y245" s="55">
        <f t="shared" ca="1" si="72"/>
        <v>-5.3458201838146593</v>
      </c>
      <c r="Z245">
        <f t="shared" ca="1" si="66"/>
        <v>81.158139426573527</v>
      </c>
      <c r="AA245">
        <f t="shared" ca="1" si="73"/>
        <v>401.02239224488233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24.145402065240592</v>
      </c>
      <c r="U246" s="55">
        <f t="shared" ca="1" si="64"/>
        <v>284.06370138614295</v>
      </c>
      <c r="V246" s="55">
        <f t="shared" ca="1" si="65"/>
        <v>0</v>
      </c>
      <c r="W246" s="55">
        <f t="shared" ca="1" si="70"/>
        <v>-97.327357386153537</v>
      </c>
      <c r="X246" s="55">
        <f t="shared" ca="1" si="71"/>
        <v>64.648278593504003</v>
      </c>
      <c r="Y246" s="55">
        <f t="shared" ca="1" si="72"/>
        <v>-5.3392113378356809</v>
      </c>
      <c r="Z246">
        <f t="shared" ca="1" si="66"/>
        <v>80.601842727785694</v>
      </c>
      <c r="AA246">
        <f t="shared" ca="1" si="73"/>
        <v>401.02239224488233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24.347569303585495</v>
      </c>
      <c r="U247" s="55">
        <f t="shared" ca="1" si="64"/>
        <v>284.19187328441723</v>
      </c>
      <c r="V247" s="55">
        <f t="shared" ca="1" si="65"/>
        <v>0</v>
      </c>
      <c r="W247" s="55">
        <f t="shared" ca="1" si="70"/>
        <v>-97.327357386153537</v>
      </c>
      <c r="X247" s="55">
        <f t="shared" ca="1" si="71"/>
        <v>64.972077155145655</v>
      </c>
      <c r="Y247" s="55">
        <f t="shared" ca="1" si="72"/>
        <v>-5.3326707628581564</v>
      </c>
      <c r="Z247">
        <f t="shared" ca="1" si="66"/>
        <v>86.538495618626001</v>
      </c>
      <c r="AA247">
        <f t="shared" ca="1" si="73"/>
        <v>401.02239224488233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24.577425771744789</v>
      </c>
      <c r="U248" s="55">
        <f t="shared" ca="1" si="64"/>
        <v>284.30802596097016</v>
      </c>
      <c r="V248" s="55">
        <f t="shared" ca="1" si="65"/>
        <v>0</v>
      </c>
      <c r="W248" s="55">
        <f t="shared" ca="1" si="70"/>
        <v>-97.327357386153537</v>
      </c>
      <c r="X248" s="55">
        <f t="shared" ca="1" si="71"/>
        <v>65.311636439916072</v>
      </c>
      <c r="Y248" s="55">
        <f t="shared" ca="1" si="72"/>
        <v>-5.3262209029163508</v>
      </c>
      <c r="Z248">
        <f t="shared" ca="1" si="66"/>
        <v>90.520353051139395</v>
      </c>
      <c r="AA248">
        <f t="shared" ca="1" si="73"/>
        <v>401.02239224488233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24.82530897075036</v>
      </c>
      <c r="U249" s="55">
        <f t="shared" ca="1" si="64"/>
        <v>284.41037818166461</v>
      </c>
      <c r="V249" s="55">
        <f t="shared" ca="1" si="65"/>
        <v>0</v>
      </c>
      <c r="W249" s="55">
        <f t="shared" ca="1" si="70"/>
        <v>-97.327357386153537</v>
      </c>
      <c r="X249" s="55">
        <f t="shared" ca="1" si="71"/>
        <v>65.655662412586338</v>
      </c>
      <c r="Y249" s="55">
        <f t="shared" ca="1" si="72"/>
        <v>-5.3200114558865925</v>
      </c>
      <c r="Z249">
        <f t="shared" ca="1" si="66"/>
        <v>93.846434969660478</v>
      </c>
      <c r="AA249">
        <f t="shared" ca="1" si="73"/>
        <v>401.02239224488233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25.095495770920806</v>
      </c>
      <c r="U250" s="55">
        <f t="shared" ca="1" si="64"/>
        <v>284.50427751138193</v>
      </c>
      <c r="V250" s="55">
        <f t="shared" ca="1" si="65"/>
        <v>0</v>
      </c>
      <c r="W250" s="55">
        <f t="shared" ca="1" si="70"/>
        <v>-97.327357386153537</v>
      </c>
      <c r="X250" s="55">
        <f t="shared" ca="1" si="71"/>
        <v>66.013569337913054</v>
      </c>
      <c r="Y250" s="55">
        <f t="shared" ca="1" si="72"/>
        <v>-5.3138322513255511</v>
      </c>
      <c r="Z250">
        <f t="shared" ca="1" si="66"/>
        <v>96.216172445044862</v>
      </c>
      <c r="AA250">
        <f t="shared" ca="1" si="73"/>
        <v>401.02239224488233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25.363231864741401</v>
      </c>
      <c r="U251" s="55">
        <f t="shared" ca="1" si="64"/>
        <v>284.59094619871422</v>
      </c>
      <c r="V251" s="55">
        <f t="shared" ca="1" si="65"/>
        <v>0</v>
      </c>
      <c r="W251" s="55">
        <f t="shared" ca="1" si="70"/>
        <v>-97.327357386153537</v>
      </c>
      <c r="X251" s="55">
        <f t="shared" ca="1" si="71"/>
        <v>66.361783513539336</v>
      </c>
      <c r="Y251" s="55">
        <f t="shared" ca="1" si="72"/>
        <v>-5.3076416457989444</v>
      </c>
      <c r="Z251">
        <f t="shared" ca="1" si="66"/>
        <v>91.725358752330308</v>
      </c>
      <c r="AA251">
        <f t="shared" ca="1" si="73"/>
        <v>401.02239224488233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25.645177295731127</v>
      </c>
      <c r="U252" s="55">
        <f t="shared" ca="1" si="64"/>
        <v>284.66903402235982</v>
      </c>
      <c r="V252" s="55">
        <f t="shared" ca="1" si="65"/>
        <v>0</v>
      </c>
      <c r="W252" s="55">
        <f t="shared" ca="1" si="70"/>
        <v>-97.327357386153537</v>
      </c>
      <c r="X252" s="55">
        <f t="shared" ca="1" si="71"/>
        <v>66.715734405320148</v>
      </c>
      <c r="Y252" s="55">
        <f t="shared" ca="1" si="72"/>
        <v>-5.3015592829444271</v>
      </c>
      <c r="Z252">
        <f t="shared" ca="1" si="66"/>
        <v>93.220235728860899</v>
      </c>
      <c r="AA252">
        <f t="shared" ca="1" si="73"/>
        <v>401.02239224488233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25.92512689440608</v>
      </c>
      <c r="U253" s="55">
        <f t="shared" ca="1" si="64"/>
        <v>284.74028342597444</v>
      </c>
      <c r="V253" s="55">
        <f t="shared" ca="1" si="65"/>
        <v>0</v>
      </c>
      <c r="W253" s="55">
        <f t="shared" ca="1" si="70"/>
        <v>-97.327357386153537</v>
      </c>
      <c r="X253" s="55">
        <f t="shared" ca="1" si="71"/>
        <v>67.060889209805552</v>
      </c>
      <c r="Y253" s="55">
        <f t="shared" ca="1" si="72"/>
        <v>-5.2955150851402593</v>
      </c>
      <c r="Z253">
        <f t="shared" ca="1" si="66"/>
        <v>89.761637265081859</v>
      </c>
      <c r="AA253">
        <f t="shared" ca="1" si="73"/>
        <v>401.02239224488233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26.196748797048429</v>
      </c>
      <c r="U254" s="55">
        <f t="shared" ca="1" si="64"/>
        <v>284.80251390221844</v>
      </c>
      <c r="V254" s="55">
        <f t="shared" ca="1" si="65"/>
        <v>0</v>
      </c>
      <c r="W254" s="55">
        <f t="shared" ca="1" si="70"/>
        <v>-97.327357386153537</v>
      </c>
      <c r="X254" s="55">
        <f t="shared" ca="1" si="71"/>
        <v>67.388958680473181</v>
      </c>
      <c r="Y254" s="55">
        <f t="shared" ca="1" si="72"/>
        <v>-5.2897321769215475</v>
      </c>
      <c r="Z254">
        <f t="shared" ca="1" si="66"/>
        <v>87.82471040023843</v>
      </c>
      <c r="AA254">
        <f t="shared" ca="1" si="73"/>
        <v>401.02239224488233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26.479721205791321</v>
      </c>
      <c r="U255" s="55">
        <f t="shared" ca="1" si="64"/>
        <v>284.85927818563351</v>
      </c>
      <c r="V255" s="55">
        <f t="shared" ca="1" si="65"/>
        <v>0</v>
      </c>
      <c r="W255" s="55">
        <f t="shared" ca="1" si="70"/>
        <v>-97.327357386153537</v>
      </c>
      <c r="X255" s="55">
        <f t="shared" ca="1" si="71"/>
        <v>67.722959068421659</v>
      </c>
      <c r="Y255" s="55">
        <f t="shared" ca="1" si="72"/>
        <v>-5.2839958727120644</v>
      </c>
      <c r="Z255">
        <f t="shared" ca="1" si="66"/>
        <v>88.49608266978629</v>
      </c>
      <c r="AA255">
        <f t="shared" ca="1" si="73"/>
        <v>401.02239224488233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26.787744356968886</v>
      </c>
      <c r="U256" s="55">
        <f t="shared" ca="1" si="64"/>
        <v>284.91143239058863</v>
      </c>
      <c r="V256" s="55">
        <f t="shared" ca="1" si="65"/>
        <v>0</v>
      </c>
      <c r="W256" s="55">
        <f t="shared" ca="1" si="70"/>
        <v>-97.327357386153537</v>
      </c>
      <c r="X256" s="55">
        <f t="shared" ca="1" si="71"/>
        <v>68.077403461086959</v>
      </c>
      <c r="Y256" s="55">
        <f t="shared" ca="1" si="72"/>
        <v>-5.2782629092446873</v>
      </c>
      <c r="Z256">
        <f t="shared" ca="1" si="66"/>
        <v>92.173271965605551</v>
      </c>
      <c r="AA256">
        <f t="shared" ca="1" si="73"/>
        <v>401.02239224488233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27.075744914406197</v>
      </c>
      <c r="U257" s="55">
        <f t="shared" ca="1" si="64"/>
        <v>284.95733605415592</v>
      </c>
      <c r="V257" s="55">
        <f t="shared" ca="1" si="65"/>
        <v>0</v>
      </c>
      <c r="W257" s="55">
        <f t="shared" ca="1" si="70"/>
        <v>-97.327357386153537</v>
      </c>
      <c r="X257" s="55">
        <f t="shared" ca="1" si="71"/>
        <v>68.405785137534764</v>
      </c>
      <c r="Y257" s="55">
        <f t="shared" ca="1" si="72"/>
        <v>-5.272740364687901</v>
      </c>
      <c r="Z257">
        <f t="shared" ca="1" si="66"/>
        <v>87.196717472095315</v>
      </c>
      <c r="AA257">
        <f t="shared" ca="1" si="73"/>
        <v>401.02239224488233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27.36037162473848</v>
      </c>
      <c r="U258" s="55">
        <f t="shared" ca="1" si="64"/>
        <v>284.99895200252541</v>
      </c>
      <c r="V258" s="55">
        <f t="shared" ca="1" si="65"/>
        <v>0</v>
      </c>
      <c r="W258" s="55">
        <f t="shared" ca="1" si="70"/>
        <v>-97.327357386153537</v>
      </c>
      <c r="X258" s="55">
        <f t="shared" ca="1" si="71"/>
        <v>68.726575407889001</v>
      </c>
      <c r="Y258" s="55">
        <f t="shared" ca="1" si="72"/>
        <v>-5.2672879763403557</v>
      </c>
      <c r="Z258">
        <f t="shared" ca="1" si="66"/>
        <v>84.583339595768649</v>
      </c>
      <c r="AA258">
        <f t="shared" ca="1" si="73"/>
        <v>401.02239224488233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27.649086533411968</v>
      </c>
      <c r="U259" s="55">
        <f t="shared" ca="1" si="64"/>
        <v>285.03875377523804</v>
      </c>
      <c r="V259" s="55">
        <f t="shared" ca="1" si="65"/>
        <v>0</v>
      </c>
      <c r="W259" s="55">
        <f t="shared" ca="1" si="70"/>
        <v>-97.327357386153537</v>
      </c>
      <c r="X259" s="55">
        <f t="shared" ca="1" si="71"/>
        <v>69.049434407267611</v>
      </c>
      <c r="Y259" s="55">
        <f t="shared" ca="1" si="72"/>
        <v>-5.2616302943328481</v>
      </c>
      <c r="Z259">
        <f t="shared" ca="1" si="66"/>
        <v>79.692678846603641</v>
      </c>
      <c r="AA259">
        <f t="shared" ca="1" si="73"/>
        <v>401.02239224488233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27.950567105322861</v>
      </c>
      <c r="U260" s="55">
        <f t="shared" ca="1" si="64"/>
        <v>285.07521398141233</v>
      </c>
      <c r="V260" s="55">
        <f t="shared" ca="1" si="65"/>
        <v>0</v>
      </c>
      <c r="W260" s="55">
        <f t="shared" ca="1" si="70"/>
        <v>-97.327357386153537</v>
      </c>
      <c r="X260" s="55">
        <f t="shared" ca="1" si="71"/>
        <v>69.381697139772498</v>
      </c>
      <c r="Y260" s="55">
        <f t="shared" ca="1" si="72"/>
        <v>-5.2559522487525392</v>
      </c>
      <c r="Z260">
        <f t="shared" ca="1" si="66"/>
        <v>80.08443763968846</v>
      </c>
      <c r="AA260">
        <f t="shared" ca="1" si="73"/>
        <v>401.02239224488233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28.266120889156372</v>
      </c>
      <c r="U261" s="55">
        <f t="shared" ca="1" si="64"/>
        <v>285.10722644564134</v>
      </c>
      <c r="V261" s="55">
        <f t="shared" ca="1" si="65"/>
        <v>0</v>
      </c>
      <c r="W261" s="55">
        <f t="shared" ca="1" si="70"/>
        <v>-97.327357386153537</v>
      </c>
      <c r="X261" s="55">
        <f t="shared" ca="1" si="71"/>
        <v>69.723780504177199</v>
      </c>
      <c r="Y261" s="55">
        <f t="shared" ca="1" si="72"/>
        <v>-5.2504693650947205</v>
      </c>
      <c r="Z261">
        <f t="shared" ca="1" si="66"/>
        <v>84.258933692603946</v>
      </c>
      <c r="AA261">
        <f t="shared" ca="1" si="73"/>
        <v>401.02239224488233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28.630023701336654</v>
      </c>
      <c r="U262" s="55">
        <f t="shared" ca="1" si="64"/>
        <v>285.1351341049774</v>
      </c>
      <c r="V262" s="55">
        <f t="shared" ca="1" si="65"/>
        <v>0</v>
      </c>
      <c r="W262" s="55">
        <f t="shared" ca="1" si="70"/>
        <v>-97.327357386153537</v>
      </c>
      <c r="X262" s="55">
        <f t="shared" ca="1" si="71"/>
        <v>70.110338157256109</v>
      </c>
      <c r="Y262" s="55">
        <f t="shared" ca="1" si="72"/>
        <v>-5.2452165466572964</v>
      </c>
      <c r="Z262">
        <f t="shared" ca="1" si="66"/>
        <v>97.815524631393671</v>
      </c>
      <c r="AA262">
        <f t="shared" ca="1" si="73"/>
        <v>401.02239224488233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28.984112925673536</v>
      </c>
      <c r="U263" s="55">
        <f t="shared" ca="1" si="64"/>
        <v>285.1598492652609</v>
      </c>
      <c r="V263" s="55">
        <f t="shared" ca="1" si="65"/>
        <v>0</v>
      </c>
      <c r="W263" s="55">
        <f t="shared" ca="1" si="70"/>
        <v>-97.327357386153537</v>
      </c>
      <c r="X263" s="55">
        <f t="shared" ca="1" si="71"/>
        <v>70.484045597970251</v>
      </c>
      <c r="Y263" s="55">
        <f t="shared" ca="1" si="72"/>
        <v>-5.2401196027510561</v>
      </c>
      <c r="Z263">
        <f t="shared" ca="1" si="66"/>
        <v>95.881033344377542</v>
      </c>
      <c r="AA263">
        <f t="shared" ca="1" si="73"/>
        <v>401.02239224488233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29.329850963413399</v>
      </c>
      <c r="U264" s="55">
        <f t="shared" ca="1" si="64"/>
        <v>285.18266688139647</v>
      </c>
      <c r="V264" s="55">
        <f t="shared" ca="1" si="65"/>
        <v>0</v>
      </c>
      <c r="W264" s="55">
        <f t="shared" ca="1" si="70"/>
        <v>-97.327357386153537</v>
      </c>
      <c r="X264" s="55">
        <f t="shared" ca="1" si="71"/>
        <v>70.847466603403404</v>
      </c>
      <c r="Y264" s="55">
        <f t="shared" ca="1" si="72"/>
        <v>-5.2349849543087812</v>
      </c>
      <c r="Z264">
        <f t="shared" ca="1" si="66"/>
        <v>90.729085209663396</v>
      </c>
      <c r="AA264">
        <f t="shared" ca="1" si="73"/>
        <v>401.02239224488233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O1" zoomScale="105" workbookViewId="0">
      <selection activeCell="Q2" sqref="Q2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Pukekohe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 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45048</v>
      </c>
      <c r="Q3" s="3">
        <v>50</v>
      </c>
      <c r="R3" s="3"/>
      <c r="S3" s="3">
        <f ca="1">SUMIF($O$8:$O$1001,TRUE,S8:S1001)</f>
        <v>-5.2349849543087812</v>
      </c>
      <c r="T3" s="3">
        <f ca="1">SUMIF($O$8:$O$1001,TRUE,T8:T1001)</f>
        <v>70.519335009331385</v>
      </c>
      <c r="U3" s="3">
        <f ca="1">SUMIF($O$8:$O$1001,TRUE,U8:U1001)</f>
        <v>291.17185080483603</v>
      </c>
      <c r="V3" s="3">
        <f ca="1">VLOOKUP(B32,ModelOutputs,V5,FALSE)-W3</f>
        <v>0</v>
      </c>
      <c r="W3">
        <f ca="1">VLOOKUP(B32,ModelOutputs,V5,FALSE)</f>
        <v>5.3836743711046724</v>
      </c>
      <c r="X3" s="13"/>
      <c r="AC3" s="3">
        <f ca="1">MAX(0,AD4-AD3)</f>
        <v>5.6843418860808015E-14</v>
      </c>
      <c r="AD3" s="3">
        <f ca="1">SUM(Q3:X3)</f>
        <v>411.83987523096334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45293</v>
      </c>
      <c r="Q4" s="24">
        <f ca="1">VLOOKUP(P4,ModelOutputs,2,FALSE)</f>
        <v>29.329850963413399</v>
      </c>
      <c r="R4" s="27"/>
      <c r="S4" s="25"/>
      <c r="T4" s="25"/>
      <c r="U4" s="25"/>
      <c r="V4" s="24">
        <f ca="1">(VLOOKUP($P$4,ModelOutputs,V5,FALSE)-VLOOKUP($P$3+1,ModelOutputs,V5,FALSE))-W4</f>
        <v>33.228710225617249</v>
      </c>
      <c r="W4" s="26">
        <f ca="1">VLOOKUP($P$4,ModelOutputs,W5,FALSE)-VLOOKUP($P$3+1,ModelOutputs,W5,FALSE)</f>
        <v>251.95395665577922</v>
      </c>
      <c r="X4" s="27">
        <f ca="1">SUMIF($O$8:$O$1001,TRUE,X8:X1001)</f>
        <v>97.327357386153537</v>
      </c>
      <c r="Y4" s="3"/>
      <c r="Z4" s="3"/>
      <c r="AA4" s="3"/>
      <c r="AB4" s="3"/>
      <c r="AC4" s="3">
        <f ca="1">MAX(0,AD3-AD4)</f>
        <v>0</v>
      </c>
      <c r="AD4" s="3">
        <f ca="1">SUM(Q4:X4)</f>
        <v>411.8398752309634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Pukekohe</v>
      </c>
      <c r="I5" t="s">
        <v>203</v>
      </c>
      <c r="J5">
        <f>VLOOKUP(InCropRain,ListMembers!$Z$7:$AA$11,2,FALSE)</f>
        <v>1</v>
      </c>
      <c r="R5">
        <f ca="1">SUMIF(N7:N1000,FALSE,R7:R1000)</f>
        <v>141.64715537478676</v>
      </c>
      <c r="S5">
        <f ca="1">SUMIF(N7:N1000,TRUE,S7:S1000)</f>
        <v>-5.2401196027510561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>H7-DATE(YEAR(H7),1,0)+1</f>
        <v>62</v>
      </c>
      <c r="H7" s="95">
        <f>B19-1</f>
        <v>44987</v>
      </c>
      <c r="I7" s="119">
        <f>HLOOKUP($H$5,'Met Data'!$A$2:$F$368,G7,FALSE)</f>
        <v>18.701724137930999</v>
      </c>
      <c r="J7" s="119">
        <f ca="1">HLOOKUP($H$5,'Met Data'!$H$2:$M$368,G7,FALSE)*L7</f>
        <v>2.4379310344827498</v>
      </c>
      <c r="K7" s="96">
        <f>HLOOKUP($H$5,'Met Data'!$O$2:$T$368,G7,FALSE)</f>
        <v>3.7650592582328399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45047</v>
      </c>
      <c r="Q7">
        <f ca="1"/>
        <v>0</v>
      </c>
      <c r="R7">
        <f ca="1"/>
        <v>1.7020392400946491</v>
      </c>
      <c r="S7">
        <f ca="1"/>
        <v>0</v>
      </c>
      <c r="T7" s="4">
        <f ca="1"/>
        <v>0.32813159407200737</v>
      </c>
      <c r="U7">
        <f ca="1"/>
        <v>0</v>
      </c>
      <c r="V7">
        <f ca="1"/>
        <v>116.01886383068427</v>
      </c>
      <c r="W7">
        <f ca="1"/>
        <v>106.13577543029265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45047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si="4">H8-DATE(YEAR(H8),1,0)+1</f>
        <v>63</v>
      </c>
      <c r="H8" s="95">
        <f>H7+1</f>
        <v>44988</v>
      </c>
      <c r="I8" s="119">
        <f>HLOOKUP($H$5,'Met Data'!$A$2:$F$368,G8,FALSE)</f>
        <v>18.759999999999899</v>
      </c>
      <c r="J8" s="119">
        <f ca="1">HLOOKUP($H$5,'Met Data'!$H$2:$M$368,G8,FALSE)*L8</f>
        <v>3.53666666666666</v>
      </c>
      <c r="K8" s="96">
        <f>HLOOKUP($H$5,'Met Data'!$O$2:$T$368,G8,FALSE)</f>
        <v>3.6493457095997699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45048</v>
      </c>
      <c r="Q8">
        <f ca="1"/>
        <v>49.979391757537137</v>
      </c>
      <c r="R8">
        <f ca="1"/>
        <v>0</v>
      </c>
      <c r="S8">
        <f ca="1"/>
        <v>-0.37166109245323431</v>
      </c>
      <c r="T8" s="4">
        <f ca="1"/>
        <v>0.35105284999037378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0.98900036409389802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45048</v>
      </c>
      <c r="AE8">
        <f t="shared" ca="1" si="3"/>
        <v>0</v>
      </c>
      <c r="AF8" s="3"/>
      <c r="AG8" s="63">
        <f ca="1">Q7+S8+T8+U8</f>
        <v>-2.0608242462860527E-2</v>
      </c>
      <c r="AH8" s="63">
        <f ca="1">Q8+R8+X8</f>
        <v>49.979391757537137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si="4"/>
        <v>64</v>
      </c>
      <c r="H9" s="95">
        <f t="shared" ref="H9:H72" si="6">H8+1</f>
        <v>44989</v>
      </c>
      <c r="I9" s="119">
        <f>HLOOKUP($H$5,'Met Data'!$A$2:$F$368,G9,FALSE)</f>
        <v>18.0322580645161</v>
      </c>
      <c r="J9" s="119">
        <f ca="1">HLOOKUP($H$5,'Met Data'!$H$2:$M$368,G9,FALSE)*L9</f>
        <v>5.3612903225806399</v>
      </c>
      <c r="K9" s="96">
        <f>HLOOKUP($H$5,'Met Data'!$O$2:$T$368,G9,FALSE)</f>
        <v>3.6858306163975501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45049</v>
      </c>
      <c r="Q9">
        <f ca="1"/>
        <v>49.925779745900556</v>
      </c>
      <c r="R9">
        <f ca="1"/>
        <v>0</v>
      </c>
      <c r="S9">
        <f ca="1"/>
        <v>-0.35223144053631239</v>
      </c>
      <c r="T9" s="4">
        <f ca="1"/>
        <v>0.34778700997614287</v>
      </c>
      <c r="U9">
        <f ca="1"/>
        <v>0</v>
      </c>
      <c r="V9">
        <f ca="1"/>
        <v>0</v>
      </c>
      <c r="W9">
        <f ca="1"/>
        <v>0</v>
      </c>
      <c r="X9">
        <f ca="1"/>
        <v>4.9167581076407792E-2</v>
      </c>
      <c r="Y9">
        <f ca="1"/>
        <v>1</v>
      </c>
      <c r="Z9">
        <f ca="1"/>
        <v>0.15163310361584337</v>
      </c>
      <c r="AA9">
        <f ca="1"/>
        <v>0</v>
      </c>
      <c r="AB9">
        <f ca="1"/>
        <v>0</v>
      </c>
      <c r="AD9" s="2">
        <f t="shared" ca="1" si="2"/>
        <v>45049</v>
      </c>
      <c r="AE9">
        <f t="shared" ca="1" si="3"/>
        <v>0</v>
      </c>
      <c r="AG9" s="63">
        <f t="shared" ref="AG9:AG72" ca="1" si="7">Q8+S9+T9+U9</f>
        <v>49.974947326976967</v>
      </c>
      <c r="AH9" s="63">
        <f t="shared" ref="AH9:AH72" ca="1" si="8">Q9+R9+X9</f>
        <v>49.974947326976967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si="4"/>
        <v>65</v>
      </c>
      <c r="H10" s="95">
        <f t="shared" si="6"/>
        <v>44990</v>
      </c>
      <c r="I10" s="119">
        <f>HLOOKUP($H$5,'Met Data'!$A$2:$F$368,G10,FALSE)</f>
        <v>17.95</v>
      </c>
      <c r="J10" s="119">
        <f ca="1">HLOOKUP($H$5,'Met Data'!$H$2:$M$368,G10,FALSE)*L10</f>
        <v>2.5580645161290301</v>
      </c>
      <c r="K10" s="96">
        <f>HLOOKUP($H$5,'Met Data'!$O$2:$T$368,G10,FALSE)</f>
        <v>3.6617176102227802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45050</v>
      </c>
      <c r="Q10">
        <f ca="1"/>
        <v>49.808942309668787</v>
      </c>
      <c r="R10">
        <f ca="1"/>
        <v>0</v>
      </c>
      <c r="S10">
        <f ca="1"/>
        <v>-0.33013471944362549</v>
      </c>
      <c r="T10" s="4">
        <f ca="1"/>
        <v>0.33969273623571883</v>
      </c>
      <c r="U10">
        <f ca="1"/>
        <v>0</v>
      </c>
      <c r="V10">
        <f ca="1"/>
        <v>0</v>
      </c>
      <c r="W10">
        <f ca="1"/>
        <v>0</v>
      </c>
      <c r="X10">
        <f ca="1"/>
        <v>0.12639545302385757</v>
      </c>
      <c r="Y10">
        <f ca="1"/>
        <v>1</v>
      </c>
      <c r="Z10">
        <f ca="1"/>
        <v>0.39071867477540678</v>
      </c>
      <c r="AA10">
        <f ca="1"/>
        <v>0</v>
      </c>
      <c r="AB10">
        <f ca="1"/>
        <v>0</v>
      </c>
      <c r="AD10" s="2">
        <f t="shared" ca="1" si="2"/>
        <v>45050</v>
      </c>
      <c r="AE10">
        <f t="shared" ca="1" si="3"/>
        <v>0</v>
      </c>
      <c r="AG10" s="63">
        <f t="shared" ca="1" si="7"/>
        <v>49.935337762692647</v>
      </c>
      <c r="AH10" s="63">
        <f t="shared" ca="1" si="8"/>
        <v>49.935337762692647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si="4"/>
        <v>66</v>
      </c>
      <c r="H11" s="95">
        <f t="shared" si="6"/>
        <v>44991</v>
      </c>
      <c r="I11" s="119">
        <f>HLOOKUP($H$5,'Met Data'!$A$2:$F$368,G11,FALSE)</f>
        <v>18.361290322580601</v>
      </c>
      <c r="J11" s="119">
        <f ca="1">HLOOKUP($H$5,'Met Data'!$H$2:$M$368,G11,FALSE)*L11</f>
        <v>2.3129032258064499</v>
      </c>
      <c r="K11" s="96">
        <f>HLOOKUP($H$5,'Met Data'!$O$2:$T$368,G11,FALSE)</f>
        <v>3.8548213926682098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45051</v>
      </c>
      <c r="Q11">
        <f ca="1"/>
        <v>49.425069097821044</v>
      </c>
      <c r="R11">
        <f ca="1"/>
        <v>0</v>
      </c>
      <c r="S11">
        <f ca="1"/>
        <v>-0.31727868032134543</v>
      </c>
      <c r="T11" s="4">
        <f ca="1"/>
        <v>0.34218979814681644</v>
      </c>
      <c r="U11">
        <f ca="1"/>
        <v>0</v>
      </c>
      <c r="V11">
        <f ca="1"/>
        <v>0</v>
      </c>
      <c r="W11">
        <f ca="1"/>
        <v>0</v>
      </c>
      <c r="X11">
        <f ca="1"/>
        <v>0.40878432967322093</v>
      </c>
      <c r="Y11">
        <f ca="1"/>
        <v>1</v>
      </c>
      <c r="Z11">
        <f ca="1"/>
        <v>1.2734649378683542</v>
      </c>
      <c r="AA11">
        <f ca="1"/>
        <v>0</v>
      </c>
      <c r="AB11">
        <f ca="1"/>
        <v>0</v>
      </c>
      <c r="AD11" s="2">
        <f t="shared" ca="1" si="2"/>
        <v>45051</v>
      </c>
      <c r="AE11">
        <f t="shared" ca="1" si="3"/>
        <v>0</v>
      </c>
      <c r="AG11" s="63">
        <f t="shared" ca="1" si="7"/>
        <v>49.833853427494262</v>
      </c>
      <c r="AH11" s="63">
        <f t="shared" ca="1" si="8"/>
        <v>49.833853427494262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si="4"/>
        <v>67</v>
      </c>
      <c r="H12" s="95">
        <f t="shared" si="6"/>
        <v>44992</v>
      </c>
      <c r="I12" s="119">
        <f>HLOOKUP($H$5,'Met Data'!$A$2:$F$368,G12,FALSE)</f>
        <v>17.7903225806451</v>
      </c>
      <c r="J12" s="119">
        <f ca="1">HLOOKUP($H$5,'Met Data'!$H$2:$M$368,G12,FALSE)*L12</f>
        <v>2.88709677419354</v>
      </c>
      <c r="K12" s="96">
        <f>HLOOKUP($H$5,'Met Data'!$O$2:$T$368,G12,FALSE)</f>
        <v>3.4909393601542198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45052</v>
      </c>
      <c r="Q12">
        <f ca="1"/>
        <v>48.937885218529019</v>
      </c>
      <c r="R12">
        <f ca="1"/>
        <v>0</v>
      </c>
      <c r="S12">
        <f ca="1"/>
        <v>-0.30636929907474331</v>
      </c>
      <c r="T12" s="4">
        <f ca="1"/>
        <v>0.34698855522507238</v>
      </c>
      <c r="U12">
        <f ca="1"/>
        <v>0</v>
      </c>
      <c r="V12">
        <f ca="1"/>
        <v>0</v>
      </c>
      <c r="W12">
        <f ca="1"/>
        <v>0</v>
      </c>
      <c r="X12">
        <f ca="1"/>
        <v>0.52780313544235258</v>
      </c>
      <c r="Y12">
        <f ca="1"/>
        <v>1</v>
      </c>
      <c r="Z12">
        <f ca="1"/>
        <v>1.6606067766300825</v>
      </c>
      <c r="AA12">
        <f ca="1"/>
        <v>0</v>
      </c>
      <c r="AB12">
        <f ca="1"/>
        <v>0</v>
      </c>
      <c r="AD12" s="2">
        <f t="shared" ca="1" si="2"/>
        <v>45052</v>
      </c>
      <c r="AE12">
        <f t="shared" ca="1" si="3"/>
        <v>0</v>
      </c>
      <c r="AG12" s="63">
        <f t="shared" ca="1" si="7"/>
        <v>49.465688353971373</v>
      </c>
      <c r="AH12" s="63">
        <f t="shared" ca="1" si="8"/>
        <v>49.465688353971373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si="4"/>
        <v>68</v>
      </c>
      <c r="H13" s="95">
        <f t="shared" si="6"/>
        <v>44993</v>
      </c>
      <c r="I13" s="119">
        <f>HLOOKUP($H$5,'Met Data'!$A$2:$F$368,G13,FALSE)</f>
        <v>18.141379310344799</v>
      </c>
      <c r="J13" s="119">
        <f ca="1">HLOOKUP($H$5,'Met Data'!$H$2:$M$368,G13,FALSE)*L13</f>
        <v>1.0379310344827499</v>
      </c>
      <c r="K13" s="96">
        <f>HLOOKUP($H$5,'Met Data'!$O$2:$T$368,G13,FALSE)</f>
        <v>3.8084649299222599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45053</v>
      </c>
      <c r="Q13">
        <f ca="1"/>
        <v>48.989409939028384</v>
      </c>
      <c r="R13">
        <f ca="1"/>
        <v>0</v>
      </c>
      <c r="S13">
        <f ca="1"/>
        <v>-0.28610087797900063</v>
      </c>
      <c r="T13" s="4">
        <f ca="1"/>
        <v>0.3376255984783687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0.99927573171967776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45053</v>
      </c>
      <c r="AE13">
        <f t="shared" ca="1" si="3"/>
        <v>0</v>
      </c>
      <c r="AG13" s="63">
        <f t="shared" ca="1" si="7"/>
        <v>48.989409939028384</v>
      </c>
      <c r="AH13" s="63">
        <f t="shared" ca="1" si="8"/>
        <v>48.989409939028384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si="4"/>
        <v>69</v>
      </c>
      <c r="H14" s="95">
        <f t="shared" si="6"/>
        <v>44994</v>
      </c>
      <c r="I14" s="119">
        <f>HLOOKUP($H$5,'Met Data'!$A$2:$F$368,G14,FALSE)</f>
        <v>18.3816666666666</v>
      </c>
      <c r="J14" s="119">
        <f ca="1">HLOOKUP($H$5,'Met Data'!$H$2:$M$368,G14,FALSE)*L14</f>
        <v>3.2766666666666602</v>
      </c>
      <c r="K14" s="96">
        <f>HLOOKUP($H$5,'Met Data'!$O$2:$T$368,G14,FALSE)</f>
        <v>3.6161533155938699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45054</v>
      </c>
      <c r="Q14">
        <f ca="1"/>
        <v>48.571890087599861</v>
      </c>
      <c r="R14">
        <f ca="1"/>
        <v>0</v>
      </c>
      <c r="S14">
        <f ca="1"/>
        <v>-0.26839778717080365</v>
      </c>
      <c r="T14" s="4">
        <f ca="1"/>
        <v>0.33003499907373512</v>
      </c>
      <c r="U14">
        <f ca="1"/>
        <v>0</v>
      </c>
      <c r="V14">
        <f ca="1"/>
        <v>0</v>
      </c>
      <c r="W14">
        <f ca="1"/>
        <v>0</v>
      </c>
      <c r="X14">
        <f ca="1"/>
        <v>0.47915706333145025</v>
      </c>
      <c r="Y14">
        <f ca="1"/>
        <v>1</v>
      </c>
      <c r="Z14">
        <f ca="1"/>
        <v>1.5189131043322135</v>
      </c>
      <c r="AA14">
        <f ca="1"/>
        <v>0</v>
      </c>
      <c r="AB14">
        <f ca="1"/>
        <v>0</v>
      </c>
      <c r="AD14" s="2">
        <f t="shared" ca="1" si="2"/>
        <v>45054</v>
      </c>
      <c r="AE14">
        <f t="shared" ca="1" si="3"/>
        <v>0</v>
      </c>
      <c r="AG14" s="63">
        <f t="shared" ca="1" si="7"/>
        <v>49.051047150931311</v>
      </c>
      <c r="AH14" s="63">
        <f t="shared" ca="1" si="8"/>
        <v>49.051047150931311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si="4"/>
        <v>70</v>
      </c>
      <c r="H15" s="95">
        <f t="shared" si="6"/>
        <v>44995</v>
      </c>
      <c r="I15" s="119">
        <f>HLOOKUP($H$5,'Met Data'!$A$2:$F$368,G15,FALSE)</f>
        <v>18.100000000000001</v>
      </c>
      <c r="J15" s="119">
        <f ca="1">HLOOKUP($H$5,'Met Data'!$H$2:$M$368,G15,FALSE)*L15</f>
        <v>1.75</v>
      </c>
      <c r="K15" s="96">
        <f>HLOOKUP($H$5,'Met Data'!$O$2:$T$368,G15,FALSE)</f>
        <v>3.9222011256035199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45055</v>
      </c>
      <c r="Q15">
        <f ca="1"/>
        <v>48.453879109674794</v>
      </c>
      <c r="R15">
        <f ca="1"/>
        <v>0</v>
      </c>
      <c r="S15">
        <f ca="1"/>
        <v>-0.24932738801121923</v>
      </c>
      <c r="T15" s="4">
        <f ca="1"/>
        <v>0.31823628740746873</v>
      </c>
      <c r="U15">
        <f ca="1"/>
        <v>0</v>
      </c>
      <c r="V15">
        <f ca="1"/>
        <v>0</v>
      </c>
      <c r="W15">
        <f ca="1"/>
        <v>0</v>
      </c>
      <c r="X15">
        <f ca="1"/>
        <v>0.18691987732131787</v>
      </c>
      <c r="Y15">
        <f ca="1"/>
        <v>1</v>
      </c>
      <c r="Z15">
        <f ca="1"/>
        <v>0.59397336932762101</v>
      </c>
      <c r="AA15">
        <f ca="1"/>
        <v>0</v>
      </c>
      <c r="AB15">
        <f ca="1"/>
        <v>0</v>
      </c>
      <c r="AD15" s="2">
        <f t="shared" ca="1" si="2"/>
        <v>45055</v>
      </c>
      <c r="AE15">
        <f t="shared" ca="1" si="3"/>
        <v>0</v>
      </c>
      <c r="AG15" s="63">
        <f t="shared" ca="1" si="7"/>
        <v>48.64079898699611</v>
      </c>
      <c r="AH15" s="63">
        <f t="shared" ca="1" si="8"/>
        <v>48.64079898699611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si="4"/>
        <v>71</v>
      </c>
      <c r="H16" s="95">
        <f t="shared" si="6"/>
        <v>44996</v>
      </c>
      <c r="I16" s="119">
        <f>HLOOKUP($H$5,'Met Data'!$A$2:$F$368,G16,FALSE)</f>
        <v>17.931666666666601</v>
      </c>
      <c r="J16" s="119">
        <f ca="1">HLOOKUP($H$5,'Met Data'!$H$2:$M$368,G16,FALSE)*L16</f>
        <v>6.9499999999999904</v>
      </c>
      <c r="K16" s="96">
        <f>HLOOKUP($H$5,'Met Data'!$O$2:$T$368,G16,FALSE)</f>
        <v>3.4661109817168501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45056</v>
      </c>
      <c r="Q16">
        <f ca="1"/>
        <v>48.064507497619523</v>
      </c>
      <c r="R16">
        <f ca="1"/>
        <v>0</v>
      </c>
      <c r="S16">
        <f ca="1"/>
        <v>-0.24060225303273386</v>
      </c>
      <c r="T16" s="4">
        <f ca="1"/>
        <v>0.32191209110274677</v>
      </c>
      <c r="U16">
        <f ca="1"/>
        <v>0</v>
      </c>
      <c r="V16">
        <f ca="1"/>
        <v>0</v>
      </c>
      <c r="W16">
        <f ca="1"/>
        <v>0</v>
      </c>
      <c r="X16">
        <f ca="1"/>
        <v>0.47068145012528334</v>
      </c>
      <c r="Y16">
        <f ca="1"/>
        <v>1</v>
      </c>
      <c r="Z16">
        <f ca="1"/>
        <v>1.5077961298284706</v>
      </c>
      <c r="AA16">
        <f ca="1"/>
        <v>0</v>
      </c>
      <c r="AB16">
        <f ca="1"/>
        <v>0</v>
      </c>
      <c r="AD16" s="2">
        <f t="shared" ca="1" si="2"/>
        <v>45056</v>
      </c>
      <c r="AE16">
        <f t="shared" ca="1" si="3"/>
        <v>0</v>
      </c>
      <c r="AG16" s="63">
        <f t="shared" ca="1" si="7"/>
        <v>48.535188947744807</v>
      </c>
      <c r="AH16" s="63">
        <f t="shared" ca="1" si="8"/>
        <v>48.535188947744807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si="4"/>
        <v>72</v>
      </c>
      <c r="H17" s="95">
        <f t="shared" si="6"/>
        <v>44997</v>
      </c>
      <c r="I17" s="119">
        <f>HLOOKUP($H$5,'Met Data'!$A$2:$F$368,G17,FALSE)</f>
        <v>18.11</v>
      </c>
      <c r="J17" s="119">
        <f ca="1">HLOOKUP($H$5,'Met Data'!$H$2:$M$368,G17,FALSE)*L17</f>
        <v>3.0533333333333301</v>
      </c>
      <c r="K17" s="96">
        <f>HLOOKUP($H$5,'Met Data'!$O$2:$T$368,G17,FALSE)</f>
        <v>3.54178935257598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45057</v>
      </c>
      <c r="Q17">
        <f ca="1"/>
        <v>47.973387239410307</v>
      </c>
      <c r="R17">
        <f ca="1"/>
        <v>0</v>
      </c>
      <c r="S17">
        <f ca="1"/>
        <v>-0.2344687185155343</v>
      </c>
      <c r="T17" s="4">
        <f ca="1"/>
        <v>0.33003499907373512</v>
      </c>
      <c r="U17">
        <f ca="1"/>
        <v>0</v>
      </c>
      <c r="V17">
        <f ca="1"/>
        <v>0</v>
      </c>
      <c r="W17">
        <f ca="1"/>
        <v>0</v>
      </c>
      <c r="X17">
        <f ca="1"/>
        <v>0.18668653876740937</v>
      </c>
      <c r="Y17">
        <f ca="1"/>
        <v>1</v>
      </c>
      <c r="Z17">
        <f ca="1"/>
        <v>0.59917358401661147</v>
      </c>
      <c r="AA17">
        <f ca="1"/>
        <v>0</v>
      </c>
      <c r="AB17">
        <f ca="1"/>
        <v>0</v>
      </c>
      <c r="AD17" s="2">
        <f t="shared" ca="1" si="2"/>
        <v>45057</v>
      </c>
      <c r="AE17">
        <f t="shared" ca="1" si="3"/>
        <v>0</v>
      </c>
      <c r="AG17" s="63">
        <f t="shared" ca="1" si="7"/>
        <v>48.160073778177718</v>
      </c>
      <c r="AH17" s="63">
        <f t="shared" ca="1" si="8"/>
        <v>48.160073778177718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si="4"/>
        <v>73</v>
      </c>
      <c r="H18" s="95">
        <f t="shared" si="6"/>
        <v>44998</v>
      </c>
      <c r="I18" s="119">
        <f>HLOOKUP($H$5,'Met Data'!$A$2:$F$368,G18,FALSE)</f>
        <v>17.7392857142857</v>
      </c>
      <c r="J18" s="119">
        <f ca="1">HLOOKUP($H$5,'Met Data'!$H$2:$M$368,G18,FALSE)*L18</f>
        <v>1.6892857142857101</v>
      </c>
      <c r="K18" s="96">
        <f>HLOOKUP($H$5,'Met Data'!$O$2:$T$368,G18,FALSE)</f>
        <v>3.3591305391228099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45058</v>
      </c>
      <c r="Q18">
        <f ca="1"/>
        <v>47.473811536839392</v>
      </c>
      <c r="R18">
        <f ca="1"/>
        <v>0</v>
      </c>
      <c r="S18">
        <f ca="1"/>
        <v>-0.22876183378686177</v>
      </c>
      <c r="T18" s="4">
        <f ca="1"/>
        <v>0.33931631882185215</v>
      </c>
      <c r="U18">
        <f ca="1"/>
        <v>0</v>
      </c>
      <c r="V18">
        <f ca="1"/>
        <v>0</v>
      </c>
      <c r="W18">
        <f ca="1"/>
        <v>0</v>
      </c>
      <c r="X18">
        <f ca="1"/>
        <v>0.6101301876059062</v>
      </c>
      <c r="Y18">
        <f ca="1"/>
        <v>1</v>
      </c>
      <c r="Z18">
        <f ca="1"/>
        <v>1.9788298361560877</v>
      </c>
      <c r="AA18">
        <f ca="1"/>
        <v>0</v>
      </c>
      <c r="AB18">
        <f ca="1"/>
        <v>0</v>
      </c>
      <c r="AD18" s="2">
        <f t="shared" ca="1" si="2"/>
        <v>45058</v>
      </c>
      <c r="AE18">
        <f t="shared" ca="1" si="3"/>
        <v>0</v>
      </c>
      <c r="AG18" s="63">
        <f t="shared" ca="1" si="7"/>
        <v>48.083941724445296</v>
      </c>
      <c r="AH18" s="63">
        <f t="shared" ca="1" si="8"/>
        <v>48.083941724445296</v>
      </c>
      <c r="AI18" s="3">
        <f t="shared" ca="1" si="9"/>
        <v>0</v>
      </c>
    </row>
    <row r="19" spans="1:35" ht="15.75" thickBot="1">
      <c r="A19" s="6" t="s">
        <v>117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si="4"/>
        <v>74</v>
      </c>
      <c r="H19" s="95">
        <f t="shared" si="6"/>
        <v>44999</v>
      </c>
      <c r="I19" s="119">
        <f>HLOOKUP($H$5,'Met Data'!$A$2:$F$368,G19,FALSE)</f>
        <v>17.7431034482758</v>
      </c>
      <c r="J19" s="119">
        <f ca="1">HLOOKUP($H$5,'Met Data'!$H$2:$M$368,G19,FALSE)*L19</f>
        <v>1.84</v>
      </c>
      <c r="K19" s="96">
        <f>HLOOKUP($H$5,'Met Data'!$O$2:$T$368,G19,FALSE)</f>
        <v>3.37236322021164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45059</v>
      </c>
      <c r="Q19">
        <f ca="1"/>
        <v>47.096611780549587</v>
      </c>
      <c r="R19">
        <f ca="1"/>
        <v>0</v>
      </c>
      <c r="S19">
        <f ca="1"/>
        <v>-0.21693314580809497</v>
      </c>
      <c r="T19" s="4">
        <f ca="1"/>
        <v>0.33701633022618044</v>
      </c>
      <c r="U19">
        <f ca="1"/>
        <v>0</v>
      </c>
      <c r="V19">
        <f ca="1"/>
        <v>0</v>
      </c>
      <c r="W19">
        <f ca="1"/>
        <v>0</v>
      </c>
      <c r="X19">
        <f ca="1"/>
        <v>0.49728294070788831</v>
      </c>
      <c r="Y19">
        <f ca="1"/>
        <v>1</v>
      </c>
      <c r="Z19">
        <f ca="1"/>
        <v>1.6257506441505356</v>
      </c>
      <c r="AA19">
        <f ca="1"/>
        <v>0</v>
      </c>
      <c r="AB19">
        <f ca="1"/>
        <v>0</v>
      </c>
      <c r="AD19" s="2">
        <f t="shared" ca="1" si="2"/>
        <v>45059</v>
      </c>
      <c r="AE19">
        <f t="shared" ca="1" si="3"/>
        <v>0</v>
      </c>
      <c r="AG19" s="63">
        <f t="shared" ca="1" si="7"/>
        <v>47.593894721257477</v>
      </c>
      <c r="AH19" s="63">
        <f t="shared" ca="1" si="8"/>
        <v>47.593894721257477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si="4"/>
        <v>75</v>
      </c>
      <c r="H20" s="95">
        <f t="shared" si="6"/>
        <v>45000</v>
      </c>
      <c r="I20" s="119">
        <f>HLOOKUP($H$5,'Met Data'!$A$2:$F$368,G20,FALSE)</f>
        <v>17.582758620689599</v>
      </c>
      <c r="J20" s="119">
        <f ca="1">HLOOKUP($H$5,'Met Data'!$H$2:$M$368,G20,FALSE)*L20</f>
        <v>3.1862068965517198</v>
      </c>
      <c r="K20" s="96">
        <f>HLOOKUP($H$5,'Met Data'!$O$2:$T$368,G20,FALSE)</f>
        <v>3.1968269295082399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45060</v>
      </c>
      <c r="Q20">
        <f ca="1"/>
        <v>46.853100839378413</v>
      </c>
      <c r="R20">
        <f ca="1"/>
        <v>0</v>
      </c>
      <c r="S20">
        <f ca="1"/>
        <v>-0.2022433564232835</v>
      </c>
      <c r="T20" s="4">
        <f ca="1"/>
        <v>0.32753442720349046</v>
      </c>
      <c r="U20">
        <f ca="1"/>
        <v>0</v>
      </c>
      <c r="V20">
        <f ca="1"/>
        <v>0</v>
      </c>
      <c r="W20">
        <f ca="1"/>
        <v>0</v>
      </c>
      <c r="X20">
        <f ca="1"/>
        <v>0.3688020119513794</v>
      </c>
      <c r="Y20">
        <f ca="1"/>
        <v>1</v>
      </c>
      <c r="Z20">
        <f ca="1"/>
        <v>1.2119786820522194</v>
      </c>
      <c r="AA20">
        <f ca="1"/>
        <v>0</v>
      </c>
      <c r="AB20">
        <f ca="1"/>
        <v>0</v>
      </c>
      <c r="AD20" s="2">
        <f t="shared" ca="1" si="2"/>
        <v>45060</v>
      </c>
      <c r="AE20">
        <f t="shared" ca="1" si="3"/>
        <v>0</v>
      </c>
      <c r="AG20" s="63">
        <f t="shared" ca="1" si="7"/>
        <v>47.221902851329794</v>
      </c>
      <c r="AH20" s="63">
        <f t="shared" ca="1" si="8"/>
        <v>47.221902851329794</v>
      </c>
      <c r="AI20" s="3">
        <f t="shared" ca="1" si="9"/>
        <v>0</v>
      </c>
    </row>
    <row r="21" spans="1:35">
      <c r="A21" s="6" t="s">
        <v>119</v>
      </c>
      <c r="B21" s="34">
        <f>PriorHarvestDate</f>
        <v>45047</v>
      </c>
      <c r="G21" s="3">
        <f t="shared" si="4"/>
        <v>76</v>
      </c>
      <c r="H21" s="95">
        <f t="shared" si="6"/>
        <v>45001</v>
      </c>
      <c r="I21" s="119">
        <f>HLOOKUP($H$5,'Met Data'!$A$2:$F$368,G21,FALSE)</f>
        <v>17.724137931034399</v>
      </c>
      <c r="J21" s="119">
        <f ca="1">HLOOKUP($H$5,'Met Data'!$H$2:$M$368,G21,FALSE)*L21</f>
        <v>2.9633333333333298</v>
      </c>
      <c r="K21" s="96">
        <f>HLOOKUP($H$5,'Met Data'!$O$2:$T$368,G21,FALSE)</f>
        <v>3.15313078143424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45061</v>
      </c>
      <c r="Q21">
        <f ca="1"/>
        <v>46.283930180972035</v>
      </c>
      <c r="R21">
        <f ca="1"/>
        <v>0</v>
      </c>
      <c r="S21">
        <f ca="1"/>
        <v>-0.19187343203694374</v>
      </c>
      <c r="T21" s="4">
        <f ca="1"/>
        <v>0.325201314807398</v>
      </c>
      <c r="U21">
        <f ca="1"/>
        <v>0</v>
      </c>
      <c r="V21">
        <f ca="1"/>
        <v>0</v>
      </c>
      <c r="W21">
        <f ca="1"/>
        <v>0</v>
      </c>
      <c r="X21">
        <f ca="1"/>
        <v>0.70249854117683685</v>
      </c>
      <c r="Y21">
        <f ca="1"/>
        <v>1</v>
      </c>
      <c r="Z21">
        <f ca="1"/>
        <v>2.336981287492307</v>
      </c>
      <c r="AA21">
        <f ca="1"/>
        <v>0</v>
      </c>
      <c r="AB21">
        <f ca="1"/>
        <v>0</v>
      </c>
      <c r="AD21" s="2">
        <f t="shared" ca="1" si="2"/>
        <v>45061</v>
      </c>
      <c r="AE21">
        <f t="shared" ca="1" si="3"/>
        <v>0</v>
      </c>
      <c r="AG21" s="63">
        <f t="shared" ca="1" si="7"/>
        <v>46.986428722148872</v>
      </c>
      <c r="AH21" s="63">
        <f t="shared" ca="1" si="8"/>
        <v>46.986428722148872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si="4"/>
        <v>77</v>
      </c>
      <c r="H22" s="95">
        <f t="shared" si="6"/>
        <v>45002</v>
      </c>
      <c r="I22" s="119">
        <f>HLOOKUP($H$5,'Met Data'!$A$2:$F$368,G22,FALSE)</f>
        <v>17.698333333333299</v>
      </c>
      <c r="J22" s="119">
        <f ca="1">HLOOKUP($H$5,'Met Data'!$H$2:$M$368,G22,FALSE)*L22</f>
        <v>2.61666666666666</v>
      </c>
      <c r="K22" s="96">
        <f>HLOOKUP($H$5,'Met Data'!$O$2:$T$368,G22,FALSE)</f>
        <v>3.4068572568745799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45062</v>
      </c>
      <c r="Q22">
        <f ca="1"/>
        <v>45.730902544251634</v>
      </c>
      <c r="R22">
        <f ca="1"/>
        <v>0</v>
      </c>
      <c r="S22">
        <f ca="1"/>
        <v>-0.18317168704578801</v>
      </c>
      <c r="T22" s="4">
        <f ca="1"/>
        <v>0.32552219785362968</v>
      </c>
      <c r="U22">
        <f ca="1"/>
        <v>0</v>
      </c>
      <c r="V22">
        <f ca="1"/>
        <v>0</v>
      </c>
      <c r="W22">
        <f ca="1"/>
        <v>0</v>
      </c>
      <c r="X22">
        <f ca="1"/>
        <v>0.69537814752824412</v>
      </c>
      <c r="Y22">
        <f ca="1"/>
        <v>1</v>
      </c>
      <c r="Z22">
        <f ca="1"/>
        <v>2.3412689420328903</v>
      </c>
      <c r="AA22">
        <f ca="1"/>
        <v>0</v>
      </c>
      <c r="AB22">
        <f ca="1"/>
        <v>0</v>
      </c>
      <c r="AD22" s="2">
        <f t="shared" ca="1" si="2"/>
        <v>45062</v>
      </c>
      <c r="AE22">
        <f t="shared" ca="1" si="3"/>
        <v>0</v>
      </c>
      <c r="AG22" s="63">
        <f t="shared" ca="1" si="7"/>
        <v>46.42628069177988</v>
      </c>
      <c r="AH22" s="63">
        <f t="shared" ca="1" si="8"/>
        <v>46.42628069177988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si="4"/>
        <v>78</v>
      </c>
      <c r="H23" s="95">
        <f t="shared" si="6"/>
        <v>45003</v>
      </c>
      <c r="I23" s="119">
        <f>HLOOKUP($H$5,'Met Data'!$A$2:$F$368,G23,FALSE)</f>
        <v>17.62</v>
      </c>
      <c r="J23" s="119">
        <f ca="1">HLOOKUP($H$5,'Met Data'!$H$2:$M$368,G23,FALSE)*L23</f>
        <v>1.69</v>
      </c>
      <c r="K23" s="96">
        <f>HLOOKUP($H$5,'Met Data'!$O$2:$T$368,G23,FALSE)</f>
        <v>3.17632774581707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45063</v>
      </c>
      <c r="Q23">
        <f ca="1"/>
        <v>45.23319660162818</v>
      </c>
      <c r="R23">
        <f ca="1"/>
        <v>0</v>
      </c>
      <c r="S23">
        <f ca="1"/>
        <v>-0.16997553709502711</v>
      </c>
      <c r="T23" s="4">
        <f ca="1"/>
        <v>0.31422740275416272</v>
      </c>
      <c r="U23">
        <f ca="1"/>
        <v>0</v>
      </c>
      <c r="V23">
        <f ca="1"/>
        <v>0</v>
      </c>
      <c r="W23">
        <f ca="1"/>
        <v>0</v>
      </c>
      <c r="X23">
        <f ca="1"/>
        <v>0.64195780828258964</v>
      </c>
      <c r="Y23">
        <f ca="1"/>
        <v>1</v>
      </c>
      <c r="Z23">
        <f ca="1"/>
        <v>2.1851901968618748</v>
      </c>
      <c r="AA23">
        <f ca="1"/>
        <v>0</v>
      </c>
      <c r="AB23">
        <f ca="1"/>
        <v>0</v>
      </c>
      <c r="AD23" s="2">
        <f t="shared" ca="1" si="2"/>
        <v>45063</v>
      </c>
      <c r="AE23">
        <f t="shared" ca="1" si="3"/>
        <v>0</v>
      </c>
      <c r="AG23" s="63">
        <f t="shared" ca="1" si="7"/>
        <v>45.87515440991077</v>
      </c>
      <c r="AH23" s="63">
        <f t="shared" ca="1" si="8"/>
        <v>45.87515440991077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si="4"/>
        <v>79</v>
      </c>
      <c r="H24" s="95">
        <f t="shared" si="6"/>
        <v>45004</v>
      </c>
      <c r="I24" s="119">
        <f>HLOOKUP($H$5,'Met Data'!$A$2:$F$368,G24,FALSE)</f>
        <v>17.170000000000002</v>
      </c>
      <c r="J24" s="119">
        <f ca="1">HLOOKUP($H$5,'Met Data'!$H$2:$M$368,G24,FALSE)*L24</f>
        <v>1.5166666666666599</v>
      </c>
      <c r="K24" s="96">
        <f>HLOOKUP($H$5,'Met Data'!$O$2:$T$368,G24,FALSE)</f>
        <v>3.38121466442426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45064</v>
      </c>
      <c r="Q24">
        <f ca="1"/>
        <v>44.791693988166863</v>
      </c>
      <c r="R24">
        <f ca="1"/>
        <v>0</v>
      </c>
      <c r="S24">
        <f ca="1"/>
        <v>-0.16069541296063417</v>
      </c>
      <c r="T24" s="4">
        <f ca="1"/>
        <v>0.31033888473596166</v>
      </c>
      <c r="U24">
        <f ca="1"/>
        <v>0</v>
      </c>
      <c r="V24">
        <f ca="1"/>
        <v>0</v>
      </c>
      <c r="W24">
        <f ca="1"/>
        <v>0</v>
      </c>
      <c r="X24">
        <f ca="1"/>
        <v>0.59114608523664147</v>
      </c>
      <c r="Y24">
        <f ca="1"/>
        <v>1</v>
      </c>
      <c r="Z24">
        <f ca="1"/>
        <v>2.032063936865498</v>
      </c>
      <c r="AA24">
        <f ca="1"/>
        <v>0</v>
      </c>
      <c r="AB24">
        <f ca="1"/>
        <v>0</v>
      </c>
      <c r="AD24" s="2">
        <f t="shared" ca="1" si="2"/>
        <v>45064</v>
      </c>
      <c r="AE24">
        <f t="shared" ca="1" si="3"/>
        <v>0</v>
      </c>
      <c r="AG24" s="63">
        <f t="shared" ca="1" si="7"/>
        <v>45.382840073403507</v>
      </c>
      <c r="AH24" s="63">
        <f t="shared" ca="1" si="8"/>
        <v>45.382840073403507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GroundStore Potato Agria</v>
      </c>
      <c r="G25" s="3">
        <f t="shared" si="4"/>
        <v>80</v>
      </c>
      <c r="H25" s="95">
        <f t="shared" si="6"/>
        <v>45005</v>
      </c>
      <c r="I25" s="119">
        <f>HLOOKUP($H$5,'Met Data'!$A$2:$F$368,G25,FALSE)</f>
        <v>17.223333333333301</v>
      </c>
      <c r="J25" s="119">
        <f ca="1">HLOOKUP($H$5,'Met Data'!$H$2:$M$368,G25,FALSE)*L25</f>
        <v>3.56451612903225</v>
      </c>
      <c r="K25" s="96">
        <f>HLOOKUP($H$5,'Met Data'!$O$2:$T$368,G25,FALSE)</f>
        <v>3.2035769560803802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45065</v>
      </c>
      <c r="Q25">
        <f ca="1"/>
        <v>44.957106364418493</v>
      </c>
      <c r="R25">
        <f ca="1"/>
        <v>0</v>
      </c>
      <c r="S25">
        <f ca="1"/>
        <v>-0.15850735158617191</v>
      </c>
      <c r="T25" s="4">
        <f ca="1"/>
        <v>0.3239197278378067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0.99309578519490127</v>
      </c>
      <c r="Z25">
        <f ca="1"/>
        <v>0</v>
      </c>
      <c r="AA25">
        <f ca="1"/>
        <v>0</v>
      </c>
      <c r="AB25">
        <f ca="1"/>
        <v>0</v>
      </c>
      <c r="AD25" s="2">
        <f t="shared" ca="1" si="2"/>
        <v>45065</v>
      </c>
      <c r="AE25">
        <f t="shared" ca="1" si="3"/>
        <v>0</v>
      </c>
      <c r="AG25" s="63">
        <f t="shared" ca="1" si="7"/>
        <v>44.957106364418493</v>
      </c>
      <c r="AH25" s="63">
        <f t="shared" ca="1" si="8"/>
        <v>44.957106364418493</v>
      </c>
      <c r="AI25" s="3">
        <f t="shared" ca="1" si="9"/>
        <v>0</v>
      </c>
    </row>
    <row r="26" spans="1:35">
      <c r="A26" s="9" t="s">
        <v>242</v>
      </c>
      <c r="B26" s="11">
        <f>CurrentYield</f>
        <v>80</v>
      </c>
      <c r="G26" s="3">
        <f t="shared" si="4"/>
        <v>81</v>
      </c>
      <c r="H26" s="95">
        <f t="shared" si="6"/>
        <v>45006</v>
      </c>
      <c r="I26" s="119">
        <f>HLOOKUP($H$5,'Met Data'!$A$2:$F$368,G26,FALSE)</f>
        <v>17.498333333333299</v>
      </c>
      <c r="J26" s="119">
        <f ca="1">HLOOKUP($H$5,'Met Data'!$H$2:$M$368,G26,FALSE)*L26</f>
        <v>0.80645161290322498</v>
      </c>
      <c r="K26" s="96">
        <f>HLOOKUP($H$5,'Met Data'!$O$2:$T$368,G26,FALSE)</f>
        <v>3.31927458571925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45066</v>
      </c>
      <c r="Q26">
        <f ca="1"/>
        <v>44.155072343214222</v>
      </c>
      <c r="R26">
        <f ca="1"/>
        <v>0</v>
      </c>
      <c r="S26">
        <f ca="1"/>
        <v>-0.15049788637565698</v>
      </c>
      <c r="T26" s="4">
        <f ca="1"/>
        <v>0.32255005153559602</v>
      </c>
      <c r="U26">
        <f ca="1"/>
        <v>0</v>
      </c>
      <c r="V26">
        <f ca="1"/>
        <v>0</v>
      </c>
      <c r="W26">
        <f ca="1"/>
        <v>0</v>
      </c>
      <c r="X26">
        <f ca="1"/>
        <v>0.97408618636421129</v>
      </c>
      <c r="Y26">
        <f ca="1"/>
        <v>1</v>
      </c>
      <c r="Z26">
        <f ca="1"/>
        <v>3.3966971120421618</v>
      </c>
      <c r="AA26">
        <f ca="1"/>
        <v>0</v>
      </c>
      <c r="AB26">
        <f ca="1"/>
        <v>0</v>
      </c>
      <c r="AD26" s="2">
        <f t="shared" ca="1" si="2"/>
        <v>45066</v>
      </c>
      <c r="AE26">
        <f t="shared" ca="1" si="3"/>
        <v>0</v>
      </c>
      <c r="AG26" s="63">
        <f t="shared" ca="1" si="7"/>
        <v>45.129158529578426</v>
      </c>
      <c r="AH26" s="63">
        <f t="shared" ca="1" si="8"/>
        <v>45.129158529578433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si="4"/>
        <v>82</v>
      </c>
      <c r="H27" s="95">
        <f t="shared" si="6"/>
        <v>45007</v>
      </c>
      <c r="I27" s="119">
        <f>HLOOKUP($H$5,'Met Data'!$A$2:$F$368,G27,FALSE)</f>
        <v>17.390322580645101</v>
      </c>
      <c r="J27" s="119">
        <f ca="1">HLOOKUP($H$5,'Met Data'!$H$2:$M$368,G27,FALSE)*L27</f>
        <v>2.8516129032258002</v>
      </c>
      <c r="K27" s="96">
        <f>HLOOKUP($H$5,'Met Data'!$O$2:$T$368,G27,FALSE)</f>
        <v>3.3284502448926401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45067</v>
      </c>
      <c r="Q27">
        <f ca="1"/>
        <v>43.310827787570943</v>
      </c>
      <c r="R27">
        <f ca="1"/>
        <v>0</v>
      </c>
      <c r="S27">
        <f ca="1"/>
        <v>-0.14609949647689735</v>
      </c>
      <c r="T27" s="4">
        <f ca="1"/>
        <v>0.33063650383638249</v>
      </c>
      <c r="U27">
        <f ca="1"/>
        <v>0</v>
      </c>
      <c r="V27">
        <f ca="1"/>
        <v>0</v>
      </c>
      <c r="W27">
        <f ca="1"/>
        <v>0</v>
      </c>
      <c r="X27">
        <f ca="1"/>
        <v>1.0287815630027612</v>
      </c>
      <c r="Y27">
        <f ca="1"/>
        <v>1</v>
      </c>
      <c r="Z27">
        <f ca="1"/>
        <v>3.6573517089452068</v>
      </c>
      <c r="AA27">
        <f ca="1"/>
        <v>0</v>
      </c>
      <c r="AB27">
        <f ca="1"/>
        <v>0</v>
      </c>
      <c r="AD27" s="2">
        <f t="shared" ca="1" si="2"/>
        <v>45067</v>
      </c>
      <c r="AE27">
        <f t="shared" ca="1" si="3"/>
        <v>0</v>
      </c>
      <c r="AG27" s="63">
        <f t="shared" ca="1" si="7"/>
        <v>44.339609350573703</v>
      </c>
      <c r="AH27" s="63">
        <f t="shared" ca="1" si="8"/>
        <v>44.339609350573703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si="4"/>
        <v>83</v>
      </c>
      <c r="H28" s="95">
        <f t="shared" si="6"/>
        <v>45008</v>
      </c>
      <c r="I28" s="119">
        <f>HLOOKUP($H$5,'Met Data'!$A$2:$F$368,G28,FALSE)</f>
        <v>17.053333333333299</v>
      </c>
      <c r="J28" s="119">
        <f ca="1">HLOOKUP($H$5,'Met Data'!$H$2:$M$368,G28,FALSE)*L28</f>
        <v>2.9933333333333301</v>
      </c>
      <c r="K28" s="96">
        <f>HLOOKUP($H$5,'Met Data'!$O$2:$T$368,G28,FALSE)</f>
        <v>3.1676733133647299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45068</v>
      </c>
      <c r="Q28">
        <f ca="1"/>
        <v>42.573130952786585</v>
      </c>
      <c r="R28">
        <f ca="1"/>
        <v>0</v>
      </c>
      <c r="S28">
        <f ca="1"/>
        <v>-0.13409501663579082</v>
      </c>
      <c r="T28" s="4">
        <f ca="1"/>
        <v>0.31580019045705682</v>
      </c>
      <c r="U28">
        <f ca="1"/>
        <v>0</v>
      </c>
      <c r="V28">
        <f ca="1"/>
        <v>0</v>
      </c>
      <c r="W28">
        <f ca="1"/>
        <v>0</v>
      </c>
      <c r="X28">
        <f ca="1"/>
        <v>0.91940200860561938</v>
      </c>
      <c r="Y28">
        <f ca="1"/>
        <v>1</v>
      </c>
      <c r="Z28">
        <f ca="1"/>
        <v>3.3251396957355013</v>
      </c>
      <c r="AA28">
        <f ca="1"/>
        <v>0</v>
      </c>
      <c r="AB28">
        <f ca="1"/>
        <v>0</v>
      </c>
      <c r="AD28" s="2">
        <f t="shared" ca="1" si="2"/>
        <v>45068</v>
      </c>
      <c r="AE28">
        <f t="shared" ca="1" si="3"/>
        <v>0</v>
      </c>
      <c r="AG28" s="63">
        <f t="shared" ca="1" si="7"/>
        <v>43.492532961392207</v>
      </c>
      <c r="AH28" s="63">
        <f t="shared" ca="1" si="8"/>
        <v>43.492532961392207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si="4"/>
        <v>84</v>
      </c>
      <c r="H29" s="95">
        <f t="shared" si="6"/>
        <v>45009</v>
      </c>
      <c r="I29" s="119">
        <f>HLOOKUP($H$5,'Met Data'!$A$2:$F$368,G29,FALSE)</f>
        <v>16.973333333333301</v>
      </c>
      <c r="J29" s="119">
        <f ca="1">HLOOKUP($H$5,'Met Data'!$H$2:$M$368,G29,FALSE)*L29</f>
        <v>1.83666666666666</v>
      </c>
      <c r="K29" s="96">
        <f>HLOOKUP($H$5,'Met Data'!$O$2:$T$368,G29,FALSE)</f>
        <v>3.1307694102164598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45069</v>
      </c>
      <c r="Q29">
        <f ca="1"/>
        <v>41.060575728393147</v>
      </c>
      <c r="R29">
        <f ca="1"/>
        <v>0</v>
      </c>
      <c r="S29">
        <f ca="1"/>
        <v>-0.12562777941385228</v>
      </c>
      <c r="T29" s="4">
        <f ca="1"/>
        <v>0.30913818311730618</v>
      </c>
      <c r="U29">
        <f ca="1"/>
        <v>0</v>
      </c>
      <c r="V29">
        <f ca="1"/>
        <v>0</v>
      </c>
      <c r="W29">
        <f ca="1"/>
        <v>0</v>
      </c>
      <c r="X29">
        <f ca="1"/>
        <v>1.6960656280968891</v>
      </c>
      <c r="Y29">
        <f ca="1"/>
        <v>1</v>
      </c>
      <c r="Z29">
        <f ca="1"/>
        <v>6.3600079202861863</v>
      </c>
      <c r="AA29">
        <f ca="1"/>
        <v>0</v>
      </c>
      <c r="AB29">
        <f ca="1"/>
        <v>0</v>
      </c>
      <c r="AD29" s="2">
        <f t="shared" ca="1" si="2"/>
        <v>45069</v>
      </c>
      <c r="AE29">
        <f t="shared" ca="1" si="3"/>
        <v>0</v>
      </c>
      <c r="AG29" s="63">
        <f t="shared" ca="1" si="7"/>
        <v>42.756641356490036</v>
      </c>
      <c r="AH29" s="63">
        <f t="shared" ca="1" si="8"/>
        <v>42.756641356490036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si="4"/>
        <v>85</v>
      </c>
      <c r="H30" s="95">
        <f t="shared" si="6"/>
        <v>45010</v>
      </c>
      <c r="I30" s="119">
        <f>HLOOKUP($H$5,'Met Data'!$A$2:$F$368,G30,FALSE)</f>
        <v>16.984999999999999</v>
      </c>
      <c r="J30" s="119">
        <f ca="1">HLOOKUP($H$5,'Met Data'!$H$2:$M$368,G30,FALSE)*L30</f>
        <v>1.7666666666666599</v>
      </c>
      <c r="K30" s="96">
        <f>HLOOKUP($H$5,'Met Data'!$O$2:$T$368,G30,FALSE)</f>
        <v>2.9971927749729499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45070</v>
      </c>
      <c r="Q30">
        <f ca="1"/>
        <v>40.24779776355409</v>
      </c>
      <c r="R30">
        <f ca="1"/>
        <v>0</v>
      </c>
      <c r="S30">
        <f ca="1"/>
        <v>-0.11907812778064208</v>
      </c>
      <c r="T30" s="4">
        <f ca="1"/>
        <v>0.3071434078039601</v>
      </c>
      <c r="U30">
        <f ca="1"/>
        <v>0</v>
      </c>
      <c r="V30">
        <f ca="1"/>
        <v>0</v>
      </c>
      <c r="W30">
        <f ca="1"/>
        <v>0</v>
      </c>
      <c r="X30">
        <f ca="1"/>
        <v>1.0008432448623821</v>
      </c>
      <c r="Y30">
        <f ca="1"/>
        <v>1</v>
      </c>
      <c r="Z30">
        <f ca="1"/>
        <v>3.8288114340229527</v>
      </c>
      <c r="AA30">
        <f ca="1"/>
        <v>0</v>
      </c>
      <c r="AB30">
        <f ca="1"/>
        <v>0</v>
      </c>
      <c r="AD30" s="2">
        <f t="shared" ca="1" si="2"/>
        <v>45070</v>
      </c>
      <c r="AE30">
        <f t="shared" ca="1" si="3"/>
        <v>0</v>
      </c>
      <c r="AG30" s="63">
        <f t="shared" ca="1" si="7"/>
        <v>41.24864100841647</v>
      </c>
      <c r="AH30" s="63">
        <f t="shared" ca="1" si="8"/>
        <v>41.24864100841647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79</v>
      </c>
      <c r="G31" s="3">
        <f t="shared" si="4"/>
        <v>86</v>
      </c>
      <c r="H31" s="95">
        <f t="shared" si="6"/>
        <v>45011</v>
      </c>
      <c r="I31" s="119">
        <f>HLOOKUP($H$5,'Met Data'!$A$2:$F$368,G31,FALSE)</f>
        <v>17.064516129032199</v>
      </c>
      <c r="J31" s="119">
        <f ca="1">HLOOKUP($H$5,'Met Data'!$H$2:$M$368,G31,FALSE)*L31</f>
        <v>3.4354838709677402</v>
      </c>
      <c r="K31" s="96">
        <f>HLOOKUP($H$5,'Met Data'!$O$2:$T$368,G31,FALSE)</f>
        <v>3.1405308327099699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45071</v>
      </c>
      <c r="Q31">
        <f ca="1"/>
        <v>39.305498652479308</v>
      </c>
      <c r="R31">
        <f ca="1"/>
        <v>0</v>
      </c>
      <c r="S31">
        <f ca="1"/>
        <v>-0.11555433972077012</v>
      </c>
      <c r="T31" s="4">
        <f ca="1"/>
        <v>0.31484695179137334</v>
      </c>
      <c r="U31">
        <f ca="1"/>
        <v>0</v>
      </c>
      <c r="V31">
        <f ca="1"/>
        <v>0</v>
      </c>
      <c r="W31">
        <f ca="1"/>
        <v>0</v>
      </c>
      <c r="X31">
        <f ca="1"/>
        <v>1.1415917231453898</v>
      </c>
      <c r="Y31">
        <f ca="1"/>
        <v>1</v>
      </c>
      <c r="Z31">
        <f ca="1"/>
        <v>4.4719561770488312</v>
      </c>
      <c r="AA31">
        <f ca="1"/>
        <v>0</v>
      </c>
      <c r="AB31">
        <f ca="1"/>
        <v>0</v>
      </c>
      <c r="AD31" s="2">
        <f t="shared" ca="1" si="2"/>
        <v>45071</v>
      </c>
      <c r="AE31">
        <f t="shared" ca="1" si="3"/>
        <v>0</v>
      </c>
      <c r="AG31" s="63">
        <f t="shared" ca="1" si="7"/>
        <v>40.44709037562469</v>
      </c>
      <c r="AH31" s="63">
        <f t="shared" ca="1" si="8"/>
        <v>40.447090375624697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45143</v>
      </c>
      <c r="G32" s="3">
        <f t="shared" si="4"/>
        <v>87</v>
      </c>
      <c r="H32" s="95">
        <f t="shared" si="6"/>
        <v>45012</v>
      </c>
      <c r="I32" s="119">
        <f>HLOOKUP($H$5,'Met Data'!$A$2:$F$368,G32,FALSE)</f>
        <v>17.208064516128999</v>
      </c>
      <c r="J32" s="119">
        <f ca="1">HLOOKUP($H$5,'Met Data'!$H$2:$M$368,G32,FALSE)*L32</f>
        <v>0.97419354838709604</v>
      </c>
      <c r="K32" s="96">
        <f>HLOOKUP($H$5,'Met Data'!$O$2:$T$368,G32,FALSE)</f>
        <v>3.1295018555019598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45072</v>
      </c>
      <c r="Q32">
        <f ca="1"/>
        <v>38.165945969572221</v>
      </c>
      <c r="R32">
        <f ca="1"/>
        <v>0</v>
      </c>
      <c r="S32">
        <f ca="1"/>
        <v>-0.11288707490029726</v>
      </c>
      <c r="T32" s="4">
        <f ca="1"/>
        <v>0.32610945860346696</v>
      </c>
      <c r="U32">
        <f ca="1"/>
        <v>0</v>
      </c>
      <c r="V32">
        <f ca="1"/>
        <v>0</v>
      </c>
      <c r="W32">
        <f ca="1"/>
        <v>0</v>
      </c>
      <c r="X32">
        <f ca="1"/>
        <v>1.3527750666102532</v>
      </c>
      <c r="Y32">
        <f ca="1"/>
        <v>1</v>
      </c>
      <c r="Z32">
        <f ca="1"/>
        <v>5.4574478820009702</v>
      </c>
      <c r="AA32">
        <f ca="1"/>
        <v>0</v>
      </c>
      <c r="AB32">
        <f ca="1"/>
        <v>0</v>
      </c>
      <c r="AD32" s="2">
        <f t="shared" ca="1" si="2"/>
        <v>45072</v>
      </c>
      <c r="AE32">
        <f t="shared" ca="1" si="3"/>
        <v>0</v>
      </c>
      <c r="AG32" s="63">
        <f t="shared" ca="1" si="7"/>
        <v>39.518721036182477</v>
      </c>
      <c r="AH32" s="63">
        <f t="shared" ca="1" si="8"/>
        <v>39.518721036182477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si="4"/>
        <v>88</v>
      </c>
      <c r="H33" s="95">
        <f t="shared" si="6"/>
        <v>45013</v>
      </c>
      <c r="I33" s="119">
        <f>HLOOKUP($H$5,'Met Data'!$A$2:$F$368,G33,FALSE)</f>
        <v>17.141666666666602</v>
      </c>
      <c r="J33" s="119">
        <f ca="1">HLOOKUP($H$5,'Met Data'!$H$2:$M$368,G33,FALSE)*L33</f>
        <v>2.43225806451612</v>
      </c>
      <c r="K33" s="96">
        <f>HLOOKUP($H$5,'Met Data'!$O$2:$T$368,G33,FALSE)</f>
        <v>2.6600638405747499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45073</v>
      </c>
      <c r="Q33">
        <f ca="1"/>
        <v>37.680118695720473</v>
      </c>
      <c r="R33">
        <f ca="1"/>
        <v>0</v>
      </c>
      <c r="S33">
        <f ca="1"/>
        <v>-0.10272091216610413</v>
      </c>
      <c r="T33" s="4">
        <f ca="1"/>
        <v>0.30871048122036637</v>
      </c>
      <c r="U33">
        <f ca="1"/>
        <v>0</v>
      </c>
      <c r="V33">
        <f ca="1"/>
        <v>0</v>
      </c>
      <c r="W33">
        <f ca="1"/>
        <v>0</v>
      </c>
      <c r="X33">
        <f ca="1"/>
        <v>0.69181684290600631</v>
      </c>
      <c r="Y33">
        <f ca="1"/>
        <v>1</v>
      </c>
      <c r="Z33">
        <f ca="1"/>
        <v>2.8269550753199724</v>
      </c>
      <c r="AA33">
        <f ca="1"/>
        <v>0</v>
      </c>
      <c r="AB33">
        <f ca="1"/>
        <v>0</v>
      </c>
      <c r="AD33" s="2">
        <f t="shared" ca="1" si="2"/>
        <v>45073</v>
      </c>
      <c r="AE33">
        <f t="shared" ca="1" si="3"/>
        <v>0</v>
      </c>
      <c r="AG33" s="63">
        <f t="shared" ca="1" si="7"/>
        <v>38.371935538626481</v>
      </c>
      <c r="AH33" s="63">
        <f t="shared" ca="1" si="8"/>
        <v>38.371935538626481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45293</v>
      </c>
      <c r="G34" s="3">
        <f t="shared" si="4"/>
        <v>89</v>
      </c>
      <c r="H34" s="95">
        <f t="shared" si="6"/>
        <v>45014</v>
      </c>
      <c r="I34" s="119">
        <f>HLOOKUP($H$5,'Met Data'!$A$2:$F$368,G34,FALSE)</f>
        <v>17.338333333333299</v>
      </c>
      <c r="J34" s="119">
        <f ca="1">HLOOKUP($H$5,'Met Data'!$H$2:$M$368,G34,FALSE)*L34</f>
        <v>2.8193548387096699</v>
      </c>
      <c r="K34" s="96">
        <f>HLOOKUP($H$5,'Met Data'!$O$2:$T$368,G34,FALSE)</f>
        <v>2.7816184084358899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45074</v>
      </c>
      <c r="Q34">
        <f ca="1"/>
        <v>37.312783644559595</v>
      </c>
      <c r="R34">
        <f ca="1"/>
        <v>0</v>
      </c>
      <c r="S34">
        <f ca="1"/>
        <v>-9.2936194007336326E-2</v>
      </c>
      <c r="T34" s="4">
        <f ca="1"/>
        <v>0.2890276474481529</v>
      </c>
      <c r="U34">
        <f ca="1"/>
        <v>0</v>
      </c>
      <c r="V34">
        <f ca="1"/>
        <v>0</v>
      </c>
      <c r="W34">
        <f ca="1"/>
        <v>0</v>
      </c>
      <c r="X34">
        <f ca="1"/>
        <v>0.56342650460169619</v>
      </c>
      <c r="Y34">
        <f ca="1"/>
        <v>1</v>
      </c>
      <c r="Z34">
        <f ca="1"/>
        <v>2.3249823549977151</v>
      </c>
      <c r="AA34">
        <f ca="1"/>
        <v>0</v>
      </c>
      <c r="AB34">
        <f ca="1"/>
        <v>0</v>
      </c>
      <c r="AD34" s="2">
        <f t="shared" ca="1" si="2"/>
        <v>45074</v>
      </c>
      <c r="AE34">
        <f t="shared" ca="1" si="3"/>
        <v>0</v>
      </c>
      <c r="AG34" s="63">
        <f t="shared" ca="1" si="7"/>
        <v>37.876210149161288</v>
      </c>
      <c r="AH34" s="63">
        <f t="shared" ca="1" si="8"/>
        <v>37.876210149161288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</v>
      </c>
      <c r="G35" s="3">
        <f t="shared" si="4"/>
        <v>90</v>
      </c>
      <c r="H35" s="95">
        <f t="shared" si="6"/>
        <v>45015</v>
      </c>
      <c r="I35" s="119">
        <f>HLOOKUP($H$5,'Met Data'!$A$2:$F$368,G35,FALSE)</f>
        <v>17.136206896551698</v>
      </c>
      <c r="J35" s="119">
        <f ca="1">HLOOKUP($H$5,'Met Data'!$H$2:$M$368,G35,FALSE)*L35</f>
        <v>1.15333333333333</v>
      </c>
      <c r="K35" s="96">
        <f>HLOOKUP($H$5,'Met Data'!$O$2:$T$368,G35,FALSE)</f>
        <v>3.16549451986696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45075</v>
      </c>
      <c r="Q35">
        <f ca="1"/>
        <v>36.669480446877451</v>
      </c>
      <c r="R35">
        <f ca="1"/>
        <v>0</v>
      </c>
      <c r="S35">
        <f ca="1"/>
        <v>-8.6327933034633375E-2</v>
      </c>
      <c r="T35" s="4">
        <f ca="1"/>
        <v>0.27938442989230022</v>
      </c>
      <c r="U35">
        <f ca="1"/>
        <v>0</v>
      </c>
      <c r="V35">
        <f ca="1"/>
        <v>0</v>
      </c>
      <c r="W35">
        <f ca="1"/>
        <v>0</v>
      </c>
      <c r="X35">
        <f ca="1"/>
        <v>0.83635969453981263</v>
      </c>
      <c r="Y35">
        <f ca="1"/>
        <v>1</v>
      </c>
      <c r="Z35">
        <f ca="1"/>
        <v>3.5117886968939303</v>
      </c>
      <c r="AA35">
        <f ca="1"/>
        <v>0</v>
      </c>
      <c r="AB35">
        <f ca="1"/>
        <v>0</v>
      </c>
      <c r="AD35" s="2">
        <f t="shared" ca="1" si="2"/>
        <v>45075</v>
      </c>
      <c r="AE35">
        <f t="shared" ca="1" si="3"/>
        <v>0</v>
      </c>
      <c r="AG35" s="63">
        <f t="shared" ca="1" si="7"/>
        <v>37.505840141417266</v>
      </c>
      <c r="AH35" s="63">
        <f t="shared" ca="1" si="8"/>
        <v>37.505840141417266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si="4"/>
        <v>91</v>
      </c>
      <c r="H36" s="95">
        <f t="shared" si="6"/>
        <v>45016</v>
      </c>
      <c r="I36" s="119">
        <f>HLOOKUP($H$5,'Met Data'!$A$2:$F$368,G36,FALSE)</f>
        <v>16.922413793103399</v>
      </c>
      <c r="J36" s="119">
        <f ca="1">HLOOKUP($H$5,'Met Data'!$H$2:$M$368,G36,FALSE)*L36</f>
        <v>2.9733333333333301</v>
      </c>
      <c r="K36" s="96">
        <f>HLOOKUP($H$5,'Met Data'!$O$2:$T$368,G36,FALSE)</f>
        <v>2.84233525233393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45076</v>
      </c>
      <c r="Q36">
        <f ca="1"/>
        <v>35.922299766317266</v>
      </c>
      <c r="R36">
        <f ca="1"/>
        <v>0</v>
      </c>
      <c r="S36">
        <f ca="1"/>
        <v>-8.3986092032346527E-2</v>
      </c>
      <c r="T36" s="4">
        <f ca="1"/>
        <v>0.2873366779464504</v>
      </c>
      <c r="U36">
        <f ca="1"/>
        <v>0</v>
      </c>
      <c r="V36">
        <f ca="1"/>
        <v>0</v>
      </c>
      <c r="W36">
        <f ca="1"/>
        <v>0</v>
      </c>
      <c r="X36">
        <f ca="1"/>
        <v>0.95053126647428321</v>
      </c>
      <c r="Y36">
        <f ca="1"/>
        <v>1</v>
      </c>
      <c r="Z36">
        <f ca="1"/>
        <v>4.0741996988564466</v>
      </c>
      <c r="AA36">
        <f ca="1"/>
        <v>0</v>
      </c>
      <c r="AB36">
        <f ca="1"/>
        <v>0</v>
      </c>
      <c r="AD36" s="2">
        <f t="shared" ca="1" si="2"/>
        <v>45076</v>
      </c>
      <c r="AE36">
        <f t="shared" ca="1" si="3"/>
        <v>0</v>
      </c>
      <c r="AG36" s="63">
        <f t="shared" ca="1" si="7"/>
        <v>36.872831032791552</v>
      </c>
      <c r="AH36" s="63">
        <f t="shared" ca="1" si="8"/>
        <v>36.872831032791552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si="4"/>
        <v>92</v>
      </c>
      <c r="H37" s="95">
        <f t="shared" si="6"/>
        <v>45017</v>
      </c>
      <c r="I37" s="119">
        <f>HLOOKUP($H$5,'Met Data'!$A$2:$F$368,G37,FALSE)</f>
        <v>16.63</v>
      </c>
      <c r="J37" s="119">
        <f ca="1">HLOOKUP($H$5,'Met Data'!$H$2:$M$368,G37,FALSE)*L37</f>
        <v>1.76451612903225</v>
      </c>
      <c r="K37" s="96">
        <f>HLOOKUP($H$5,'Met Data'!$O$2:$T$368,G37,FALSE)</f>
        <v>2.8748972399291501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45077</v>
      </c>
      <c r="Q37">
        <f ca="1"/>
        <v>35.155965405427708</v>
      </c>
      <c r="R37">
        <f ca="1"/>
        <v>0</v>
      </c>
      <c r="S37">
        <f ca="1"/>
        <v>-7.8314088198964349E-2</v>
      </c>
      <c r="T37">
        <f ca="1"/>
        <v>0.2795512880348579</v>
      </c>
      <c r="U37">
        <f ca="1"/>
        <v>0</v>
      </c>
      <c r="V37">
        <f ca="1"/>
        <v>0</v>
      </c>
      <c r="W37">
        <f ca="1"/>
        <v>0</v>
      </c>
      <c r="X37">
        <f ca="1"/>
        <v>0.96757156072545014</v>
      </c>
      <c r="Y37">
        <f ca="1"/>
        <v>1</v>
      </c>
      <c r="Z37">
        <f ca="1"/>
        <v>4.2376404405262917</v>
      </c>
      <c r="AA37">
        <f ca="1"/>
        <v>0</v>
      </c>
      <c r="AB37">
        <f ca="1"/>
        <v>0</v>
      </c>
      <c r="AD37" s="2">
        <f t="shared" ca="1" si="2"/>
        <v>45077</v>
      </c>
      <c r="AE37">
        <f t="shared" ca="1" si="3"/>
        <v>0</v>
      </c>
      <c r="AG37" s="63">
        <f t="shared" ca="1" si="7"/>
        <v>36.123536966153161</v>
      </c>
      <c r="AH37" s="63">
        <f t="shared" ca="1" si="8"/>
        <v>36.123536966153161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si="4"/>
        <v>93</v>
      </c>
      <c r="H38" s="95">
        <f t="shared" si="6"/>
        <v>45018</v>
      </c>
      <c r="I38" s="119">
        <f>HLOOKUP($H$5,'Met Data'!$A$2:$F$368,G38,FALSE)</f>
        <v>16.5379310344827</v>
      </c>
      <c r="J38" s="119">
        <f ca="1">HLOOKUP($H$5,'Met Data'!$H$2:$M$368,G38,FALSE)*L38</f>
        <v>3.32258064516129</v>
      </c>
      <c r="K38" s="96">
        <f>HLOOKUP($H$5,'Met Data'!$O$2:$T$368,G38,FALSE)</f>
        <v>2.5469261916112398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45078</v>
      </c>
      <c r="Q38">
        <f ca="1"/>
        <v>34.780824378553369</v>
      </c>
      <c r="R38">
        <f ca="1"/>
        <v>0</v>
      </c>
      <c r="S38">
        <f ca="1"/>
        <v>-7.4698164260953881E-2</v>
      </c>
      <c r="T38">
        <f ca="1"/>
        <v>0.28034471563168817</v>
      </c>
      <c r="U38">
        <f ca="1"/>
        <v>0</v>
      </c>
      <c r="V38">
        <f ca="1"/>
        <v>0</v>
      </c>
      <c r="W38">
        <f ca="1"/>
        <v>0</v>
      </c>
      <c r="X38">
        <f ca="1"/>
        <v>0.58078757824507254</v>
      </c>
      <c r="Y38">
        <f ca="1"/>
        <v>1</v>
      </c>
      <c r="Z38">
        <f ca="1"/>
        <v>2.8738966075927124</v>
      </c>
      <c r="AA38">
        <f ca="1"/>
        <v>0</v>
      </c>
      <c r="AB38">
        <f ca="1"/>
        <v>0</v>
      </c>
      <c r="AD38" s="2">
        <f t="shared" ca="1" si="2"/>
        <v>45078</v>
      </c>
      <c r="AE38">
        <f t="shared" ca="1" si="3"/>
        <v>0</v>
      </c>
      <c r="AG38" s="63">
        <f t="shared" ca="1" si="7"/>
        <v>35.361611956798441</v>
      </c>
      <c r="AH38" s="63">
        <f t="shared" ca="1" si="8"/>
        <v>35.361611956798441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si="4"/>
        <v>94</v>
      </c>
      <c r="H39" s="95">
        <f t="shared" si="6"/>
        <v>45019</v>
      </c>
      <c r="I39" s="119">
        <f>HLOOKUP($H$5,'Met Data'!$A$2:$F$368,G39,FALSE)</f>
        <v>16.693103448275799</v>
      </c>
      <c r="J39" s="119">
        <f ca="1">HLOOKUP($H$5,'Met Data'!$H$2:$M$368,G39,FALSE)*L39</f>
        <v>2.8064516129032202</v>
      </c>
      <c r="K39" s="96">
        <f>HLOOKUP($H$5,'Met Data'!$O$2:$T$368,G39,FALSE)</f>
        <v>2.8493466745517901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45079</v>
      </c>
      <c r="Q39">
        <f ca="1"/>
        <v>34.22859899046405</v>
      </c>
      <c r="R39">
        <f ca="1"/>
        <v>0</v>
      </c>
      <c r="S39">
        <f ca="1"/>
        <v>-7.0316727695432846E-2</v>
      </c>
      <c r="T39">
        <f ca="1"/>
        <v>0.27639439930087367</v>
      </c>
      <c r="U39">
        <f ca="1"/>
        <v>0</v>
      </c>
      <c r="V39">
        <f ca="1"/>
        <v>0</v>
      </c>
      <c r="W39">
        <f ca="1"/>
        <v>0</v>
      </c>
      <c r="X39">
        <f ca="1"/>
        <v>0.75830305969476419</v>
      </c>
      <c r="Y39">
        <f ca="1"/>
        <v>1</v>
      </c>
      <c r="Z39">
        <f ca="1"/>
        <v>3.8128294277752346</v>
      </c>
      <c r="AA39">
        <f ca="1"/>
        <v>0</v>
      </c>
      <c r="AB39">
        <f ca="1"/>
        <v>0</v>
      </c>
      <c r="AD39" s="2">
        <f t="shared" ca="1" si="2"/>
        <v>45079</v>
      </c>
      <c r="AE39">
        <f t="shared" ca="1" si="3"/>
        <v>0</v>
      </c>
      <c r="AG39" s="63">
        <f t="shared" ca="1" si="7"/>
        <v>34.986902050158811</v>
      </c>
      <c r="AH39" s="63">
        <f t="shared" ca="1" si="8"/>
        <v>34.986902050158811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si="4"/>
        <v>95</v>
      </c>
      <c r="H40" s="95">
        <f t="shared" si="6"/>
        <v>45020</v>
      </c>
      <c r="I40" s="119">
        <f>HLOOKUP($H$5,'Met Data'!$A$2:$F$368,G40,FALSE)</f>
        <v>16.29</v>
      </c>
      <c r="J40" s="119">
        <f ca="1">HLOOKUP($H$5,'Met Data'!$H$2:$M$368,G40,FALSE)*L40</f>
        <v>1.4483870967741901</v>
      </c>
      <c r="K40" s="96">
        <f>HLOOKUP($H$5,'Met Data'!$O$2:$T$368,G40,FALSE)</f>
        <v>3.04847392107171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45080</v>
      </c>
      <c r="Q40">
        <f ca="1"/>
        <v>34.170101548683625</v>
      </c>
      <c r="R40">
        <f ca="1"/>
        <v>0</v>
      </c>
      <c r="S40">
        <f ca="1"/>
        <v>-6.4445093331296555E-2</v>
      </c>
      <c r="T40">
        <f ca="1"/>
        <v>0.26257639584340525</v>
      </c>
      <c r="U40">
        <f ca="1"/>
        <v>0</v>
      </c>
      <c r="V40">
        <f ca="1"/>
        <v>0</v>
      </c>
      <c r="W40">
        <f ca="1"/>
        <v>0</v>
      </c>
      <c r="X40">
        <f ca="1"/>
        <v>0.25662874429253391</v>
      </c>
      <c r="Y40">
        <f ca="1"/>
        <v>1</v>
      </c>
      <c r="Z40">
        <f ca="1"/>
        <v>1.2925659807430492</v>
      </c>
      <c r="AA40">
        <f ca="1"/>
        <v>0</v>
      </c>
      <c r="AB40">
        <f ca="1"/>
        <v>0</v>
      </c>
      <c r="AD40" s="2">
        <f t="shared" ca="1" si="2"/>
        <v>45080</v>
      </c>
      <c r="AE40">
        <f t="shared" ca="1" si="3"/>
        <v>0</v>
      </c>
      <c r="AG40" s="63">
        <f t="shared" ca="1" si="7"/>
        <v>34.42673029297616</v>
      </c>
      <c r="AH40" s="63">
        <f t="shared" ca="1" si="8"/>
        <v>34.42673029297616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si="4"/>
        <v>96</v>
      </c>
      <c r="H41" s="95">
        <f t="shared" si="6"/>
        <v>45021</v>
      </c>
      <c r="I41" s="119">
        <f>HLOOKUP($H$5,'Met Data'!$A$2:$F$368,G41,FALSE)</f>
        <v>16.28</v>
      </c>
      <c r="J41" s="119">
        <f ca="1">HLOOKUP($H$5,'Met Data'!$H$2:$M$368,G41,FALSE)*L41</f>
        <v>1.6838709677419299</v>
      </c>
      <c r="K41" s="96">
        <f>HLOOKUP($H$5,'Met Data'!$O$2:$T$368,G41,FALSE)</f>
        <v>2.9631357104845102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45081</v>
      </c>
      <c r="Q41">
        <f ca="1"/>
        <v>33.777992798659703</v>
      </c>
      <c r="R41">
        <f ca="1"/>
        <v>0</v>
      </c>
      <c r="S41">
        <f ca="1"/>
        <v>-6.1847610009099441E-2</v>
      </c>
      <c r="T41">
        <f ca="1"/>
        <v>0.2654880172843237</v>
      </c>
      <c r="U41">
        <f ca="1"/>
        <v>0</v>
      </c>
      <c r="V41">
        <f ca="1"/>
        <v>0</v>
      </c>
      <c r="W41">
        <f ca="1"/>
        <v>0</v>
      </c>
      <c r="X41">
        <f ca="1"/>
        <v>0.59574915729914535</v>
      </c>
      <c r="Y41">
        <f ca="1"/>
        <v>1</v>
      </c>
      <c r="Z41">
        <f ca="1"/>
        <v>3.0354514425049928</v>
      </c>
      <c r="AA41">
        <f ca="1"/>
        <v>0</v>
      </c>
      <c r="AB41">
        <f ca="1"/>
        <v>0</v>
      </c>
      <c r="AD41" s="2">
        <f t="shared" ca="1" si="2"/>
        <v>45081</v>
      </c>
      <c r="AE41">
        <f t="shared" ca="1" si="3"/>
        <v>0</v>
      </c>
      <c r="AG41" s="63">
        <f t="shared" ca="1" si="7"/>
        <v>34.373741955958849</v>
      </c>
      <c r="AH41" s="63">
        <f t="shared" ca="1" si="8"/>
        <v>34.373741955958849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si="4"/>
        <v>97</v>
      </c>
      <c r="H42" s="95">
        <f t="shared" si="6"/>
        <v>45022</v>
      </c>
      <c r="I42" s="119">
        <f>HLOOKUP($H$5,'Met Data'!$A$2:$F$368,G42,FALSE)</f>
        <v>16.288333333333298</v>
      </c>
      <c r="J42" s="119">
        <f ca="1">HLOOKUP($H$5,'Met Data'!$H$2:$M$368,G42,FALSE)*L42</f>
        <v>3.1066666666666598</v>
      </c>
      <c r="K42" s="96">
        <f>HLOOKUP($H$5,'Met Data'!$O$2:$T$368,G42,FALSE)</f>
        <v>2.8364094228266699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45082</v>
      </c>
      <c r="Q42">
        <f ca="1"/>
        <v>33.589232787657338</v>
      </c>
      <c r="R42">
        <f ca="1"/>
        <v>0</v>
      </c>
      <c r="S42">
        <f ca="1"/>
        <v>-5.9335823726695658E-2</v>
      </c>
      <c r="T42">
        <f ca="1"/>
        <v>0.26871417259494607</v>
      </c>
      <c r="U42">
        <f ca="1"/>
        <v>0</v>
      </c>
      <c r="V42">
        <f ca="1"/>
        <v>0</v>
      </c>
      <c r="W42">
        <f ca="1"/>
        <v>0</v>
      </c>
      <c r="X42">
        <f ca="1"/>
        <v>0.39813835987061524</v>
      </c>
      <c r="Y42">
        <f ca="1"/>
        <v>1</v>
      </c>
      <c r="Z42">
        <f ca="1"/>
        <v>2.0399880849679874</v>
      </c>
      <c r="AA42">
        <f ca="1"/>
        <v>0</v>
      </c>
      <c r="AB42">
        <f ca="1"/>
        <v>0</v>
      </c>
      <c r="AD42" s="2">
        <f t="shared" ca="1" si="2"/>
        <v>45082</v>
      </c>
      <c r="AE42">
        <f t="shared" ca="1" si="3"/>
        <v>0</v>
      </c>
      <c r="AG42" s="63">
        <f t="shared" ca="1" si="7"/>
        <v>33.987371147527952</v>
      </c>
      <c r="AH42" s="63">
        <f t="shared" ca="1" si="8"/>
        <v>33.987371147527952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si="4"/>
        <v>98</v>
      </c>
      <c r="H43" s="95">
        <f t="shared" si="6"/>
        <v>45023</v>
      </c>
      <c r="I43" s="119">
        <f>HLOOKUP($H$5,'Met Data'!$A$2:$F$368,G43,FALSE)</f>
        <v>16.247502601456802</v>
      </c>
      <c r="J43" s="119">
        <f ca="1">HLOOKUP($H$5,'Met Data'!$H$2:$M$368,G43,FALSE)*L43</f>
        <v>2.3033333333333301</v>
      </c>
      <c r="K43" s="96">
        <f>HLOOKUP($H$5,'Met Data'!$O$2:$T$368,G43,FALSE)</f>
        <v>2.7733248568186499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45083</v>
      </c>
      <c r="Q43">
        <f ca="1"/>
        <v>33.382307788198567</v>
      </c>
      <c r="R43">
        <f ca="1"/>
        <v>0</v>
      </c>
      <c r="S43">
        <f ca="1"/>
        <v>-5.6138453589922754E-2</v>
      </c>
      <c r="T43">
        <f ca="1"/>
        <v>0.26720278992318314</v>
      </c>
      <c r="U43">
        <f ca="1"/>
        <v>0</v>
      </c>
      <c r="V43">
        <f ca="1"/>
        <v>0</v>
      </c>
      <c r="W43">
        <f ca="1"/>
        <v>0</v>
      </c>
      <c r="X43">
        <f ca="1"/>
        <v>0.41798933579203218</v>
      </c>
      <c r="Y43">
        <f ca="1"/>
        <v>1</v>
      </c>
      <c r="Z43">
        <f ca="1"/>
        <v>2.1549764906942386</v>
      </c>
      <c r="AA43">
        <f ca="1"/>
        <v>0</v>
      </c>
      <c r="AB43">
        <f ca="1"/>
        <v>0</v>
      </c>
      <c r="AD43" s="2">
        <f t="shared" ca="1" si="2"/>
        <v>45083</v>
      </c>
      <c r="AE43">
        <f t="shared" ca="1" si="3"/>
        <v>0</v>
      </c>
      <c r="AG43" s="63">
        <f t="shared" ca="1" si="7"/>
        <v>33.800297123990596</v>
      </c>
      <c r="AH43" s="63">
        <f t="shared" ca="1" si="8"/>
        <v>33.800297123990596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si="4"/>
        <v>99</v>
      </c>
      <c r="H44" s="95">
        <f t="shared" si="6"/>
        <v>45024</v>
      </c>
      <c r="I44" s="119">
        <f>HLOOKUP($H$5,'Met Data'!$A$2:$F$368,G44,FALSE)</f>
        <v>15.9919354838709</v>
      </c>
      <c r="J44" s="119">
        <f ca="1">HLOOKUP($H$5,'Met Data'!$H$2:$M$368,G44,FALSE)*L44</f>
        <v>3.04</v>
      </c>
      <c r="K44" s="96">
        <f>HLOOKUP($H$5,'Met Data'!$O$2:$T$368,G44,FALSE)</f>
        <v>2.4928303491288801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45084</v>
      </c>
      <c r="Q44">
        <f ca="1"/>
        <v>33.261215316471393</v>
      </c>
      <c r="R44">
        <f ca="1"/>
        <v>0</v>
      </c>
      <c r="S44">
        <f ca="1"/>
        <v>-5.3701006799593998E-2</v>
      </c>
      <c r="T44">
        <f ca="1"/>
        <v>0.27001993693686677</v>
      </c>
      <c r="U44">
        <f ca="1"/>
        <v>0</v>
      </c>
      <c r="V44">
        <f ca="1"/>
        <v>0</v>
      </c>
      <c r="W44">
        <f ca="1"/>
        <v>0</v>
      </c>
      <c r="X44">
        <f ca="1"/>
        <v>0.33741140186445262</v>
      </c>
      <c r="Y44">
        <f ca="1"/>
        <v>1</v>
      </c>
      <c r="Z44">
        <f ca="1"/>
        <v>1.7458837896239743</v>
      </c>
      <c r="AA44">
        <f ca="1"/>
        <v>0</v>
      </c>
      <c r="AB44">
        <f ca="1"/>
        <v>0</v>
      </c>
      <c r="AD44" s="2">
        <f t="shared" ca="1" si="2"/>
        <v>45084</v>
      </c>
      <c r="AE44">
        <f t="shared" ca="1" si="3"/>
        <v>0</v>
      </c>
      <c r="AG44" s="63">
        <f t="shared" ca="1" si="7"/>
        <v>33.598626718335844</v>
      </c>
      <c r="AH44" s="63">
        <f t="shared" ca="1" si="8"/>
        <v>33.598626718335844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45308</v>
      </c>
      <c r="G45" s="3">
        <f t="shared" si="4"/>
        <v>100</v>
      </c>
      <c r="H45" s="95">
        <f t="shared" si="6"/>
        <v>45025</v>
      </c>
      <c r="I45" s="119">
        <f>HLOOKUP($H$5,'Met Data'!$A$2:$F$368,G45,FALSE)</f>
        <v>15.7</v>
      </c>
      <c r="J45" s="119">
        <f ca="1">HLOOKUP($H$5,'Met Data'!$H$2:$M$368,G45,FALSE)*L45</f>
        <v>4.67</v>
      </c>
      <c r="K45" s="96">
        <f>HLOOKUP($H$5,'Met Data'!$O$2:$T$368,G45,FALSE)</f>
        <v>2.4645244256425198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45085</v>
      </c>
      <c r="Q45">
        <f ca="1"/>
        <v>33.21164383929397</v>
      </c>
      <c r="R45">
        <f ca="1"/>
        <v>0</v>
      </c>
      <c r="S45">
        <f ca="1"/>
        <v>-5.1907332246376114E-2</v>
      </c>
      <c r="T45">
        <f ca="1"/>
        <v>0.27729427488888186</v>
      </c>
      <c r="U45">
        <f ca="1"/>
        <v>0</v>
      </c>
      <c r="V45">
        <f ca="1"/>
        <v>0</v>
      </c>
      <c r="W45">
        <f ca="1"/>
        <v>0</v>
      </c>
      <c r="X45">
        <f ca="1"/>
        <v>0.27495841981992725</v>
      </c>
      <c r="Y45">
        <f ca="1"/>
        <v>1</v>
      </c>
      <c r="Z45">
        <f ca="1"/>
        <v>1.4248539259446389</v>
      </c>
      <c r="AA45">
        <f ca="1"/>
        <v>0</v>
      </c>
      <c r="AB45">
        <f ca="1"/>
        <v>0</v>
      </c>
      <c r="AD45" s="2">
        <f t="shared" ca="1" si="2"/>
        <v>45085</v>
      </c>
      <c r="AE45">
        <f t="shared" ca="1" si="3"/>
        <v>0</v>
      </c>
      <c r="AG45" s="63">
        <f t="shared" ca="1" si="7"/>
        <v>33.486602259113901</v>
      </c>
      <c r="AH45" s="63">
        <f t="shared" ca="1" si="8"/>
        <v>33.486602259113894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si="4"/>
        <v>101</v>
      </c>
      <c r="H46" s="95">
        <f t="shared" si="6"/>
        <v>45026</v>
      </c>
      <c r="I46" s="119">
        <f>HLOOKUP($H$5,'Met Data'!$A$2:$F$368,G46,FALSE)</f>
        <v>15.6066666666666</v>
      </c>
      <c r="J46" s="119">
        <f ca="1">HLOOKUP($H$5,'Met Data'!$H$2:$M$368,G46,FALSE)*L46</f>
        <v>2.9099999999999899</v>
      </c>
      <c r="K46" s="96">
        <f>HLOOKUP($H$5,'Met Data'!$O$2:$T$368,G46,FALSE)</f>
        <v>2.6085032852196299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45086</v>
      </c>
      <c r="Q46">
        <f ca="1"/>
        <v>32.723849028468678</v>
      </c>
      <c r="R46">
        <f ca="1"/>
        <v>0</v>
      </c>
      <c r="S46">
        <f ca="1"/>
        <v>-5.044369701913709E-2</v>
      </c>
      <c r="T46">
        <f ca="1"/>
        <v>0.28757725958386304</v>
      </c>
      <c r="U46">
        <f ca="1"/>
        <v>0</v>
      </c>
      <c r="V46">
        <f ca="1"/>
        <v>0</v>
      </c>
      <c r="W46">
        <f ca="1"/>
        <v>0</v>
      </c>
      <c r="X46">
        <f ca="1"/>
        <v>0.72492837339001448</v>
      </c>
      <c r="Y46">
        <f ca="1"/>
        <v>1</v>
      </c>
      <c r="Z46">
        <f ca="1"/>
        <v>3.8126277964546347</v>
      </c>
      <c r="AA46">
        <f ca="1"/>
        <v>0</v>
      </c>
      <c r="AB46">
        <f ca="1"/>
        <v>0</v>
      </c>
      <c r="AD46" s="2">
        <f t="shared" ca="1" si="2"/>
        <v>45086</v>
      </c>
      <c r="AE46">
        <f t="shared" ca="1" si="3"/>
        <v>0</v>
      </c>
      <c r="AG46" s="63">
        <f t="shared" ca="1" si="7"/>
        <v>33.448777401858699</v>
      </c>
      <c r="AH46" s="63">
        <f t="shared" ca="1" si="8"/>
        <v>33.448777401858692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45428</v>
      </c>
      <c r="G47" s="3">
        <f t="shared" si="4"/>
        <v>102</v>
      </c>
      <c r="H47" s="95">
        <f t="shared" si="6"/>
        <v>45027</v>
      </c>
      <c r="I47" s="119">
        <f>HLOOKUP($H$5,'Met Data'!$A$2:$F$368,G47,FALSE)</f>
        <v>15.335000000000001</v>
      </c>
      <c r="J47" s="119">
        <f ca="1">HLOOKUP($H$5,'Met Data'!$H$2:$M$368,G47,FALSE)*L47</f>
        <v>2.68333333333333</v>
      </c>
      <c r="K47" s="96">
        <f>HLOOKUP($H$5,'Met Data'!$O$2:$T$368,G47,FALSE)</f>
        <v>2.45140037536581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45087</v>
      </c>
      <c r="Q47">
        <f ca="1"/>
        <v>31.874022481565969</v>
      </c>
      <c r="R47">
        <f ca="1"/>
        <v>0</v>
      </c>
      <c r="S47">
        <f ca="1"/>
        <v>-4.7657523432132365E-2</v>
      </c>
      <c r="T47">
        <f ca="1"/>
        <v>0.28797236872391752</v>
      </c>
      <c r="U47">
        <f ca="1"/>
        <v>0</v>
      </c>
      <c r="V47">
        <f ca="1"/>
        <v>0</v>
      </c>
      <c r="W47">
        <f ca="1"/>
        <v>0</v>
      </c>
      <c r="X47">
        <f ca="1"/>
        <v>1.0901413921944998</v>
      </c>
      <c r="Y47">
        <f ca="1"/>
        <v>1</v>
      </c>
      <c r="Z47">
        <f ca="1"/>
        <v>5.8862627928658569</v>
      </c>
      <c r="AA47">
        <f ca="1"/>
        <v>0</v>
      </c>
      <c r="AB47">
        <f ca="1"/>
        <v>0</v>
      </c>
      <c r="AD47" s="2">
        <f t="shared" ca="1" si="2"/>
        <v>45087</v>
      </c>
      <c r="AE47">
        <f t="shared" ca="1" si="3"/>
        <v>0</v>
      </c>
      <c r="AG47" s="63">
        <f t="shared" ca="1" si="7"/>
        <v>32.964163873760462</v>
      </c>
      <c r="AH47" s="63">
        <f t="shared" ca="1" si="8"/>
        <v>32.964163873760469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si="4"/>
        <v>103</v>
      </c>
      <c r="H48" s="95">
        <f t="shared" si="6"/>
        <v>45028</v>
      </c>
      <c r="I48" s="119">
        <f>HLOOKUP($H$5,'Met Data'!$A$2:$F$368,G48,FALSE)</f>
        <v>15.3916666666666</v>
      </c>
      <c r="J48" s="119">
        <f ca="1">HLOOKUP($H$5,'Met Data'!$H$2:$M$368,G48,FALSE)*L48</f>
        <v>4.07</v>
      </c>
      <c r="K48" s="96">
        <f>HLOOKUP($H$5,'Met Data'!$O$2:$T$368,G48,FALSE)</f>
        <v>2.54129590695179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45088</v>
      </c>
      <c r="Q48">
        <f ca="1"/>
        <v>31.471947792651505</v>
      </c>
      <c r="R48">
        <f ca="1"/>
        <v>0</v>
      </c>
      <c r="S48">
        <f ca="1"/>
        <v>-4.509642234685618E-2</v>
      </c>
      <c r="T48">
        <f ca="1"/>
        <v>0.28946805732447745</v>
      </c>
      <c r="U48">
        <f ca="1"/>
        <v>0</v>
      </c>
      <c r="V48">
        <f ca="1"/>
        <v>0</v>
      </c>
      <c r="W48">
        <f ca="1"/>
        <v>0</v>
      </c>
      <c r="X48">
        <f ca="1"/>
        <v>0.64644632389208667</v>
      </c>
      <c r="Y48">
        <f ca="1"/>
        <v>1</v>
      </c>
      <c r="Z48">
        <f ca="1"/>
        <v>3.5351068087988651</v>
      </c>
      <c r="AA48">
        <f ca="1"/>
        <v>0</v>
      </c>
      <c r="AB48">
        <f ca="1"/>
        <v>0</v>
      </c>
      <c r="AD48" s="2">
        <f t="shared" ca="1" si="2"/>
        <v>45088</v>
      </c>
      <c r="AE48">
        <f t="shared" ca="1" si="3"/>
        <v>0</v>
      </c>
      <c r="AG48" s="63">
        <f t="shared" ca="1" si="7"/>
        <v>32.118394116543591</v>
      </c>
      <c r="AH48" s="63">
        <f t="shared" ca="1" si="8"/>
        <v>32.118394116543591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si="4"/>
        <v>104</v>
      </c>
      <c r="H49" s="95">
        <f t="shared" si="6"/>
        <v>45029</v>
      </c>
      <c r="I49" s="119">
        <f>HLOOKUP($H$5,'Met Data'!$A$2:$F$368,G49,FALSE)</f>
        <v>15.6451612903225</v>
      </c>
      <c r="J49" s="119">
        <f ca="1">HLOOKUP($H$5,'Met Data'!$H$2:$M$368,G49,FALSE)*L49</f>
        <v>2.43333333333333</v>
      </c>
      <c r="K49" s="96">
        <f>HLOOKUP($H$5,'Met Data'!$O$2:$T$368,G49,FALSE)</f>
        <v>2.5074868670786801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45089</v>
      </c>
      <c r="Q49">
        <f ca="1"/>
        <v>31.2002506047188</v>
      </c>
      <c r="R49">
        <f ca="1"/>
        <v>0</v>
      </c>
      <c r="S49">
        <f ca="1"/>
        <v>-4.1950874388137827E-2</v>
      </c>
      <c r="T49">
        <f ca="1"/>
        <v>0.28486458567776746</v>
      </c>
      <c r="U49">
        <f ca="1"/>
        <v>0</v>
      </c>
      <c r="V49">
        <f ca="1"/>
        <v>0</v>
      </c>
      <c r="W49">
        <f ca="1"/>
        <v>0</v>
      </c>
      <c r="X49">
        <f ca="1"/>
        <v>0.51461089922233283</v>
      </c>
      <c r="Y49">
        <f ca="1"/>
        <v>1</v>
      </c>
      <c r="Z49">
        <f ca="1"/>
        <v>2.8386679200156593</v>
      </c>
      <c r="AA49">
        <f ca="1"/>
        <v>0</v>
      </c>
      <c r="AB49">
        <f ca="1"/>
        <v>0</v>
      </c>
      <c r="AD49" s="2">
        <f t="shared" ca="1" si="2"/>
        <v>45089</v>
      </c>
      <c r="AE49">
        <f t="shared" ca="1" si="3"/>
        <v>0</v>
      </c>
      <c r="AG49" s="63">
        <f t="shared" ca="1" si="7"/>
        <v>31.714861503941133</v>
      </c>
      <c r="AH49" s="63">
        <f t="shared" ca="1" si="8"/>
        <v>31.714861503941133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si="4"/>
        <v>105</v>
      </c>
      <c r="H50" s="95">
        <f t="shared" si="6"/>
        <v>45030</v>
      </c>
      <c r="I50" s="119">
        <f>HLOOKUP($H$5,'Met Data'!$A$2:$F$368,G50,FALSE)</f>
        <v>15.3435483870967</v>
      </c>
      <c r="J50" s="119">
        <f ca="1">HLOOKUP($H$5,'Met Data'!$H$2:$M$368,G50,FALSE)*L50</f>
        <v>3.5533333333333301</v>
      </c>
      <c r="K50" s="96">
        <f>HLOOKUP($H$5,'Met Data'!$O$2:$T$368,G50,FALSE)</f>
        <v>2.53164431510397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45090</v>
      </c>
      <c r="Q50">
        <f ca="1"/>
        <v>31.057337131331405</v>
      </c>
      <c r="R50">
        <f ca="1"/>
        <v>0</v>
      </c>
      <c r="S50">
        <f ca="1"/>
        <v>-3.8949315325487177E-2</v>
      </c>
      <c r="T50">
        <f ca="1"/>
        <v>0.27978916860117165</v>
      </c>
      <c r="U50">
        <f ca="1"/>
        <v>0</v>
      </c>
      <c r="V50">
        <f ca="1"/>
        <v>0</v>
      </c>
      <c r="W50">
        <f ca="1"/>
        <v>0</v>
      </c>
      <c r="X50">
        <f ca="1"/>
        <v>0.38375332666308037</v>
      </c>
      <c r="Y50">
        <f ca="1"/>
        <v>1</v>
      </c>
      <c r="Z50">
        <f ca="1"/>
        <v>2.1265795288742808</v>
      </c>
      <c r="AA50">
        <f ca="1"/>
        <v>0</v>
      </c>
      <c r="AB50">
        <f ca="1"/>
        <v>0</v>
      </c>
      <c r="AD50" s="2">
        <f t="shared" ca="1" si="2"/>
        <v>45090</v>
      </c>
      <c r="AE50">
        <f t="shared" ca="1" si="3"/>
        <v>0</v>
      </c>
      <c r="AG50" s="63">
        <f t="shared" ca="1" si="7"/>
        <v>31.441090457994488</v>
      </c>
      <c r="AH50" s="63">
        <f t="shared" ca="1" si="8"/>
        <v>31.441090457994484</v>
      </c>
      <c r="AI50" s="3">
        <f t="shared" ca="1" si="9"/>
        <v>0</v>
      </c>
    </row>
    <row r="51" spans="1:35">
      <c r="A51" s="12"/>
      <c r="B51" s="13"/>
      <c r="G51" s="3">
        <f t="shared" si="4"/>
        <v>106</v>
      </c>
      <c r="H51" s="95">
        <f t="shared" si="6"/>
        <v>45031</v>
      </c>
      <c r="I51" s="119">
        <f>HLOOKUP($H$5,'Met Data'!$A$2:$F$368,G51,FALSE)</f>
        <v>15.1612903225806</v>
      </c>
      <c r="J51" s="119">
        <f ca="1">HLOOKUP($H$5,'Met Data'!$H$2:$M$368,G51,FALSE)*L51</f>
        <v>2.7451612903225802</v>
      </c>
      <c r="K51" s="96">
        <f>HLOOKUP($H$5,'Met Data'!$O$2:$T$368,G51,FALSE)</f>
        <v>2.2462315590791202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45091</v>
      </c>
      <c r="Q51">
        <f ca="1"/>
        <v>30.936518618378937</v>
      </c>
      <c r="R51">
        <f ca="1"/>
        <v>0</v>
      </c>
      <c r="S51">
        <f ca="1"/>
        <v>-3.5246327445580761E-2</v>
      </c>
      <c r="T51">
        <f ca="1"/>
        <v>0.26532109414872468</v>
      </c>
      <c r="U51">
        <f ca="1"/>
        <v>0</v>
      </c>
      <c r="V51">
        <f ca="1"/>
        <v>0</v>
      </c>
      <c r="W51">
        <f ca="1"/>
        <v>0</v>
      </c>
      <c r="X51">
        <f ca="1"/>
        <v>0.35089327965561129</v>
      </c>
      <c r="Y51">
        <f ca="1"/>
        <v>1</v>
      </c>
      <c r="Z51">
        <f ca="1"/>
        <v>1.9520786116335387</v>
      </c>
      <c r="AA51">
        <f ca="1"/>
        <v>0</v>
      </c>
      <c r="AB51">
        <f ca="1"/>
        <v>0</v>
      </c>
      <c r="AD51" s="2">
        <f t="shared" ca="1" si="2"/>
        <v>45091</v>
      </c>
      <c r="AE51">
        <f t="shared" ca="1" si="3"/>
        <v>0</v>
      </c>
      <c r="AG51" s="63">
        <f t="shared" ca="1" si="7"/>
        <v>31.287411898034549</v>
      </c>
      <c r="AH51" s="63">
        <f t="shared" ca="1" si="8"/>
        <v>31.287411898034549</v>
      </c>
      <c r="AI51" s="3">
        <f t="shared" ca="1" si="9"/>
        <v>0</v>
      </c>
    </row>
    <row r="52" spans="1:35" ht="15.75" thickBot="1">
      <c r="A52" s="14"/>
      <c r="B52" s="15"/>
      <c r="G52" s="3">
        <f t="shared" si="4"/>
        <v>107</v>
      </c>
      <c r="H52" s="95">
        <f t="shared" si="6"/>
        <v>45032</v>
      </c>
      <c r="I52" s="119">
        <f>HLOOKUP($H$5,'Met Data'!$A$2:$F$368,G52,FALSE)</f>
        <v>15.658064516129</v>
      </c>
      <c r="J52" s="119">
        <f ca="1">HLOOKUP($H$5,'Met Data'!$H$2:$M$368,G52,FALSE)*L52</f>
        <v>3.7677419354838699</v>
      </c>
      <c r="K52" s="96">
        <f>HLOOKUP($H$5,'Met Data'!$O$2:$T$368,G52,FALSE)</f>
        <v>2.3441419540899799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45092</v>
      </c>
      <c r="Q52">
        <f ca="1"/>
        <v>30.274282379671128</v>
      </c>
      <c r="R52">
        <f ca="1"/>
        <v>0</v>
      </c>
      <c r="S52">
        <f ca="1"/>
        <v>-3.3307955798766997E-2</v>
      </c>
      <c r="T52">
        <f ca="1"/>
        <v>0.26686765474062207</v>
      </c>
      <c r="U52">
        <f ca="1"/>
        <v>0</v>
      </c>
      <c r="V52">
        <f ca="1"/>
        <v>0</v>
      </c>
      <c r="W52">
        <f ca="1"/>
        <v>0</v>
      </c>
      <c r="X52">
        <f ca="1"/>
        <v>0.89579593764966747</v>
      </c>
      <c r="Y52">
        <f ca="1"/>
        <v>1</v>
      </c>
      <c r="Z52">
        <f ca="1"/>
        <v>5.0924752060055809</v>
      </c>
      <c r="AA52">
        <f ca="1"/>
        <v>0</v>
      </c>
      <c r="AB52">
        <f ca="1"/>
        <v>0</v>
      </c>
      <c r="AD52" s="2">
        <f t="shared" ca="1" si="2"/>
        <v>45092</v>
      </c>
      <c r="AE52">
        <f t="shared" ca="1" si="3"/>
        <v>0</v>
      </c>
      <c r="AG52" s="63">
        <f t="shared" ca="1" si="7"/>
        <v>31.170078317320794</v>
      </c>
      <c r="AH52" s="63">
        <f t="shared" ca="1" si="8"/>
        <v>31.170078317320794</v>
      </c>
      <c r="AI52" s="3">
        <f t="shared" ca="1" si="9"/>
        <v>0</v>
      </c>
    </row>
    <row r="53" spans="1:35">
      <c r="G53" s="3">
        <f t="shared" si="4"/>
        <v>108</v>
      </c>
      <c r="H53" s="95">
        <f t="shared" si="6"/>
        <v>45033</v>
      </c>
      <c r="I53" s="119">
        <f>HLOOKUP($H$5,'Met Data'!$A$2:$F$368,G53,FALSE)</f>
        <v>15.408064516129</v>
      </c>
      <c r="J53" s="119">
        <f ca="1">HLOOKUP($H$5,'Met Data'!$H$2:$M$368,G53,FALSE)*L53</f>
        <v>2.6870967741935399</v>
      </c>
      <c r="K53" s="96">
        <f>HLOOKUP($H$5,'Met Data'!$O$2:$T$368,G53,FALSE)</f>
        <v>2.0871356285448601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45093</v>
      </c>
      <c r="Q53">
        <f ca="1"/>
        <v>29.993018955683024</v>
      </c>
      <c r="R53">
        <f ca="1"/>
        <v>0</v>
      </c>
      <c r="S53">
        <f ca="1"/>
        <v>-3.0115526060829012E-2</v>
      </c>
      <c r="T53">
        <f ca="1"/>
        <v>0.25279428587193647</v>
      </c>
      <c r="U53">
        <f ca="1"/>
        <v>0</v>
      </c>
      <c r="V53">
        <f ca="1"/>
        <v>0</v>
      </c>
      <c r="W53">
        <f ca="1"/>
        <v>0</v>
      </c>
      <c r="X53">
        <f ca="1"/>
        <v>0.50394218379921163</v>
      </c>
      <c r="Y53">
        <f ca="1"/>
        <v>1</v>
      </c>
      <c r="Z53">
        <f ca="1"/>
        <v>2.8917065829311781</v>
      </c>
      <c r="AA53">
        <f ca="1"/>
        <v>0</v>
      </c>
      <c r="AB53">
        <f ca="1"/>
        <v>0</v>
      </c>
      <c r="AD53" s="2">
        <f t="shared" ca="1" si="2"/>
        <v>45093</v>
      </c>
      <c r="AE53">
        <f t="shared" ca="1" si="3"/>
        <v>0</v>
      </c>
      <c r="AG53" s="63">
        <f t="shared" ca="1" si="7"/>
        <v>30.496961139482234</v>
      </c>
      <c r="AH53" s="63">
        <f t="shared" ca="1" si="8"/>
        <v>30.496961139482234</v>
      </c>
      <c r="AI53" s="3">
        <f t="shared" ca="1" si="9"/>
        <v>0</v>
      </c>
    </row>
    <row r="54" spans="1:35">
      <c r="G54" s="3">
        <f t="shared" si="4"/>
        <v>109</v>
      </c>
      <c r="H54" s="95">
        <f t="shared" si="6"/>
        <v>45034</v>
      </c>
      <c r="I54" s="119">
        <f>HLOOKUP($H$5,'Met Data'!$A$2:$F$368,G54,FALSE)</f>
        <v>15.420967741935399</v>
      </c>
      <c r="J54" s="119">
        <f ca="1">HLOOKUP($H$5,'Met Data'!$H$2:$M$368,G54,FALSE)*L54</f>
        <v>2.8516129032258002</v>
      </c>
      <c r="K54" s="96">
        <f>HLOOKUP($H$5,'Met Data'!$O$2:$T$368,G54,FALSE)</f>
        <v>2.1715863377271001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45094</v>
      </c>
      <c r="Q54">
        <f ca="1"/>
        <v>29.634790594129324</v>
      </c>
      <c r="R54">
        <f ca="1"/>
        <v>0</v>
      </c>
      <c r="S54">
        <f ca="1"/>
        <v>-2.8455009620316218E-2</v>
      </c>
      <c r="T54">
        <f ca="1"/>
        <v>0.25455644211637662</v>
      </c>
      <c r="U54">
        <f ca="1"/>
        <v>0</v>
      </c>
      <c r="V54">
        <f ca="1"/>
        <v>0</v>
      </c>
      <c r="W54">
        <f ca="1"/>
        <v>0</v>
      </c>
      <c r="X54">
        <f ca="1"/>
        <v>0.58432979404976293</v>
      </c>
      <c r="Y54">
        <f ca="1"/>
        <v>1</v>
      </c>
      <c r="Z54">
        <f ca="1"/>
        <v>3.3935156791244054</v>
      </c>
      <c r="AA54">
        <f ca="1"/>
        <v>0</v>
      </c>
      <c r="AB54">
        <f ca="1"/>
        <v>0</v>
      </c>
      <c r="AD54" s="2">
        <f t="shared" ca="1" si="2"/>
        <v>45094</v>
      </c>
      <c r="AE54">
        <f t="shared" ca="1" si="3"/>
        <v>0</v>
      </c>
      <c r="AG54" s="63">
        <f t="shared" ca="1" si="7"/>
        <v>30.219120388179086</v>
      </c>
      <c r="AH54" s="63">
        <f t="shared" ca="1" si="8"/>
        <v>30.219120388179086</v>
      </c>
      <c r="AI54" s="3">
        <f t="shared" ca="1" si="9"/>
        <v>0</v>
      </c>
    </row>
    <row r="55" spans="1:35">
      <c r="G55" s="3">
        <f t="shared" si="4"/>
        <v>110</v>
      </c>
      <c r="H55" s="95">
        <f t="shared" si="6"/>
        <v>45035</v>
      </c>
      <c r="I55" s="119">
        <f>HLOOKUP($H$5,'Met Data'!$A$2:$F$368,G55,FALSE)</f>
        <v>15.193548387096699</v>
      </c>
      <c r="J55" s="119">
        <f ca="1">HLOOKUP($H$5,'Met Data'!$H$2:$M$368,G55,FALSE)*L55</f>
        <v>2.4258064516129001</v>
      </c>
      <c r="K55" s="96">
        <f>HLOOKUP($H$5,'Met Data'!$O$2:$T$368,G55,FALSE)</f>
        <v>2.2979139363353802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45095</v>
      </c>
      <c r="Q55">
        <f ca="1"/>
        <v>29.259611112368646</v>
      </c>
      <c r="R55">
        <f ca="1"/>
        <v>0</v>
      </c>
      <c r="S55">
        <f ca="1"/>
        <v>-2.7667670422808044E-2</v>
      </c>
      <c r="T55">
        <f ca="1"/>
        <v>0.26767271295451123</v>
      </c>
      <c r="U55">
        <f ca="1"/>
        <v>0</v>
      </c>
      <c r="V55">
        <f ca="1"/>
        <v>0</v>
      </c>
      <c r="W55">
        <f ca="1"/>
        <v>0</v>
      </c>
      <c r="X55">
        <f ca="1"/>
        <v>0.61518452429238168</v>
      </c>
      <c r="Y55">
        <f ca="1"/>
        <v>1</v>
      </c>
      <c r="Z55">
        <f ca="1"/>
        <v>3.6185163900303792</v>
      </c>
      <c r="AA55">
        <f ca="1"/>
        <v>0</v>
      </c>
      <c r="AB55">
        <f ca="1"/>
        <v>0</v>
      </c>
      <c r="AD55" s="2">
        <f t="shared" ca="1" si="2"/>
        <v>45095</v>
      </c>
      <c r="AE55">
        <f t="shared" ca="1" si="3"/>
        <v>0</v>
      </c>
      <c r="AG55" s="63">
        <f t="shared" ca="1" si="7"/>
        <v>29.874795636661027</v>
      </c>
      <c r="AH55" s="63">
        <f t="shared" ca="1" si="8"/>
        <v>29.874795636661027</v>
      </c>
      <c r="AI55" s="3">
        <f t="shared" ca="1" si="9"/>
        <v>0</v>
      </c>
    </row>
    <row r="56" spans="1:35">
      <c r="G56" s="3">
        <f t="shared" si="4"/>
        <v>111</v>
      </c>
      <c r="H56" s="95">
        <f t="shared" si="6"/>
        <v>45036</v>
      </c>
      <c r="I56" s="119">
        <f>HLOOKUP($H$5,'Met Data'!$A$2:$F$368,G56,FALSE)</f>
        <v>15.4096774193548</v>
      </c>
      <c r="J56" s="119">
        <f ca="1">HLOOKUP($H$5,'Met Data'!$H$2:$M$368,G56,FALSE)*L56</f>
        <v>1.7322580645161201</v>
      </c>
      <c r="K56" s="96">
        <f>HLOOKUP($H$5,'Met Data'!$O$2:$T$368,G56,FALSE)</f>
        <v>2.3194627801487999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45096</v>
      </c>
      <c r="Q56">
        <f ca="1"/>
        <v>28.998654527344364</v>
      </c>
      <c r="R56">
        <f ca="1"/>
        <v>0</v>
      </c>
      <c r="S56">
        <f ca="1"/>
        <v>-2.5247213992114936E-2</v>
      </c>
      <c r="T56">
        <f ca="1"/>
        <v>0.25886822653599267</v>
      </c>
      <c r="U56">
        <f ca="1"/>
        <v>0</v>
      </c>
      <c r="V56">
        <f ca="1"/>
        <v>0</v>
      </c>
      <c r="W56">
        <f ca="1"/>
        <v>0</v>
      </c>
      <c r="X56">
        <f ca="1"/>
        <v>0.49457759756815911</v>
      </c>
      <c r="Y56">
        <f ca="1"/>
        <v>1</v>
      </c>
      <c r="Z56">
        <f ca="1"/>
        <v>2.9352850631103777</v>
      </c>
      <c r="AA56">
        <f ca="1"/>
        <v>0</v>
      </c>
      <c r="AB56">
        <f ca="1"/>
        <v>0</v>
      </c>
      <c r="AD56" s="2">
        <f t="shared" ca="1" si="2"/>
        <v>45096</v>
      </c>
      <c r="AE56">
        <f t="shared" ca="1" si="3"/>
        <v>0</v>
      </c>
      <c r="AG56" s="63">
        <f t="shared" ca="1" si="7"/>
        <v>29.49323212491252</v>
      </c>
      <c r="AH56" s="63">
        <f t="shared" ca="1" si="8"/>
        <v>29.493232124912524</v>
      </c>
      <c r="AI56" s="3">
        <f t="shared" ca="1" si="9"/>
        <v>0</v>
      </c>
    </row>
    <row r="57" spans="1:35">
      <c r="G57" s="3">
        <f t="shared" si="4"/>
        <v>112</v>
      </c>
      <c r="H57" s="95">
        <f t="shared" si="6"/>
        <v>45037</v>
      </c>
      <c r="I57" s="119">
        <f>HLOOKUP($H$5,'Met Data'!$A$2:$F$368,G57,FALSE)</f>
        <v>15.261666666666599</v>
      </c>
      <c r="J57" s="119">
        <f ca="1">HLOOKUP($H$5,'Met Data'!$H$2:$M$368,G57,FALSE)*L57</f>
        <v>4.0161290322580596</v>
      </c>
      <c r="K57" s="96">
        <f>HLOOKUP($H$5,'Met Data'!$O$2:$T$368,G57,FALSE)</f>
        <v>2.3321304827068001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45097</v>
      </c>
      <c r="Q57">
        <f ca="1"/>
        <v>28.470759083637837</v>
      </c>
      <c r="R57">
        <f ca="1"/>
        <v>0</v>
      </c>
      <c r="S57">
        <f ca="1"/>
        <v>-2.3843708354657878E-2</v>
      </c>
      <c r="T57">
        <f ca="1"/>
        <v>0.26296821299478573</v>
      </c>
      <c r="U57">
        <f ca="1"/>
        <v>0</v>
      </c>
      <c r="V57">
        <f ca="1"/>
        <v>0</v>
      </c>
      <c r="W57">
        <f ca="1"/>
        <v>0</v>
      </c>
      <c r="X57">
        <f ca="1"/>
        <v>0.76701994834665577</v>
      </c>
      <c r="Y57">
        <f ca="1"/>
        <v>1</v>
      </c>
      <c r="Z57">
        <f ca="1"/>
        <v>4.6366178696521985</v>
      </c>
      <c r="AA57">
        <f ca="1"/>
        <v>0</v>
      </c>
      <c r="AB57">
        <f ca="1"/>
        <v>0</v>
      </c>
      <c r="AD57" s="2">
        <f t="shared" ca="1" si="2"/>
        <v>45097</v>
      </c>
      <c r="AE57">
        <f t="shared" ca="1" si="3"/>
        <v>0</v>
      </c>
      <c r="AG57" s="63">
        <f t="shared" ca="1" si="7"/>
        <v>29.237779031984491</v>
      </c>
      <c r="AH57" s="63">
        <f t="shared" ca="1" si="8"/>
        <v>29.237779031984495</v>
      </c>
      <c r="AI57" s="3">
        <f t="shared" ca="1" si="9"/>
        <v>0</v>
      </c>
    </row>
    <row r="58" spans="1:35">
      <c r="G58" s="3">
        <f t="shared" si="4"/>
        <v>113</v>
      </c>
      <c r="H58" s="95">
        <f t="shared" si="6"/>
        <v>45038</v>
      </c>
      <c r="I58" s="119">
        <f>HLOOKUP($H$5,'Met Data'!$A$2:$F$368,G58,FALSE)</f>
        <v>14.5283333333333</v>
      </c>
      <c r="J58" s="119">
        <f ca="1">HLOOKUP($H$5,'Met Data'!$H$2:$M$368,G58,FALSE)*L58</f>
        <v>3.5258064516129002</v>
      </c>
      <c r="K58" s="96">
        <f>HLOOKUP($H$5,'Met Data'!$O$2:$T$368,G58,FALSE)</f>
        <v>2.2184505421646001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45098</v>
      </c>
      <c r="Q58">
        <f ca="1"/>
        <v>28.562976154442268</v>
      </c>
      <c r="R58">
        <f ca="1"/>
        <v>0</v>
      </c>
      <c r="S58">
        <f ca="1"/>
        <v>-2.2368619387258093E-2</v>
      </c>
      <c r="T58">
        <f ca="1"/>
        <v>0.26576732948974768</v>
      </c>
      <c r="U58">
        <f ca="1"/>
        <v>0</v>
      </c>
      <c r="V58">
        <f ca="1"/>
        <v>0</v>
      </c>
      <c r="W58">
        <f ca="1"/>
        <v>0</v>
      </c>
      <c r="X58">
        <f ca="1"/>
        <v>0.15118163929806056</v>
      </c>
      <c r="Y58">
        <f ca="1"/>
        <v>1</v>
      </c>
      <c r="Z58">
        <f ca="1"/>
        <v>0.910938976899061</v>
      </c>
      <c r="AA58">
        <f ca="1"/>
        <v>0</v>
      </c>
      <c r="AB58">
        <f ca="1"/>
        <v>0</v>
      </c>
      <c r="AD58" s="2">
        <f t="shared" ca="1" si="2"/>
        <v>45098</v>
      </c>
      <c r="AE58">
        <f t="shared" ca="1" si="3"/>
        <v>0</v>
      </c>
      <c r="AG58" s="63">
        <f t="shared" ca="1" si="7"/>
        <v>28.714157793740327</v>
      </c>
      <c r="AH58" s="63">
        <f t="shared" ca="1" si="8"/>
        <v>28.714157793740327</v>
      </c>
      <c r="AI58" s="3">
        <f t="shared" ca="1" si="9"/>
        <v>0</v>
      </c>
    </row>
    <row r="59" spans="1:35">
      <c r="G59" s="3">
        <f t="shared" si="4"/>
        <v>114</v>
      </c>
      <c r="H59" s="95">
        <f t="shared" si="6"/>
        <v>45039</v>
      </c>
      <c r="I59" s="119">
        <f>HLOOKUP($H$5,'Met Data'!$A$2:$F$368,G59,FALSE)</f>
        <v>14.68</v>
      </c>
      <c r="J59" s="119">
        <f ca="1">HLOOKUP($H$5,'Met Data'!$H$2:$M$368,G59,FALSE)*L59</f>
        <v>2.28709677419354</v>
      </c>
      <c r="K59" s="96">
        <f>HLOOKUP($H$5,'Met Data'!$O$2:$T$368,G59,FALSE)</f>
        <v>2.2540363688604601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45099</v>
      </c>
      <c r="Q59">
        <f ca="1"/>
        <v>28.652359917693325</v>
      </c>
      <c r="R59">
        <f ca="1"/>
        <v>0</v>
      </c>
      <c r="S59">
        <f ca="1"/>
        <v>-2.0291348002915655E-2</v>
      </c>
      <c r="T59">
        <f ca="1"/>
        <v>0.2572226665347202</v>
      </c>
      <c r="U59">
        <f ca="1"/>
        <v>0</v>
      </c>
      <c r="V59">
        <f ca="1"/>
        <v>0</v>
      </c>
      <c r="W59">
        <f ca="1"/>
        <v>0</v>
      </c>
      <c r="X59">
        <f ca="1"/>
        <v>0.14754755528074692</v>
      </c>
      <c r="Y59">
        <f ca="1"/>
        <v>1</v>
      </c>
      <c r="Z59">
        <f ca="1"/>
        <v>0.88626849670142605</v>
      </c>
      <c r="AA59">
        <f ca="1"/>
        <v>0</v>
      </c>
      <c r="AB59">
        <f ca="1"/>
        <v>0</v>
      </c>
      <c r="AD59" s="2">
        <f t="shared" ca="1" si="2"/>
        <v>45099</v>
      </c>
      <c r="AE59">
        <f t="shared" ca="1" si="3"/>
        <v>0</v>
      </c>
      <c r="AG59" s="63">
        <f t="shared" ca="1" si="7"/>
        <v>28.799907472974073</v>
      </c>
      <c r="AH59" s="63">
        <f t="shared" ca="1" si="8"/>
        <v>28.79990747297407</v>
      </c>
      <c r="AI59" s="3">
        <f t="shared" ca="1" si="9"/>
        <v>0</v>
      </c>
    </row>
    <row r="60" spans="1:35">
      <c r="A60" s="1"/>
      <c r="B60" s="1"/>
      <c r="G60" s="3">
        <f t="shared" si="4"/>
        <v>115</v>
      </c>
      <c r="H60" s="95">
        <f t="shared" si="6"/>
        <v>45040</v>
      </c>
      <c r="I60" s="119">
        <f>HLOOKUP($H$5,'Met Data'!$A$2:$F$368,G60,FALSE)</f>
        <v>14.4933333333333</v>
      </c>
      <c r="J60" s="119">
        <f ca="1">HLOOKUP($H$5,'Met Data'!$H$2:$M$368,G60,FALSE)*L60</f>
        <v>4.3387096774193497</v>
      </c>
      <c r="K60" s="96">
        <f>HLOOKUP($H$5,'Met Data'!$O$2:$T$368,G60,FALSE)</f>
        <v>2.2396347152399998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45100</v>
      </c>
      <c r="Q60">
        <f ca="1"/>
        <v>28.276802539347983</v>
      </c>
      <c r="R60">
        <f ca="1"/>
        <v>0</v>
      </c>
      <c r="S60">
        <f ca="1"/>
        <v>-1.8491372856038524E-2</v>
      </c>
      <c r="T60">
        <f ca="1"/>
        <v>0.25084957403399077</v>
      </c>
      <c r="U60">
        <f ca="1"/>
        <v>0</v>
      </c>
      <c r="V60">
        <f ca="1"/>
        <v>0</v>
      </c>
      <c r="W60">
        <f ca="1"/>
        <v>0</v>
      </c>
      <c r="X60">
        <f ca="1"/>
        <v>0.60791557952329456</v>
      </c>
      <c r="Y60">
        <f ca="1"/>
        <v>1</v>
      </c>
      <c r="Z60">
        <f ca="1"/>
        <v>3.7000421070327647</v>
      </c>
      <c r="AA60">
        <f ca="1"/>
        <v>0</v>
      </c>
      <c r="AB60">
        <f ca="1"/>
        <v>0</v>
      </c>
      <c r="AD60" s="2">
        <f t="shared" ca="1" si="2"/>
        <v>45100</v>
      </c>
      <c r="AE60">
        <f t="shared" ca="1" si="3"/>
        <v>0</v>
      </c>
      <c r="AG60" s="63">
        <f t="shared" ca="1" si="7"/>
        <v>28.884718118871277</v>
      </c>
      <c r="AH60" s="63">
        <f t="shared" ca="1" si="8"/>
        <v>28.884718118871277</v>
      </c>
      <c r="AI60" s="3">
        <f t="shared" ca="1" si="9"/>
        <v>0</v>
      </c>
    </row>
    <row r="61" spans="1:35">
      <c r="G61" s="3">
        <f t="shared" si="4"/>
        <v>116</v>
      </c>
      <c r="H61" s="95">
        <f t="shared" si="6"/>
        <v>45041</v>
      </c>
      <c r="I61" s="119">
        <f>HLOOKUP($H$5,'Met Data'!$A$2:$F$368,G61,FALSE)</f>
        <v>14.7733333333333</v>
      </c>
      <c r="J61" s="119">
        <f ca="1">HLOOKUP($H$5,'Met Data'!$H$2:$M$368,G61,FALSE)*L61</f>
        <v>6.4580645161290304</v>
      </c>
      <c r="K61" s="96">
        <f>HLOOKUP($H$5,'Met Data'!$O$2:$T$368,G61,FALSE)</f>
        <v>2.0110185254269899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45101</v>
      </c>
      <c r="Q61">
        <f ca="1"/>
        <v>27.663906264893395</v>
      </c>
      <c r="R61">
        <f ca="1"/>
        <v>0</v>
      </c>
      <c r="S61">
        <f ca="1"/>
        <v>-1.7251940125085241E-2</v>
      </c>
      <c r="T61">
        <f ca="1"/>
        <v>0.25362644941473256</v>
      </c>
      <c r="U61">
        <f ca="1"/>
        <v>0</v>
      </c>
      <c r="V61">
        <f ca="1"/>
        <v>0</v>
      </c>
      <c r="W61">
        <f ca="1"/>
        <v>0</v>
      </c>
      <c r="X61">
        <f ca="1"/>
        <v>0.84927078374423359</v>
      </c>
      <c r="Y61">
        <f ca="1"/>
        <v>1</v>
      </c>
      <c r="Z61">
        <f ca="1"/>
        <v>5.2835566899925439</v>
      </c>
      <c r="AA61">
        <f ca="1"/>
        <v>0</v>
      </c>
      <c r="AB61">
        <f ca="1"/>
        <v>0</v>
      </c>
      <c r="AD61" s="2">
        <f t="shared" ca="1" si="2"/>
        <v>45101</v>
      </c>
      <c r="AE61">
        <f t="shared" ca="1" si="3"/>
        <v>0</v>
      </c>
      <c r="AG61" s="63">
        <f t="shared" ca="1" si="7"/>
        <v>28.51317704863763</v>
      </c>
      <c r="AH61" s="63">
        <f t="shared" ca="1" si="8"/>
        <v>28.51317704863763</v>
      </c>
      <c r="AI61" s="3">
        <f t="shared" ca="1" si="9"/>
        <v>0</v>
      </c>
    </row>
    <row r="62" spans="1:35">
      <c r="G62" s="3">
        <f t="shared" si="4"/>
        <v>117</v>
      </c>
      <c r="H62" s="95">
        <f t="shared" si="6"/>
        <v>45042</v>
      </c>
      <c r="I62" s="119">
        <f>HLOOKUP($H$5,'Met Data'!$A$2:$F$368,G62,FALSE)</f>
        <v>14.998333333333299</v>
      </c>
      <c r="J62" s="119">
        <f ca="1">HLOOKUP($H$5,'Met Data'!$H$2:$M$368,G62,FALSE)*L62</f>
        <v>3.1903225806451601</v>
      </c>
      <c r="K62" s="96">
        <f>HLOOKUP($H$5,'Met Data'!$O$2:$T$368,G62,FALSE)</f>
        <v>2.1294944258891699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45102</v>
      </c>
      <c r="Q62">
        <f ca="1"/>
        <v>26.751274773424921</v>
      </c>
      <c r="R62">
        <f ca="1"/>
        <v>0</v>
      </c>
      <c r="S62">
        <f ca="1"/>
        <v>-1.6092751293628638E-2</v>
      </c>
      <c r="T62">
        <f ca="1"/>
        <v>0.25781929471995585</v>
      </c>
      <c r="U62">
        <f ca="1"/>
        <v>0</v>
      </c>
      <c r="V62">
        <f ca="1"/>
        <v>0</v>
      </c>
      <c r="W62">
        <f ca="1"/>
        <v>0</v>
      </c>
      <c r="X62">
        <f ca="1"/>
        <v>1.1543580348948008</v>
      </c>
      <c r="Y62">
        <f ca="1"/>
        <v>1</v>
      </c>
      <c r="Z62">
        <f ca="1"/>
        <v>7.4265949853836091</v>
      </c>
      <c r="AA62">
        <f ca="1"/>
        <v>0</v>
      </c>
      <c r="AB62">
        <f ca="1"/>
        <v>0</v>
      </c>
      <c r="AD62" s="2">
        <f t="shared" ca="1" si="2"/>
        <v>45102</v>
      </c>
      <c r="AE62">
        <f t="shared" ca="1" si="3"/>
        <v>0</v>
      </c>
      <c r="AG62" s="63">
        <f t="shared" ca="1" si="7"/>
        <v>27.905632808319719</v>
      </c>
      <c r="AH62" s="63">
        <f t="shared" ca="1" si="8"/>
        <v>27.905632808319723</v>
      </c>
      <c r="AI62" s="3">
        <f t="shared" ca="1" si="9"/>
        <v>0</v>
      </c>
    </row>
    <row r="63" spans="1:35">
      <c r="G63" s="3">
        <f t="shared" si="4"/>
        <v>118</v>
      </c>
      <c r="H63" s="95">
        <f t="shared" si="6"/>
        <v>45043</v>
      </c>
      <c r="I63" s="119">
        <f>HLOOKUP($H$5,'Met Data'!$A$2:$F$368,G63,FALSE)</f>
        <v>15.395</v>
      </c>
      <c r="J63" s="119">
        <f ca="1">HLOOKUP($H$5,'Met Data'!$H$2:$M$368,G63,FALSE)*L63</f>
        <v>2.8516129032258002</v>
      </c>
      <c r="K63" s="96">
        <f>HLOOKUP($H$5,'Met Data'!$O$2:$T$368,G63,FALSE)</f>
        <v>2.1336270025185899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45103</v>
      </c>
      <c r="Q63">
        <f ca="1"/>
        <v>26.605965223909514</v>
      </c>
      <c r="R63">
        <f ca="1"/>
        <v>0</v>
      </c>
      <c r="S63">
        <f ca="1"/>
        <v>-1.4410731676893107E-2</v>
      </c>
      <c r="T63">
        <f ca="1"/>
        <v>0.24878961815813672</v>
      </c>
      <c r="U63">
        <f ca="1"/>
        <v>0</v>
      </c>
      <c r="V63">
        <f ca="1"/>
        <v>0</v>
      </c>
      <c r="W63">
        <f ca="1"/>
        <v>0</v>
      </c>
      <c r="X63">
        <f ca="1"/>
        <v>0.37968843599665369</v>
      </c>
      <c r="Y63">
        <f ca="1"/>
        <v>1</v>
      </c>
      <c r="Z63">
        <f ca="1"/>
        <v>2.4560773675205496</v>
      </c>
      <c r="AA63">
        <f ca="1"/>
        <v>0</v>
      </c>
      <c r="AB63">
        <f ca="1"/>
        <v>0</v>
      </c>
      <c r="AD63" s="2">
        <f t="shared" ca="1" si="2"/>
        <v>45103</v>
      </c>
      <c r="AE63">
        <f t="shared" ca="1" si="3"/>
        <v>0</v>
      </c>
      <c r="AG63" s="63">
        <f t="shared" ca="1" si="7"/>
        <v>26.985653659906166</v>
      </c>
      <c r="AH63" s="63">
        <f t="shared" ca="1" si="8"/>
        <v>26.98565365990617</v>
      </c>
      <c r="AI63" s="3">
        <f t="shared" ca="1" si="9"/>
        <v>0</v>
      </c>
    </row>
    <row r="64" spans="1:35">
      <c r="G64" s="3">
        <f t="shared" si="4"/>
        <v>119</v>
      </c>
      <c r="H64" s="95">
        <f t="shared" si="6"/>
        <v>45044</v>
      </c>
      <c r="I64" s="119">
        <f>HLOOKUP($H$5,'Met Data'!$A$2:$F$368,G64,FALSE)</f>
        <v>15.641379310344799</v>
      </c>
      <c r="J64" s="119">
        <f ca="1">HLOOKUP($H$5,'Met Data'!$H$2:$M$368,G64,FALSE)*L64</f>
        <v>3.74193548387096</v>
      </c>
      <c r="K64" s="96">
        <f>HLOOKUP($H$5,'Met Data'!$O$2:$T$368,G64,FALSE)</f>
        <v>2.0365768668725401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45104</v>
      </c>
      <c r="Q64">
        <f ca="1"/>
        <v>26.636682171267747</v>
      </c>
      <c r="R64">
        <f ca="1"/>
        <v>0</v>
      </c>
      <c r="S64">
        <f ca="1"/>
        <v>-1.3288051609785967E-2</v>
      </c>
      <c r="T64">
        <f ca="1"/>
        <v>0.25120066411939679</v>
      </c>
      <c r="U64">
        <f ca="1"/>
        <v>0</v>
      </c>
      <c r="V64">
        <f ca="1"/>
        <v>0</v>
      </c>
      <c r="W64">
        <f ca="1"/>
        <v>0</v>
      </c>
      <c r="X64">
        <f ca="1"/>
        <v>0.20719566515137802</v>
      </c>
      <c r="Y64">
        <f ca="1"/>
        <v>1</v>
      </c>
      <c r="Z64">
        <f ca="1"/>
        <v>1.3387337995775042</v>
      </c>
      <c r="AA64">
        <f ca="1"/>
        <v>0</v>
      </c>
      <c r="AB64">
        <f ca="1"/>
        <v>0</v>
      </c>
      <c r="AD64" s="2">
        <f t="shared" ca="1" si="2"/>
        <v>45104</v>
      </c>
      <c r="AE64">
        <f t="shared" ca="1" si="3"/>
        <v>0</v>
      </c>
      <c r="AG64" s="63">
        <f t="shared" ca="1" si="7"/>
        <v>26.843877836419129</v>
      </c>
      <c r="AH64" s="63">
        <f t="shared" ca="1" si="8"/>
        <v>26.843877836419125</v>
      </c>
      <c r="AI64" s="3">
        <f t="shared" ca="1" si="9"/>
        <v>0</v>
      </c>
    </row>
    <row r="65" spans="7:35">
      <c r="G65" s="3">
        <f t="shared" si="4"/>
        <v>120</v>
      </c>
      <c r="H65" s="95">
        <f t="shared" si="6"/>
        <v>45045</v>
      </c>
      <c r="I65" s="119">
        <f>HLOOKUP($H$5,'Met Data'!$A$2:$F$368,G65,FALSE)</f>
        <v>14.7327586206896</v>
      </c>
      <c r="J65" s="119">
        <f ca="1">HLOOKUP($H$5,'Met Data'!$H$2:$M$368,G65,FALSE)*L65</f>
        <v>3.3129032258064499</v>
      </c>
      <c r="K65" s="96">
        <f>HLOOKUP($H$5,'Met Data'!$O$2:$T$368,G65,FALSE)</f>
        <v>2.1199579861729001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45105</v>
      </c>
      <c r="Q65">
        <f ca="1"/>
        <v>26.209939053885659</v>
      </c>
      <c r="R65">
        <f ca="1"/>
        <v>0</v>
      </c>
      <c r="S65">
        <f ca="1"/>
        <v>-1.2004747706313879E-2</v>
      </c>
      <c r="T65">
        <f ca="1"/>
        <v>0.24813300328526539</v>
      </c>
      <c r="U65">
        <f ca="1"/>
        <v>0</v>
      </c>
      <c r="V65">
        <f ca="1"/>
        <v>0</v>
      </c>
      <c r="W65">
        <f ca="1"/>
        <v>0</v>
      </c>
      <c r="X65">
        <f ca="1"/>
        <v>0.66287137296103871</v>
      </c>
      <c r="Y65">
        <f ca="1"/>
        <v>1</v>
      </c>
      <c r="Z65">
        <f ca="1"/>
        <v>4.3526820529290262</v>
      </c>
      <c r="AA65">
        <f ca="1"/>
        <v>0</v>
      </c>
      <c r="AB65">
        <f ca="1"/>
        <v>0</v>
      </c>
      <c r="AD65" s="2">
        <f t="shared" ca="1" si="2"/>
        <v>45105</v>
      </c>
      <c r="AE65">
        <f t="shared" ca="1" si="3"/>
        <v>0</v>
      </c>
      <c r="AG65" s="63">
        <f t="shared" ca="1" si="7"/>
        <v>26.872810426846698</v>
      </c>
      <c r="AH65" s="63">
        <f t="shared" ca="1" si="8"/>
        <v>26.872810426846698</v>
      </c>
      <c r="AI65" s="3">
        <f t="shared" ca="1" si="9"/>
        <v>0</v>
      </c>
    </row>
    <row r="66" spans="7:35">
      <c r="G66" s="3">
        <f t="shared" si="4"/>
        <v>121</v>
      </c>
      <c r="H66" s="95">
        <f t="shared" si="6"/>
        <v>45046</v>
      </c>
      <c r="I66" s="119">
        <f>HLOOKUP($H$5,'Met Data'!$A$2:$F$368,G66,FALSE)</f>
        <v>14.332758620689599</v>
      </c>
      <c r="J66" s="119">
        <f ca="1">HLOOKUP($H$5,'Met Data'!$H$2:$M$368,G66,FALSE)*L66</f>
        <v>4.4322580645161196</v>
      </c>
      <c r="K66" s="96">
        <f>HLOOKUP($H$5,'Met Data'!$O$2:$T$368,G66,FALSE)</f>
        <v>1.7270113091402699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45106</v>
      </c>
      <c r="Q66">
        <f ca="1"/>
        <v>25.853643276357811</v>
      </c>
      <c r="R66">
        <f ca="1"/>
        <v>0</v>
      </c>
      <c r="S66">
        <f ca="1"/>
        <v>-1.0963109917295988E-2</v>
      </c>
      <c r="T66">
        <f ca="1"/>
        <v>0.2507065676955072</v>
      </c>
      <c r="U66">
        <f ca="1"/>
        <v>0</v>
      </c>
      <c r="V66">
        <f ca="1"/>
        <v>0</v>
      </c>
      <c r="W66">
        <f ca="1"/>
        <v>0</v>
      </c>
      <c r="X66">
        <f ca="1"/>
        <v>0.59603923530605929</v>
      </c>
      <c r="Y66">
        <f ca="1"/>
        <v>1</v>
      </c>
      <c r="Z66">
        <f ca="1"/>
        <v>3.9677727339223594</v>
      </c>
      <c r="AA66">
        <f ca="1"/>
        <v>0</v>
      </c>
      <c r="AB66">
        <f ca="1"/>
        <v>0</v>
      </c>
      <c r="AD66" s="2">
        <f t="shared" ca="1" si="2"/>
        <v>45106</v>
      </c>
      <c r="AE66">
        <f t="shared" ca="1" si="3"/>
        <v>0</v>
      </c>
      <c r="AG66" s="63">
        <f t="shared" ca="1" si="7"/>
        <v>26.44968251166387</v>
      </c>
      <c r="AH66" s="63">
        <f t="shared" ca="1" si="8"/>
        <v>26.44968251166387</v>
      </c>
      <c r="AI66" s="3">
        <f t="shared" ca="1" si="9"/>
        <v>0</v>
      </c>
    </row>
    <row r="67" spans="7:35">
      <c r="G67" s="3">
        <f t="shared" si="4"/>
        <v>122</v>
      </c>
      <c r="H67" s="95">
        <f t="shared" si="6"/>
        <v>45047</v>
      </c>
      <c r="I67" s="119">
        <f>HLOOKUP($H$5,'Met Data'!$A$2:$F$368,G67,FALSE)</f>
        <v>14.3982758620689</v>
      </c>
      <c r="J67" s="119">
        <f ca="1">HLOOKUP($H$5,'Met Data'!$H$2:$M$368,G67,FALSE)*L67</f>
        <v>3.1838709677419299</v>
      </c>
      <c r="K67" s="96">
        <f>HLOOKUP($H$5,'Met Data'!$O$2:$T$368,G67,FALSE)</f>
        <v>1.93510583623638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45107</v>
      </c>
      <c r="Q67">
        <f ca="1"/>
        <v>25.194226216342539</v>
      </c>
      <c r="R67">
        <f ca="1"/>
        <v>0</v>
      </c>
      <c r="S67">
        <f ca="1"/>
        <v>-9.9240367299939791E-3</v>
      </c>
      <c r="T67">
        <f ca="1"/>
        <v>0.25271505122727139</v>
      </c>
      <c r="U67">
        <f ca="1"/>
        <v>0</v>
      </c>
      <c r="V67">
        <f ca="1"/>
        <v>0</v>
      </c>
      <c r="W67">
        <f ca="1"/>
        <v>0</v>
      </c>
      <c r="X67">
        <f ca="1"/>
        <v>0.90220807451254792</v>
      </c>
      <c r="Y67">
        <f ca="1"/>
        <v>1</v>
      </c>
      <c r="Z67">
        <f ca="1"/>
        <v>6.1631023076017115</v>
      </c>
      <c r="AA67">
        <f ca="1"/>
        <v>0</v>
      </c>
      <c r="AB67">
        <f ca="1"/>
        <v>0</v>
      </c>
      <c r="AD67" s="2">
        <f t="shared" ca="1" si="2"/>
        <v>45107</v>
      </c>
      <c r="AE67">
        <f t="shared" ca="1" si="3"/>
        <v>0</v>
      </c>
      <c r="AG67" s="63">
        <f t="shared" ca="1" si="7"/>
        <v>26.096434290855086</v>
      </c>
      <c r="AH67" s="63">
        <f t="shared" ca="1" si="8"/>
        <v>26.096434290855086</v>
      </c>
      <c r="AI67" s="3">
        <f t="shared" ca="1" si="9"/>
        <v>0</v>
      </c>
    </row>
    <row r="68" spans="7:35">
      <c r="G68" s="3">
        <f t="shared" si="4"/>
        <v>123</v>
      </c>
      <c r="H68" s="95">
        <f t="shared" si="6"/>
        <v>45048</v>
      </c>
      <c r="I68" s="119">
        <f>HLOOKUP($H$5,'Met Data'!$A$2:$F$368,G68,FALSE)</f>
        <v>14.296666666666599</v>
      </c>
      <c r="J68" s="119">
        <f ca="1">HLOOKUP($H$5,'Met Data'!$H$2:$M$368,G68,FALSE)*L68</f>
        <v>6.4709677419354801</v>
      </c>
      <c r="K68" s="96">
        <f>HLOOKUP($H$5,'Met Data'!$O$2:$T$368,G68,FALSE)</f>
        <v>1.84994231207221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45108</v>
      </c>
      <c r="Q68">
        <f ca="1"/>
        <v>25.182605597008727</v>
      </c>
      <c r="R68">
        <f ca="1"/>
        <v>0</v>
      </c>
      <c r="S68">
        <f ca="1"/>
        <v>-8.5175347629098397E-3</v>
      </c>
      <c r="T68">
        <f ca="1"/>
        <v>0.23833047291704745</v>
      </c>
      <c r="U68">
        <f ca="1"/>
        <v>0</v>
      </c>
      <c r="V68">
        <f ca="1"/>
        <v>0</v>
      </c>
      <c r="W68">
        <f ca="1"/>
        <v>0</v>
      </c>
      <c r="X68">
        <f ca="1"/>
        <v>0.24143355748795289</v>
      </c>
      <c r="Y68">
        <f ca="1"/>
        <v>1</v>
      </c>
      <c r="Z68">
        <f ca="1"/>
        <v>2.0910806622760489</v>
      </c>
      <c r="AA68">
        <f ca="1"/>
        <v>0</v>
      </c>
      <c r="AB68">
        <f ca="1"/>
        <v>0</v>
      </c>
      <c r="AD68" s="2">
        <f t="shared" ca="1" si="2"/>
        <v>45108</v>
      </c>
      <c r="AE68">
        <f t="shared" ca="1" si="3"/>
        <v>0</v>
      </c>
      <c r="AG68" s="63">
        <f t="shared" ca="1" si="7"/>
        <v>25.424039154496679</v>
      </c>
      <c r="AH68" s="63">
        <f t="shared" ca="1" si="8"/>
        <v>25.424039154496679</v>
      </c>
      <c r="AI68" s="3">
        <f t="shared" ca="1" si="9"/>
        <v>0</v>
      </c>
    </row>
    <row r="69" spans="7:35">
      <c r="G69" s="3">
        <f t="shared" si="4"/>
        <v>124</v>
      </c>
      <c r="H69" s="95">
        <f t="shared" si="6"/>
        <v>45049</v>
      </c>
      <c r="I69" s="119">
        <f>HLOOKUP($H$5,'Met Data'!$A$2:$F$368,G69,FALSE)</f>
        <v>14.1866666666666</v>
      </c>
      <c r="J69" s="119">
        <f ca="1">HLOOKUP($H$5,'Met Data'!$H$2:$M$368,G69,FALSE)*L69</f>
        <v>2.59032258064516</v>
      </c>
      <c r="K69" s="96">
        <f>HLOOKUP($H$5,'Met Data'!$O$2:$T$368,G69,FALSE)</f>
        <v>1.8652259443704999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45109</v>
      </c>
      <c r="Q69">
        <f ca="1"/>
        <v>25.064267166305086</v>
      </c>
      <c r="R69">
        <f ca="1"/>
        <v>0</v>
      </c>
      <c r="S69">
        <f ca="1"/>
        <v>-7.3395052956266582E-3</v>
      </c>
      <c r="T69">
        <f ca="1"/>
        <v>0.22718201345904218</v>
      </c>
      <c r="U69">
        <f ca="1"/>
        <v>0</v>
      </c>
      <c r="V69">
        <f ca="1"/>
        <v>0</v>
      </c>
      <c r="W69">
        <f ca="1"/>
        <v>0</v>
      </c>
      <c r="X69">
        <f ca="1"/>
        <v>0.33818093886705802</v>
      </c>
      <c r="Y69">
        <f ca="1"/>
        <v>1</v>
      </c>
      <c r="Z69">
        <f ca="1"/>
        <v>2.9428486715873277</v>
      </c>
      <c r="AA69">
        <f ca="1"/>
        <v>0</v>
      </c>
      <c r="AB69">
        <f ca="1"/>
        <v>0</v>
      </c>
      <c r="AD69" s="2">
        <f t="shared" ca="1" si="2"/>
        <v>45109</v>
      </c>
      <c r="AE69">
        <f t="shared" ca="1" si="3"/>
        <v>0</v>
      </c>
      <c r="AG69" s="63">
        <f t="shared" ca="1" si="7"/>
        <v>25.402448105172144</v>
      </c>
      <c r="AH69" s="63">
        <f t="shared" ca="1" si="8"/>
        <v>25.402448105172144</v>
      </c>
      <c r="AI69" s="3">
        <f t="shared" ca="1" si="9"/>
        <v>0</v>
      </c>
    </row>
    <row r="70" spans="7:35">
      <c r="G70" s="3">
        <f t="shared" si="4"/>
        <v>125</v>
      </c>
      <c r="H70" s="95">
        <f t="shared" si="6"/>
        <v>45050</v>
      </c>
      <c r="I70" s="119">
        <f>HLOOKUP($H$5,'Met Data'!$A$2:$F$368,G70,FALSE)</f>
        <v>13.9112903225806</v>
      </c>
      <c r="J70" s="119">
        <f ca="1">HLOOKUP($H$5,'Met Data'!$H$2:$M$368,G70,FALSE)*L70</f>
        <v>2.2741935483870899</v>
      </c>
      <c r="K70" s="96">
        <f>HLOOKUP($H$5,'Met Data'!$O$2:$T$368,G70,FALSE)</f>
        <v>1.88347487361168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45110</v>
      </c>
      <c r="Q70">
        <f ca="1"/>
        <v>25.058948399081793</v>
      </c>
      <c r="R70">
        <f ca="1"/>
        <v>0</v>
      </c>
      <c r="S70">
        <f ca="1"/>
        <v>-6.5464505343433288E-3</v>
      </c>
      <c r="T70">
        <f ca="1"/>
        <v>0.23027415376534557</v>
      </c>
      <c r="U70">
        <f ca="1"/>
        <v>0</v>
      </c>
      <c r="V70">
        <f ca="1"/>
        <v>0</v>
      </c>
      <c r="W70">
        <f ca="1"/>
        <v>0</v>
      </c>
      <c r="X70">
        <f ca="1"/>
        <v>0.22904647045429519</v>
      </c>
      <c r="Y70">
        <f ca="1"/>
        <v>1</v>
      </c>
      <c r="Z70">
        <f ca="1"/>
        <v>1.99358417607597</v>
      </c>
      <c r="AA70">
        <f ca="1"/>
        <v>0</v>
      </c>
      <c r="AB70">
        <f ca="1"/>
        <v>0</v>
      </c>
      <c r="AD70" s="2">
        <f t="shared" ca="1" si="2"/>
        <v>45110</v>
      </c>
      <c r="AE70">
        <f t="shared" ca="1" si="3"/>
        <v>0</v>
      </c>
      <c r="AG70" s="63">
        <f t="shared" ca="1" si="7"/>
        <v>25.287994869536089</v>
      </c>
      <c r="AH70" s="63">
        <f t="shared" ca="1" si="8"/>
        <v>25.287994869536089</v>
      </c>
      <c r="AI70" s="3">
        <f t="shared" ca="1" si="9"/>
        <v>0</v>
      </c>
    </row>
    <row r="71" spans="7:35">
      <c r="G71" s="3">
        <f t="shared" si="4"/>
        <v>126</v>
      </c>
      <c r="H71" s="95">
        <f t="shared" si="6"/>
        <v>45051</v>
      </c>
      <c r="I71" s="119">
        <f>HLOOKUP($H$5,'Met Data'!$A$2:$F$368,G71,FALSE)</f>
        <v>13.9966666666666</v>
      </c>
      <c r="J71" s="119">
        <f ca="1">HLOOKUP($H$5,'Met Data'!$H$2:$M$368,G71,FALSE)*L71</f>
        <v>3.2548387096774101</v>
      </c>
      <c r="K71" s="96">
        <f>HLOOKUP($H$5,'Met Data'!$O$2:$T$368,G71,FALSE)</f>
        <v>1.9813737718090501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45111</v>
      </c>
      <c r="Q71">
        <f ca="1"/>
        <v>24.842655343680981</v>
      </c>
      <c r="R71">
        <f ca="1"/>
        <v>0</v>
      </c>
      <c r="S71">
        <f ca="1"/>
        <v>-5.8881001187796045E-3</v>
      </c>
      <c r="T71">
        <f ca="1"/>
        <v>0.24130774476704553</v>
      </c>
      <c r="U71">
        <f ca="1"/>
        <v>0</v>
      </c>
      <c r="V71">
        <f ca="1"/>
        <v>0</v>
      </c>
      <c r="W71">
        <f ca="1"/>
        <v>0</v>
      </c>
      <c r="X71">
        <f ca="1"/>
        <v>0.45171270004908021</v>
      </c>
      <c r="Y71">
        <f ca="1"/>
        <v>1</v>
      </c>
      <c r="Z71">
        <f ca="1"/>
        <v>3.9658666090144052</v>
      </c>
      <c r="AA71">
        <f ca="1"/>
        <v>0</v>
      </c>
      <c r="AB71">
        <f ca="1"/>
        <v>0</v>
      </c>
      <c r="AD71" s="2">
        <f t="shared" ref="AD71:AD134" ca="1" si="12">IFERROR(P71,$AD$5)</f>
        <v>45111</v>
      </c>
      <c r="AE71">
        <f t="shared" ref="AE71:AE134" ca="1" si="13">IFERROR(U71,0)</f>
        <v>0</v>
      </c>
      <c r="AG71" s="63">
        <f t="shared" ca="1" si="7"/>
        <v>25.294368043730056</v>
      </c>
      <c r="AH71" s="63">
        <f t="shared" ca="1" si="8"/>
        <v>25.29436804373006</v>
      </c>
      <c r="AI71" s="3">
        <f t="shared" ca="1" si="9"/>
        <v>0</v>
      </c>
    </row>
    <row r="72" spans="7:35">
      <c r="G72" s="3">
        <f t="shared" ref="G72:G135" si="14">H72-DATE(YEAR(H72),1,0)+1</f>
        <v>127</v>
      </c>
      <c r="H72" s="95">
        <f t="shared" si="6"/>
        <v>45052</v>
      </c>
      <c r="I72" s="119">
        <f>HLOOKUP($H$5,'Met Data'!$A$2:$F$368,G72,FALSE)</f>
        <v>14.1596774193548</v>
      </c>
      <c r="J72" s="119">
        <f ca="1">HLOOKUP($H$5,'Met Data'!$H$2:$M$368,G72,FALSE)*L72</f>
        <v>3.4483870967741899</v>
      </c>
      <c r="K72" s="96">
        <f>HLOOKUP($H$5,'Met Data'!$O$2:$T$368,G72,FALSE)</f>
        <v>1.78778032014411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45112</v>
      </c>
      <c r="Q72">
        <f ca="1"/>
        <v>24.916640525494142</v>
      </c>
      <c r="R72">
        <f ca="1"/>
        <v>0</v>
      </c>
      <c r="S72">
        <f ca="1"/>
        <v>-5.1900532176043512E-3</v>
      </c>
      <c r="T72">
        <f ca="1"/>
        <v>0.25319219145259936</v>
      </c>
      <c r="U72">
        <f ca="1"/>
        <v>0</v>
      </c>
      <c r="V72">
        <f ca="1"/>
        <v>0</v>
      </c>
      <c r="W72">
        <f ca="1"/>
        <v>0</v>
      </c>
      <c r="X72">
        <f ca="1"/>
        <v>0.17401695642183346</v>
      </c>
      <c r="Y72">
        <f ca="1"/>
        <v>1</v>
      </c>
      <c r="Z72">
        <f ca="1"/>
        <v>1.5232665232813289</v>
      </c>
      <c r="AA72">
        <f ca="1"/>
        <v>0</v>
      </c>
      <c r="AB72">
        <f ca="1"/>
        <v>0</v>
      </c>
      <c r="AD72" s="2">
        <f t="shared" ca="1" si="12"/>
        <v>45112</v>
      </c>
      <c r="AE72">
        <f t="shared" ca="1" si="13"/>
        <v>0</v>
      </c>
      <c r="AG72" s="63">
        <f t="shared" ca="1" si="7"/>
        <v>25.090657481915976</v>
      </c>
      <c r="AH72" s="63">
        <f t="shared" ca="1" si="8"/>
        <v>25.090657481915976</v>
      </c>
      <c r="AI72" s="3">
        <f t="shared" ca="1" si="9"/>
        <v>0</v>
      </c>
    </row>
    <row r="73" spans="7:35">
      <c r="G73" s="3">
        <f t="shared" si="14"/>
        <v>128</v>
      </c>
      <c r="H73" s="95">
        <f t="shared" ref="H73:H136" si="16">H72+1</f>
        <v>45053</v>
      </c>
      <c r="I73" s="119">
        <f>HLOOKUP($H$5,'Met Data'!$A$2:$F$368,G73,FALSE)</f>
        <v>13.8403225806451</v>
      </c>
      <c r="J73" s="119">
        <f ca="1">HLOOKUP($H$5,'Met Data'!$H$2:$M$368,G73,FALSE)*L73</f>
        <v>1.8387096774193501</v>
      </c>
      <c r="K73" s="96">
        <f>HLOOKUP($H$5,'Met Data'!$O$2:$T$368,G73,FALSE)</f>
        <v>1.87782016455675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45113</v>
      </c>
      <c r="Q73">
        <f ca="1"/>
        <v>24.807935671538537</v>
      </c>
      <c r="R73">
        <f ca="1"/>
        <v>0</v>
      </c>
      <c r="S73">
        <f ca="1"/>
        <v>-4.2937188773635171E-3</v>
      </c>
      <c r="T73">
        <f ca="1"/>
        <v>0.25210860512336092</v>
      </c>
      <c r="U73">
        <f ca="1"/>
        <v>0</v>
      </c>
      <c r="V73">
        <f ca="1"/>
        <v>0</v>
      </c>
      <c r="W73">
        <f ca="1"/>
        <v>0</v>
      </c>
      <c r="X73">
        <f ca="1"/>
        <v>0.35651974020160182</v>
      </c>
      <c r="Y73">
        <f ca="1"/>
        <v>1</v>
      </c>
      <c r="Z73">
        <f ca="1"/>
        <v>3.1344891447679615</v>
      </c>
      <c r="AA73">
        <f ca="1"/>
        <v>0</v>
      </c>
      <c r="AB73">
        <f ca="1"/>
        <v>0</v>
      </c>
      <c r="AD73" s="2">
        <f t="shared" ca="1" si="12"/>
        <v>45113</v>
      </c>
      <c r="AE73">
        <f t="shared" ca="1" si="13"/>
        <v>0</v>
      </c>
      <c r="AG73" s="63">
        <f t="shared" ref="AG73:AG136" ca="1" si="17">Q72+S73+T73+U73</f>
        <v>25.164455411740139</v>
      </c>
      <c r="AH73" s="63">
        <f t="shared" ref="AH73:AH136" ca="1" si="18">Q73+R73+X73</f>
        <v>25.164455411740139</v>
      </c>
      <c r="AI73" s="3">
        <f t="shared" ref="AI73:AI136" ca="1" si="19">AH73-AG73</f>
        <v>0</v>
      </c>
    </row>
    <row r="74" spans="7:35">
      <c r="G74" s="3">
        <f t="shared" si="14"/>
        <v>129</v>
      </c>
      <c r="H74" s="95">
        <f t="shared" si="16"/>
        <v>45054</v>
      </c>
      <c r="I74" s="119">
        <f>HLOOKUP($H$5,'Met Data'!$A$2:$F$368,G74,FALSE)</f>
        <v>13.5774193548387</v>
      </c>
      <c r="J74" s="119">
        <f ca="1">HLOOKUP($H$5,'Met Data'!$H$2:$M$368,G74,FALSE)*L74</f>
        <v>3.4064516129032198</v>
      </c>
      <c r="K74" s="96">
        <f>HLOOKUP($H$5,'Met Data'!$O$2:$T$368,G74,FALSE)</f>
        <v>1.84976774954056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45114</v>
      </c>
      <c r="Q74">
        <f ca="1"/>
        <v>24.888673954216578</v>
      </c>
      <c r="R74">
        <f ca="1"/>
        <v>0</v>
      </c>
      <c r="S74">
        <f ca="1"/>
        <v>-3.4367441347828986E-3</v>
      </c>
      <c r="T74">
        <f ca="1"/>
        <v>0.25068277137510131</v>
      </c>
      <c r="U74">
        <f ca="1"/>
        <v>0</v>
      </c>
      <c r="V74">
        <f ca="1"/>
        <v>0</v>
      </c>
      <c r="W74">
        <f ca="1"/>
        <v>0</v>
      </c>
      <c r="X74">
        <f ca="1"/>
        <v>0.16650774456227538</v>
      </c>
      <c r="Y74">
        <f ca="1"/>
        <v>1</v>
      </c>
      <c r="Z74">
        <f ca="1"/>
        <v>1.4591720273170523</v>
      </c>
      <c r="AA74">
        <f ca="1"/>
        <v>0</v>
      </c>
      <c r="AB74">
        <f ca="1"/>
        <v>0</v>
      </c>
      <c r="AD74" s="2">
        <f t="shared" ca="1" si="12"/>
        <v>45114</v>
      </c>
      <c r="AE74">
        <f t="shared" ca="1" si="13"/>
        <v>0</v>
      </c>
      <c r="AG74" s="63">
        <f t="shared" ca="1" si="17"/>
        <v>25.055181698778856</v>
      </c>
      <c r="AH74" s="63">
        <f t="shared" ca="1" si="18"/>
        <v>25.055181698778853</v>
      </c>
      <c r="AI74" s="3">
        <f t="shared" ca="1" si="19"/>
        <v>0</v>
      </c>
    </row>
    <row r="75" spans="7:35">
      <c r="G75" s="3">
        <f t="shared" si="14"/>
        <v>130</v>
      </c>
      <c r="H75" s="95">
        <f t="shared" si="16"/>
        <v>45055</v>
      </c>
      <c r="I75" s="119">
        <f>HLOOKUP($H$5,'Met Data'!$A$2:$F$368,G75,FALSE)</f>
        <v>13.1612903225806</v>
      </c>
      <c r="J75" s="119">
        <f ca="1">HLOOKUP($H$5,'Met Data'!$H$2:$M$368,G75,FALSE)*L75</f>
        <v>2.3258064516129</v>
      </c>
      <c r="K75" s="96">
        <f>HLOOKUP($H$5,'Met Data'!$O$2:$T$368,G75,FALSE)</f>
        <v>1.7318330822852801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45115</v>
      </c>
      <c r="Q75">
        <f ca="1"/>
        <v>24.850124343188423</v>
      </c>
      <c r="R75">
        <f ca="1"/>
        <v>0</v>
      </c>
      <c r="S75">
        <f ca="1"/>
        <v>-2.585128846856577E-3</v>
      </c>
      <c r="T75">
        <f ca="1"/>
        <v>0.24343421585474384</v>
      </c>
      <c r="U75">
        <f ca="1"/>
        <v>0</v>
      </c>
      <c r="V75">
        <f ca="1"/>
        <v>0</v>
      </c>
      <c r="W75">
        <f ca="1"/>
        <v>0</v>
      </c>
      <c r="X75">
        <f ca="1"/>
        <v>0.27939869803604256</v>
      </c>
      <c r="Y75">
        <f ca="1"/>
        <v>1</v>
      </c>
      <c r="Z75">
        <f ca="1"/>
        <v>2.4522775805575989</v>
      </c>
      <c r="AA75">
        <f ca="1"/>
        <v>0</v>
      </c>
      <c r="AB75">
        <f ca="1"/>
        <v>0</v>
      </c>
      <c r="AD75" s="2">
        <f t="shared" ca="1" si="12"/>
        <v>45115</v>
      </c>
      <c r="AE75">
        <f t="shared" ca="1" si="13"/>
        <v>0</v>
      </c>
      <c r="AG75" s="63">
        <f t="shared" ca="1" si="17"/>
        <v>25.129523041224466</v>
      </c>
      <c r="AH75" s="63">
        <f t="shared" ca="1" si="18"/>
        <v>25.129523041224466</v>
      </c>
      <c r="AI75" s="3">
        <f t="shared" ca="1" si="19"/>
        <v>0</v>
      </c>
    </row>
    <row r="76" spans="7:35">
      <c r="G76" s="3">
        <f t="shared" si="14"/>
        <v>131</v>
      </c>
      <c r="H76" s="95">
        <f t="shared" si="16"/>
        <v>45056</v>
      </c>
      <c r="I76" s="119">
        <f>HLOOKUP($H$5,'Met Data'!$A$2:$F$368,G76,FALSE)</f>
        <v>13.291935483870899</v>
      </c>
      <c r="J76" s="119">
        <f ca="1">HLOOKUP($H$5,'Met Data'!$H$2:$M$368,G76,FALSE)*L76</f>
        <v>3.1733333333333298</v>
      </c>
      <c r="K76" s="96">
        <f>HLOOKUP($H$5,'Met Data'!$O$2:$T$368,G76,FALSE)</f>
        <v>1.6655372035048599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45116</v>
      </c>
      <c r="Q76">
        <f ca="1"/>
        <v>24.738047385078911</v>
      </c>
      <c r="R76">
        <f ca="1"/>
        <v>0</v>
      </c>
      <c r="S76">
        <f ca="1"/>
        <v>-1.858403759269045E-3</v>
      </c>
      <c r="T76">
        <f ca="1"/>
        <v>0.2469625097377923</v>
      </c>
      <c r="U76">
        <f ca="1"/>
        <v>0</v>
      </c>
      <c r="V76">
        <f ca="1"/>
        <v>0</v>
      </c>
      <c r="W76">
        <f ca="1"/>
        <v>0</v>
      </c>
      <c r="X76">
        <f ca="1"/>
        <v>0.35718106408803357</v>
      </c>
      <c r="Y76">
        <f ca="1"/>
        <v>1</v>
      </c>
      <c r="Z76">
        <f ca="1"/>
        <v>3.1491752207258443</v>
      </c>
      <c r="AA76">
        <f ca="1"/>
        <v>0</v>
      </c>
      <c r="AB76">
        <f ca="1"/>
        <v>0</v>
      </c>
      <c r="AD76" s="2">
        <f t="shared" ca="1" si="12"/>
        <v>45116</v>
      </c>
      <c r="AE76">
        <f t="shared" ca="1" si="13"/>
        <v>0</v>
      </c>
      <c r="AG76" s="63">
        <f t="shared" ca="1" si="17"/>
        <v>25.095228449166946</v>
      </c>
      <c r="AH76" s="63">
        <f t="shared" ca="1" si="18"/>
        <v>25.095228449166946</v>
      </c>
      <c r="AI76" s="3">
        <f t="shared" ca="1" si="19"/>
        <v>0</v>
      </c>
    </row>
    <row r="77" spans="7:35">
      <c r="G77" s="3">
        <f t="shared" si="14"/>
        <v>132</v>
      </c>
      <c r="H77" s="95">
        <f t="shared" si="16"/>
        <v>45057</v>
      </c>
      <c r="I77" s="119">
        <f>HLOOKUP($H$5,'Met Data'!$A$2:$F$368,G77,FALSE)</f>
        <v>13.5774193548387</v>
      </c>
      <c r="J77" s="119">
        <f ca="1">HLOOKUP($H$5,'Met Data'!$H$2:$M$368,G77,FALSE)*L77</f>
        <v>2.4225806451612901</v>
      </c>
      <c r="K77" s="96">
        <f>HLOOKUP($H$5,'Met Data'!$O$2:$T$368,G77,FALSE)</f>
        <v>1.82340706114468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45117</v>
      </c>
      <c r="Q77">
        <f ca="1"/>
        <v>24.872027011893227</v>
      </c>
      <c r="R77">
        <f ca="1"/>
        <v>0</v>
      </c>
      <c r="S77">
        <f ca="1"/>
        <v>-1.0961022966364808E-3</v>
      </c>
      <c r="T77">
        <f ca="1"/>
        <v>0.23180593480258649</v>
      </c>
      <c r="U77">
        <f ca="1"/>
        <v>0</v>
      </c>
      <c r="V77">
        <f ca="1"/>
        <v>0</v>
      </c>
      <c r="W77">
        <f ca="1"/>
        <v>0</v>
      </c>
      <c r="X77">
        <f ca="1"/>
        <v>9.6730205691636983E-2</v>
      </c>
      <c r="Y77">
        <f ca="1"/>
        <v>1</v>
      </c>
      <c r="Z77">
        <f ca="1"/>
        <v>0.84825171510778574</v>
      </c>
      <c r="AA77">
        <f ca="1"/>
        <v>0</v>
      </c>
      <c r="AB77">
        <f ca="1"/>
        <v>0</v>
      </c>
      <c r="AD77" s="2">
        <f t="shared" ca="1" si="12"/>
        <v>45117</v>
      </c>
      <c r="AE77">
        <f t="shared" ca="1" si="13"/>
        <v>0</v>
      </c>
      <c r="AG77" s="63">
        <f t="shared" ca="1" si="17"/>
        <v>24.968757217584862</v>
      </c>
      <c r="AH77" s="63">
        <f t="shared" ca="1" si="18"/>
        <v>24.968757217584862</v>
      </c>
      <c r="AI77" s="3">
        <f t="shared" ca="1" si="19"/>
        <v>0</v>
      </c>
    </row>
    <row r="78" spans="7:35">
      <c r="G78" s="3">
        <f t="shared" si="14"/>
        <v>133</v>
      </c>
      <c r="H78" s="95">
        <f t="shared" si="16"/>
        <v>45058</v>
      </c>
      <c r="I78" s="119">
        <f>HLOOKUP($H$5,'Met Data'!$A$2:$F$368,G78,FALSE)</f>
        <v>13.898387096774099</v>
      </c>
      <c r="J78" s="119">
        <f ca="1">HLOOKUP($H$5,'Met Data'!$H$2:$M$368,G78,FALSE)*L78</f>
        <v>3.56129032258064</v>
      </c>
      <c r="K78" s="96">
        <f>HLOOKUP($H$5,'Met Data'!$O$2:$T$368,G78,FALSE)</f>
        <v>1.58246048642455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45118</v>
      </c>
      <c r="Q78">
        <f ca="1"/>
        <v>24.787383016857927</v>
      </c>
      <c r="R78">
        <f ca="1"/>
        <v>0</v>
      </c>
      <c r="S78">
        <f ca="1"/>
        <v>-4.5228238967265355E-4</v>
      </c>
      <c r="T78">
        <f ca="1"/>
        <v>0.22352394056838587</v>
      </c>
      <c r="U78">
        <f ca="1"/>
        <v>0</v>
      </c>
      <c r="V78">
        <f ca="1"/>
        <v>0</v>
      </c>
      <c r="W78">
        <f ca="1"/>
        <v>0</v>
      </c>
      <c r="X78">
        <f ca="1"/>
        <v>0.3077156532140094</v>
      </c>
      <c r="Y78">
        <f ca="1"/>
        <v>1</v>
      </c>
      <c r="Z78">
        <f ca="1"/>
        <v>2.7076512592171156</v>
      </c>
      <c r="AA78">
        <f ca="1"/>
        <v>0</v>
      </c>
      <c r="AB78">
        <f ca="1"/>
        <v>0</v>
      </c>
      <c r="AD78" s="2">
        <f t="shared" ca="1" si="12"/>
        <v>45118</v>
      </c>
      <c r="AE78">
        <f t="shared" ca="1" si="13"/>
        <v>0</v>
      </c>
      <c r="AG78" s="63">
        <f t="shared" ca="1" si="17"/>
        <v>25.095098670071938</v>
      </c>
      <c r="AH78" s="63">
        <f t="shared" ca="1" si="18"/>
        <v>25.095098670071938</v>
      </c>
      <c r="AI78" s="3">
        <f t="shared" ca="1" si="19"/>
        <v>0</v>
      </c>
    </row>
    <row r="79" spans="7:35">
      <c r="G79" s="3">
        <f t="shared" si="14"/>
        <v>134</v>
      </c>
      <c r="H79" s="95">
        <f t="shared" si="16"/>
        <v>45059</v>
      </c>
      <c r="I79" s="119">
        <f>HLOOKUP($H$5,'Met Data'!$A$2:$F$368,G79,FALSE)</f>
        <v>13.8193548387096</v>
      </c>
      <c r="J79" s="119">
        <f ca="1">HLOOKUP($H$5,'Met Data'!$H$2:$M$368,G79,FALSE)*L79</f>
        <v>3.2677419354838699</v>
      </c>
      <c r="K79" s="96">
        <f>HLOOKUP($H$5,'Met Data'!$O$2:$T$368,G79,FALSE)</f>
        <v>1.6419912913333301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45119</v>
      </c>
      <c r="Q79">
        <f ca="1"/>
        <v>24.36940143971967</v>
      </c>
      <c r="R79">
        <f ca="1"/>
        <v>0</v>
      </c>
      <c r="S79">
        <f ca="1"/>
        <v>1.4239742449628778E-4</v>
      </c>
      <c r="T79">
        <f ca="1"/>
        <v>0.230277180587903</v>
      </c>
      <c r="U79">
        <f ca="1"/>
        <v>0</v>
      </c>
      <c r="V79">
        <f ca="1"/>
        <v>0</v>
      </c>
      <c r="W79">
        <f ca="1"/>
        <v>0</v>
      </c>
      <c r="X79">
        <f ca="1"/>
        <v>0.64840115515065955</v>
      </c>
      <c r="Y79">
        <f ca="1"/>
        <v>1</v>
      </c>
      <c r="Z79">
        <f ca="1"/>
        <v>5.8032694220133294</v>
      </c>
      <c r="AA79">
        <f ca="1"/>
        <v>0</v>
      </c>
      <c r="AB79">
        <f ca="1"/>
        <v>0</v>
      </c>
      <c r="AD79" s="2">
        <f t="shared" ca="1" si="12"/>
        <v>45119</v>
      </c>
      <c r="AE79">
        <f t="shared" ca="1" si="13"/>
        <v>0</v>
      </c>
      <c r="AG79" s="63">
        <f t="shared" ca="1" si="17"/>
        <v>25.017802594870329</v>
      </c>
      <c r="AH79" s="63">
        <f t="shared" ca="1" si="18"/>
        <v>25.017802594870329</v>
      </c>
      <c r="AI79" s="3">
        <f t="shared" ca="1" si="19"/>
        <v>0</v>
      </c>
    </row>
    <row r="80" spans="7:35">
      <c r="G80" s="3">
        <f t="shared" si="14"/>
        <v>135</v>
      </c>
      <c r="H80" s="95">
        <f t="shared" si="16"/>
        <v>45060</v>
      </c>
      <c r="I80" s="119">
        <f>HLOOKUP($H$5,'Met Data'!$A$2:$F$368,G80,FALSE)</f>
        <v>13.49</v>
      </c>
      <c r="J80" s="119">
        <f ca="1">HLOOKUP($H$5,'Met Data'!$H$2:$M$368,G80,FALSE)*L80</f>
        <v>2.96129032258064</v>
      </c>
      <c r="K80" s="96">
        <f>HLOOKUP($H$5,'Met Data'!$O$2:$T$368,G80,FALSE)</f>
        <v>1.7493116405284199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45120</v>
      </c>
      <c r="Q80">
        <f ca="1"/>
        <v>24.468341513454504</v>
      </c>
      <c r="R80">
        <f ca="1"/>
        <v>0</v>
      </c>
      <c r="S80">
        <f ca="1"/>
        <v>7.4170086464686591E-4</v>
      </c>
      <c r="T80">
        <f ca="1"/>
        <v>0.23421826472191684</v>
      </c>
      <c r="U80">
        <f ca="1"/>
        <v>0</v>
      </c>
      <c r="V80">
        <f ca="1"/>
        <v>0</v>
      </c>
      <c r="W80">
        <f ca="1"/>
        <v>0</v>
      </c>
      <c r="X80">
        <f ca="1"/>
        <v>0.13601989185173047</v>
      </c>
      <c r="Y80">
        <f ca="1"/>
        <v>1</v>
      </c>
      <c r="Z80">
        <f ca="1"/>
        <v>1.2124719706635503</v>
      </c>
      <c r="AA80">
        <f ca="1"/>
        <v>0</v>
      </c>
      <c r="AB80">
        <f ca="1"/>
        <v>0</v>
      </c>
      <c r="AD80" s="2">
        <f t="shared" ca="1" si="12"/>
        <v>45120</v>
      </c>
      <c r="AE80">
        <f t="shared" ca="1" si="13"/>
        <v>0</v>
      </c>
      <c r="AG80" s="63">
        <f t="shared" ca="1" si="17"/>
        <v>24.604361405306236</v>
      </c>
      <c r="AH80" s="63">
        <f t="shared" ca="1" si="18"/>
        <v>24.604361405306236</v>
      </c>
      <c r="AI80" s="3">
        <f t="shared" ca="1" si="19"/>
        <v>0</v>
      </c>
    </row>
    <row r="81" spans="7:35">
      <c r="G81" s="3">
        <f t="shared" si="14"/>
        <v>136</v>
      </c>
      <c r="H81" s="95">
        <f t="shared" si="16"/>
        <v>45061</v>
      </c>
      <c r="I81" s="119">
        <f>HLOOKUP($H$5,'Met Data'!$A$2:$F$368,G81,FALSE)</f>
        <v>13.408064516129</v>
      </c>
      <c r="J81" s="119">
        <f ca="1">HLOOKUP($H$5,'Met Data'!$H$2:$M$368,G81,FALSE)*L81</f>
        <v>3.9032258064516099</v>
      </c>
      <c r="K81" s="96">
        <f>HLOOKUP($H$5,'Met Data'!$O$2:$T$368,G81,FALSE)</f>
        <v>1.5662445189592999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45121</v>
      </c>
      <c r="Q81">
        <f ca="1"/>
        <v>24.32908605339151</v>
      </c>
      <c r="R81">
        <f ca="1"/>
        <v>0</v>
      </c>
      <c r="S81">
        <f ca="1"/>
        <v>1.2757072307856276E-3</v>
      </c>
      <c r="T81">
        <f ca="1"/>
        <v>0.22504145294284228</v>
      </c>
      <c r="U81">
        <f ca="1"/>
        <v>0</v>
      </c>
      <c r="V81">
        <f ca="1"/>
        <v>0</v>
      </c>
      <c r="W81">
        <f ca="1"/>
        <v>0</v>
      </c>
      <c r="X81">
        <f ca="1"/>
        <v>0.36557262023662257</v>
      </c>
      <c r="Y81">
        <f ca="1"/>
        <v>1</v>
      </c>
      <c r="Z81">
        <f ca="1"/>
        <v>3.2773413906915891</v>
      </c>
      <c r="AA81">
        <f ca="1"/>
        <v>0</v>
      </c>
      <c r="AB81">
        <f ca="1"/>
        <v>0</v>
      </c>
      <c r="AD81" s="2">
        <f t="shared" ca="1" si="12"/>
        <v>45121</v>
      </c>
      <c r="AE81">
        <f t="shared" ca="1" si="13"/>
        <v>0</v>
      </c>
      <c r="AG81" s="63">
        <f t="shared" ca="1" si="17"/>
        <v>24.694658673628133</v>
      </c>
      <c r="AH81" s="63">
        <f t="shared" ca="1" si="18"/>
        <v>24.694658673628133</v>
      </c>
      <c r="AI81" s="3">
        <f t="shared" ca="1" si="19"/>
        <v>0</v>
      </c>
    </row>
    <row r="82" spans="7:35">
      <c r="G82" s="3">
        <f t="shared" si="14"/>
        <v>137</v>
      </c>
      <c r="H82" s="95">
        <f t="shared" si="16"/>
        <v>45062</v>
      </c>
      <c r="I82" s="119">
        <f>HLOOKUP($H$5,'Met Data'!$A$2:$F$368,G82,FALSE)</f>
        <v>13.4193548387096</v>
      </c>
      <c r="J82" s="119">
        <f ca="1">HLOOKUP($H$5,'Met Data'!$H$2:$M$368,G82,FALSE)*L82</f>
        <v>4.1322580645161198</v>
      </c>
      <c r="K82" s="96">
        <f>HLOOKUP($H$5,'Met Data'!$O$2:$T$368,G82,FALSE)</f>
        <v>1.7909891224832299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45122</v>
      </c>
      <c r="Q82">
        <f ca="1"/>
        <v>24.017380741745011</v>
      </c>
      <c r="R82">
        <f ca="1"/>
        <v>0</v>
      </c>
      <c r="S82">
        <f ca="1"/>
        <v>1.9346905533081937E-3</v>
      </c>
      <c r="T82">
        <f ca="1"/>
        <v>0.24592430844413671</v>
      </c>
      <c r="U82">
        <f ca="1"/>
        <v>0</v>
      </c>
      <c r="V82">
        <f ca="1"/>
        <v>0</v>
      </c>
      <c r="W82">
        <f ca="1"/>
        <v>0</v>
      </c>
      <c r="X82">
        <f ca="1"/>
        <v>0.55956431064394641</v>
      </c>
      <c r="Y82">
        <f ca="1"/>
        <v>1</v>
      </c>
      <c r="Z82">
        <f ca="1"/>
        <v>5.0815731312560715</v>
      </c>
      <c r="AA82">
        <f ca="1"/>
        <v>0</v>
      </c>
      <c r="AB82">
        <f ca="1"/>
        <v>0</v>
      </c>
      <c r="AD82" s="2">
        <f t="shared" ca="1" si="12"/>
        <v>45122</v>
      </c>
      <c r="AE82">
        <f t="shared" ca="1" si="13"/>
        <v>0</v>
      </c>
      <c r="AG82" s="63">
        <f t="shared" ca="1" si="17"/>
        <v>24.576945052388957</v>
      </c>
      <c r="AH82" s="63">
        <f t="shared" ca="1" si="18"/>
        <v>24.576945052388957</v>
      </c>
      <c r="AI82" s="3">
        <f t="shared" ca="1" si="19"/>
        <v>0</v>
      </c>
    </row>
    <row r="83" spans="7:35">
      <c r="G83" s="3">
        <f t="shared" si="14"/>
        <v>138</v>
      </c>
      <c r="H83" s="95">
        <f t="shared" si="16"/>
        <v>45063</v>
      </c>
      <c r="I83" s="119">
        <f>HLOOKUP($H$5,'Met Data'!$A$2:$F$368,G83,FALSE)</f>
        <v>13.0177419354838</v>
      </c>
      <c r="J83" s="119">
        <f ca="1">HLOOKUP($H$5,'Met Data'!$H$2:$M$368,G83,FALSE)*L83</f>
        <v>3.8645161290322498</v>
      </c>
      <c r="K83" s="96">
        <f>HLOOKUP($H$5,'Met Data'!$O$2:$T$368,G83,FALSE)</f>
        <v>1.67932593217038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45123</v>
      </c>
      <c r="Q83">
        <f ca="1"/>
        <v>23.85207953935706</v>
      </c>
      <c r="R83">
        <f ca="1"/>
        <v>0</v>
      </c>
      <c r="S83">
        <f ca="1"/>
        <v>2.6181208211539797E-3</v>
      </c>
      <c r="T83">
        <f ca="1"/>
        <v>0.25975554429639081</v>
      </c>
      <c r="U83">
        <f ca="1"/>
        <v>0</v>
      </c>
      <c r="V83">
        <f ca="1"/>
        <v>0</v>
      </c>
      <c r="W83">
        <f ca="1"/>
        <v>0</v>
      </c>
      <c r="X83">
        <f ca="1"/>
        <v>0.42767486750549388</v>
      </c>
      <c r="Y83">
        <f ca="1"/>
        <v>1</v>
      </c>
      <c r="Z83">
        <f ca="1"/>
        <v>3.9107611882139608</v>
      </c>
      <c r="AA83">
        <f ca="1"/>
        <v>0</v>
      </c>
      <c r="AB83">
        <f ca="1"/>
        <v>0</v>
      </c>
      <c r="AD83" s="2">
        <f t="shared" ca="1" si="12"/>
        <v>45123</v>
      </c>
      <c r="AE83">
        <f t="shared" ca="1" si="13"/>
        <v>0</v>
      </c>
      <c r="AG83" s="63">
        <f t="shared" ca="1" si="17"/>
        <v>24.279754406862555</v>
      </c>
      <c r="AH83" s="63">
        <f t="shared" ca="1" si="18"/>
        <v>24.279754406862555</v>
      </c>
      <c r="AI83" s="3">
        <f t="shared" ca="1" si="19"/>
        <v>0</v>
      </c>
    </row>
    <row r="84" spans="7:35">
      <c r="G84" s="3">
        <f t="shared" si="14"/>
        <v>139</v>
      </c>
      <c r="H84" s="95">
        <f t="shared" si="16"/>
        <v>45064</v>
      </c>
      <c r="I84" s="119">
        <f>HLOOKUP($H$5,'Met Data'!$A$2:$F$368,G84,FALSE)</f>
        <v>12.8774193548387</v>
      </c>
      <c r="J84" s="119">
        <f ca="1">HLOOKUP($H$5,'Met Data'!$H$2:$M$368,G84,FALSE)*L84</f>
        <v>3.7967741935483801</v>
      </c>
      <c r="K84" s="96">
        <f>HLOOKUP($H$5,'Met Data'!$O$2:$T$368,G84,FALSE)</f>
        <v>1.7647102566828801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45124</v>
      </c>
      <c r="Q84">
        <f ca="1"/>
        <v>23.41891342406123</v>
      </c>
      <c r="R84">
        <f ca="1"/>
        <v>0</v>
      </c>
      <c r="S84">
        <f ca="1"/>
        <v>3.1485689240664527E-3</v>
      </c>
      <c r="T84">
        <f ca="1"/>
        <v>0.2535485478381086</v>
      </c>
      <c r="U84">
        <f ca="1"/>
        <v>0</v>
      </c>
      <c r="V84">
        <f ca="1"/>
        <v>0</v>
      </c>
      <c r="W84">
        <f ca="1"/>
        <v>0</v>
      </c>
      <c r="X84">
        <f ca="1"/>
        <v>0.68986323205800182</v>
      </c>
      <c r="Y84">
        <f ca="1"/>
        <v>1</v>
      </c>
      <c r="Z84">
        <f ca="1"/>
        <v>6.4249547530061761</v>
      </c>
      <c r="AA84">
        <f ca="1"/>
        <v>0</v>
      </c>
      <c r="AB84">
        <f ca="1"/>
        <v>0</v>
      </c>
      <c r="AD84" s="2">
        <f t="shared" ca="1" si="12"/>
        <v>45124</v>
      </c>
      <c r="AE84">
        <f t="shared" ca="1" si="13"/>
        <v>0</v>
      </c>
      <c r="AG84" s="63">
        <f t="shared" ca="1" si="17"/>
        <v>24.108776656119232</v>
      </c>
      <c r="AH84" s="63">
        <f t="shared" ca="1" si="18"/>
        <v>24.108776656119232</v>
      </c>
      <c r="AI84" s="3">
        <f t="shared" ca="1" si="19"/>
        <v>0</v>
      </c>
    </row>
    <row r="85" spans="7:35">
      <c r="G85" s="3">
        <f t="shared" si="14"/>
        <v>140</v>
      </c>
      <c r="H85" s="95">
        <f t="shared" si="16"/>
        <v>45065</v>
      </c>
      <c r="I85" s="119">
        <f>HLOOKUP($H$5,'Met Data'!$A$2:$F$368,G85,FALSE)</f>
        <v>13.3629032258064</v>
      </c>
      <c r="J85" s="119">
        <f ca="1">HLOOKUP($H$5,'Met Data'!$H$2:$M$368,G85,FALSE)*L85</f>
        <v>1.4774193548387</v>
      </c>
      <c r="K85" s="96">
        <f>HLOOKUP($H$5,'Met Data'!$O$2:$T$368,G85,FALSE)</f>
        <v>1.8502469543140301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45125</v>
      </c>
      <c r="Q85">
        <f ca="1"/>
        <v>22.980515877240876</v>
      </c>
      <c r="R85">
        <f ca="1"/>
        <v>0</v>
      </c>
      <c r="S85">
        <f ca="1"/>
        <v>3.5955742488393838E-3</v>
      </c>
      <c r="T85">
        <f ca="1"/>
        <v>0.24471405624850781</v>
      </c>
      <c r="U85">
        <f ca="1"/>
        <v>0</v>
      </c>
      <c r="V85">
        <f ca="1"/>
        <v>0</v>
      </c>
      <c r="W85">
        <f ca="1"/>
        <v>0</v>
      </c>
      <c r="X85">
        <f ca="1"/>
        <v>0.68670717731770037</v>
      </c>
      <c r="Y85">
        <f ca="1"/>
        <v>1</v>
      </c>
      <c r="Z85">
        <f ca="1"/>
        <v>6.5175688660560098</v>
      </c>
      <c r="AA85">
        <f ca="1"/>
        <v>0</v>
      </c>
      <c r="AB85">
        <f ca="1"/>
        <v>0</v>
      </c>
      <c r="AD85" s="2">
        <f t="shared" ca="1" si="12"/>
        <v>45125</v>
      </c>
      <c r="AE85">
        <f t="shared" ca="1" si="13"/>
        <v>0</v>
      </c>
      <c r="AG85" s="63">
        <f t="shared" ca="1" si="17"/>
        <v>23.66722305455858</v>
      </c>
      <c r="AH85" s="63">
        <f t="shared" ca="1" si="18"/>
        <v>23.667223054558576</v>
      </c>
      <c r="AI85" s="3">
        <f t="shared" ca="1" si="19"/>
        <v>0</v>
      </c>
    </row>
    <row r="86" spans="7:35">
      <c r="G86" s="3">
        <f t="shared" si="14"/>
        <v>141</v>
      </c>
      <c r="H86" s="95">
        <f t="shared" si="16"/>
        <v>45066</v>
      </c>
      <c r="I86" s="119">
        <f>HLOOKUP($H$5,'Met Data'!$A$2:$F$368,G86,FALSE)</f>
        <v>13.314516129032199</v>
      </c>
      <c r="J86" s="119">
        <f ca="1">HLOOKUP($H$5,'Met Data'!$H$2:$M$368,G86,FALSE)*L86</f>
        <v>5.2193548387096698</v>
      </c>
      <c r="K86" s="96">
        <f>HLOOKUP($H$5,'Met Data'!$O$2:$T$368,G86,FALSE)</f>
        <v>1.4599096570605601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45126</v>
      </c>
      <c r="Q86">
        <f ca="1"/>
        <v>22.914847816928177</v>
      </c>
      <c r="R86">
        <f ca="1"/>
        <v>0</v>
      </c>
      <c r="S86">
        <f ca="1"/>
        <v>4.0532604692842256E-3</v>
      </c>
      <c r="T86">
        <f ca="1"/>
        <v>0.24156913917146919</v>
      </c>
      <c r="U86">
        <f ca="1"/>
        <v>0</v>
      </c>
      <c r="V86">
        <f ca="1"/>
        <v>0</v>
      </c>
      <c r="W86">
        <f ca="1"/>
        <v>0</v>
      </c>
      <c r="X86">
        <f ca="1"/>
        <v>0.31129045995345445</v>
      </c>
      <c r="Y86">
        <f ca="1"/>
        <v>1</v>
      </c>
      <c r="Z86">
        <f ca="1"/>
        <v>2.9629385852994545</v>
      </c>
      <c r="AA86">
        <f ca="1"/>
        <v>0</v>
      </c>
      <c r="AB86">
        <f ca="1"/>
        <v>0</v>
      </c>
      <c r="AD86" s="2">
        <f t="shared" ca="1" si="12"/>
        <v>45126</v>
      </c>
      <c r="AE86">
        <f t="shared" ca="1" si="13"/>
        <v>0</v>
      </c>
      <c r="AG86" s="63">
        <f t="shared" ca="1" si="17"/>
        <v>23.226138276881631</v>
      </c>
      <c r="AH86" s="63">
        <f t="shared" ca="1" si="18"/>
        <v>23.226138276881631</v>
      </c>
      <c r="AI86" s="3">
        <f t="shared" ca="1" si="19"/>
        <v>0</v>
      </c>
    </row>
    <row r="87" spans="7:35">
      <c r="G87" s="3">
        <f t="shared" si="14"/>
        <v>142</v>
      </c>
      <c r="H87" s="95">
        <f t="shared" si="16"/>
        <v>45067</v>
      </c>
      <c r="I87" s="119">
        <f>HLOOKUP($H$5,'Met Data'!$A$2:$F$368,G87,FALSE)</f>
        <v>13.598387096774101</v>
      </c>
      <c r="J87" s="119">
        <f ca="1">HLOOKUP($H$5,'Met Data'!$H$2:$M$368,G87,FALSE)*L87</f>
        <v>5.1451612903225801</v>
      </c>
      <c r="K87" s="96">
        <f>HLOOKUP($H$5,'Met Data'!$O$2:$T$368,G87,FALSE)</f>
        <v>1.48780958137737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45127</v>
      </c>
      <c r="Q87">
        <f ca="1"/>
        <v>23.01931093396944</v>
      </c>
      <c r="R87">
        <f ca="1"/>
        <v>0</v>
      </c>
      <c r="S87">
        <f ca="1"/>
        <v>4.6813969301293668E-3</v>
      </c>
      <c r="T87">
        <f ca="1"/>
        <v>0.25303018912670866</v>
      </c>
      <c r="U87">
        <f ca="1"/>
        <v>0</v>
      </c>
      <c r="V87">
        <f ca="1"/>
        <v>0</v>
      </c>
      <c r="W87">
        <f ca="1"/>
        <v>0</v>
      </c>
      <c r="X87">
        <f ca="1"/>
        <v>0.15324846901557698</v>
      </c>
      <c r="Y87">
        <f ca="1"/>
        <v>1</v>
      </c>
      <c r="Z87">
        <f ca="1"/>
        <v>1.4520368602671354</v>
      </c>
      <c r="AA87">
        <f ca="1"/>
        <v>0</v>
      </c>
      <c r="AB87">
        <f ca="1"/>
        <v>0</v>
      </c>
      <c r="AD87" s="2">
        <f t="shared" ca="1" si="12"/>
        <v>45127</v>
      </c>
      <c r="AE87">
        <f t="shared" ca="1" si="13"/>
        <v>0</v>
      </c>
      <c r="AG87" s="63">
        <f t="shared" ca="1" si="17"/>
        <v>23.172559402985012</v>
      </c>
      <c r="AH87" s="63">
        <f t="shared" ca="1" si="18"/>
        <v>23.172559402985016</v>
      </c>
      <c r="AI87" s="3">
        <f t="shared" ca="1" si="19"/>
        <v>0</v>
      </c>
    </row>
    <row r="88" spans="7:35">
      <c r="G88" s="3">
        <f t="shared" si="14"/>
        <v>143</v>
      </c>
      <c r="H88" s="95">
        <f t="shared" si="16"/>
        <v>45068</v>
      </c>
      <c r="I88" s="119">
        <f>HLOOKUP($H$5,'Met Data'!$A$2:$F$368,G88,FALSE)</f>
        <v>13.074193548387001</v>
      </c>
      <c r="J88" s="119">
        <f ca="1">HLOOKUP($H$5,'Met Data'!$H$2:$M$368,G88,FALSE)*L88</f>
        <v>4.73548387096774</v>
      </c>
      <c r="K88" s="96">
        <f>HLOOKUP($H$5,'Met Data'!$O$2:$T$368,G88,FALSE)</f>
        <v>1.4103441752322401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45128</v>
      </c>
      <c r="Q88">
        <f ca="1"/>
        <v>22.90744296855614</v>
      </c>
      <c r="R88">
        <f ca="1"/>
        <v>0</v>
      </c>
      <c r="S88">
        <f ca="1"/>
        <v>4.9806104219349834E-3</v>
      </c>
      <c r="T88">
        <f ca="1"/>
        <v>0.24138072347016826</v>
      </c>
      <c r="U88">
        <f ca="1"/>
        <v>0</v>
      </c>
      <c r="V88">
        <f ca="1"/>
        <v>0</v>
      </c>
      <c r="W88">
        <f ca="1"/>
        <v>0</v>
      </c>
      <c r="X88">
        <f ca="1"/>
        <v>0.35822929930540193</v>
      </c>
      <c r="Y88">
        <f ca="1"/>
        <v>1</v>
      </c>
      <c r="Z88">
        <f ca="1"/>
        <v>3.4108161088605087</v>
      </c>
      <c r="AA88">
        <f ca="1"/>
        <v>0</v>
      </c>
      <c r="AB88">
        <f ca="1"/>
        <v>0</v>
      </c>
      <c r="AD88" s="2">
        <f t="shared" ca="1" si="12"/>
        <v>45128</v>
      </c>
      <c r="AE88">
        <f t="shared" ca="1" si="13"/>
        <v>0</v>
      </c>
      <c r="AG88" s="63">
        <f t="shared" ca="1" si="17"/>
        <v>23.265672267861543</v>
      </c>
      <c r="AH88" s="63">
        <f t="shared" ca="1" si="18"/>
        <v>23.265672267861543</v>
      </c>
      <c r="AI88" s="3">
        <f t="shared" ca="1" si="19"/>
        <v>0</v>
      </c>
    </row>
    <row r="89" spans="7:35">
      <c r="G89" s="3">
        <f t="shared" si="14"/>
        <v>144</v>
      </c>
      <c r="H89" s="95">
        <f t="shared" si="16"/>
        <v>45069</v>
      </c>
      <c r="I89" s="119">
        <f>HLOOKUP($H$5,'Met Data'!$A$2:$F$368,G89,FALSE)</f>
        <v>12.8338709677419</v>
      </c>
      <c r="J89" s="119">
        <f ca="1">HLOOKUP($H$5,'Met Data'!$H$2:$M$368,G89,FALSE)*L89</f>
        <v>7.7677419354838699</v>
      </c>
      <c r="K89" s="96">
        <f>HLOOKUP($H$5,'Met Data'!$O$2:$T$368,G89,FALSE)</f>
        <v>1.40773401519768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45129</v>
      </c>
      <c r="Q89">
        <f ca="1"/>
        <v>22.733120579062231</v>
      </c>
      <c r="R89">
        <f ca="1"/>
        <v>0</v>
      </c>
      <c r="S89">
        <f ca="1"/>
        <v>5.6386751711752225E-3</v>
      </c>
      <c r="T89">
        <f ca="1"/>
        <v>0.25530419284301936</v>
      </c>
      <c r="U89">
        <f ca="1"/>
        <v>0</v>
      </c>
      <c r="V89">
        <f ca="1"/>
        <v>0</v>
      </c>
      <c r="W89">
        <f ca="1"/>
        <v>0</v>
      </c>
      <c r="X89">
        <f ca="1"/>
        <v>0.43526525750810541</v>
      </c>
      <c r="Y89">
        <f ca="1"/>
        <v>1</v>
      </c>
      <c r="Z89">
        <f ca="1"/>
        <v>4.1760795592317805</v>
      </c>
      <c r="AA89">
        <f ca="1"/>
        <v>0</v>
      </c>
      <c r="AB89">
        <f ca="1"/>
        <v>0</v>
      </c>
      <c r="AD89" s="2">
        <f t="shared" ca="1" si="12"/>
        <v>45129</v>
      </c>
      <c r="AE89">
        <f t="shared" ca="1" si="13"/>
        <v>0</v>
      </c>
      <c r="AG89" s="63">
        <f t="shared" ca="1" si="17"/>
        <v>23.168385836570337</v>
      </c>
      <c r="AH89" s="63">
        <f t="shared" ca="1" si="18"/>
        <v>23.168385836570337</v>
      </c>
      <c r="AI89" s="3">
        <f t="shared" ca="1" si="19"/>
        <v>0</v>
      </c>
    </row>
    <row r="90" spans="7:35">
      <c r="G90" s="3">
        <f t="shared" si="14"/>
        <v>145</v>
      </c>
      <c r="H90" s="95">
        <f t="shared" si="16"/>
        <v>45070</v>
      </c>
      <c r="I90" s="119">
        <f>HLOOKUP($H$5,'Met Data'!$A$2:$F$368,G90,FALSE)</f>
        <v>12.761290322580599</v>
      </c>
      <c r="J90" s="119">
        <f ca="1">HLOOKUP($H$5,'Met Data'!$H$2:$M$368,G90,FALSE)*L90</f>
        <v>5.3612903225806399</v>
      </c>
      <c r="K90" s="96">
        <f>HLOOKUP($H$5,'Met Data'!$O$2:$T$368,G90,FALSE)</f>
        <v>1.5324788885576901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45130</v>
      </c>
      <c r="Q90">
        <f ca="1"/>
        <v>22.30308613730298</v>
      </c>
      <c r="R90">
        <f ca="1"/>
        <v>0</v>
      </c>
      <c r="S90">
        <f ca="1"/>
        <v>6.0207875636537622E-3</v>
      </c>
      <c r="T90">
        <f ca="1"/>
        <v>0.2519383885226687</v>
      </c>
      <c r="U90">
        <f ca="1"/>
        <v>0</v>
      </c>
      <c r="V90">
        <f ca="1"/>
        <v>0</v>
      </c>
      <c r="W90">
        <f ca="1"/>
        <v>0</v>
      </c>
      <c r="X90">
        <f ca="1"/>
        <v>0.68799361784557145</v>
      </c>
      <c r="Y90">
        <f ca="1"/>
        <v>1</v>
      </c>
      <c r="Z90">
        <f ca="1"/>
        <v>6.7281127951907465</v>
      </c>
      <c r="AA90">
        <f ca="1"/>
        <v>0</v>
      </c>
      <c r="AB90">
        <f ca="1"/>
        <v>0</v>
      </c>
      <c r="AD90" s="2">
        <f t="shared" ca="1" si="12"/>
        <v>45130</v>
      </c>
      <c r="AE90">
        <f t="shared" ca="1" si="13"/>
        <v>0</v>
      </c>
      <c r="AG90" s="63">
        <f t="shared" ca="1" si="17"/>
        <v>22.991079755148551</v>
      </c>
      <c r="AH90" s="63">
        <f t="shared" ca="1" si="18"/>
        <v>22.991079755148551</v>
      </c>
      <c r="AI90" s="3">
        <f t="shared" ca="1" si="19"/>
        <v>0</v>
      </c>
    </row>
    <row r="91" spans="7:35">
      <c r="G91" s="3">
        <f t="shared" si="14"/>
        <v>146</v>
      </c>
      <c r="H91" s="95">
        <f t="shared" si="16"/>
        <v>45071</v>
      </c>
      <c r="I91" s="119">
        <f>HLOOKUP($H$5,'Met Data'!$A$2:$F$368,G91,FALSE)</f>
        <v>13.04</v>
      </c>
      <c r="J91" s="119">
        <f ca="1">HLOOKUP($H$5,'Met Data'!$H$2:$M$368,G91,FALSE)*L91</f>
        <v>5.8233333333333297</v>
      </c>
      <c r="K91" s="96">
        <f>HLOOKUP($H$5,'Met Data'!$O$2:$T$368,G91,FALSE)</f>
        <v>1.3513771562845001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45131</v>
      </c>
      <c r="Q91">
        <f ca="1"/>
        <v>22.269136860690605</v>
      </c>
      <c r="R91">
        <f ca="1"/>
        <v>0</v>
      </c>
      <c r="S91">
        <f ca="1"/>
        <v>6.4494260501213319E-3</v>
      </c>
      <c r="T91">
        <f ca="1"/>
        <v>0.25270638122005945</v>
      </c>
      <c r="U91">
        <f ca="1"/>
        <v>0</v>
      </c>
      <c r="V91">
        <f ca="1"/>
        <v>0</v>
      </c>
      <c r="W91">
        <f ca="1"/>
        <v>0</v>
      </c>
      <c r="X91">
        <f ca="1"/>
        <v>0.29310508388255491</v>
      </c>
      <c r="Y91">
        <f ca="1"/>
        <v>1</v>
      </c>
      <c r="Z91">
        <f ca="1"/>
        <v>2.8707394853059611</v>
      </c>
      <c r="AA91">
        <f ca="1"/>
        <v>0</v>
      </c>
      <c r="AB91">
        <f ca="1"/>
        <v>0</v>
      </c>
      <c r="AD91" s="2">
        <f t="shared" ca="1" si="12"/>
        <v>45131</v>
      </c>
      <c r="AE91">
        <f t="shared" ca="1" si="13"/>
        <v>0</v>
      </c>
      <c r="AG91" s="63">
        <f t="shared" ca="1" si="17"/>
        <v>22.562241944573159</v>
      </c>
      <c r="AH91" s="63">
        <f t="shared" ca="1" si="18"/>
        <v>22.562241944573159</v>
      </c>
      <c r="AI91" s="3">
        <f t="shared" ca="1" si="19"/>
        <v>0</v>
      </c>
    </row>
    <row r="92" spans="7:35">
      <c r="G92" s="3">
        <f t="shared" si="14"/>
        <v>147</v>
      </c>
      <c r="H92" s="95">
        <f t="shared" si="16"/>
        <v>45072</v>
      </c>
      <c r="I92" s="119">
        <f>HLOOKUP($H$5,'Met Data'!$A$2:$F$368,G92,FALSE)</f>
        <v>13.44</v>
      </c>
      <c r="J92" s="119">
        <f ca="1">HLOOKUP($H$5,'Met Data'!$H$2:$M$368,G92,FALSE)*L92</f>
        <v>6.9099999999999904</v>
      </c>
      <c r="K92" s="96">
        <f>HLOOKUP($H$5,'Met Data'!$O$2:$T$368,G92,FALSE)</f>
        <v>1.45255211799902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45132</v>
      </c>
      <c r="Q92">
        <f ca="1"/>
        <v>22.156792174938904</v>
      </c>
      <c r="R92">
        <f ca="1"/>
        <v>0</v>
      </c>
      <c r="S92">
        <f ca="1"/>
        <v>6.5737598993482749E-3</v>
      </c>
      <c r="T92">
        <f ca="1"/>
        <v>0.23910816158139755</v>
      </c>
      <c r="U92">
        <f ca="1"/>
        <v>0</v>
      </c>
      <c r="V92">
        <f ca="1"/>
        <v>0</v>
      </c>
      <c r="W92">
        <f ca="1"/>
        <v>0</v>
      </c>
      <c r="X92">
        <f ca="1"/>
        <v>0.35802660723244845</v>
      </c>
      <c r="Y92">
        <f ca="1"/>
        <v>1</v>
      </c>
      <c r="Z92">
        <f ca="1"/>
        <v>3.5243759965217762</v>
      </c>
      <c r="AA92">
        <f ca="1"/>
        <v>0</v>
      </c>
      <c r="AB92">
        <f ca="1"/>
        <v>0</v>
      </c>
      <c r="AD92" s="2">
        <f t="shared" ca="1" si="12"/>
        <v>45132</v>
      </c>
      <c r="AE92">
        <f t="shared" ca="1" si="13"/>
        <v>0</v>
      </c>
      <c r="AG92" s="63">
        <f t="shared" ca="1" si="17"/>
        <v>22.514818782171353</v>
      </c>
      <c r="AH92" s="63">
        <f t="shared" ca="1" si="18"/>
        <v>22.514818782171353</v>
      </c>
      <c r="AI92" s="3">
        <f t="shared" ca="1" si="19"/>
        <v>0</v>
      </c>
    </row>
    <row r="93" spans="7:35">
      <c r="G93" s="3">
        <f t="shared" si="14"/>
        <v>148</v>
      </c>
      <c r="H93" s="95">
        <f t="shared" si="16"/>
        <v>45073</v>
      </c>
      <c r="I93" s="119">
        <f>HLOOKUP($H$5,'Met Data'!$A$2:$F$368,G93,FALSE)</f>
        <v>12.8183333333333</v>
      </c>
      <c r="J93" s="119">
        <f ca="1">HLOOKUP($H$5,'Met Data'!$H$2:$M$368,G93,FALSE)*L93</f>
        <v>4.4066666666666601</v>
      </c>
      <c r="K93" s="96">
        <f>HLOOKUP($H$5,'Met Data'!$O$2:$T$368,G93,FALSE)</f>
        <v>1.5797115913466899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45133</v>
      </c>
      <c r="Q93">
        <f ca="1"/>
        <v>22.182166316343764</v>
      </c>
      <c r="R93">
        <f ca="1"/>
        <v>0</v>
      </c>
      <c r="S93">
        <f ca="1"/>
        <v>6.8773038433915801E-3</v>
      </c>
      <c r="T93">
        <f ca="1"/>
        <v>0.23688809253333279</v>
      </c>
      <c r="U93">
        <f ca="1"/>
        <v>0</v>
      </c>
      <c r="V93">
        <f ca="1"/>
        <v>0</v>
      </c>
      <c r="W93">
        <f ca="1"/>
        <v>0</v>
      </c>
      <c r="X93">
        <f ca="1"/>
        <v>0.21839125497186487</v>
      </c>
      <c r="Y93">
        <f ca="1"/>
        <v>1</v>
      </c>
      <c r="Z93">
        <f ca="1"/>
        <v>2.1473612043870673</v>
      </c>
      <c r="AA93">
        <f ca="1"/>
        <v>0</v>
      </c>
      <c r="AB93">
        <f ca="1"/>
        <v>0</v>
      </c>
      <c r="AD93" s="2">
        <f t="shared" ca="1" si="12"/>
        <v>45133</v>
      </c>
      <c r="AE93">
        <f t="shared" ca="1" si="13"/>
        <v>0</v>
      </c>
      <c r="AG93" s="63">
        <f t="shared" ca="1" si="17"/>
        <v>22.40055757131563</v>
      </c>
      <c r="AH93" s="63">
        <f t="shared" ca="1" si="18"/>
        <v>22.40055757131563</v>
      </c>
      <c r="AI93" s="3">
        <f t="shared" ca="1" si="19"/>
        <v>0</v>
      </c>
    </row>
    <row r="94" spans="7:35">
      <c r="G94" s="3">
        <f t="shared" si="14"/>
        <v>149</v>
      </c>
      <c r="H94" s="95">
        <f t="shared" si="16"/>
        <v>45074</v>
      </c>
      <c r="I94" s="119">
        <f>HLOOKUP($H$5,'Met Data'!$A$2:$F$368,G94,FALSE)</f>
        <v>12.088333333333299</v>
      </c>
      <c r="J94" s="119">
        <f ca="1">HLOOKUP($H$5,'Met Data'!$H$2:$M$368,G94,FALSE)*L94</f>
        <v>3.84666666666666</v>
      </c>
      <c r="K94" s="96">
        <f>HLOOKUP($H$5,'Met Data'!$O$2:$T$368,G94,FALSE)</f>
        <v>1.52168431166894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45134</v>
      </c>
      <c r="Q94">
        <f ca="1"/>
        <v>22.047350979205465</v>
      </c>
      <c r="R94">
        <f ca="1"/>
        <v>0</v>
      </c>
      <c r="S94">
        <f ca="1"/>
        <v>7.4258321588427378E-3</v>
      </c>
      <c r="T94">
        <f ca="1"/>
        <v>0.24684290421294822</v>
      </c>
      <c r="U94">
        <f ca="1"/>
        <v>0</v>
      </c>
      <c r="V94">
        <f ca="1"/>
        <v>0</v>
      </c>
      <c r="W94">
        <f ca="1"/>
        <v>0</v>
      </c>
      <c r="X94">
        <f ca="1"/>
        <v>0.38908407351008695</v>
      </c>
      <c r="Y94">
        <f ca="1"/>
        <v>1</v>
      </c>
      <c r="Z94">
        <f ca="1"/>
        <v>3.8491147108661536</v>
      </c>
      <c r="AA94">
        <f ca="1"/>
        <v>0</v>
      </c>
      <c r="AB94">
        <f ca="1"/>
        <v>0</v>
      </c>
      <c r="AD94" s="2">
        <f t="shared" ca="1" si="12"/>
        <v>45134</v>
      </c>
      <c r="AE94">
        <f t="shared" ca="1" si="13"/>
        <v>0</v>
      </c>
      <c r="AG94" s="63">
        <f t="shared" ca="1" si="17"/>
        <v>22.436435052715552</v>
      </c>
      <c r="AH94" s="63">
        <f t="shared" ca="1" si="18"/>
        <v>22.436435052715552</v>
      </c>
      <c r="AI94" s="3">
        <f t="shared" ca="1" si="19"/>
        <v>0</v>
      </c>
    </row>
    <row r="95" spans="7:35">
      <c r="G95" s="3">
        <f t="shared" si="14"/>
        <v>150</v>
      </c>
      <c r="H95" s="95">
        <f t="shared" si="16"/>
        <v>45075</v>
      </c>
      <c r="I95" s="119">
        <f>HLOOKUP($H$5,'Met Data'!$A$2:$F$368,G95,FALSE)</f>
        <v>11.7193548387096</v>
      </c>
      <c r="J95" s="119">
        <f ca="1">HLOOKUP($H$5,'Met Data'!$H$2:$M$368,G95,FALSE)*L95</f>
        <v>4.8161290322580603</v>
      </c>
      <c r="K95" s="96">
        <f>HLOOKUP($H$5,'Met Data'!$O$2:$T$368,G95,FALSE)</f>
        <v>1.3043403353641301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45135</v>
      </c>
      <c r="Q95">
        <f ca="1"/>
        <v>22.099353269862366</v>
      </c>
      <c r="R95">
        <f ca="1"/>
        <v>0</v>
      </c>
      <c r="S95">
        <f ca="1"/>
        <v>7.8049770364962967E-3</v>
      </c>
      <c r="T95">
        <f ca="1"/>
        <v>0.24884112904858968</v>
      </c>
      <c r="U95">
        <f ca="1"/>
        <v>0</v>
      </c>
      <c r="V95">
        <f ca="1"/>
        <v>0</v>
      </c>
      <c r="W95">
        <f ca="1"/>
        <v>0</v>
      </c>
      <c r="X95">
        <f ca="1"/>
        <v>0.20464381542818366</v>
      </c>
      <c r="Y95">
        <f ca="1"/>
        <v>1</v>
      </c>
      <c r="Z95">
        <f ca="1"/>
        <v>2.0197279512015314</v>
      </c>
      <c r="AA95">
        <f ca="1"/>
        <v>0</v>
      </c>
      <c r="AB95">
        <f ca="1"/>
        <v>0</v>
      </c>
      <c r="AD95" s="2">
        <f t="shared" ca="1" si="12"/>
        <v>45135</v>
      </c>
      <c r="AE95">
        <f t="shared" ca="1" si="13"/>
        <v>0</v>
      </c>
      <c r="AG95" s="63">
        <f t="shared" ca="1" si="17"/>
        <v>22.30399708529055</v>
      </c>
      <c r="AH95" s="63">
        <f t="shared" ca="1" si="18"/>
        <v>22.30399708529055</v>
      </c>
      <c r="AI95" s="3">
        <f t="shared" ca="1" si="19"/>
        <v>0</v>
      </c>
    </row>
    <row r="96" spans="7:35">
      <c r="G96" s="3">
        <f t="shared" si="14"/>
        <v>151</v>
      </c>
      <c r="H96" s="95">
        <f t="shared" si="16"/>
        <v>45076</v>
      </c>
      <c r="I96" s="119">
        <f>HLOOKUP($H$5,'Met Data'!$A$2:$F$368,G96,FALSE)</f>
        <v>12.024193548387</v>
      </c>
      <c r="J96" s="119">
        <f ca="1">HLOOKUP($H$5,'Met Data'!$H$2:$M$368,G96,FALSE)*L96</f>
        <v>5.4032258064516103</v>
      </c>
      <c r="K96" s="96">
        <f>HLOOKUP($H$5,'Met Data'!$O$2:$T$368,G96,FALSE)</f>
        <v>1.3290261075951599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45136</v>
      </c>
      <c r="Q96">
        <f ca="1"/>
        <v>21.935798827721499</v>
      </c>
      <c r="R96">
        <f ca="1"/>
        <v>0</v>
      </c>
      <c r="S96">
        <f ca="1"/>
        <v>8.2356952921296411E-3</v>
      </c>
      <c r="T96">
        <f ca="1"/>
        <v>0.25343531792583618</v>
      </c>
      <c r="U96">
        <f ca="1"/>
        <v>0</v>
      </c>
      <c r="V96">
        <f ca="1"/>
        <v>0</v>
      </c>
      <c r="W96">
        <f ca="1"/>
        <v>0</v>
      </c>
      <c r="X96">
        <f ca="1"/>
        <v>0.42522545535883122</v>
      </c>
      <c r="Y96">
        <f ca="1"/>
        <v>1</v>
      </c>
      <c r="Z96">
        <f ca="1"/>
        <v>4.2280451481699401</v>
      </c>
      <c r="AA96">
        <f ca="1"/>
        <v>0</v>
      </c>
      <c r="AB96">
        <f ca="1"/>
        <v>0</v>
      </c>
      <c r="AD96" s="2">
        <f t="shared" ca="1" si="12"/>
        <v>45136</v>
      </c>
      <c r="AE96">
        <f t="shared" ca="1" si="13"/>
        <v>0</v>
      </c>
      <c r="AG96" s="63">
        <f t="shared" ca="1" si="17"/>
        <v>22.361024283080329</v>
      </c>
      <c r="AH96" s="63">
        <f t="shared" ca="1" si="18"/>
        <v>22.361024283080329</v>
      </c>
      <c r="AI96" s="3">
        <f t="shared" ca="1" si="19"/>
        <v>0</v>
      </c>
    </row>
    <row r="97" spans="7:35">
      <c r="G97" s="3">
        <f t="shared" si="14"/>
        <v>152</v>
      </c>
      <c r="H97" s="95">
        <f t="shared" si="16"/>
        <v>45077</v>
      </c>
      <c r="I97" s="119">
        <f>HLOOKUP($H$5,'Met Data'!$A$2:$F$368,G97,FALSE)</f>
        <v>11.7258064516129</v>
      </c>
      <c r="J97" s="119">
        <f ca="1">HLOOKUP($H$5,'Met Data'!$H$2:$M$368,G97,FALSE)*L97</f>
        <v>5.6354838709677404</v>
      </c>
      <c r="K97" s="96">
        <f>HLOOKUP($H$5,'Met Data'!$O$2:$T$368,G97,FALSE)</f>
        <v>1.39784343044145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45137</v>
      </c>
      <c r="Q97">
        <f ca="1"/>
        <v>22.058832224951118</v>
      </c>
      <c r="R97">
        <f ca="1"/>
        <v>0</v>
      </c>
      <c r="S97">
        <f ca="1"/>
        <v>8.5448507793257633E-3</v>
      </c>
      <c r="T97">
        <f ca="1"/>
        <v>0.25327321721159279</v>
      </c>
      <c r="U97">
        <f ca="1"/>
        <v>0</v>
      </c>
      <c r="V97">
        <f ca="1"/>
        <v>0</v>
      </c>
      <c r="W97">
        <f ca="1"/>
        <v>0</v>
      </c>
      <c r="X97">
        <f ca="1"/>
        <v>0.13878467076130066</v>
      </c>
      <c r="Y97">
        <f ca="1"/>
        <v>1</v>
      </c>
      <c r="Z97">
        <f ca="1"/>
        <v>1.3722486043926381</v>
      </c>
      <c r="AA97">
        <f ca="1"/>
        <v>0</v>
      </c>
      <c r="AB97">
        <f ca="1"/>
        <v>0</v>
      </c>
      <c r="AD97" s="2">
        <f t="shared" ca="1" si="12"/>
        <v>45137</v>
      </c>
      <c r="AE97">
        <f t="shared" ca="1" si="13"/>
        <v>0</v>
      </c>
      <c r="AG97" s="63">
        <f t="shared" ca="1" si="17"/>
        <v>22.197616895712418</v>
      </c>
      <c r="AH97" s="63">
        <f t="shared" ca="1" si="18"/>
        <v>22.197616895712418</v>
      </c>
      <c r="AI97" s="3">
        <f t="shared" ca="1" si="19"/>
        <v>0</v>
      </c>
    </row>
    <row r="98" spans="7:35">
      <c r="G98" s="3">
        <f t="shared" si="14"/>
        <v>153</v>
      </c>
      <c r="H98" s="95">
        <f t="shared" si="16"/>
        <v>45078</v>
      </c>
      <c r="I98" s="119">
        <f>HLOOKUP($H$5,'Met Data'!$A$2:$F$368,G98,FALSE)</f>
        <v>11.7564516129032</v>
      </c>
      <c r="J98" s="119">
        <f ca="1">HLOOKUP($H$5,'Met Data'!$H$2:$M$368,G98,FALSE)*L98</f>
        <v>4.3451612903225802</v>
      </c>
      <c r="K98" s="96">
        <f>HLOOKUP($H$5,'Met Data'!$O$2:$T$368,G98,FALSE)</f>
        <v>1.4712646827298701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45138</v>
      </c>
      <c r="Q98">
        <f ca="1"/>
        <v>22.025059226009564</v>
      </c>
      <c r="R98">
        <f ca="1"/>
        <v>0</v>
      </c>
      <c r="S98">
        <f ca="1"/>
        <v>8.8975655457597114E-3</v>
      </c>
      <c r="T98">
        <f ca="1"/>
        <v>0.25544042417288104</v>
      </c>
      <c r="U98">
        <f ca="1"/>
        <v>0</v>
      </c>
      <c r="V98">
        <f ca="1"/>
        <v>0</v>
      </c>
      <c r="W98">
        <f ca="1"/>
        <v>0</v>
      </c>
      <c r="X98">
        <f ca="1"/>
        <v>0.29811098866019392</v>
      </c>
      <c r="Y98">
        <f ca="1"/>
        <v>1</v>
      </c>
      <c r="Z98">
        <f ca="1"/>
        <v>2.9521248176452843</v>
      </c>
      <c r="AA98">
        <f ca="1"/>
        <v>0</v>
      </c>
      <c r="AB98">
        <f ca="1"/>
        <v>0</v>
      </c>
      <c r="AD98" s="2">
        <f t="shared" ca="1" si="12"/>
        <v>45138</v>
      </c>
      <c r="AE98">
        <f t="shared" ca="1" si="13"/>
        <v>0</v>
      </c>
      <c r="AG98" s="63">
        <f t="shared" ca="1" si="17"/>
        <v>22.323170214669759</v>
      </c>
      <c r="AH98" s="63">
        <f t="shared" ca="1" si="18"/>
        <v>22.323170214669759</v>
      </c>
      <c r="AI98" s="3">
        <f t="shared" ca="1" si="19"/>
        <v>0</v>
      </c>
    </row>
    <row r="99" spans="7:35">
      <c r="G99" s="3">
        <f t="shared" si="14"/>
        <v>154</v>
      </c>
      <c r="H99" s="95">
        <f t="shared" si="16"/>
        <v>45079</v>
      </c>
      <c r="I99" s="119">
        <f>HLOOKUP($H$5,'Met Data'!$A$2:$F$368,G99,FALSE)</f>
        <v>11.6033333333333</v>
      </c>
      <c r="J99" s="119">
        <f ca="1">HLOOKUP($H$5,'Met Data'!$H$2:$M$368,G99,FALSE)*L99</f>
        <v>5.12</v>
      </c>
      <c r="K99" s="96">
        <f>HLOOKUP($H$5,'Met Data'!$O$2:$T$368,G99,FALSE)</f>
        <v>1.30717057222476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45139</v>
      </c>
      <c r="Q99">
        <f ca="1"/>
        <v>22.036727166245328</v>
      </c>
      <c r="R99">
        <f ca="1"/>
        <v>0</v>
      </c>
      <c r="S99">
        <f ca="1"/>
        <v>9.2138597311333115E-3</v>
      </c>
      <c r="T99">
        <f ca="1"/>
        <v>0.25660940190371589</v>
      </c>
      <c r="U99">
        <f ca="1"/>
        <v>0</v>
      </c>
      <c r="V99">
        <f ca="1"/>
        <v>0</v>
      </c>
      <c r="W99">
        <f ca="1"/>
        <v>0</v>
      </c>
      <c r="X99">
        <f ca="1"/>
        <v>0.25415532139908553</v>
      </c>
      <c r="Y99">
        <f ca="1"/>
        <v>1</v>
      </c>
      <c r="Z99">
        <f ca="1"/>
        <v>2.4371898521011346</v>
      </c>
      <c r="AA99">
        <f ca="1"/>
        <v>0</v>
      </c>
      <c r="AB99">
        <f ca="1"/>
        <v>0</v>
      </c>
      <c r="AD99" s="2">
        <f t="shared" ca="1" si="12"/>
        <v>45139</v>
      </c>
      <c r="AE99">
        <f t="shared" ca="1" si="13"/>
        <v>0</v>
      </c>
      <c r="AG99" s="63">
        <f t="shared" ca="1" si="17"/>
        <v>22.290882487644414</v>
      </c>
      <c r="AH99" s="63">
        <f t="shared" ca="1" si="18"/>
        <v>22.290882487644414</v>
      </c>
      <c r="AI99" s="3">
        <f t="shared" ca="1" si="19"/>
        <v>0</v>
      </c>
    </row>
    <row r="100" spans="7:35">
      <c r="G100" s="3">
        <f t="shared" si="14"/>
        <v>155</v>
      </c>
      <c r="H100" s="95">
        <f t="shared" si="16"/>
        <v>45080</v>
      </c>
      <c r="I100" s="119">
        <f>HLOOKUP($H$5,'Met Data'!$A$2:$F$368,G100,FALSE)</f>
        <v>11.056666666666599</v>
      </c>
      <c r="J100" s="119">
        <f ca="1">HLOOKUP($H$5,'Met Data'!$H$2:$M$368,G100,FALSE)*L100</f>
        <v>2.78666666666666</v>
      </c>
      <c r="K100" s="96">
        <f>HLOOKUP($H$5,'Met Data'!$O$2:$T$368,G100,FALSE)</f>
        <v>1.4941006859236099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45140</v>
      </c>
      <c r="Q100">
        <f ca="1"/>
        <v>21.861998352203319</v>
      </c>
      <c r="R100">
        <f ca="1"/>
        <v>0</v>
      </c>
      <c r="S100">
        <f ca="1"/>
        <v>9.7166211886348108E-3</v>
      </c>
      <c r="T100">
        <f ca="1"/>
        <v>0.26507083331460746</v>
      </c>
      <c r="U100">
        <f ca="1"/>
        <v>0</v>
      </c>
      <c r="V100">
        <f ca="1"/>
        <v>0</v>
      </c>
      <c r="W100">
        <f ca="1"/>
        <v>0</v>
      </c>
      <c r="X100">
        <f ca="1"/>
        <v>0.44951626854525006</v>
      </c>
      <c r="Y100">
        <f ca="1"/>
        <v>1</v>
      </c>
      <c r="Z100">
        <f ca="1"/>
        <v>4.3450302612382714</v>
      </c>
      <c r="AA100">
        <f ca="1"/>
        <v>0</v>
      </c>
      <c r="AB100">
        <f ca="1"/>
        <v>0</v>
      </c>
      <c r="AD100" s="2">
        <f t="shared" ca="1" si="12"/>
        <v>45140</v>
      </c>
      <c r="AE100">
        <f t="shared" ca="1" si="13"/>
        <v>0</v>
      </c>
      <c r="AG100" s="63">
        <f t="shared" ca="1" si="17"/>
        <v>22.311514620748568</v>
      </c>
      <c r="AH100" s="63">
        <f t="shared" ca="1" si="18"/>
        <v>22.311514620748568</v>
      </c>
      <c r="AI100" s="3">
        <f t="shared" ca="1" si="19"/>
        <v>0</v>
      </c>
    </row>
    <row r="101" spans="7:35">
      <c r="G101" s="3">
        <f t="shared" si="14"/>
        <v>156</v>
      </c>
      <c r="H101" s="95">
        <f t="shared" si="16"/>
        <v>45081</v>
      </c>
      <c r="I101" s="119">
        <f>HLOOKUP($H$5,'Met Data'!$A$2:$F$368,G101,FALSE)</f>
        <v>11.1733333333333</v>
      </c>
      <c r="J101" s="119">
        <f ca="1">HLOOKUP($H$5,'Met Data'!$H$2:$M$368,G101,FALSE)*L101</f>
        <v>4.3899999999999997</v>
      </c>
      <c r="K101" s="96">
        <f>HLOOKUP($H$5,'Met Data'!$O$2:$T$368,G101,FALSE)</f>
        <v>1.35454855749501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45141</v>
      </c>
      <c r="Q101">
        <f ca="1"/>
        <v>21.947931716078905</v>
      </c>
      <c r="R101">
        <f ca="1"/>
        <v>0</v>
      </c>
      <c r="S101">
        <f ca="1"/>
        <v>9.9383402627495343E-3</v>
      </c>
      <c r="T101">
        <f ca="1"/>
        <v>0.26335467027167475</v>
      </c>
      <c r="U101">
        <f ca="1"/>
        <v>0</v>
      </c>
      <c r="V101">
        <f ca="1"/>
        <v>0</v>
      </c>
      <c r="W101">
        <f ca="1"/>
        <v>0</v>
      </c>
      <c r="X101">
        <f ca="1"/>
        <v>0.18735964665883773</v>
      </c>
      <c r="Y101">
        <f ca="1"/>
        <v>1</v>
      </c>
      <c r="Z101">
        <f ca="1"/>
        <v>1.8039301077185996</v>
      </c>
      <c r="AA101">
        <f ca="1"/>
        <v>0</v>
      </c>
      <c r="AB101">
        <f ca="1"/>
        <v>0</v>
      </c>
      <c r="AD101" s="2">
        <f t="shared" ca="1" si="12"/>
        <v>45141</v>
      </c>
      <c r="AE101">
        <f t="shared" ca="1" si="13"/>
        <v>0</v>
      </c>
      <c r="AG101" s="63">
        <f t="shared" ca="1" si="17"/>
        <v>22.135291362737743</v>
      </c>
      <c r="AH101" s="63">
        <f t="shared" ca="1" si="18"/>
        <v>22.135291362737743</v>
      </c>
      <c r="AI101" s="3">
        <f t="shared" ca="1" si="19"/>
        <v>0</v>
      </c>
    </row>
    <row r="102" spans="7:35">
      <c r="G102" s="3">
        <f t="shared" si="14"/>
        <v>157</v>
      </c>
      <c r="H102" s="95">
        <f t="shared" si="16"/>
        <v>45082</v>
      </c>
      <c r="I102" s="119">
        <f>HLOOKUP($H$5,'Met Data'!$A$2:$F$368,G102,FALSE)</f>
        <v>11.3016666666666</v>
      </c>
      <c r="J102" s="119">
        <f ca="1">HLOOKUP($H$5,'Met Data'!$H$2:$M$368,G102,FALSE)*L102</f>
        <v>3.3633333333333302</v>
      </c>
      <c r="K102" s="96">
        <f>HLOOKUP($H$5,'Met Data'!$O$2:$T$368,G102,FALSE)</f>
        <v>1.3233452483653401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45142</v>
      </c>
      <c r="Q102">
        <f ca="1"/>
        <v>21.844835656033034</v>
      </c>
      <c r="R102">
        <f ca="1"/>
        <v>0</v>
      </c>
      <c r="S102">
        <f ca="1"/>
        <v>1.0125633630729602E-2</v>
      </c>
      <c r="T102">
        <f ca="1"/>
        <v>0.26108401014505345</v>
      </c>
      <c r="U102">
        <f ca="1"/>
        <v>0</v>
      </c>
      <c r="V102">
        <f ca="1"/>
        <v>0</v>
      </c>
      <c r="W102">
        <f ca="1"/>
        <v>0</v>
      </c>
      <c r="X102">
        <f ca="1"/>
        <v>0.37430570382165451</v>
      </c>
      <c r="Y102">
        <f ca="1"/>
        <v>1</v>
      </c>
      <c r="Z102">
        <f ca="1"/>
        <v>3.6208865032256057</v>
      </c>
      <c r="AA102">
        <f ca="1"/>
        <v>0</v>
      </c>
      <c r="AB102">
        <f ca="1"/>
        <v>0</v>
      </c>
      <c r="AD102" s="2">
        <f t="shared" ca="1" si="12"/>
        <v>45142</v>
      </c>
      <c r="AE102">
        <f t="shared" ca="1" si="13"/>
        <v>0</v>
      </c>
      <c r="AG102" s="63">
        <f t="shared" ca="1" si="17"/>
        <v>22.219141359854689</v>
      </c>
      <c r="AH102" s="63">
        <f t="shared" ca="1" si="18"/>
        <v>22.219141359854689</v>
      </c>
      <c r="AI102" s="3">
        <f t="shared" ca="1" si="19"/>
        <v>0</v>
      </c>
    </row>
    <row r="103" spans="7:35">
      <c r="G103" s="3">
        <f t="shared" si="14"/>
        <v>158</v>
      </c>
      <c r="H103" s="95">
        <f t="shared" si="16"/>
        <v>45083</v>
      </c>
      <c r="I103" s="119">
        <f>HLOOKUP($H$5,'Met Data'!$A$2:$F$368,G103,FALSE)</f>
        <v>11.2416666666666</v>
      </c>
      <c r="J103" s="119">
        <f ca="1">HLOOKUP($H$5,'Met Data'!$H$2:$M$368,G103,FALSE)*L103</f>
        <v>3.4666666666666601</v>
      </c>
      <c r="K103" s="96">
        <f>HLOOKUP($H$5,'Met Data'!$O$2:$T$368,G103,FALSE)</f>
        <v>1.31169017597242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45143</v>
      </c>
      <c r="Q103">
        <f ca="1"/>
        <v>21.743167874151617</v>
      </c>
      <c r="R103">
        <f ca="1"/>
        <v>0</v>
      </c>
      <c r="S103">
        <f ca="1"/>
        <v>1.0152309307044582E-2</v>
      </c>
      <c r="T103">
        <f ca="1"/>
        <v>0.25395600700283805</v>
      </c>
      <c r="U103">
        <f ca="1"/>
        <v>0</v>
      </c>
      <c r="V103">
        <f ca="1"/>
        <v>5.3836743711046724</v>
      </c>
      <c r="W103">
        <f ca="1"/>
        <v>4.7563832471987499</v>
      </c>
      <c r="X103">
        <f ca="1"/>
        <v>0.36577609819130213</v>
      </c>
      <c r="Y103">
        <f ca="1"/>
        <v>1</v>
      </c>
      <c r="Z103">
        <f ca="1"/>
        <v>3.5549193519131563</v>
      </c>
      <c r="AA103">
        <f ca="1"/>
        <v>0</v>
      </c>
      <c r="AB103">
        <f ca="1"/>
        <v>8.0202247545556379E-3</v>
      </c>
      <c r="AD103" s="2">
        <f t="shared" ca="1" si="12"/>
        <v>45143</v>
      </c>
      <c r="AE103">
        <f t="shared" ca="1" si="13"/>
        <v>0</v>
      </c>
      <c r="AG103" s="63">
        <f t="shared" ca="1" si="17"/>
        <v>22.108943972342917</v>
      </c>
      <c r="AH103" s="63">
        <f t="shared" ca="1" si="18"/>
        <v>22.108943972342917</v>
      </c>
      <c r="AI103" s="3">
        <f t="shared" ca="1" si="19"/>
        <v>0</v>
      </c>
    </row>
    <row r="104" spans="7:35">
      <c r="G104" s="3">
        <f t="shared" si="14"/>
        <v>159</v>
      </c>
      <c r="H104" s="95">
        <f t="shared" si="16"/>
        <v>45084</v>
      </c>
      <c r="I104" s="119">
        <f>HLOOKUP($H$5,'Met Data'!$A$2:$F$368,G104,FALSE)</f>
        <v>11.3533333333333</v>
      </c>
      <c r="J104" s="119">
        <f ca="1">HLOOKUP($H$5,'Met Data'!$H$2:$M$368,G104,FALSE)*L104</f>
        <v>3.12333333333333</v>
      </c>
      <c r="K104" s="96">
        <f>HLOOKUP($H$5,'Met Data'!$O$2:$T$368,G104,FALSE)</f>
        <v>1.3774495437093499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45144</v>
      </c>
      <c r="Q104">
        <f ca="1"/>
        <v>110.30194745915186</v>
      </c>
      <c r="R104">
        <f ca="1"/>
        <v>0.25935394657684885</v>
      </c>
      <c r="S104">
        <f ca="1"/>
        <v>1.0312170124156417E-2</v>
      </c>
      <c r="T104">
        <f ca="1"/>
        <v>0.25216681977463085</v>
      </c>
      <c r="U104">
        <f ca="1"/>
        <v>89.959859005979283</v>
      </c>
      <c r="V104">
        <f ca="1"/>
        <v>5.6430283176815212</v>
      </c>
      <c r="W104">
        <f ca="1"/>
        <v>4.9855179759286159</v>
      </c>
      <c r="X104">
        <f ca="1"/>
        <v>1.4042044643009679</v>
      </c>
      <c r="Y104">
        <f ca="1"/>
        <v>1</v>
      </c>
      <c r="Z104">
        <f ca="1"/>
        <v>2.6968992518305157</v>
      </c>
      <c r="AA104">
        <f ca="1"/>
        <v>0</v>
      </c>
      <c r="AB104">
        <f ca="1"/>
        <v>9.5859505693399443E-3</v>
      </c>
      <c r="AD104" s="2">
        <f t="shared" ca="1" si="12"/>
        <v>45144</v>
      </c>
      <c r="AE104">
        <f t="shared" ca="1" si="13"/>
        <v>89.959859005979283</v>
      </c>
      <c r="AG104" s="63">
        <f t="shared" ca="1" si="17"/>
        <v>111.96550587002969</v>
      </c>
      <c r="AH104" s="63">
        <f t="shared" ca="1" si="18"/>
        <v>111.96550587002969</v>
      </c>
      <c r="AI104" s="3">
        <f t="shared" ca="1" si="19"/>
        <v>0</v>
      </c>
    </row>
    <row r="105" spans="7:35">
      <c r="G105" s="3">
        <f t="shared" si="14"/>
        <v>160</v>
      </c>
      <c r="H105" s="95">
        <f t="shared" si="16"/>
        <v>45085</v>
      </c>
      <c r="I105" s="119">
        <f>HLOOKUP($H$5,'Met Data'!$A$2:$F$368,G105,FALSE)</f>
        <v>11.6383333333333</v>
      </c>
      <c r="J105" s="119">
        <f ca="1">HLOOKUP($H$5,'Met Data'!$H$2:$M$368,G105,FALSE)*L105</f>
        <v>2.8</v>
      </c>
      <c r="K105" s="96">
        <f>HLOOKUP($H$5,'Met Data'!$O$2:$T$368,G105,FALSE)</f>
        <v>1.37514607405536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45145</v>
      </c>
      <c r="Q105">
        <f ca="1"/>
        <v>109.36881811142769</v>
      </c>
      <c r="R105">
        <f ca="1"/>
        <v>0.27668974786217504</v>
      </c>
      <c r="S105">
        <f ca="1"/>
        <v>1.0587370504191895E-2</v>
      </c>
      <c r="T105">
        <f ca="1"/>
        <v>0.25468260669312692</v>
      </c>
      <c r="U105">
        <f ca="1"/>
        <v>0</v>
      </c>
      <c r="V105">
        <f ca="1"/>
        <v>5.9197180655436963</v>
      </c>
      <c r="W105">
        <f ca="1"/>
        <v>5.2299685854355316</v>
      </c>
      <c r="X105">
        <f ca="1"/>
        <v>0.92170957705932111</v>
      </c>
      <c r="Y105">
        <f ca="1"/>
        <v>1</v>
      </c>
      <c r="Z105">
        <f ca="1"/>
        <v>1.7808930120236894</v>
      </c>
      <c r="AA105">
        <f ca="1"/>
        <v>0</v>
      </c>
      <c r="AB105">
        <f ca="1"/>
        <v>1.1491283726920959E-2</v>
      </c>
      <c r="AD105" s="2">
        <f t="shared" ca="1" si="12"/>
        <v>45145</v>
      </c>
      <c r="AE105">
        <f t="shared" ca="1" si="13"/>
        <v>0</v>
      </c>
      <c r="AG105" s="63">
        <f t="shared" ca="1" si="17"/>
        <v>110.56721743634918</v>
      </c>
      <c r="AH105" s="63">
        <f t="shared" ca="1" si="18"/>
        <v>110.56721743634918</v>
      </c>
      <c r="AI105" s="3">
        <f t="shared" ca="1" si="19"/>
        <v>0</v>
      </c>
    </row>
    <row r="106" spans="7:35">
      <c r="G106" s="3">
        <f t="shared" si="14"/>
        <v>161</v>
      </c>
      <c r="H106" s="95">
        <f t="shared" si="16"/>
        <v>45086</v>
      </c>
      <c r="I106" s="119">
        <f>HLOOKUP($H$5,'Met Data'!$A$2:$F$368,G106,FALSE)</f>
        <v>12.033333333333299</v>
      </c>
      <c r="J106" s="119">
        <f ca="1">HLOOKUP($H$5,'Met Data'!$H$2:$M$368,G106,FALSE)*L106</f>
        <v>5.1033333333333299</v>
      </c>
      <c r="K106" s="96">
        <f>HLOOKUP($H$5,'Met Data'!$O$2:$T$368,G106,FALSE)</f>
        <v>1.2907055368786999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45146</v>
      </c>
      <c r="Q106">
        <f ca="1"/>
        <v>109.02529071950248</v>
      </c>
      <c r="R106">
        <f ca="1"/>
        <v>0.28980660366488298</v>
      </c>
      <c r="S106">
        <f ca="1"/>
        <v>1.0775001420054053E-2</v>
      </c>
      <c r="T106">
        <f ca="1"/>
        <v>0.25461251038283189</v>
      </c>
      <c r="U106">
        <f ca="1"/>
        <v>0</v>
      </c>
      <c r="V106">
        <f ca="1"/>
        <v>6.2095246692085793</v>
      </c>
      <c r="W106">
        <f ca="1"/>
        <v>5.4860077103123164</v>
      </c>
      <c r="X106">
        <f ca="1"/>
        <v>0.3191083000632064</v>
      </c>
      <c r="Y106">
        <f ca="1"/>
        <v>1</v>
      </c>
      <c r="Z106">
        <f ca="1"/>
        <v>0.61851195120166125</v>
      </c>
      <c r="AA106">
        <f ca="1"/>
        <v>0</v>
      </c>
      <c r="AB106">
        <f ca="1"/>
        <v>1.3768815069370926E-2</v>
      </c>
      <c r="AD106" s="2">
        <f t="shared" ca="1" si="12"/>
        <v>45146</v>
      </c>
      <c r="AE106">
        <f t="shared" ca="1" si="13"/>
        <v>0</v>
      </c>
      <c r="AG106" s="63">
        <f t="shared" ca="1" si="17"/>
        <v>109.63420562323057</v>
      </c>
      <c r="AH106" s="63">
        <f t="shared" ca="1" si="18"/>
        <v>109.63420562323057</v>
      </c>
      <c r="AI106" s="3">
        <f t="shared" ca="1" si="19"/>
        <v>0</v>
      </c>
    </row>
    <row r="107" spans="7:35">
      <c r="G107" s="3">
        <f t="shared" si="14"/>
        <v>162</v>
      </c>
      <c r="H107" s="95">
        <f t="shared" si="16"/>
        <v>45087</v>
      </c>
      <c r="I107" s="119">
        <f>HLOOKUP($H$5,'Met Data'!$A$2:$F$368,G107,FALSE)</f>
        <v>12.0483333333333</v>
      </c>
      <c r="J107" s="119">
        <f ca="1">HLOOKUP($H$5,'Met Data'!$H$2:$M$368,G107,FALSE)*L107</f>
        <v>7.0566666666666604</v>
      </c>
      <c r="K107" s="96">
        <f>HLOOKUP($H$5,'Met Data'!$O$2:$T$368,G107,FALSE)</f>
        <v>1.1704038738008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45147</v>
      </c>
      <c r="Q107">
        <f ca="1"/>
        <v>107.48915472352979</v>
      </c>
      <c r="R107">
        <f ca="1"/>
        <v>0.31053379987179763</v>
      </c>
      <c r="S107">
        <f ca="1"/>
        <v>1.1050556768510411E-2</v>
      </c>
      <c r="T107">
        <f ca="1"/>
        <v>0.25771394397439568</v>
      </c>
      <c r="U107">
        <f ca="1"/>
        <v>0</v>
      </c>
      <c r="V107">
        <f ca="1"/>
        <v>6.5200584690803769</v>
      </c>
      <c r="W107">
        <f ca="1"/>
        <v>5.7603589547573106</v>
      </c>
      <c r="X107">
        <f ca="1"/>
        <v>1.4943666968437923</v>
      </c>
      <c r="Y107">
        <f ca="1"/>
        <v>1</v>
      </c>
      <c r="Z107">
        <f ca="1"/>
        <v>2.9378511059236558</v>
      </c>
      <c r="AA107">
        <f ca="1"/>
        <v>0</v>
      </c>
      <c r="AB107">
        <f ca="1"/>
        <v>1.6555958689654579E-2</v>
      </c>
      <c r="AD107" s="2">
        <f t="shared" ca="1" si="12"/>
        <v>45147</v>
      </c>
      <c r="AE107">
        <f t="shared" ca="1" si="13"/>
        <v>0</v>
      </c>
      <c r="AG107" s="63">
        <f t="shared" ca="1" si="17"/>
        <v>109.29405522024538</v>
      </c>
      <c r="AH107" s="63">
        <f t="shared" ca="1" si="18"/>
        <v>109.29405522024538</v>
      </c>
      <c r="AI107" s="3">
        <f t="shared" ca="1" si="19"/>
        <v>0</v>
      </c>
    </row>
    <row r="108" spans="7:35">
      <c r="G108" s="3">
        <f t="shared" si="14"/>
        <v>163</v>
      </c>
      <c r="H108" s="95">
        <f t="shared" si="16"/>
        <v>45088</v>
      </c>
      <c r="I108" s="119">
        <f>HLOOKUP($H$5,'Met Data'!$A$2:$F$368,G108,FALSE)</f>
        <v>12.105</v>
      </c>
      <c r="J108" s="119">
        <f ca="1">HLOOKUP($H$5,'Met Data'!$H$2:$M$368,G108,FALSE)*L108</f>
        <v>4.8199999999999896</v>
      </c>
      <c r="K108" s="96">
        <f>HLOOKUP($H$5,'Met Data'!$O$2:$T$368,G108,FALSE)</f>
        <v>1.2848931912011301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45148</v>
      </c>
      <c r="Q108">
        <f ca="1"/>
        <v>106.05976634968609</v>
      </c>
      <c r="R108">
        <f ca="1"/>
        <v>0.31326836947069925</v>
      </c>
      <c r="S108">
        <f ca="1"/>
        <v>1.1050787488345648E-2</v>
      </c>
      <c r="T108">
        <f ca="1"/>
        <v>0.25238283559586427</v>
      </c>
      <c r="U108">
        <f ca="1"/>
        <v>0</v>
      </c>
      <c r="V108">
        <f ca="1"/>
        <v>6.8333268385510761</v>
      </c>
      <c r="W108">
        <f ca="1"/>
        <v>6.0371261441744464</v>
      </c>
      <c r="X108">
        <f ca="1"/>
        <v>1.3795536274572164</v>
      </c>
      <c r="Y108">
        <f ca="1"/>
        <v>1</v>
      </c>
      <c r="Z108">
        <f ca="1"/>
        <v>2.7486862514029582</v>
      </c>
      <c r="AA108">
        <f ca="1"/>
        <v>0</v>
      </c>
      <c r="AB108">
        <f ca="1"/>
        <v>1.9760374663656492E-2</v>
      </c>
      <c r="AD108" s="2">
        <f t="shared" ca="1" si="12"/>
        <v>45148</v>
      </c>
      <c r="AE108">
        <f t="shared" ca="1" si="13"/>
        <v>0</v>
      </c>
      <c r="AG108" s="63">
        <f t="shared" ca="1" si="17"/>
        <v>107.752588346614</v>
      </c>
      <c r="AH108" s="63">
        <f t="shared" ca="1" si="18"/>
        <v>107.752588346614</v>
      </c>
      <c r="AI108" s="3">
        <f t="shared" ca="1" si="19"/>
        <v>0</v>
      </c>
    </row>
    <row r="109" spans="7:35">
      <c r="G109" s="3">
        <f t="shared" si="14"/>
        <v>164</v>
      </c>
      <c r="H109" s="95">
        <f t="shared" si="16"/>
        <v>45089</v>
      </c>
      <c r="I109" s="119">
        <f>HLOOKUP($H$5,'Met Data'!$A$2:$F$368,G109,FALSE)</f>
        <v>11.93</v>
      </c>
      <c r="J109" s="119">
        <f ca="1">HLOOKUP($H$5,'Met Data'!$H$2:$M$368,G109,FALSE)*L109</f>
        <v>4.05</v>
      </c>
      <c r="K109" s="96">
        <f>HLOOKUP($H$5,'Met Data'!$O$2:$T$368,G109,FALSE)</f>
        <v>1.2113320799843399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45149</v>
      </c>
      <c r="Q109">
        <f ca="1"/>
        <v>104.04561089105631</v>
      </c>
      <c r="R109">
        <f ca="1"/>
        <v>0.3432118614450701</v>
      </c>
      <c r="S109">
        <f ca="1"/>
        <v>1.1407660225277283E-2</v>
      </c>
      <c r="T109">
        <f ca="1"/>
        <v>0.25865721381057999</v>
      </c>
      <c r="U109">
        <f ca="1"/>
        <v>0</v>
      </c>
      <c r="V109">
        <f ca="1"/>
        <v>7.1765386999961462</v>
      </c>
      <c r="W109">
        <f ca="1"/>
        <v>6.3403478911617679</v>
      </c>
      <c r="X109">
        <f ca="1"/>
        <v>1.9410084712205535</v>
      </c>
      <c r="Y109">
        <f ca="1"/>
        <v>1</v>
      </c>
      <c r="Z109">
        <f ca="1"/>
        <v>3.9422205277142979</v>
      </c>
      <c r="AA109">
        <f ca="1"/>
        <v>0</v>
      </c>
      <c r="AB109">
        <f ca="1"/>
        <v>2.3759554934904094E-2</v>
      </c>
      <c r="AD109" s="2">
        <f t="shared" ca="1" si="12"/>
        <v>45149</v>
      </c>
      <c r="AE109">
        <f t="shared" ca="1" si="13"/>
        <v>0</v>
      </c>
      <c r="AG109" s="63">
        <f t="shared" ca="1" si="17"/>
        <v>106.32983122372194</v>
      </c>
      <c r="AH109" s="63">
        <f t="shared" ca="1" si="18"/>
        <v>106.32983122372194</v>
      </c>
      <c r="AI109" s="3">
        <f t="shared" ca="1" si="19"/>
        <v>0</v>
      </c>
    </row>
    <row r="110" spans="7:35">
      <c r="G110" s="3">
        <f t="shared" si="14"/>
        <v>165</v>
      </c>
      <c r="H110" s="95">
        <f t="shared" si="16"/>
        <v>45090</v>
      </c>
      <c r="I110" s="119">
        <f>HLOOKUP($H$5,'Met Data'!$A$2:$F$368,G110,FALSE)</f>
        <v>11.734999999999999</v>
      </c>
      <c r="J110" s="119">
        <f ca="1">HLOOKUP($H$5,'Met Data'!$H$2:$M$368,G110,FALSE)*L110</f>
        <v>3.5866666666666598</v>
      </c>
      <c r="K110" s="96">
        <f>HLOOKUP($H$5,'Met Data'!$O$2:$T$368,G110,FALSE)</f>
        <v>1.4600871377923801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45150</v>
      </c>
      <c r="Q110">
        <f ca="1"/>
        <v>102.91603113724223</v>
      </c>
      <c r="R110">
        <f ca="1"/>
        <v>0.34260836782643089</v>
      </c>
      <c r="S110">
        <f ca="1"/>
        <v>1.1334804801034437E-2</v>
      </c>
      <c r="T110">
        <f ca="1"/>
        <v>0.25185763321834187</v>
      </c>
      <c r="U110">
        <f ca="1"/>
        <v>0</v>
      </c>
      <c r="V110">
        <f ca="1"/>
        <v>7.5191470678225771</v>
      </c>
      <c r="W110">
        <f ca="1"/>
        <v>6.6430364619687303</v>
      </c>
      <c r="X110">
        <f ca="1"/>
        <v>1.0501638240070286</v>
      </c>
      <c r="Y110">
        <f ca="1"/>
        <v>1</v>
      </c>
      <c r="Z110">
        <f ca="1"/>
        <v>2.1563103758187481</v>
      </c>
      <c r="AA110">
        <f ca="1"/>
        <v>0</v>
      </c>
      <c r="AB110">
        <f ca="1"/>
        <v>2.8299047879422962E-2</v>
      </c>
      <c r="AD110" s="2">
        <f t="shared" ca="1" si="12"/>
        <v>45150</v>
      </c>
      <c r="AE110">
        <f t="shared" ca="1" si="13"/>
        <v>0</v>
      </c>
      <c r="AG110" s="63">
        <f t="shared" ca="1" si="17"/>
        <v>104.30880332907569</v>
      </c>
      <c r="AH110" s="63">
        <f t="shared" ca="1" si="18"/>
        <v>104.30880332907569</v>
      </c>
      <c r="AI110" s="3">
        <f t="shared" ca="1" si="19"/>
        <v>0</v>
      </c>
    </row>
    <row r="111" spans="7:35">
      <c r="G111" s="3">
        <f t="shared" si="14"/>
        <v>166</v>
      </c>
      <c r="H111" s="95">
        <f t="shared" si="16"/>
        <v>45091</v>
      </c>
      <c r="I111" s="119">
        <f>HLOOKUP($H$5,'Met Data'!$A$2:$F$368,G111,FALSE)</f>
        <v>11.1666666666666</v>
      </c>
      <c r="J111" s="119">
        <f ca="1">HLOOKUP($H$5,'Met Data'!$H$2:$M$368,G111,FALSE)*L111</f>
        <v>3.2966666666666602</v>
      </c>
      <c r="K111" s="96">
        <f>HLOOKUP($H$5,'Met Data'!$O$2:$T$368,G111,FALSE)</f>
        <v>1.34458805503312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45151</v>
      </c>
      <c r="Q111">
        <f ca="1"/>
        <v>101.52696302492703</v>
      </c>
      <c r="R111">
        <f ca="1"/>
        <v>0.37363053400685331</v>
      </c>
      <c r="S111">
        <f ca="1"/>
        <v>1.1655444345570309E-2</v>
      </c>
      <c r="T111">
        <f ca="1"/>
        <v>0.2575091731123626</v>
      </c>
      <c r="U111">
        <f ca="1"/>
        <v>0</v>
      </c>
      <c r="V111">
        <f ca="1"/>
        <v>7.8927776018294304</v>
      </c>
      <c r="W111">
        <f ca="1"/>
        <v>6.9731325803614688</v>
      </c>
      <c r="X111">
        <f ca="1"/>
        <v>1.2846021957662885</v>
      </c>
      <c r="Y111">
        <f ca="1"/>
        <v>1</v>
      </c>
      <c r="Z111">
        <f ca="1"/>
        <v>2.6737728765631203</v>
      </c>
      <c r="AA111">
        <f ca="1"/>
        <v>0</v>
      </c>
      <c r="AB111">
        <f ca="1"/>
        <v>3.3917562350796591E-2</v>
      </c>
      <c r="AD111" s="2">
        <f t="shared" ca="1" si="12"/>
        <v>45151</v>
      </c>
      <c r="AE111">
        <f t="shared" ca="1" si="13"/>
        <v>0</v>
      </c>
      <c r="AG111" s="63">
        <f t="shared" ca="1" si="17"/>
        <v>103.18519575470016</v>
      </c>
      <c r="AH111" s="63">
        <f t="shared" ca="1" si="18"/>
        <v>103.18519575470016</v>
      </c>
      <c r="AI111" s="3">
        <f t="shared" ca="1" si="19"/>
        <v>0</v>
      </c>
    </row>
    <row r="112" spans="7:35">
      <c r="G112" s="3">
        <f t="shared" si="14"/>
        <v>167</v>
      </c>
      <c r="H112" s="95">
        <f t="shared" si="16"/>
        <v>45092</v>
      </c>
      <c r="I112" s="119">
        <f>HLOOKUP($H$5,'Met Data'!$A$2:$F$368,G112,FALSE)</f>
        <v>11.2283333333333</v>
      </c>
      <c r="J112" s="119">
        <f ca="1">HLOOKUP($H$5,'Met Data'!$H$2:$M$368,G112,FALSE)*L112</f>
        <v>6.4733333333333301</v>
      </c>
      <c r="K112" s="96">
        <f>HLOOKUP($H$5,'Met Data'!$O$2:$T$368,G112,FALSE)</f>
        <v>1.38085812732775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45152</v>
      </c>
      <c r="Q112">
        <f ca="1"/>
        <v>99.856276641284666</v>
      </c>
      <c r="R112">
        <f ca="1"/>
        <v>0.38231993295847122</v>
      </c>
      <c r="S112">
        <f ca="1"/>
        <v>1.1672680016611814E-2</v>
      </c>
      <c r="T112">
        <f ca="1"/>
        <v>0.25417818547293575</v>
      </c>
      <c r="U112">
        <f ca="1"/>
        <v>0</v>
      </c>
      <c r="V112">
        <f ca="1"/>
        <v>8.2750975347879017</v>
      </c>
      <c r="W112">
        <f ca="1"/>
        <v>7.3109056325270831</v>
      </c>
      <c r="X112">
        <f ca="1"/>
        <v>1.5542173161734463</v>
      </c>
      <c r="Y112">
        <f ca="1"/>
        <v>1</v>
      </c>
      <c r="Z112">
        <f ca="1"/>
        <v>3.2890738403963269</v>
      </c>
      <c r="AA112">
        <f ca="1"/>
        <v>0</v>
      </c>
      <c r="AB112">
        <f ca="1"/>
        <v>4.0435898057853893E-2</v>
      </c>
      <c r="AD112" s="2">
        <f t="shared" ca="1" si="12"/>
        <v>45152</v>
      </c>
      <c r="AE112">
        <f t="shared" ca="1" si="13"/>
        <v>0</v>
      </c>
      <c r="AG112" s="63">
        <f t="shared" ca="1" si="17"/>
        <v>101.79281389041658</v>
      </c>
      <c r="AH112" s="63">
        <f t="shared" ca="1" si="18"/>
        <v>101.79281389041658</v>
      </c>
      <c r="AI112" s="3">
        <f t="shared" ca="1" si="19"/>
        <v>0</v>
      </c>
    </row>
    <row r="113" spans="7:35">
      <c r="G113" s="3">
        <f t="shared" si="14"/>
        <v>168</v>
      </c>
      <c r="H113" s="95">
        <f t="shared" si="16"/>
        <v>45093</v>
      </c>
      <c r="I113" s="119">
        <f>HLOOKUP($H$5,'Met Data'!$A$2:$F$368,G113,FALSE)</f>
        <v>10.6586206896551</v>
      </c>
      <c r="J113" s="119">
        <f ca="1">HLOOKUP($H$5,'Met Data'!$H$2:$M$368,G113,FALSE)*L113</f>
        <v>4.2733333333333299</v>
      </c>
      <c r="K113" s="96">
        <f>HLOOKUP($H$5,'Met Data'!$O$2:$T$368,G113,FALSE)</f>
        <v>1.38162675040215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45153</v>
      </c>
      <c r="Q113">
        <f ca="1"/>
        <v>98.194035142122331</v>
      </c>
      <c r="R113">
        <f ca="1"/>
        <v>0.36138056417158815</v>
      </c>
      <c r="S113">
        <f ca="1"/>
        <v>1.1351429284843562E-2</v>
      </c>
      <c r="T113">
        <f ca="1"/>
        <v>0.24114499667337563</v>
      </c>
      <c r="U113">
        <f ca="1"/>
        <v>0</v>
      </c>
      <c r="V113">
        <f ca="1"/>
        <v>8.6364780989594898</v>
      </c>
      <c r="W113">
        <f ca="1"/>
        <v>7.6301791143176017</v>
      </c>
      <c r="X113">
        <f ca="1"/>
        <v>1.5533573609489697</v>
      </c>
      <c r="Y113">
        <f ca="1"/>
        <v>1</v>
      </c>
      <c r="Z113">
        <f ca="1"/>
        <v>3.3429010478105425</v>
      </c>
      <c r="AA113">
        <f ca="1"/>
        <v>0</v>
      </c>
      <c r="AB113">
        <f ca="1"/>
        <v>4.7354688184432982E-2</v>
      </c>
      <c r="AD113" s="2">
        <f t="shared" ca="1" si="12"/>
        <v>45153</v>
      </c>
      <c r="AE113">
        <f t="shared" ca="1" si="13"/>
        <v>0</v>
      </c>
      <c r="AG113" s="63">
        <f t="shared" ca="1" si="17"/>
        <v>100.10877306724288</v>
      </c>
      <c r="AH113" s="63">
        <f t="shared" ca="1" si="18"/>
        <v>100.10877306724288</v>
      </c>
      <c r="AI113" s="3">
        <f t="shared" ca="1" si="19"/>
        <v>0</v>
      </c>
    </row>
    <row r="114" spans="7:35">
      <c r="G114" s="3">
        <f t="shared" si="14"/>
        <v>169</v>
      </c>
      <c r="H114" s="95">
        <f t="shared" si="16"/>
        <v>45094</v>
      </c>
      <c r="I114" s="119">
        <f>HLOOKUP($H$5,'Met Data'!$A$2:$F$368,G114,FALSE)</f>
        <v>10.7310344827586</v>
      </c>
      <c r="J114" s="119">
        <f ca="1">HLOOKUP($H$5,'Met Data'!$H$2:$M$368,G114,FALSE)*L114</f>
        <v>4.5699999999999896</v>
      </c>
      <c r="K114" s="96">
        <f>HLOOKUP($H$5,'Met Data'!$O$2:$T$368,G114,FALSE)</f>
        <v>1.17648432087559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45154</v>
      </c>
      <c r="Q114">
        <f ca="1"/>
        <v>96.869037770297965</v>
      </c>
      <c r="R114">
        <f ca="1"/>
        <v>0.37900355586912227</v>
      </c>
      <c r="S114">
        <f ca="1"/>
        <v>1.1477170150339333E-2</v>
      </c>
      <c r="T114">
        <f ca="1"/>
        <v>0.24189196725265411</v>
      </c>
      <c r="U114">
        <f ca="1"/>
        <v>0</v>
      </c>
      <c r="V114">
        <f ca="1"/>
        <v>9.0154816548286121</v>
      </c>
      <c r="W114">
        <f ca="1"/>
        <v>7.9650222046501185</v>
      </c>
      <c r="X114">
        <f ca="1"/>
        <v>1.1993629533582515</v>
      </c>
      <c r="Y114">
        <f ca="1"/>
        <v>1</v>
      </c>
      <c r="Z114">
        <f ca="1"/>
        <v>2.6163924839702233</v>
      </c>
      <c r="AA114">
        <f ca="1"/>
        <v>0</v>
      </c>
      <c r="AB114">
        <f ca="1"/>
        <v>5.5441927446176251E-2</v>
      </c>
      <c r="AD114" s="2">
        <f t="shared" ca="1" si="12"/>
        <v>45154</v>
      </c>
      <c r="AE114">
        <f t="shared" ca="1" si="13"/>
        <v>0</v>
      </c>
      <c r="AG114" s="63">
        <f t="shared" ca="1" si="17"/>
        <v>98.44740427952533</v>
      </c>
      <c r="AH114" s="63">
        <f t="shared" ca="1" si="18"/>
        <v>98.44740427952533</v>
      </c>
      <c r="AI114" s="3">
        <f t="shared" ca="1" si="19"/>
        <v>0</v>
      </c>
    </row>
    <row r="115" spans="7:35">
      <c r="G115" s="3">
        <f t="shared" si="14"/>
        <v>170</v>
      </c>
      <c r="H115" s="95">
        <f t="shared" si="16"/>
        <v>45095</v>
      </c>
      <c r="I115" s="119">
        <f>HLOOKUP($H$5,'Met Data'!$A$2:$F$368,G115,FALSE)</f>
        <v>11.2603448275862</v>
      </c>
      <c r="J115" s="119">
        <f ca="1">HLOOKUP($H$5,'Met Data'!$H$2:$M$368,G115,FALSE)*L115</f>
        <v>4.72</v>
      </c>
      <c r="K115" s="96">
        <f>HLOOKUP($H$5,'Met Data'!$O$2:$T$368,G115,FALSE)</f>
        <v>1.1014836099696199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45155</v>
      </c>
      <c r="Q115">
        <f ca="1"/>
        <v>95.227684649800437</v>
      </c>
      <c r="R115">
        <f ca="1"/>
        <v>0.38577338735341904</v>
      </c>
      <c r="S115">
        <f ca="1"/>
        <v>1.147418914541376E-2</v>
      </c>
      <c r="T115">
        <f ca="1"/>
        <v>0.23906909934833784</v>
      </c>
      <c r="U115">
        <f ca="1"/>
        <v>0</v>
      </c>
      <c r="V115">
        <f ca="1"/>
        <v>9.4012550421820311</v>
      </c>
      <c r="W115">
        <f ca="1"/>
        <v>8.3058463240788747</v>
      </c>
      <c r="X115">
        <f ca="1"/>
        <v>1.5061230216378636</v>
      </c>
      <c r="Y115">
        <f ca="1"/>
        <v>1</v>
      </c>
      <c r="Z115">
        <f ca="1"/>
        <v>3.3422156657796194</v>
      </c>
      <c r="AA115">
        <f ca="1"/>
        <v>0</v>
      </c>
      <c r="AB115">
        <f ca="1"/>
        <v>6.45843955046497E-2</v>
      </c>
      <c r="AD115" s="2">
        <f t="shared" ca="1" si="12"/>
        <v>45155</v>
      </c>
      <c r="AE115">
        <f t="shared" ca="1" si="13"/>
        <v>0</v>
      </c>
      <c r="AG115" s="63">
        <f t="shared" ca="1" si="17"/>
        <v>97.119581058791724</v>
      </c>
      <c r="AH115" s="63">
        <f t="shared" ca="1" si="18"/>
        <v>97.119581058791724</v>
      </c>
      <c r="AI115" s="3">
        <f t="shared" ca="1" si="19"/>
        <v>0</v>
      </c>
    </row>
    <row r="116" spans="7:35">
      <c r="G116" s="3">
        <f t="shared" si="14"/>
        <v>171</v>
      </c>
      <c r="H116" s="95">
        <f t="shared" si="16"/>
        <v>45096</v>
      </c>
      <c r="I116" s="119">
        <f>HLOOKUP($H$5,'Met Data'!$A$2:$F$368,G116,FALSE)</f>
        <v>10.906896551724101</v>
      </c>
      <c r="J116" s="119">
        <f ca="1">HLOOKUP($H$5,'Met Data'!$H$2:$M$368,G116,FALSE)*L116</f>
        <v>4.07</v>
      </c>
      <c r="K116" s="96">
        <f>HLOOKUP($H$5,'Met Data'!$O$2:$T$368,G116,FALSE)</f>
        <v>1.1347149368896201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45156</v>
      </c>
      <c r="Q116">
        <f ca="1"/>
        <v>94.161210471400736</v>
      </c>
      <c r="R116">
        <f ca="1"/>
        <v>0.40169513363506049</v>
      </c>
      <c r="S116">
        <f ca="1"/>
        <v>1.1558637113948222E-2</v>
      </c>
      <c r="T116">
        <f ca="1"/>
        <v>0.23906909934833784</v>
      </c>
      <c r="U116">
        <f ca="1"/>
        <v>0</v>
      </c>
      <c r="V116">
        <f ca="1"/>
        <v>9.8029501758170916</v>
      </c>
      <c r="W116">
        <f ca="1"/>
        <v>8.6607370311316156</v>
      </c>
      <c r="X116">
        <f ca="1"/>
        <v>0.91540678122693819</v>
      </c>
      <c r="Y116">
        <f ca="1"/>
        <v>1</v>
      </c>
      <c r="Z116">
        <f ca="1"/>
        <v>2.054373201111332</v>
      </c>
      <c r="AA116">
        <f ca="1"/>
        <v>0</v>
      </c>
      <c r="AB116">
        <f ca="1"/>
        <v>7.5114581748751422E-2</v>
      </c>
      <c r="AD116" s="2">
        <f t="shared" ca="1" si="12"/>
        <v>45156</v>
      </c>
      <c r="AE116">
        <f t="shared" ca="1" si="13"/>
        <v>0</v>
      </c>
      <c r="AG116" s="63">
        <f t="shared" ca="1" si="17"/>
        <v>95.478312386262729</v>
      </c>
      <c r="AH116" s="63">
        <f t="shared" ca="1" si="18"/>
        <v>95.478312386262729</v>
      </c>
      <c r="AI116" s="3">
        <f t="shared" ca="1" si="19"/>
        <v>0</v>
      </c>
    </row>
    <row r="117" spans="7:35">
      <c r="G117" s="3">
        <f t="shared" si="14"/>
        <v>172</v>
      </c>
      <c r="H117" s="95">
        <f t="shared" si="16"/>
        <v>45097</v>
      </c>
      <c r="I117" s="119">
        <f>HLOOKUP($H$5,'Met Data'!$A$2:$F$368,G117,FALSE)</f>
        <v>11.072413793103401</v>
      </c>
      <c r="J117" s="119">
        <f ca="1">HLOOKUP($H$5,'Met Data'!$H$2:$M$368,G117,FALSE)*L117</f>
        <v>5.89333333333333</v>
      </c>
      <c r="K117" s="96">
        <f>HLOOKUP($H$5,'Met Data'!$O$2:$T$368,G117,FALSE)</f>
        <v>1.25671546368113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45157</v>
      </c>
      <c r="Q117">
        <f ca="1"/>
        <v>93.222925891827245</v>
      </c>
      <c r="R117">
        <f ca="1"/>
        <v>0.4228407035952273</v>
      </c>
      <c r="S117">
        <f ca="1"/>
        <v>1.1680691259568832E-2</v>
      </c>
      <c r="T117">
        <f ca="1"/>
        <v>0.24036029797170028</v>
      </c>
      <c r="U117">
        <f ca="1"/>
        <v>0</v>
      </c>
      <c r="V117">
        <f ca="1"/>
        <v>10.225790879412319</v>
      </c>
      <c r="W117">
        <f ca="1"/>
        <v>9.0343094837317537</v>
      </c>
      <c r="X117">
        <f ca="1"/>
        <v>0.76748486520953529</v>
      </c>
      <c r="Y117">
        <f ca="1"/>
        <v>1</v>
      </c>
      <c r="Z117">
        <f ca="1"/>
        <v>1.7397399608574062</v>
      </c>
      <c r="AA117">
        <f ca="1"/>
        <v>0</v>
      </c>
      <c r="AB117">
        <f ca="1"/>
        <v>8.7341544273118285E-2</v>
      </c>
      <c r="AD117" s="2">
        <f t="shared" ca="1" si="12"/>
        <v>45157</v>
      </c>
      <c r="AE117">
        <f t="shared" ca="1" si="13"/>
        <v>0</v>
      </c>
      <c r="AG117" s="63">
        <f t="shared" ca="1" si="17"/>
        <v>94.413251460632011</v>
      </c>
      <c r="AH117" s="63">
        <f t="shared" ca="1" si="18"/>
        <v>94.413251460632011</v>
      </c>
      <c r="AI117" s="3">
        <f t="shared" ca="1" si="19"/>
        <v>0</v>
      </c>
    </row>
    <row r="118" spans="7:35">
      <c r="G118" s="3">
        <f t="shared" si="14"/>
        <v>173</v>
      </c>
      <c r="H118" s="95">
        <f t="shared" si="16"/>
        <v>45098</v>
      </c>
      <c r="I118" s="119">
        <f>HLOOKUP($H$5,'Met Data'!$A$2:$F$368,G118,FALSE)</f>
        <v>11.1844827586206</v>
      </c>
      <c r="J118" s="119">
        <f ca="1">HLOOKUP($H$5,'Met Data'!$H$2:$M$368,G118,FALSE)*L118</f>
        <v>2.27</v>
      </c>
      <c r="K118" s="96">
        <f>HLOOKUP($H$5,'Met Data'!$O$2:$T$368,G118,FALSE)</f>
        <v>1.3590610231009399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45158</v>
      </c>
      <c r="Q118">
        <f ca="1"/>
        <v>91.704289891884841</v>
      </c>
      <c r="R118">
        <f ca="1"/>
        <v>0.46517947685495642</v>
      </c>
      <c r="S118">
        <f ca="1"/>
        <v>1.1985702405595156E-2</v>
      </c>
      <c r="T118">
        <f ca="1"/>
        <v>0.24708215201002359</v>
      </c>
      <c r="U118">
        <f ca="1"/>
        <v>0</v>
      </c>
      <c r="V118">
        <f ca="1"/>
        <v>10.690970356267275</v>
      </c>
      <c r="W118">
        <f ca="1"/>
        <v>9.445287510658666</v>
      </c>
      <c r="X118">
        <f ca="1"/>
        <v>1.3125243775030713</v>
      </c>
      <c r="Y118">
        <f ca="1"/>
        <v>1</v>
      </c>
      <c r="Z118">
        <f ca="1"/>
        <v>3.0245096514895238</v>
      </c>
      <c r="AA118">
        <f ca="1"/>
        <v>0</v>
      </c>
      <c r="AB118">
        <f ca="1"/>
        <v>0.10216784954172617</v>
      </c>
      <c r="AD118" s="2">
        <f t="shared" ca="1" si="12"/>
        <v>45158</v>
      </c>
      <c r="AE118">
        <f t="shared" ca="1" si="13"/>
        <v>0</v>
      </c>
      <c r="AG118" s="63">
        <f t="shared" ca="1" si="17"/>
        <v>93.481993746242864</v>
      </c>
      <c r="AH118" s="63">
        <f t="shared" ca="1" si="18"/>
        <v>93.481993746242864</v>
      </c>
      <c r="AI118" s="3">
        <f t="shared" ca="1" si="19"/>
        <v>0</v>
      </c>
    </row>
    <row r="119" spans="7:35">
      <c r="G119" s="3">
        <f t="shared" si="14"/>
        <v>174</v>
      </c>
      <c r="H119" s="95">
        <f t="shared" si="16"/>
        <v>45099</v>
      </c>
      <c r="I119" s="119">
        <f>HLOOKUP($H$5,'Met Data'!$A$2:$F$368,G119,FALSE)</f>
        <v>10.84</v>
      </c>
      <c r="J119" s="119">
        <f ca="1">HLOOKUP($H$5,'Met Data'!$H$2:$M$368,G119,FALSE)*L119</f>
        <v>2.2633333333333301</v>
      </c>
      <c r="K119" s="96">
        <f>HLOOKUP($H$5,'Met Data'!$O$2:$T$368,G119,FALSE)</f>
        <v>1.3770648366319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45159</v>
      </c>
      <c r="Q119">
        <f ca="1"/>
        <v>90.518778536797299</v>
      </c>
      <c r="R119">
        <f ca="1"/>
        <v>0.51127277449296393</v>
      </c>
      <c r="S119">
        <f ca="1"/>
        <v>1.2291113836407241E-2</v>
      </c>
      <c r="T119">
        <f ca="1"/>
        <v>0.2538814331627039</v>
      </c>
      <c r="U119">
        <f ca="1"/>
        <v>0</v>
      </c>
      <c r="V119">
        <f ca="1"/>
        <v>11.202243130760239</v>
      </c>
      <c r="W119">
        <f ca="1"/>
        <v>9.8969881693016184</v>
      </c>
      <c r="X119">
        <f ca="1"/>
        <v>0.94041112759368806</v>
      </c>
      <c r="Y119">
        <f ca="1"/>
        <v>1</v>
      </c>
      <c r="Z119">
        <f ca="1"/>
        <v>2.195413462981108</v>
      </c>
      <c r="AA119">
        <f ca="1"/>
        <v>0</v>
      </c>
      <c r="AB119">
        <f ca="1"/>
        <v>0.12012994635134795</v>
      </c>
      <c r="AD119" s="2">
        <f t="shared" ca="1" si="12"/>
        <v>45159</v>
      </c>
      <c r="AE119">
        <f t="shared" ca="1" si="13"/>
        <v>0</v>
      </c>
      <c r="AG119" s="63">
        <f t="shared" ca="1" si="17"/>
        <v>91.970462438883956</v>
      </c>
      <c r="AH119" s="63">
        <f t="shared" ca="1" si="18"/>
        <v>91.970462438883956</v>
      </c>
      <c r="AI119" s="3">
        <f t="shared" ca="1" si="19"/>
        <v>0</v>
      </c>
    </row>
    <row r="120" spans="7:35">
      <c r="G120" s="3">
        <f t="shared" si="14"/>
        <v>175</v>
      </c>
      <c r="H120" s="95">
        <f t="shared" si="16"/>
        <v>45100</v>
      </c>
      <c r="I120" s="119">
        <f>HLOOKUP($H$5,'Met Data'!$A$2:$F$368,G120,FALSE)</f>
        <v>10.578333333333299</v>
      </c>
      <c r="J120" s="119">
        <f ca="1">HLOOKUP($H$5,'Met Data'!$H$2:$M$368,G120,FALSE)*L120</f>
        <v>4.8499999999999996</v>
      </c>
      <c r="K120" s="96">
        <f>HLOOKUP($H$5,'Met Data'!$O$2:$T$368,G120,FALSE)</f>
        <v>1.14995789296724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45160</v>
      </c>
      <c r="Q120">
        <f ca="1"/>
        <v>89.378127626679472</v>
      </c>
      <c r="R120">
        <f ca="1"/>
        <v>0.54650658329720514</v>
      </c>
      <c r="S120">
        <f ca="1"/>
        <v>1.2460156649854781E-2</v>
      </c>
      <c r="T120">
        <f ca="1"/>
        <v>0.25689547701853077</v>
      </c>
      <c r="U120">
        <f ca="1"/>
        <v>0</v>
      </c>
      <c r="V120">
        <f ca="1"/>
        <v>11.748749714057444</v>
      </c>
      <c r="W120">
        <f ca="1"/>
        <v>10.37981728898801</v>
      </c>
      <c r="X120">
        <f ca="1"/>
        <v>0.86349996048900679</v>
      </c>
      <c r="Y120">
        <f ca="1"/>
        <v>1</v>
      </c>
      <c r="Z120">
        <f ca="1"/>
        <v>2.0415890056987678</v>
      </c>
      <c r="AA120">
        <f ca="1"/>
        <v>0</v>
      </c>
      <c r="AB120">
        <f ca="1"/>
        <v>0.14123198674346502</v>
      </c>
      <c r="AD120" s="2">
        <f t="shared" ca="1" si="12"/>
        <v>45160</v>
      </c>
      <c r="AE120">
        <f t="shared" ca="1" si="13"/>
        <v>0</v>
      </c>
      <c r="AG120" s="63">
        <f t="shared" ca="1" si="17"/>
        <v>90.788134170465682</v>
      </c>
      <c r="AH120" s="63">
        <f t="shared" ca="1" si="18"/>
        <v>90.788134170465682</v>
      </c>
      <c r="AI120" s="3">
        <f t="shared" ca="1" si="19"/>
        <v>0</v>
      </c>
    </row>
    <row r="121" spans="7:35">
      <c r="G121" s="3">
        <f t="shared" si="14"/>
        <v>176</v>
      </c>
      <c r="H121" s="95">
        <f t="shared" si="16"/>
        <v>45101</v>
      </c>
      <c r="I121" s="119">
        <f>HLOOKUP($H$5,'Met Data'!$A$2:$F$368,G121,FALSE)</f>
        <v>10.6928571428571</v>
      </c>
      <c r="J121" s="119">
        <f ca="1">HLOOKUP($H$5,'Met Data'!$H$2:$M$368,G121,FALSE)*L121</f>
        <v>6.4607142857142801</v>
      </c>
      <c r="K121" s="96">
        <f>HLOOKUP($H$5,'Met Data'!$O$2:$T$368,G121,FALSE)</f>
        <v>1.1771575957217399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45161</v>
      </c>
      <c r="Q121">
        <f ca="1"/>
        <v>88.537007460878584</v>
      </c>
      <c r="R121">
        <f ca="1"/>
        <v>0.59709695557008402</v>
      </c>
      <c r="S121">
        <f ca="1"/>
        <v>1.2736214663343404E-2</v>
      </c>
      <c r="T121">
        <f ca="1"/>
        <v>0.26307409535441861</v>
      </c>
      <c r="U121">
        <f ca="1"/>
        <v>0</v>
      </c>
      <c r="V121">
        <f ca="1"/>
        <v>12.345846669627528</v>
      </c>
      <c r="W121">
        <f ca="1"/>
        <v>10.907342128096023</v>
      </c>
      <c r="X121">
        <f ca="1"/>
        <v>0.51983352024856866</v>
      </c>
      <c r="Y121">
        <f ca="1"/>
        <v>1</v>
      </c>
      <c r="Z121">
        <f ca="1"/>
        <v>1.2407283062524215</v>
      </c>
      <c r="AA121">
        <f ca="1"/>
        <v>0</v>
      </c>
      <c r="AB121">
        <f ca="1"/>
        <v>0.16644916815000099</v>
      </c>
      <c r="AD121" s="2">
        <f t="shared" ca="1" si="12"/>
        <v>45161</v>
      </c>
      <c r="AE121">
        <f t="shared" ca="1" si="13"/>
        <v>0</v>
      </c>
      <c r="AG121" s="63">
        <f t="shared" ca="1" si="17"/>
        <v>89.653937936697233</v>
      </c>
      <c r="AH121" s="63">
        <f t="shared" ca="1" si="18"/>
        <v>89.653937936697233</v>
      </c>
      <c r="AI121" s="3">
        <f t="shared" ca="1" si="19"/>
        <v>0</v>
      </c>
    </row>
    <row r="122" spans="7:35">
      <c r="G122" s="3">
        <f t="shared" si="14"/>
        <v>177</v>
      </c>
      <c r="H122" s="95">
        <f t="shared" si="16"/>
        <v>45102</v>
      </c>
      <c r="I122" s="119">
        <f>HLOOKUP($H$5,'Met Data'!$A$2:$F$368,G122,FALSE)</f>
        <v>10.8642857142857</v>
      </c>
      <c r="J122" s="119">
        <f ca="1">HLOOKUP($H$5,'Met Data'!$H$2:$M$368,G122,FALSE)*L122</f>
        <v>8.7785714285714196</v>
      </c>
      <c r="K122" s="96">
        <f>HLOOKUP($H$5,'Met Data'!$O$2:$T$368,G122,FALSE)</f>
        <v>1.3519764431878101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45162</v>
      </c>
      <c r="Q122">
        <f ca="1"/>
        <v>87.658842404407295</v>
      </c>
      <c r="R122">
        <f ca="1"/>
        <v>0.62723459648771573</v>
      </c>
      <c r="S122">
        <f ca="1"/>
        <v>1.2798287227685279E-2</v>
      </c>
      <c r="T122">
        <f ca="1"/>
        <v>0.26336469428868586</v>
      </c>
      <c r="U122">
        <f ca="1"/>
        <v>0</v>
      </c>
      <c r="V122">
        <f ca="1"/>
        <v>12.973081266115244</v>
      </c>
      <c r="W122">
        <f ca="1"/>
        <v>11.461493052009628</v>
      </c>
      <c r="X122">
        <f ca="1"/>
        <v>0.52709344149993664</v>
      </c>
      <c r="Y122">
        <f ca="1"/>
        <v>1</v>
      </c>
      <c r="Z122">
        <f ca="1"/>
        <v>1.2706593307135989</v>
      </c>
      <c r="AA122">
        <f ca="1"/>
        <v>0</v>
      </c>
      <c r="AB122">
        <f ca="1"/>
        <v>0.19520428984999882</v>
      </c>
      <c r="AD122" s="2">
        <f t="shared" ca="1" si="12"/>
        <v>45162</v>
      </c>
      <c r="AE122">
        <f t="shared" ca="1" si="13"/>
        <v>0</v>
      </c>
      <c r="AG122" s="63">
        <f t="shared" ca="1" si="17"/>
        <v>88.813170442394949</v>
      </c>
      <c r="AH122" s="63">
        <f t="shared" ca="1" si="18"/>
        <v>88.813170442394949</v>
      </c>
      <c r="AI122" s="3">
        <f t="shared" ca="1" si="19"/>
        <v>0</v>
      </c>
    </row>
    <row r="123" spans="7:35">
      <c r="G123" s="3">
        <f t="shared" si="14"/>
        <v>178</v>
      </c>
      <c r="H123" s="95">
        <f t="shared" si="16"/>
        <v>45103</v>
      </c>
      <c r="I123" s="119">
        <f>HLOOKUP($H$5,'Met Data'!$A$2:$F$368,G123,FALSE)</f>
        <v>10.492857142857099</v>
      </c>
      <c r="J123" s="119">
        <f ca="1">HLOOKUP($H$5,'Met Data'!$H$2:$M$368,G123,FALSE)*L123</f>
        <v>3.8</v>
      </c>
      <c r="K123" s="96">
        <f>HLOOKUP($H$5,'Met Data'!$O$2:$T$368,G123,FALSE)</f>
        <v>1.34392263247945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45163</v>
      </c>
      <c r="Q123">
        <f ca="1"/>
        <v>85.127171262990487</v>
      </c>
      <c r="R123">
        <f ca="1"/>
        <v>0.67908439591204939</v>
      </c>
      <c r="S123">
        <f ca="1"/>
        <v>1.3018296696550635E-2</v>
      </c>
      <c r="T123">
        <f ca="1"/>
        <v>0.26825179261461429</v>
      </c>
      <c r="U123">
        <f ca="1"/>
        <v>0</v>
      </c>
      <c r="V123">
        <f ca="1"/>
        <v>13.652165662027294</v>
      </c>
      <c r="W123">
        <f ca="1"/>
        <v>12.061452377463292</v>
      </c>
      <c r="X123">
        <f ca="1"/>
        <v>2.1338568348159321</v>
      </c>
      <c r="Y123">
        <f ca="1"/>
        <v>1</v>
      </c>
      <c r="Z123">
        <f ca="1"/>
        <v>5.2970530785325991</v>
      </c>
      <c r="AA123">
        <f ca="1"/>
        <v>0</v>
      </c>
      <c r="AB123">
        <f ca="1"/>
        <v>0.22866749775820278</v>
      </c>
      <c r="AD123" s="2">
        <f t="shared" ca="1" si="12"/>
        <v>45163</v>
      </c>
      <c r="AE123">
        <f t="shared" ca="1" si="13"/>
        <v>0</v>
      </c>
      <c r="AG123" s="63">
        <f t="shared" ca="1" si="17"/>
        <v>87.940112493718459</v>
      </c>
      <c r="AH123" s="63">
        <f t="shared" ca="1" si="18"/>
        <v>87.940112493718459</v>
      </c>
      <c r="AI123" s="3">
        <f t="shared" ca="1" si="19"/>
        <v>0</v>
      </c>
    </row>
    <row r="124" spans="7:35">
      <c r="G124" s="3">
        <f t="shared" si="14"/>
        <v>179</v>
      </c>
      <c r="H124" s="95">
        <f t="shared" si="16"/>
        <v>45104</v>
      </c>
      <c r="I124" s="119">
        <f>HLOOKUP($H$5,'Met Data'!$A$2:$F$368,G124,FALSE)</f>
        <v>10.592857142857101</v>
      </c>
      <c r="J124" s="119">
        <f ca="1">HLOOKUP($H$5,'Met Data'!$H$2:$M$368,G124,FALSE)*L124</f>
        <v>2.81785714285714</v>
      </c>
      <c r="K124" s="96">
        <f>HLOOKUP($H$5,'Met Data'!$O$2:$T$368,G124,FALSE)</f>
        <v>1.47912334327964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45164</v>
      </c>
      <c r="Q124">
        <f ca="1"/>
        <v>83.704477994511691</v>
      </c>
      <c r="R124">
        <f ca="1"/>
        <v>0.69591834030861932</v>
      </c>
      <c r="S124">
        <f ca="1"/>
        <v>1.2926900024744725E-2</v>
      </c>
      <c r="T124">
        <f ca="1"/>
        <v>0.26461240778105477</v>
      </c>
      <c r="U124">
        <f ca="1"/>
        <v>0</v>
      </c>
      <c r="V124">
        <f ca="1"/>
        <v>14.348084002335913</v>
      </c>
      <c r="W124">
        <f ca="1"/>
        <v>12.676284201807654</v>
      </c>
      <c r="X124">
        <f ca="1"/>
        <v>1.0043142359759742</v>
      </c>
      <c r="Y124">
        <f ca="1"/>
        <v>1</v>
      </c>
      <c r="Z124">
        <f ca="1"/>
        <v>2.5354682417520422</v>
      </c>
      <c r="AA124">
        <f ca="1"/>
        <v>0</v>
      </c>
      <c r="AB124">
        <f ca="1"/>
        <v>0.26506818058763959</v>
      </c>
      <c r="AD124" s="2">
        <f t="shared" ca="1" si="12"/>
        <v>45164</v>
      </c>
      <c r="AE124">
        <f t="shared" ca="1" si="13"/>
        <v>0</v>
      </c>
      <c r="AG124" s="63">
        <f t="shared" ca="1" si="17"/>
        <v>85.404710570796297</v>
      </c>
      <c r="AH124" s="63">
        <f t="shared" ca="1" si="18"/>
        <v>85.404710570796283</v>
      </c>
      <c r="AI124" s="3">
        <f t="shared" ca="1" si="19"/>
        <v>0</v>
      </c>
    </row>
    <row r="125" spans="7:35">
      <c r="G125" s="3">
        <f t="shared" si="14"/>
        <v>180</v>
      </c>
      <c r="H125" s="95">
        <f t="shared" si="16"/>
        <v>45105</v>
      </c>
      <c r="I125" s="119">
        <f>HLOOKUP($H$5,'Met Data'!$A$2:$F$368,G125,FALSE)</f>
        <v>10.465517241379301</v>
      </c>
      <c r="J125" s="119">
        <f ca="1">HLOOKUP($H$5,'Met Data'!$H$2:$M$368,G125,FALSE)*L125</f>
        <v>5.6517241379310299</v>
      </c>
      <c r="K125" s="96">
        <f>HLOOKUP($H$5,'Met Data'!$O$2:$T$368,G125,FALSE)</f>
        <v>1.2990420850019999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45165</v>
      </c>
      <c r="Q125">
        <f ca="1"/>
        <v>82.907354333955894</v>
      </c>
      <c r="R125">
        <f ca="1"/>
        <v>0.72638371528852197</v>
      </c>
      <c r="S125">
        <f ca="1"/>
        <v>1.293664815213269E-2</v>
      </c>
      <c r="T125">
        <f ca="1"/>
        <v>0.26398808686859854</v>
      </c>
      <c r="U125">
        <f ca="1"/>
        <v>0</v>
      </c>
      <c r="V125">
        <f ca="1"/>
        <v>15.074467717624435</v>
      </c>
      <c r="W125">
        <f ca="1"/>
        <v>13.318031658336567</v>
      </c>
      <c r="X125">
        <f ca="1"/>
        <v>0.34766468028801045</v>
      </c>
      <c r="Y125">
        <f ca="1"/>
        <v>1</v>
      </c>
      <c r="Z125">
        <f ca="1"/>
        <v>0.88614494526178333</v>
      </c>
      <c r="AA125">
        <f ca="1"/>
        <v>0</v>
      </c>
      <c r="AB125">
        <f ca="1"/>
        <v>0.30480307330601708</v>
      </c>
      <c r="AD125" s="2">
        <f t="shared" ca="1" si="12"/>
        <v>45165</v>
      </c>
      <c r="AE125">
        <f t="shared" ca="1" si="13"/>
        <v>0</v>
      </c>
      <c r="AG125" s="63">
        <f t="shared" ca="1" si="17"/>
        <v>83.981402729532419</v>
      </c>
      <c r="AH125" s="63">
        <f t="shared" ca="1" si="18"/>
        <v>83.981402729532419</v>
      </c>
      <c r="AI125" s="3">
        <f t="shared" ca="1" si="19"/>
        <v>0</v>
      </c>
    </row>
    <row r="126" spans="7:35">
      <c r="G126" s="3">
        <f t="shared" si="14"/>
        <v>181</v>
      </c>
      <c r="H126" s="95">
        <f t="shared" si="16"/>
        <v>45106</v>
      </c>
      <c r="I126" s="119">
        <f>HLOOKUP($H$5,'Met Data'!$A$2:$F$368,G126,FALSE)</f>
        <v>10.572413793103401</v>
      </c>
      <c r="J126" s="119">
        <f ca="1">HLOOKUP($H$5,'Met Data'!$H$2:$M$368,G126,FALSE)*L126</f>
        <v>5.2517241379310304</v>
      </c>
      <c r="K126" s="96">
        <f>HLOOKUP($H$5,'Met Data'!$O$2:$T$368,G126,FALSE)</f>
        <v>1.2839514040086699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45166</v>
      </c>
      <c r="Q126">
        <f ca="1"/>
        <v>82.345671135257547</v>
      </c>
      <c r="R126">
        <f ca="1"/>
        <v>0.71763422234325702</v>
      </c>
      <c r="S126">
        <f ca="1"/>
        <v>1.2659691074553336E-2</v>
      </c>
      <c r="T126">
        <f ca="1"/>
        <v>0.25556686545138391</v>
      </c>
      <c r="U126">
        <f ca="1"/>
        <v>0</v>
      </c>
      <c r="V126">
        <f ca="1"/>
        <v>15.792101939967692</v>
      </c>
      <c r="W126">
        <f ca="1"/>
        <v>13.952049089087973</v>
      </c>
      <c r="X126">
        <f ca="1"/>
        <v>0.11227553288101461</v>
      </c>
      <c r="Y126">
        <f ca="1"/>
        <v>1</v>
      </c>
      <c r="Z126">
        <f ca="1"/>
        <v>0.28812543617500097</v>
      </c>
      <c r="AA126">
        <f ca="1"/>
        <v>0</v>
      </c>
      <c r="AB126">
        <f ca="1"/>
        <v>0.34521107397458745</v>
      </c>
      <c r="AD126" s="2">
        <f t="shared" ca="1" si="12"/>
        <v>45166</v>
      </c>
      <c r="AE126">
        <f t="shared" ca="1" si="13"/>
        <v>0</v>
      </c>
      <c r="AG126" s="63">
        <f t="shared" ca="1" si="17"/>
        <v>83.175580890481825</v>
      </c>
      <c r="AH126" s="63">
        <f t="shared" ca="1" si="18"/>
        <v>83.175580890481811</v>
      </c>
      <c r="AI126" s="3">
        <f t="shared" ca="1" si="19"/>
        <v>0</v>
      </c>
    </row>
    <row r="127" spans="7:35">
      <c r="G127" s="3">
        <f t="shared" si="14"/>
        <v>182</v>
      </c>
      <c r="H127" s="95">
        <f t="shared" si="16"/>
        <v>45107</v>
      </c>
      <c r="I127" s="119">
        <f>HLOOKUP($H$5,'Met Data'!$A$2:$F$368,G127,FALSE)</f>
        <v>10.655357142857101</v>
      </c>
      <c r="J127" s="119">
        <f ca="1">HLOOKUP($H$5,'Met Data'!$H$2:$M$368,G127,FALSE)*L127</f>
        <v>7.4689655172413696</v>
      </c>
      <c r="K127" s="96">
        <f>HLOOKUP($H$5,'Met Data'!$O$2:$T$368,G127,FALSE)</f>
        <v>1.3058632096396601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45167</v>
      </c>
      <c r="Q127">
        <f ca="1"/>
        <v>81.779339330406302</v>
      </c>
      <c r="R127">
        <f ca="1"/>
        <v>0.74719010736449398</v>
      </c>
      <c r="S127">
        <f ca="1"/>
        <v>1.2662410359461695E-2</v>
      </c>
      <c r="T127">
        <f ca="1"/>
        <v>0.25510344071891894</v>
      </c>
      <c r="U127">
        <f ca="1"/>
        <v>0</v>
      </c>
      <c r="V127">
        <f ca="1"/>
        <v>16.539292047332186</v>
      </c>
      <c r="W127">
        <f ca="1"/>
        <v>14.612178633366465</v>
      </c>
      <c r="X127">
        <f ca="1"/>
        <v>8.6907548565136217E-2</v>
      </c>
      <c r="Y127">
        <f ca="1"/>
        <v>1</v>
      </c>
      <c r="Z127">
        <f ca="1"/>
        <v>0.22456969583787867</v>
      </c>
      <c r="AA127">
        <f ca="1"/>
        <v>0</v>
      </c>
      <c r="AB127">
        <f ca="1"/>
        <v>0.38784249202303667</v>
      </c>
      <c r="AD127" s="2">
        <f t="shared" ca="1" si="12"/>
        <v>45167</v>
      </c>
      <c r="AE127">
        <f t="shared" ca="1" si="13"/>
        <v>0</v>
      </c>
      <c r="AG127" s="63">
        <f t="shared" ca="1" si="17"/>
        <v>82.613436986335927</v>
      </c>
      <c r="AH127" s="63">
        <f t="shared" ca="1" si="18"/>
        <v>82.613436986335927</v>
      </c>
      <c r="AI127" s="3">
        <f t="shared" ca="1" si="19"/>
        <v>0</v>
      </c>
    </row>
    <row r="128" spans="7:35">
      <c r="G128" s="3">
        <f t="shared" si="14"/>
        <v>183</v>
      </c>
      <c r="H128" s="95">
        <f t="shared" si="16"/>
        <v>45108</v>
      </c>
      <c r="I128" s="119">
        <f>HLOOKUP($H$5,'Met Data'!$A$2:$F$368,G128,FALSE)</f>
        <v>10.0517857142857</v>
      </c>
      <c r="J128" s="119">
        <f ca="1">HLOOKUP($H$5,'Met Data'!$H$2:$M$368,G128,FALSE)*L128</f>
        <v>3.5392857142857101</v>
      </c>
      <c r="K128" s="96">
        <f>HLOOKUP($H$5,'Met Data'!$O$2:$T$368,G128,FALSE)</f>
        <v>1.4482050520096601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45168</v>
      </c>
      <c r="Q128">
        <f ca="1"/>
        <v>80.806767677600291</v>
      </c>
      <c r="R128">
        <f ca="1"/>
        <v>0.7993937982274133</v>
      </c>
      <c r="S128">
        <f ca="1"/>
        <v>1.2798379079966615E-2</v>
      </c>
      <c r="T128">
        <f ca="1"/>
        <v>0.25848593437418027</v>
      </c>
      <c r="U128">
        <f ca="1"/>
        <v>0</v>
      </c>
      <c r="V128">
        <f ca="1"/>
        <v>17.338685845559599</v>
      </c>
      <c r="W128">
        <f ca="1"/>
        <v>15.318429236153806</v>
      </c>
      <c r="X128">
        <f ca="1"/>
        <v>0.44446216803274607</v>
      </c>
      <c r="Y128">
        <f ca="1"/>
        <v>1</v>
      </c>
      <c r="Z128">
        <f ca="1"/>
        <v>1.1623162618317338</v>
      </c>
      <c r="AA128">
        <f ca="1"/>
        <v>0</v>
      </c>
      <c r="AB128">
        <f ca="1"/>
        <v>0.43334458478667531</v>
      </c>
      <c r="AD128" s="2">
        <f t="shared" ca="1" si="12"/>
        <v>45168</v>
      </c>
      <c r="AE128">
        <f t="shared" ca="1" si="13"/>
        <v>0</v>
      </c>
      <c r="AG128" s="63">
        <f t="shared" ca="1" si="17"/>
        <v>82.050623643860447</v>
      </c>
      <c r="AH128" s="63">
        <f t="shared" ca="1" si="18"/>
        <v>82.050623643860447</v>
      </c>
      <c r="AI128" s="3">
        <f t="shared" ca="1" si="19"/>
        <v>0</v>
      </c>
    </row>
    <row r="129" spans="7:35">
      <c r="G129" s="3">
        <f t="shared" si="14"/>
        <v>184</v>
      </c>
      <c r="H129" s="95">
        <f t="shared" si="16"/>
        <v>45109</v>
      </c>
      <c r="I129" s="119">
        <f>HLOOKUP($H$5,'Met Data'!$A$2:$F$368,G129,FALSE)</f>
        <v>9.5678571428571395</v>
      </c>
      <c r="J129" s="119">
        <f ca="1">HLOOKUP($H$5,'Met Data'!$H$2:$M$368,G129,FALSE)*L129</f>
        <v>4.33928571428571</v>
      </c>
      <c r="K129" s="96">
        <f>HLOOKUP($H$5,'Met Data'!$O$2:$T$368,G129,FALSE)</f>
        <v>1.3964370426983801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45169</v>
      </c>
      <c r="Q129">
        <f ca="1"/>
        <v>79.209533489482155</v>
      </c>
      <c r="R129">
        <f ca="1"/>
        <v>0.84441717562473428</v>
      </c>
      <c r="S129">
        <f ca="1"/>
        <v>1.2862893517347374E-2</v>
      </c>
      <c r="T129">
        <f ca="1"/>
        <v>0.26001724282660427</v>
      </c>
      <c r="U129">
        <f ca="1"/>
        <v>0</v>
      </c>
      <c r="V129">
        <f ca="1"/>
        <v>18.183103021184333</v>
      </c>
      <c r="W129">
        <f ca="1"/>
        <v>16.064457214618677</v>
      </c>
      <c r="X129">
        <f ca="1"/>
        <v>1.0256971488373499</v>
      </c>
      <c r="Y129">
        <f ca="1"/>
        <v>1</v>
      </c>
      <c r="Z129">
        <f ca="1"/>
        <v>2.7363959659291481</v>
      </c>
      <c r="AA129">
        <f ca="1"/>
        <v>0</v>
      </c>
      <c r="AB129">
        <f ca="1"/>
        <v>0.48049402271453501</v>
      </c>
      <c r="AD129" s="2">
        <f t="shared" ca="1" si="12"/>
        <v>45169</v>
      </c>
      <c r="AE129">
        <f t="shared" ca="1" si="13"/>
        <v>0</v>
      </c>
      <c r="AG129" s="63">
        <f t="shared" ca="1" si="17"/>
        <v>81.079647813944248</v>
      </c>
      <c r="AH129" s="63">
        <f t="shared" ca="1" si="18"/>
        <v>81.079647813944248</v>
      </c>
      <c r="AI129" s="3">
        <f t="shared" ca="1" si="19"/>
        <v>0</v>
      </c>
    </row>
    <row r="130" spans="7:35">
      <c r="G130" s="3">
        <f t="shared" si="14"/>
        <v>185</v>
      </c>
      <c r="H130" s="95">
        <f t="shared" si="16"/>
        <v>45110</v>
      </c>
      <c r="I130" s="119">
        <f>HLOOKUP($H$5,'Met Data'!$A$2:$F$368,G130,FALSE)</f>
        <v>9.7035714285714292</v>
      </c>
      <c r="J130" s="119">
        <f ca="1">HLOOKUP($H$5,'Met Data'!$H$2:$M$368,G130,FALSE)*L130</f>
        <v>3.2666666666666599</v>
      </c>
      <c r="K130" s="96">
        <f>HLOOKUP($H$5,'Met Data'!$O$2:$T$368,G130,FALSE)</f>
        <v>1.2730824905906899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45170</v>
      </c>
      <c r="Q130">
        <f ca="1"/>
        <v>78.255435825269473</v>
      </c>
      <c r="R130">
        <f ca="1"/>
        <v>0.85988022220289295</v>
      </c>
      <c r="S130">
        <f ca="1"/>
        <v>1.2734070263737074E-2</v>
      </c>
      <c r="T130">
        <f ca="1"/>
        <v>0.25632352808337477</v>
      </c>
      <c r="U130">
        <f ca="1"/>
        <v>0</v>
      </c>
      <c r="V130">
        <f ca="1"/>
        <v>19.042983243387226</v>
      </c>
      <c r="W130">
        <f ca="1"/>
        <v>16.824146527448381</v>
      </c>
      <c r="X130">
        <f ca="1"/>
        <v>0.36327504035689645</v>
      </c>
      <c r="Y130">
        <f ca="1"/>
        <v>1</v>
      </c>
      <c r="Z130">
        <f ca="1"/>
        <v>0.93529736038641431</v>
      </c>
      <c r="AA130">
        <f ca="1"/>
        <v>0</v>
      </c>
      <c r="AB130">
        <f ca="1"/>
        <v>0.52679839563749875</v>
      </c>
      <c r="AD130" s="2">
        <f t="shared" ca="1" si="12"/>
        <v>45170</v>
      </c>
      <c r="AE130">
        <f t="shared" ca="1" si="13"/>
        <v>0</v>
      </c>
      <c r="AG130" s="63">
        <f t="shared" ca="1" si="17"/>
        <v>79.478591087829258</v>
      </c>
      <c r="AH130" s="63">
        <f t="shared" ca="1" si="18"/>
        <v>79.478591087829258</v>
      </c>
      <c r="AI130" s="3">
        <f t="shared" ca="1" si="19"/>
        <v>0</v>
      </c>
    </row>
    <row r="131" spans="7:35">
      <c r="G131" s="3">
        <f t="shared" si="14"/>
        <v>186</v>
      </c>
      <c r="H131" s="95">
        <f t="shared" si="16"/>
        <v>45111</v>
      </c>
      <c r="I131" s="119">
        <f>HLOOKUP($H$5,'Met Data'!$A$2:$F$368,G131,FALSE)</f>
        <v>10.1785714285714</v>
      </c>
      <c r="J131" s="119">
        <f ca="1">HLOOKUP($H$5,'Met Data'!$H$2:$M$368,G131,FALSE)*L131</f>
        <v>5.2555555555555502</v>
      </c>
      <c r="K131" s="96">
        <f>HLOOKUP($H$5,'Met Data'!$O$2:$T$368,G131,FALSE)</f>
        <v>1.2896889465411501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45171</v>
      </c>
      <c r="Q131">
        <f ca="1"/>
        <v>77.329340372685223</v>
      </c>
      <c r="R131">
        <f ca="1"/>
        <v>0.90678999320926934</v>
      </c>
      <c r="S131">
        <f ca="1"/>
        <v>1.2785661255571235E-2</v>
      </c>
      <c r="T131">
        <f ca="1"/>
        <v>0.25776479956124748</v>
      </c>
      <c r="U131">
        <f ca="1"/>
        <v>0</v>
      </c>
      <c r="V131">
        <f ca="1"/>
        <v>19.949773236596496</v>
      </c>
      <c r="W131">
        <f ca="1"/>
        <v>17.625279812101898</v>
      </c>
      <c r="X131">
        <f ca="1"/>
        <v>0.28985592019180306</v>
      </c>
      <c r="Y131">
        <f ca="1"/>
        <v>1</v>
      </c>
      <c r="Z131">
        <f ca="1"/>
        <v>0.75520791496195727</v>
      </c>
      <c r="AA131">
        <f ca="1"/>
        <v>0</v>
      </c>
      <c r="AB131">
        <f ca="1"/>
        <v>0.57310536639685572</v>
      </c>
      <c r="AD131" s="2">
        <f t="shared" ca="1" si="12"/>
        <v>45171</v>
      </c>
      <c r="AE131">
        <f t="shared" ca="1" si="13"/>
        <v>0</v>
      </c>
      <c r="AG131" s="63">
        <f t="shared" ca="1" si="17"/>
        <v>78.525986286086294</v>
      </c>
      <c r="AH131" s="63">
        <f t="shared" ca="1" si="18"/>
        <v>78.525986286086294</v>
      </c>
      <c r="AI131" s="3">
        <f t="shared" ca="1" si="19"/>
        <v>0</v>
      </c>
    </row>
    <row r="132" spans="7:35">
      <c r="G132" s="3">
        <f t="shared" si="14"/>
        <v>187</v>
      </c>
      <c r="H132" s="95">
        <f t="shared" si="16"/>
        <v>45112</v>
      </c>
      <c r="I132" s="119">
        <f>HLOOKUP($H$5,'Met Data'!$A$2:$F$368,G132,FALSE)</f>
        <v>10.675000000000001</v>
      </c>
      <c r="J132" s="119">
        <f ca="1">HLOOKUP($H$5,'Met Data'!$H$2:$M$368,G132,FALSE)*L132</f>
        <v>2.9892857142857099</v>
      </c>
      <c r="K132" s="96">
        <f>HLOOKUP($H$5,'Met Data'!$O$2:$T$368,G132,FALSE)</f>
        <v>1.4660191910043801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45172</v>
      </c>
      <c r="Q132">
        <f ca="1"/>
        <v>76.533898614737922</v>
      </c>
      <c r="R132">
        <f ca="1"/>
        <v>1.041769318038483</v>
      </c>
      <c r="S132">
        <f ca="1"/>
        <v>1.3301119371925019E-2</v>
      </c>
      <c r="T132">
        <f ca="1"/>
        <v>0.27216655385932209</v>
      </c>
      <c r="U132">
        <f ca="1"/>
        <v>0</v>
      </c>
      <c r="V132">
        <f ca="1"/>
        <v>20.991542554634979</v>
      </c>
      <c r="W132">
        <f ca="1"/>
        <v>18.545664997052668</v>
      </c>
      <c r="X132">
        <f ca="1"/>
        <v>3.9140113140068711E-2</v>
      </c>
      <c r="Y132">
        <f ca="1"/>
        <v>1</v>
      </c>
      <c r="Z132">
        <f ca="1"/>
        <v>0.10303787737495895</v>
      </c>
      <c r="AA132">
        <f ca="1"/>
        <v>0</v>
      </c>
      <c r="AB132">
        <f ca="1"/>
        <v>0.62249728409609539</v>
      </c>
      <c r="AD132" s="2">
        <f t="shared" ca="1" si="12"/>
        <v>45172</v>
      </c>
      <c r="AE132">
        <f t="shared" ca="1" si="13"/>
        <v>0</v>
      </c>
      <c r="AG132" s="63">
        <f t="shared" ca="1" si="17"/>
        <v>77.614808045916476</v>
      </c>
      <c r="AH132" s="63">
        <f t="shared" ca="1" si="18"/>
        <v>77.614808045916476</v>
      </c>
      <c r="AI132" s="3">
        <f t="shared" ca="1" si="19"/>
        <v>0</v>
      </c>
    </row>
    <row r="133" spans="7:35">
      <c r="G133" s="3">
        <f t="shared" si="14"/>
        <v>188</v>
      </c>
      <c r="H133" s="95">
        <f t="shared" si="16"/>
        <v>45113</v>
      </c>
      <c r="I133" s="119">
        <f>HLOOKUP($H$5,'Met Data'!$A$2:$F$368,G133,FALSE)</f>
        <v>10.6303571428571</v>
      </c>
      <c r="J133" s="119">
        <f ca="1">HLOOKUP($H$5,'Met Data'!$H$2:$M$368,G133,FALSE)*L133</f>
        <v>4.4413793103448196</v>
      </c>
      <c r="K133" s="96">
        <f>HLOOKUP($H$5,'Met Data'!$O$2:$T$368,G133,FALSE)</f>
        <v>1.3068901655768601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45173</v>
      </c>
      <c r="Q133">
        <f ca="1"/>
        <v>75.083400074342819</v>
      </c>
      <c r="R133">
        <f ca="1"/>
        <v>1.1102016198488336</v>
      </c>
      <c r="S133">
        <f ca="1"/>
        <v>1.3389809913332051E-2</v>
      </c>
      <c r="T133">
        <f ca="1"/>
        <v>0.27489426354078839</v>
      </c>
      <c r="U133">
        <f ca="1"/>
        <v>0</v>
      </c>
      <c r="V133">
        <f ca="1"/>
        <v>22.101744174483812</v>
      </c>
      <c r="W133">
        <f ca="1"/>
        <v>19.526508937764188</v>
      </c>
      <c r="X133">
        <f ca="1"/>
        <v>0.62858099400038181</v>
      </c>
      <c r="Y133">
        <f ca="1"/>
        <v>1</v>
      </c>
      <c r="Z133">
        <f ca="1"/>
        <v>1.6867315868519697</v>
      </c>
      <c r="AA133">
        <f ca="1"/>
        <v>0</v>
      </c>
      <c r="AB133">
        <f ca="1"/>
        <v>0.67022545796635158</v>
      </c>
      <c r="AD133" s="2">
        <f t="shared" ca="1" si="12"/>
        <v>45173</v>
      </c>
      <c r="AE133">
        <f t="shared" ca="1" si="13"/>
        <v>0</v>
      </c>
      <c r="AG133" s="63">
        <f t="shared" ca="1" si="17"/>
        <v>76.822182688192044</v>
      </c>
      <c r="AH133" s="63">
        <f t="shared" ca="1" si="18"/>
        <v>76.822182688192044</v>
      </c>
      <c r="AI133" s="3">
        <f t="shared" ca="1" si="19"/>
        <v>0</v>
      </c>
    </row>
    <row r="134" spans="7:35">
      <c r="G134" s="3">
        <f t="shared" si="14"/>
        <v>189</v>
      </c>
      <c r="H134" s="95">
        <f t="shared" si="16"/>
        <v>45114</v>
      </c>
      <c r="I134" s="119">
        <f>HLOOKUP($H$5,'Met Data'!$A$2:$F$368,G134,FALSE)</f>
        <v>10.5714285714285</v>
      </c>
      <c r="J134" s="119">
        <f ca="1">HLOOKUP($H$5,'Met Data'!$H$2:$M$368,G134,FALSE)*L134</f>
        <v>2.8758620689655099</v>
      </c>
      <c r="K134" s="96">
        <f>HLOOKUP($H$5,'Met Data'!$O$2:$T$368,G134,FALSE)</f>
        <v>1.41669004164846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45174</v>
      </c>
      <c r="Q134">
        <f ca="1"/>
        <v>72.853875673907012</v>
      </c>
      <c r="R134">
        <f ca="1"/>
        <v>1.1982928618335187</v>
      </c>
      <c r="S134">
        <f ca="1"/>
        <v>1.3551672678001836E-2</v>
      </c>
      <c r="T134">
        <f ca="1"/>
        <v>0.27977578176008233</v>
      </c>
      <c r="U134">
        <f ca="1"/>
        <v>0</v>
      </c>
      <c r="V134">
        <f ca="1"/>
        <v>23.300037036317331</v>
      </c>
      <c r="W134">
        <f ca="1"/>
        <v>20.585179968065248</v>
      </c>
      <c r="X134">
        <f ca="1"/>
        <v>1.3245589930403714</v>
      </c>
      <c r="Y134">
        <f ca="1"/>
        <v>1</v>
      </c>
      <c r="Z134">
        <f ca="1"/>
        <v>3.6630876353291058</v>
      </c>
      <c r="AA134">
        <f ca="1"/>
        <v>0</v>
      </c>
      <c r="AB134">
        <f ca="1"/>
        <v>0.71591867434569589</v>
      </c>
      <c r="AD134" s="2">
        <f t="shared" ca="1" si="12"/>
        <v>45174</v>
      </c>
      <c r="AE134">
        <f t="shared" ca="1" si="13"/>
        <v>0</v>
      </c>
      <c r="AG134" s="63">
        <f t="shared" ca="1" si="17"/>
        <v>75.376727528780904</v>
      </c>
      <c r="AH134" s="63">
        <f t="shared" ca="1" si="18"/>
        <v>75.376727528780904</v>
      </c>
      <c r="AI134" s="3">
        <f t="shared" ca="1" si="19"/>
        <v>0</v>
      </c>
    </row>
    <row r="135" spans="7:35">
      <c r="G135" s="3">
        <f t="shared" si="14"/>
        <v>190</v>
      </c>
      <c r="H135" s="95">
        <f t="shared" si="16"/>
        <v>45115</v>
      </c>
      <c r="I135" s="119">
        <f>HLOOKUP($H$5,'Met Data'!$A$2:$F$368,G135,FALSE)</f>
        <v>10.2685185185185</v>
      </c>
      <c r="J135" s="119">
        <f ca="1">HLOOKUP($H$5,'Met Data'!$H$2:$M$368,G135,FALSE)*L135</f>
        <v>3.7892857142857101</v>
      </c>
      <c r="K135" s="96">
        <f>HLOOKUP($H$5,'Met Data'!$O$2:$T$368,G135,FALSE)</f>
        <v>1.3370081337281099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45175</v>
      </c>
      <c r="Q135">
        <f ca="1"/>
        <v>71.2942759261812</v>
      </c>
      <c r="R135">
        <f ca="1"/>
        <v>1.2473148727022902</v>
      </c>
      <c r="S135">
        <f ca="1"/>
        <v>1.3483172869762861E-2</v>
      </c>
      <c r="T135">
        <f ca="1"/>
        <v>0.27843912095588585</v>
      </c>
      <c r="U135">
        <f ca="1"/>
        <v>0</v>
      </c>
      <c r="V135">
        <f ca="1"/>
        <v>24.547351909019621</v>
      </c>
      <c r="W135">
        <f ca="1"/>
        <v>21.687161097597354</v>
      </c>
      <c r="X135">
        <f ca="1"/>
        <v>0.60420716884916481</v>
      </c>
      <c r="Y135">
        <f ca="1"/>
        <v>1</v>
      </c>
      <c r="Z135">
        <f ca="1"/>
        <v>1.7074967065039317</v>
      </c>
      <c r="AA135">
        <f ca="1"/>
        <v>0</v>
      </c>
      <c r="AB135">
        <f ca="1"/>
        <v>0.75726721901173766</v>
      </c>
      <c r="AD135" s="2">
        <f t="shared" ref="AD135:AD198" ca="1" si="22">IFERROR(P135,$AD$5)</f>
        <v>45175</v>
      </c>
      <c r="AE135">
        <f t="shared" ref="AE135:AE198" ca="1" si="23">IFERROR(U135,0)</f>
        <v>0</v>
      </c>
      <c r="AG135" s="63">
        <f t="shared" ca="1" si="17"/>
        <v>73.145797967732662</v>
      </c>
      <c r="AH135" s="63">
        <f t="shared" ca="1" si="18"/>
        <v>73.145797967732662</v>
      </c>
      <c r="AI135" s="3">
        <f t="shared" ca="1" si="19"/>
        <v>0</v>
      </c>
    </row>
    <row r="136" spans="7:35">
      <c r="G136" s="3">
        <f t="shared" ref="G136:G199" si="24">H136-DATE(YEAR(H136),1,0)+1</f>
        <v>191</v>
      </c>
      <c r="H136" s="95">
        <f t="shared" si="16"/>
        <v>45116</v>
      </c>
      <c r="I136" s="119">
        <f>HLOOKUP($H$5,'Met Data'!$A$2:$F$368,G136,FALSE)</f>
        <v>10.4166666666666</v>
      </c>
      <c r="J136" s="119">
        <f ca="1">HLOOKUP($H$5,'Met Data'!$H$2:$M$368,G136,FALSE)*L136</f>
        <v>4.8428571428571399</v>
      </c>
      <c r="K136" s="96">
        <f>HLOOKUP($H$5,'Met Data'!$O$2:$T$368,G136,FALSE)</f>
        <v>1.6936819221313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45176</v>
      </c>
      <c r="Q136">
        <f ca="1"/>
        <v>70.141927901166028</v>
      </c>
      <c r="R136">
        <f ca="1"/>
        <v>1.2488614041542476</v>
      </c>
      <c r="S136">
        <f ca="1"/>
        <v>1.3188345235623622E-2</v>
      </c>
      <c r="T136">
        <f ca="1"/>
        <v>0.27094027491486733</v>
      </c>
      <c r="U136">
        <f ca="1"/>
        <v>0</v>
      </c>
      <c r="V136">
        <f ca="1"/>
        <v>25.796213313173869</v>
      </c>
      <c r="W136">
        <f ca="1"/>
        <v>22.790508560934661</v>
      </c>
      <c r="X136">
        <f ca="1"/>
        <v>0.18761524101141014</v>
      </c>
      <c r="Y136">
        <f ca="1"/>
        <v>1</v>
      </c>
      <c r="Z136">
        <f ca="1"/>
        <v>0.53891352167807582</v>
      </c>
      <c r="AA136">
        <f ca="1"/>
        <v>0</v>
      </c>
      <c r="AB136">
        <f ca="1"/>
        <v>0.7927927295954672</v>
      </c>
      <c r="AD136" s="2">
        <f t="shared" ca="1" si="22"/>
        <v>45176</v>
      </c>
      <c r="AE136">
        <f t="shared" ca="1" si="23"/>
        <v>0</v>
      </c>
      <c r="AG136" s="63">
        <f t="shared" ca="1" si="17"/>
        <v>71.578404546331683</v>
      </c>
      <c r="AH136" s="63">
        <f t="shared" ca="1" si="18"/>
        <v>71.578404546331697</v>
      </c>
      <c r="AI136" s="3">
        <f t="shared" ca="1" si="19"/>
        <v>0</v>
      </c>
    </row>
    <row r="137" spans="7:35">
      <c r="G137" s="3">
        <f t="shared" si="24"/>
        <v>192</v>
      </c>
      <c r="H137" s="95">
        <f t="shared" ref="H137:H200" si="26">H136+1</f>
        <v>45117</v>
      </c>
      <c r="I137" s="119">
        <f>HLOOKUP($H$5,'Met Data'!$A$2:$F$368,G137,FALSE)</f>
        <v>9.7703703703703706</v>
      </c>
      <c r="J137" s="119">
        <f ca="1">HLOOKUP($H$5,'Met Data'!$H$2:$M$368,G137,FALSE)*L137</f>
        <v>2.27857142857142</v>
      </c>
      <c r="K137" s="96">
        <f>HLOOKUP($H$5,'Met Data'!$O$2:$T$368,G137,FALSE)</f>
        <v>1.4303197134636301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45177</v>
      </c>
      <c r="Q137">
        <f ca="1"/>
        <v>68.356011732522575</v>
      </c>
      <c r="R137">
        <f ca="1"/>
        <v>1.3988704924648871</v>
      </c>
      <c r="S137">
        <f ca="1"/>
        <v>1.3572523651307122E-2</v>
      </c>
      <c r="T137">
        <f ca="1"/>
        <v>0.28237135827234644</v>
      </c>
      <c r="U137">
        <f ca="1"/>
        <v>0</v>
      </c>
      <c r="V137">
        <f ca="1"/>
        <v>27.195083805638756</v>
      </c>
      <c r="W137">
        <f ca="1"/>
        <v>24.026386460807608</v>
      </c>
      <c r="X137">
        <f ca="1"/>
        <v>0.68298955810220263</v>
      </c>
      <c r="Y137">
        <f ca="1"/>
        <v>1</v>
      </c>
      <c r="Z137">
        <f ca="1"/>
        <v>2.0131030731859525</v>
      </c>
      <c r="AA137">
        <f ca="1"/>
        <v>0</v>
      </c>
      <c r="AB137">
        <f ca="1"/>
        <v>0.82637305604073086</v>
      </c>
      <c r="AD137" s="2">
        <f t="shared" ca="1" si="22"/>
        <v>45177</v>
      </c>
      <c r="AE137">
        <f t="shared" ca="1" si="23"/>
        <v>0</v>
      </c>
      <c r="AG137" s="63">
        <f t="shared" ref="AG137:AG200" ca="1" si="27">Q136+S137+T137+U137</f>
        <v>70.437871783089676</v>
      </c>
      <c r="AH137" s="63">
        <f t="shared" ref="AH137:AH200" ca="1" si="28">Q137+R137+X137</f>
        <v>70.437871783089662</v>
      </c>
      <c r="AI137" s="3">
        <f t="shared" ref="AI137:AI200" ca="1" si="29">AH137-AG137</f>
        <v>0</v>
      </c>
    </row>
    <row r="138" spans="7:35">
      <c r="G138" s="3">
        <f t="shared" si="24"/>
        <v>193</v>
      </c>
      <c r="H138" s="95">
        <f t="shared" si="26"/>
        <v>45118</v>
      </c>
      <c r="I138" s="119">
        <f>HLOOKUP($H$5,'Met Data'!$A$2:$F$368,G138,FALSE)</f>
        <v>9.4057692307692307</v>
      </c>
      <c r="J138" s="119">
        <f ca="1">HLOOKUP($H$5,'Met Data'!$H$2:$M$368,G138,FALSE)*L138</f>
        <v>4.05</v>
      </c>
      <c r="K138" s="96">
        <f>HLOOKUP($H$5,'Met Data'!$O$2:$T$368,G138,FALSE)</f>
        <v>1.34234874078288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45178</v>
      </c>
      <c r="Q138">
        <f ca="1"/>
        <v>66.777337574539331</v>
      </c>
      <c r="R138">
        <f ca="1"/>
        <v>1.3853147699180006</v>
      </c>
      <c r="S138">
        <f ca="1"/>
        <v>1.3197248630181235E-2</v>
      </c>
      <c r="T138">
        <f ca="1"/>
        <v>0.27285566734274269</v>
      </c>
      <c r="U138">
        <f ca="1"/>
        <v>0</v>
      </c>
      <c r="V138">
        <f ca="1"/>
        <v>28.580398575556757</v>
      </c>
      <c r="W138">
        <f ca="1"/>
        <v>25.250288114128246</v>
      </c>
      <c r="X138">
        <f ca="1"/>
        <v>0.47941230403816681</v>
      </c>
      <c r="Y138">
        <f ca="1"/>
        <v>1</v>
      </c>
      <c r="Z138">
        <f ca="1"/>
        <v>1.4464676985465914</v>
      </c>
      <c r="AA138">
        <f ca="1"/>
        <v>0</v>
      </c>
      <c r="AB138">
        <f ca="1"/>
        <v>0.85403820819706378</v>
      </c>
      <c r="AD138" s="2">
        <f t="shared" ca="1" si="22"/>
        <v>45178</v>
      </c>
      <c r="AE138">
        <f t="shared" ca="1" si="23"/>
        <v>0</v>
      </c>
      <c r="AG138" s="63">
        <f t="shared" ca="1" si="27"/>
        <v>68.642064648495491</v>
      </c>
      <c r="AH138" s="63">
        <f t="shared" ca="1" si="28"/>
        <v>68.642064648495491</v>
      </c>
      <c r="AI138" s="3">
        <f t="shared" ca="1" si="29"/>
        <v>0</v>
      </c>
    </row>
    <row r="139" spans="7:35">
      <c r="G139" s="3">
        <f t="shared" si="24"/>
        <v>194</v>
      </c>
      <c r="H139" s="95">
        <f t="shared" si="26"/>
        <v>45119</v>
      </c>
      <c r="I139" s="119">
        <f>HLOOKUP($H$5,'Met Data'!$A$2:$F$368,G139,FALSE)</f>
        <v>9.7037037037037006</v>
      </c>
      <c r="J139" s="119">
        <f ca="1">HLOOKUP($H$5,'Met Data'!$H$2:$M$368,G139,FALSE)*L139</f>
        <v>7.2038461538461496</v>
      </c>
      <c r="K139" s="96">
        <f>HLOOKUP($H$5,'Met Data'!$O$2:$T$368,G139,FALSE)</f>
        <v>1.4005767318328199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45179</v>
      </c>
      <c r="Q139">
        <f ca="1"/>
        <v>65.584298797721942</v>
      </c>
      <c r="R139">
        <f ca="1"/>
        <v>1.4831652700362348</v>
      </c>
      <c r="S139">
        <f ca="1"/>
        <v>1.3303810238188163E-2</v>
      </c>
      <c r="T139">
        <f ca="1"/>
        <v>0.27682268298066393</v>
      </c>
      <c r="U139">
        <f ca="1"/>
        <v>0</v>
      </c>
      <c r="V139">
        <f ca="1"/>
        <v>30.063563845592991</v>
      </c>
      <c r="W139">
        <f ca="1"/>
        <v>26.560638992905456</v>
      </c>
      <c r="X139">
        <f ca="1"/>
        <v>0</v>
      </c>
      <c r="Y139">
        <f ca="1"/>
        <v>0.98428369815738248</v>
      </c>
      <c r="Z139">
        <f ca="1"/>
        <v>0</v>
      </c>
      <c r="AA139">
        <f ca="1"/>
        <v>0</v>
      </c>
      <c r="AB139">
        <f ca="1"/>
        <v>0.87847586126917387</v>
      </c>
      <c r="AD139" s="2">
        <f t="shared" ca="1" si="22"/>
        <v>45179</v>
      </c>
      <c r="AE139">
        <f t="shared" ca="1" si="23"/>
        <v>0</v>
      </c>
      <c r="AG139" s="63">
        <f t="shared" ca="1" si="27"/>
        <v>67.067464067758181</v>
      </c>
      <c r="AH139" s="63">
        <f t="shared" ca="1" si="28"/>
        <v>67.067464067758181</v>
      </c>
      <c r="AI139" s="3">
        <f t="shared" ca="1" si="29"/>
        <v>0</v>
      </c>
    </row>
    <row r="140" spans="7:35">
      <c r="G140" s="3">
        <f t="shared" si="24"/>
        <v>195</v>
      </c>
      <c r="H140" s="95">
        <f t="shared" si="26"/>
        <v>45120</v>
      </c>
      <c r="I140" s="119">
        <f>HLOOKUP($H$5,'Met Data'!$A$2:$F$368,G140,FALSE)</f>
        <v>9.875</v>
      </c>
      <c r="J140" s="119">
        <f ca="1">HLOOKUP($H$5,'Met Data'!$H$2:$M$368,G140,FALSE)*L140</f>
        <v>2.7366666666666601</v>
      </c>
      <c r="K140" s="96">
        <f>HLOOKUP($H$5,'Met Data'!$O$2:$T$368,G140,FALSE)</f>
        <v>1.5241946960031101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45180</v>
      </c>
      <c r="Q140">
        <f ca="1"/>
        <v>64.253934954729999</v>
      </c>
      <c r="R140">
        <f ca="1"/>
        <v>1.5849940495059798</v>
      </c>
      <c r="S140">
        <f ca="1"/>
        <v>1.339622887650016E-2</v>
      </c>
      <c r="T140">
        <f ca="1"/>
        <v>0.28052308229568407</v>
      </c>
      <c r="U140">
        <f ca="1"/>
        <v>0</v>
      </c>
      <c r="V140">
        <f ca="1"/>
        <v>31.648557895098971</v>
      </c>
      <c r="W140">
        <f ca="1"/>
        <v>27.960953838179627</v>
      </c>
      <c r="X140">
        <f ca="1"/>
        <v>3.928910465814648E-2</v>
      </c>
      <c r="Y140">
        <f ca="1"/>
        <v>1</v>
      </c>
      <c r="Z140">
        <f ca="1"/>
        <v>0.12319726489133132</v>
      </c>
      <c r="AA140">
        <f ca="1"/>
        <v>0</v>
      </c>
      <c r="AB140">
        <f ca="1"/>
        <v>0.89971826365514107</v>
      </c>
      <c r="AD140" s="2">
        <f t="shared" ca="1" si="22"/>
        <v>45180</v>
      </c>
      <c r="AE140">
        <f t="shared" ca="1" si="23"/>
        <v>0</v>
      </c>
      <c r="AG140" s="63">
        <f t="shared" ca="1" si="27"/>
        <v>65.878218108894131</v>
      </c>
      <c r="AH140" s="63">
        <f t="shared" ca="1" si="28"/>
        <v>65.878218108894131</v>
      </c>
      <c r="AI140" s="3">
        <f t="shared" ca="1" si="29"/>
        <v>0</v>
      </c>
    </row>
    <row r="141" spans="7:35">
      <c r="G141" s="3">
        <f t="shared" si="24"/>
        <v>196</v>
      </c>
      <c r="H141" s="95">
        <f t="shared" si="26"/>
        <v>45121</v>
      </c>
      <c r="I141" s="119">
        <f>HLOOKUP($H$5,'Met Data'!$A$2:$F$368,G141,FALSE)</f>
        <v>9.4732142857142794</v>
      </c>
      <c r="J141" s="119">
        <f ca="1">HLOOKUP($H$5,'Met Data'!$H$2:$M$368,G141,FALSE)*L141</f>
        <v>4.4607142857142801</v>
      </c>
      <c r="K141" s="96">
        <f>HLOOKUP($H$5,'Met Data'!$O$2:$T$368,G141,FALSE)</f>
        <v>1.1833728950226901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45181</v>
      </c>
      <c r="Q141">
        <f ca="1"/>
        <v>62.334431518475263</v>
      </c>
      <c r="R141">
        <f ca="1"/>
        <v>1.7567606490614374</v>
      </c>
      <c r="S141">
        <f ca="1"/>
        <v>1.3722019197818014E-2</v>
      </c>
      <c r="T141">
        <f ca="1"/>
        <v>0.29088017837792146</v>
      </c>
      <c r="U141">
        <f ca="1"/>
        <v>0</v>
      </c>
      <c r="V141">
        <f ca="1"/>
        <v>33.405318544160409</v>
      </c>
      <c r="W141">
        <f ca="1"/>
        <v>29.51302150508409</v>
      </c>
      <c r="X141">
        <f ca="1"/>
        <v>0.46734498476903791</v>
      </c>
      <c r="Y141">
        <f ca="1"/>
        <v>1</v>
      </c>
      <c r="Z141">
        <f ca="1"/>
        <v>1.5105609271103049</v>
      </c>
      <c r="AA141">
        <f ca="1"/>
        <v>0</v>
      </c>
      <c r="AB141">
        <f ca="1"/>
        <v>0.91854476663991913</v>
      </c>
      <c r="AD141" s="2">
        <f t="shared" ca="1" si="22"/>
        <v>45181</v>
      </c>
      <c r="AE141">
        <f t="shared" ca="1" si="23"/>
        <v>0</v>
      </c>
      <c r="AG141" s="63">
        <f t="shared" ca="1" si="27"/>
        <v>64.558537152305732</v>
      </c>
      <c r="AH141" s="63">
        <f t="shared" ca="1" si="28"/>
        <v>64.558537152305746</v>
      </c>
      <c r="AI141" s="3">
        <f t="shared" ca="1" si="29"/>
        <v>0</v>
      </c>
    </row>
    <row r="142" spans="7:35">
      <c r="G142" s="3">
        <f t="shared" si="24"/>
        <v>197</v>
      </c>
      <c r="H142" s="95">
        <f t="shared" si="26"/>
        <v>45122</v>
      </c>
      <c r="I142" s="119">
        <f>HLOOKUP($H$5,'Met Data'!$A$2:$F$368,G142,FALSE)</f>
        <v>10.3732142857142</v>
      </c>
      <c r="J142" s="119">
        <f ca="1">HLOOKUP($H$5,'Met Data'!$H$2:$M$368,G142,FALSE)*L142</f>
        <v>6.4071428571428504</v>
      </c>
      <c r="K142" s="96">
        <f>HLOOKUP($H$5,'Met Data'!$O$2:$T$368,G142,FALSE)</f>
        <v>1.32556972588678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45182</v>
      </c>
      <c r="Q142">
        <f ca="1"/>
        <v>60.006450309118144</v>
      </c>
      <c r="R142">
        <f ca="1"/>
        <v>1.7750004617835557</v>
      </c>
      <c r="S142">
        <f ca="1"/>
        <v>1.3437262705564557E-2</v>
      </c>
      <c r="T142">
        <f ca="1"/>
        <v>0.28429783332555919</v>
      </c>
      <c r="U142">
        <f ca="1"/>
        <v>0</v>
      </c>
      <c r="V142">
        <f ca="1"/>
        <v>35.180319005943964</v>
      </c>
      <c r="W142">
        <f ca="1"/>
        <v>31.081203731243704</v>
      </c>
      <c r="X142">
        <f ca="1"/>
        <v>0.85071584360468888</v>
      </c>
      <c r="Y142">
        <f ca="1"/>
        <v>1</v>
      </c>
      <c r="Z142">
        <f ca="1"/>
        <v>2.8563751610975245</v>
      </c>
      <c r="AA142">
        <f ca="1"/>
        <v>0</v>
      </c>
      <c r="AB142">
        <f ca="1"/>
        <v>0.93360247590987699</v>
      </c>
      <c r="AD142" s="2">
        <f t="shared" ca="1" si="22"/>
        <v>45182</v>
      </c>
      <c r="AE142">
        <f t="shared" ca="1" si="23"/>
        <v>0</v>
      </c>
      <c r="AG142" s="63">
        <f t="shared" ca="1" si="27"/>
        <v>62.632166614506389</v>
      </c>
      <c r="AH142" s="63">
        <f t="shared" ca="1" si="28"/>
        <v>62.632166614506389</v>
      </c>
      <c r="AI142" s="3">
        <f t="shared" ca="1" si="29"/>
        <v>0</v>
      </c>
    </row>
    <row r="143" spans="7:35">
      <c r="G143" s="3">
        <f t="shared" si="24"/>
        <v>198</v>
      </c>
      <c r="H143" s="95">
        <f t="shared" si="26"/>
        <v>45123</v>
      </c>
      <c r="I143" s="119">
        <f>HLOOKUP($H$5,'Met Data'!$A$2:$F$368,G143,FALSE)</f>
        <v>10.9428571428571</v>
      </c>
      <c r="J143" s="119">
        <f ca="1">HLOOKUP($H$5,'Met Data'!$H$2:$M$368,G143,FALSE)*L143</f>
        <v>5.1392857142857098</v>
      </c>
      <c r="K143" s="96">
        <f>HLOOKUP($H$5,'Met Data'!$O$2:$T$368,G143,FALSE)</f>
        <v>1.2285245260717499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45183</v>
      </c>
      <c r="Q143">
        <f ca="1"/>
        <v>58.082560800193399</v>
      </c>
      <c r="R143">
        <f ca="1"/>
        <v>1.9012285516151266</v>
      </c>
      <c r="S143">
        <f ca="1"/>
        <v>1.3540544709083946E-2</v>
      </c>
      <c r="T143">
        <f ca="1"/>
        <v>0.28867562045826928</v>
      </c>
      <c r="U143">
        <f ca="1"/>
        <v>0</v>
      </c>
      <c r="V143">
        <f ca="1"/>
        <v>37.081547557559091</v>
      </c>
      <c r="W143">
        <f ca="1"/>
        <v>32.760906292849896</v>
      </c>
      <c r="X143">
        <f ca="1"/>
        <v>0.32487712247697664</v>
      </c>
      <c r="Y143">
        <f ca="1"/>
        <v>1</v>
      </c>
      <c r="Z143">
        <f ca="1"/>
        <v>1.1269432265568042</v>
      </c>
      <c r="AA143">
        <f ca="1"/>
        <v>0</v>
      </c>
      <c r="AB143">
        <f ca="1"/>
        <v>0.94631126010578381</v>
      </c>
      <c r="AD143" s="2">
        <f t="shared" ca="1" si="22"/>
        <v>45183</v>
      </c>
      <c r="AE143">
        <f t="shared" ca="1" si="23"/>
        <v>0</v>
      </c>
      <c r="AG143" s="63">
        <f t="shared" ca="1" si="27"/>
        <v>60.308666474285495</v>
      </c>
      <c r="AH143" s="63">
        <f t="shared" ca="1" si="28"/>
        <v>60.308666474285502</v>
      </c>
      <c r="AI143" s="3">
        <f t="shared" ca="1" si="29"/>
        <v>0</v>
      </c>
    </row>
    <row r="144" spans="7:35">
      <c r="G144" s="3">
        <f t="shared" si="24"/>
        <v>199</v>
      </c>
      <c r="H144" s="95">
        <f t="shared" si="26"/>
        <v>45124</v>
      </c>
      <c r="I144" s="119">
        <f>HLOOKUP($H$5,'Met Data'!$A$2:$F$368,G144,FALSE)</f>
        <v>10.689655172413699</v>
      </c>
      <c r="J144" s="119">
        <f ca="1">HLOOKUP($H$5,'Met Data'!$H$2:$M$368,G144,FALSE)*L144</f>
        <v>7.5433333333333303</v>
      </c>
      <c r="K144" s="96">
        <f>HLOOKUP($H$5,'Met Data'!$O$2:$T$368,G144,FALSE)</f>
        <v>1.11837858032715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45184</v>
      </c>
      <c r="Q144">
        <f ca="1"/>
        <v>56.052663126070001</v>
      </c>
      <c r="R144">
        <f ca="1"/>
        <v>2.0780115858210593</v>
      </c>
      <c r="S144">
        <f ca="1"/>
        <v>1.3779548647104178E-2</v>
      </c>
      <c r="T144">
        <f ca="1"/>
        <v>0.29701904900130316</v>
      </c>
      <c r="U144">
        <f ca="1"/>
        <v>0</v>
      </c>
      <c r="V144">
        <f ca="1"/>
        <v>39.15955914338015</v>
      </c>
      <c r="W144">
        <f ca="1"/>
        <v>34.596793609388349</v>
      </c>
      <c r="X144">
        <f ca="1"/>
        <v>0.26268468595074584</v>
      </c>
      <c r="Y144">
        <f ca="1"/>
        <v>1</v>
      </c>
      <c r="Z144">
        <f ca="1"/>
        <v>0.94420689421561832</v>
      </c>
      <c r="AA144">
        <f ca="1"/>
        <v>0</v>
      </c>
      <c r="AB144">
        <f ca="1"/>
        <v>0.95711303141641146</v>
      </c>
      <c r="AD144" s="2">
        <f t="shared" ca="1" si="22"/>
        <v>45184</v>
      </c>
      <c r="AE144">
        <f t="shared" ca="1" si="23"/>
        <v>0</v>
      </c>
      <c r="AG144" s="63">
        <f t="shared" ca="1" si="27"/>
        <v>58.393359397841806</v>
      </c>
      <c r="AH144" s="63">
        <f t="shared" ca="1" si="28"/>
        <v>58.393359397841806</v>
      </c>
      <c r="AI144" s="3">
        <f t="shared" ca="1" si="29"/>
        <v>0</v>
      </c>
    </row>
    <row r="145" spans="7:35">
      <c r="G145" s="3">
        <f t="shared" si="24"/>
        <v>200</v>
      </c>
      <c r="H145" s="95">
        <f t="shared" si="26"/>
        <v>45125</v>
      </c>
      <c r="I145" s="119">
        <f>HLOOKUP($H$5,'Met Data'!$A$2:$F$368,G145,FALSE)</f>
        <v>10.322413793103401</v>
      </c>
      <c r="J145" s="119">
        <f ca="1">HLOOKUP($H$5,'Met Data'!$H$2:$M$368,G145,FALSE)*L145</f>
        <v>7.7933333333333303</v>
      </c>
      <c r="K145" s="96">
        <f>HLOOKUP($H$5,'Met Data'!$O$2:$T$368,G145,FALSE)</f>
        <v>1.2757644672773201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45185</v>
      </c>
      <c r="Q145">
        <f ca="1"/>
        <v>53.787000121246926</v>
      </c>
      <c r="R145">
        <f ca="1"/>
        <v>2.2318092930652043</v>
      </c>
      <c r="S145">
        <f ca="1"/>
        <v>1.3897169129482911E-2</v>
      </c>
      <c r="T145">
        <f ca="1"/>
        <v>0.30210527456110625</v>
      </c>
      <c r="U145">
        <f ca="1"/>
        <v>0</v>
      </c>
      <c r="V145">
        <f ca="1"/>
        <v>41.391368436445354</v>
      </c>
      <c r="W145">
        <f ca="1"/>
        <v>36.568558541801913</v>
      </c>
      <c r="X145">
        <f ca="1"/>
        <v>0.34985615544846543</v>
      </c>
      <c r="Y145">
        <f ca="1"/>
        <v>1</v>
      </c>
      <c r="Z145">
        <f ca="1"/>
        <v>1.3105115712740982</v>
      </c>
      <c r="AA145">
        <f ca="1"/>
        <v>0</v>
      </c>
      <c r="AB145">
        <f ca="1"/>
        <v>0.96601808619604312</v>
      </c>
      <c r="AD145" s="2">
        <f t="shared" ca="1" si="22"/>
        <v>45185</v>
      </c>
      <c r="AE145">
        <f t="shared" ca="1" si="23"/>
        <v>0</v>
      </c>
      <c r="AG145" s="63">
        <f t="shared" ca="1" si="27"/>
        <v>56.368665569760594</v>
      </c>
      <c r="AH145" s="63">
        <f t="shared" ca="1" si="28"/>
        <v>56.368665569760594</v>
      </c>
      <c r="AI145" s="3">
        <f t="shared" ca="1" si="29"/>
        <v>0</v>
      </c>
    </row>
    <row r="146" spans="7:35">
      <c r="G146" s="3">
        <f t="shared" si="24"/>
        <v>201</v>
      </c>
      <c r="H146" s="95">
        <f t="shared" si="26"/>
        <v>45126</v>
      </c>
      <c r="I146" s="119">
        <f>HLOOKUP($H$5,'Met Data'!$A$2:$F$368,G146,FALSE)</f>
        <v>10.189655172413699</v>
      </c>
      <c r="J146" s="119">
        <f ca="1">HLOOKUP($H$5,'Met Data'!$H$2:$M$368,G146,FALSE)*L146</f>
        <v>4.3533333333333299</v>
      </c>
      <c r="K146" s="96">
        <f>HLOOKUP($H$5,'Met Data'!$O$2:$T$368,G146,FALSE)</f>
        <v>1.3903947480338801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45186</v>
      </c>
      <c r="Q146">
        <f ca="1"/>
        <v>51.712662774370074</v>
      </c>
      <c r="R146">
        <f ca="1"/>
        <v>2.3066501784084039</v>
      </c>
      <c r="S146">
        <f ca="1"/>
        <v>1.3740108192493494E-2</v>
      </c>
      <c r="T146">
        <f ca="1"/>
        <v>0.29954892643082393</v>
      </c>
      <c r="U146">
        <f ca="1"/>
        <v>0</v>
      </c>
      <c r="V146">
        <f ca="1"/>
        <v>43.698018614853758</v>
      </c>
      <c r="W146">
        <f ca="1"/>
        <v>38.606444102751709</v>
      </c>
      <c r="X146">
        <f ca="1"/>
        <v>8.0976203091762858E-2</v>
      </c>
      <c r="Y146">
        <f ca="1"/>
        <v>1</v>
      </c>
      <c r="Z146">
        <f ca="1"/>
        <v>0.31549259606683222</v>
      </c>
      <c r="AA146">
        <f ca="1"/>
        <v>0</v>
      </c>
      <c r="AB146">
        <f ca="1"/>
        <v>0.9730470407167352</v>
      </c>
      <c r="AD146" s="2">
        <f t="shared" ca="1" si="22"/>
        <v>45186</v>
      </c>
      <c r="AE146">
        <f t="shared" ca="1" si="23"/>
        <v>0</v>
      </c>
      <c r="AG146" s="63">
        <f t="shared" ca="1" si="27"/>
        <v>54.100289155870243</v>
      </c>
      <c r="AH146" s="63">
        <f t="shared" ca="1" si="28"/>
        <v>54.100289155870243</v>
      </c>
      <c r="AI146" s="3">
        <f t="shared" ca="1" si="29"/>
        <v>0</v>
      </c>
    </row>
    <row r="147" spans="7:35">
      <c r="G147" s="3">
        <f t="shared" si="24"/>
        <v>202</v>
      </c>
      <c r="H147" s="95">
        <f t="shared" si="26"/>
        <v>45127</v>
      </c>
      <c r="I147" s="119">
        <f>HLOOKUP($H$5,'Met Data'!$A$2:$F$368,G147,FALSE)</f>
        <v>10.668333333333299</v>
      </c>
      <c r="J147" s="119">
        <f ca="1">HLOOKUP($H$5,'Met Data'!$H$2:$M$368,G147,FALSE)*L147</f>
        <v>2.8833333333333302</v>
      </c>
      <c r="K147" s="96">
        <f>HLOOKUP($H$5,'Met Data'!$O$2:$T$368,G147,FALSE)</f>
        <v>1.4312964730661999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45187</v>
      </c>
      <c r="Q147">
        <f ca="1"/>
        <v>49.653249869134932</v>
      </c>
      <c r="R147">
        <f ca="1"/>
        <v>2.3381894743031637</v>
      </c>
      <c r="S147">
        <f ca="1"/>
        <v>1.3463644056479929E-2</v>
      </c>
      <c r="T147">
        <f ca="1"/>
        <v>0.293618315858721</v>
      </c>
      <c r="U147">
        <f ca="1"/>
        <v>0</v>
      </c>
      <c r="V147">
        <f ca="1"/>
        <v>46.036208089156922</v>
      </c>
      <c r="W147">
        <f ca="1"/>
        <v>40.67219408645105</v>
      </c>
      <c r="X147">
        <f ca="1"/>
        <v>2.8305390847177481E-2</v>
      </c>
      <c r="Y147">
        <f ca="1"/>
        <v>1</v>
      </c>
      <c r="Z147">
        <f ca="1"/>
        <v>0.1148550620222224</v>
      </c>
      <c r="AA147">
        <f ca="1"/>
        <v>0</v>
      </c>
      <c r="AB147">
        <f ca="1"/>
        <v>0.97850628772368065</v>
      </c>
      <c r="AD147" s="2">
        <f t="shared" ca="1" si="22"/>
        <v>45187</v>
      </c>
      <c r="AE147">
        <f t="shared" ca="1" si="23"/>
        <v>0</v>
      </c>
      <c r="AG147" s="63">
        <f t="shared" ca="1" si="27"/>
        <v>52.019744734285275</v>
      </c>
      <c r="AH147" s="63">
        <f t="shared" ca="1" si="28"/>
        <v>52.019744734285275</v>
      </c>
      <c r="AI147" s="3">
        <f t="shared" ca="1" si="29"/>
        <v>0</v>
      </c>
    </row>
    <row r="148" spans="7:35">
      <c r="G148" s="3">
        <f t="shared" si="24"/>
        <v>203</v>
      </c>
      <c r="H148" s="95">
        <f t="shared" si="26"/>
        <v>45128</v>
      </c>
      <c r="I148" s="119">
        <f>HLOOKUP($H$5,'Met Data'!$A$2:$F$368,G148,FALSE)</f>
        <v>10.181666666666599</v>
      </c>
      <c r="J148" s="119">
        <f ca="1">HLOOKUP($H$5,'Met Data'!$H$2:$M$368,G148,FALSE)*L148</f>
        <v>4.64333333333333</v>
      </c>
      <c r="K148" s="96">
        <f>HLOOKUP($H$5,'Met Data'!$O$2:$T$368,G148,FALSE)</f>
        <v>1.23251722447282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45188</v>
      </c>
      <c r="Q148">
        <f ca="1"/>
        <v>47.249221581459686</v>
      </c>
      <c r="R148">
        <f ca="1"/>
        <v>2.4061522903820673</v>
      </c>
      <c r="S148">
        <f ca="1"/>
        <v>1.3307485658844875E-2</v>
      </c>
      <c r="T148">
        <f ca="1"/>
        <v>0.29112973684643784</v>
      </c>
      <c r="U148">
        <f ca="1"/>
        <v>0</v>
      </c>
      <c r="V148">
        <f ca="1"/>
        <v>48.442360379538989</v>
      </c>
      <c r="W148">
        <f ca="1"/>
        <v>42.797988043382716</v>
      </c>
      <c r="X148">
        <f ca="1"/>
        <v>0.30231321979845421</v>
      </c>
      <c r="Y148">
        <f ca="1"/>
        <v>1</v>
      </c>
      <c r="Z148">
        <f ca="1"/>
        <v>1.2891134635840444</v>
      </c>
      <c r="AA148">
        <f ca="1"/>
        <v>0</v>
      </c>
      <c r="AB148">
        <f ca="1"/>
        <v>0.98282888226142651</v>
      </c>
      <c r="AD148" s="2">
        <f t="shared" ca="1" si="22"/>
        <v>45188</v>
      </c>
      <c r="AE148">
        <f t="shared" ca="1" si="23"/>
        <v>0</v>
      </c>
      <c r="AG148" s="63">
        <f t="shared" ca="1" si="27"/>
        <v>49.95768709164021</v>
      </c>
      <c r="AH148" s="63">
        <f t="shared" ca="1" si="28"/>
        <v>49.95768709164021</v>
      </c>
      <c r="AI148" s="3">
        <f t="shared" ca="1" si="29"/>
        <v>0</v>
      </c>
    </row>
    <row r="149" spans="7:35">
      <c r="G149" s="3">
        <f t="shared" si="24"/>
        <v>204</v>
      </c>
      <c r="H149" s="95">
        <f t="shared" si="26"/>
        <v>45129</v>
      </c>
      <c r="I149" s="119">
        <f>HLOOKUP($H$5,'Met Data'!$A$2:$F$368,G149,FALSE)</f>
        <v>10.761666666666599</v>
      </c>
      <c r="J149" s="119">
        <f ca="1">HLOOKUP($H$5,'Met Data'!$H$2:$M$368,G149,FALSE)*L149</f>
        <v>5.7333333333333298</v>
      </c>
      <c r="K149" s="96">
        <f>HLOOKUP($H$5,'Met Data'!$O$2:$T$368,G149,FALSE)</f>
        <v>1.55725377410155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45189</v>
      </c>
      <c r="Q149">
        <f ca="1"/>
        <v>45.065981644798676</v>
      </c>
      <c r="R149">
        <f ca="1"/>
        <v>2.4832987509346864</v>
      </c>
      <c r="S149">
        <f ca="1"/>
        <v>1.3180105837932388E-2</v>
      </c>
      <c r="T149">
        <f ca="1"/>
        <v>0.28950643539200183</v>
      </c>
      <c r="U149">
        <f ca="1"/>
        <v>0</v>
      </c>
      <c r="V149">
        <f ca="1"/>
        <v>50.925659130473676</v>
      </c>
      <c r="W149">
        <f ca="1"/>
        <v>44.991939564695052</v>
      </c>
      <c r="X149">
        <f ca="1"/>
        <v>2.6277269562556865E-3</v>
      </c>
      <c r="Y149">
        <f ca="1"/>
        <v>1</v>
      </c>
      <c r="Z149">
        <f ca="1"/>
        <v>1.1747895216281279E-2</v>
      </c>
      <c r="AA149">
        <f ca="1"/>
        <v>0</v>
      </c>
      <c r="AB149">
        <f ca="1"/>
        <v>0.98626784919741406</v>
      </c>
      <c r="AD149" s="2">
        <f t="shared" ca="1" si="22"/>
        <v>45189</v>
      </c>
      <c r="AE149">
        <f t="shared" ca="1" si="23"/>
        <v>0</v>
      </c>
      <c r="AG149" s="63">
        <f t="shared" ca="1" si="27"/>
        <v>47.551908122689618</v>
      </c>
      <c r="AH149" s="63">
        <f t="shared" ca="1" si="28"/>
        <v>47.551908122689618</v>
      </c>
      <c r="AI149" s="3">
        <f t="shared" ca="1" si="29"/>
        <v>0</v>
      </c>
    </row>
    <row r="150" spans="7:35">
      <c r="G150" s="3">
        <f t="shared" si="24"/>
        <v>205</v>
      </c>
      <c r="H150" s="95">
        <f t="shared" si="26"/>
        <v>45130</v>
      </c>
      <c r="I150" s="119">
        <f>HLOOKUP($H$5,'Met Data'!$A$2:$F$368,G150,FALSE)</f>
        <v>10.623333333333299</v>
      </c>
      <c r="J150" s="119">
        <f ca="1">HLOOKUP($H$5,'Met Data'!$H$2:$M$368,G150,FALSE)*L150</f>
        <v>7.9733333333333301</v>
      </c>
      <c r="K150" s="96">
        <f>HLOOKUP($H$5,'Met Data'!$O$2:$T$368,G150,FALSE)</f>
        <v>1.24522053814258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45190</v>
      </c>
      <c r="Q150">
        <f ca="1"/>
        <v>42.785850978362838</v>
      </c>
      <c r="R150">
        <f ca="1"/>
        <v>2.547219533124391</v>
      </c>
      <c r="S150">
        <f ca="1"/>
        <v>1.3022484192297235E-2</v>
      </c>
      <c r="T150">
        <f ca="1"/>
        <v>0.28703966224750921</v>
      </c>
      <c r="U150">
        <f ca="1"/>
        <v>0</v>
      </c>
      <c r="V150">
        <f ca="1"/>
        <v>53.472878663598067</v>
      </c>
      <c r="W150">
        <f ca="1"/>
        <v>47.242363992167299</v>
      </c>
      <c r="X150">
        <f ca="1"/>
        <v>3.2973279751254213E-2</v>
      </c>
      <c r="Y150">
        <f ca="1"/>
        <v>1</v>
      </c>
      <c r="Z150">
        <f ca="1"/>
        <v>0.15527110242303621</v>
      </c>
      <c r="AA150">
        <f ca="1"/>
        <v>0</v>
      </c>
      <c r="AB150">
        <f ca="1"/>
        <v>0.98899328509408413</v>
      </c>
      <c r="AD150" s="2">
        <f t="shared" ca="1" si="22"/>
        <v>45190</v>
      </c>
      <c r="AE150">
        <f t="shared" ca="1" si="23"/>
        <v>0</v>
      </c>
      <c r="AG150" s="63">
        <f t="shared" ca="1" si="27"/>
        <v>45.366043791238482</v>
      </c>
      <c r="AH150" s="63">
        <f t="shared" ca="1" si="28"/>
        <v>45.366043791238482</v>
      </c>
      <c r="AI150" s="3">
        <f t="shared" ca="1" si="29"/>
        <v>0</v>
      </c>
    </row>
    <row r="151" spans="7:35">
      <c r="G151" s="3">
        <f t="shared" si="24"/>
        <v>206</v>
      </c>
      <c r="H151" s="95">
        <f t="shared" si="26"/>
        <v>45131</v>
      </c>
      <c r="I151" s="119">
        <f>HLOOKUP($H$5,'Met Data'!$A$2:$F$368,G151,FALSE)</f>
        <v>10.654999999999999</v>
      </c>
      <c r="J151" s="119">
        <f ca="1">HLOOKUP($H$5,'Met Data'!$H$2:$M$368,G151,FALSE)*L151</f>
        <v>4.2566666666666597</v>
      </c>
      <c r="K151" s="96">
        <f>HLOOKUP($H$5,'Met Data'!$O$2:$T$368,G151,FALSE)</f>
        <v>1.3859271813606999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45191</v>
      </c>
      <c r="Q151">
        <f ca="1"/>
        <v>40.040381348301686</v>
      </c>
      <c r="R151">
        <f ca="1"/>
        <v>2.7011316147211701</v>
      </c>
      <c r="S151">
        <f ca="1"/>
        <v>1.3081596290832387E-2</v>
      </c>
      <c r="T151">
        <f ca="1"/>
        <v>0.29095859667533319</v>
      </c>
      <c r="U151">
        <f ca="1"/>
        <v>0</v>
      </c>
      <c r="V151">
        <f ca="1"/>
        <v>56.174010278319237</v>
      </c>
      <c r="W151">
        <f ca="1"/>
        <v>49.628767083278198</v>
      </c>
      <c r="X151">
        <f ca="1"/>
        <v>0.34837820830614713</v>
      </c>
      <c r="Y151">
        <f ca="1"/>
        <v>1</v>
      </c>
      <c r="Z151">
        <f ca="1"/>
        <v>1.752998076873304</v>
      </c>
      <c r="AA151">
        <f ca="1"/>
        <v>0</v>
      </c>
      <c r="AB151">
        <f ca="1"/>
        <v>0.99122396178885241</v>
      </c>
      <c r="AD151" s="2">
        <f t="shared" ca="1" si="22"/>
        <v>45191</v>
      </c>
      <c r="AE151">
        <f t="shared" ca="1" si="23"/>
        <v>0</v>
      </c>
      <c r="AG151" s="63">
        <f t="shared" ca="1" si="27"/>
        <v>43.089891171329</v>
      </c>
      <c r="AH151" s="63">
        <f t="shared" ca="1" si="28"/>
        <v>43.089891171329</v>
      </c>
      <c r="AI151" s="3">
        <f t="shared" ca="1" si="29"/>
        <v>0</v>
      </c>
    </row>
    <row r="152" spans="7:35">
      <c r="G152" s="3">
        <f t="shared" si="24"/>
        <v>207</v>
      </c>
      <c r="H152" s="95">
        <f t="shared" si="26"/>
        <v>45132</v>
      </c>
      <c r="I152" s="119">
        <f>HLOOKUP($H$5,'Met Data'!$A$2:$F$368,G152,FALSE)</f>
        <v>10.085000000000001</v>
      </c>
      <c r="J152" s="119">
        <f ca="1">HLOOKUP($H$5,'Met Data'!$H$2:$M$368,G152,FALSE)*L152</f>
        <v>4.9833333333333298</v>
      </c>
      <c r="K152" s="96">
        <f>HLOOKUP($H$5,'Met Data'!$O$2:$T$368,G152,FALSE)</f>
        <v>1.45895733681155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45192</v>
      </c>
      <c r="Q152">
        <f ca="1"/>
        <v>37.321220160071235</v>
      </c>
      <c r="R152">
        <f ca="1"/>
        <v>2.8523852228573148</v>
      </c>
      <c r="S152">
        <f ca="1"/>
        <v>1.3115685250997267E-2</v>
      </c>
      <c r="T152">
        <f ca="1"/>
        <v>0.29426406063856964</v>
      </c>
      <c r="U152">
        <f ca="1"/>
        <v>0</v>
      </c>
      <c r="V152">
        <f ca="1"/>
        <v>59.026395501176552</v>
      </c>
      <c r="W152">
        <f ca="1"/>
        <v>52.148800122678381</v>
      </c>
      <c r="X152">
        <f ca="1"/>
        <v>0.17415571126270071</v>
      </c>
      <c r="Y152">
        <f ca="1"/>
        <v>1</v>
      </c>
      <c r="Z152">
        <f ca="1"/>
        <v>0.94017900945275557</v>
      </c>
      <c r="AA152">
        <f ca="1"/>
        <v>0</v>
      </c>
      <c r="AB152">
        <f ca="1"/>
        <v>0.99303325209568261</v>
      </c>
      <c r="AD152" s="2">
        <f t="shared" ca="1" si="22"/>
        <v>45192</v>
      </c>
      <c r="AE152">
        <f t="shared" ca="1" si="23"/>
        <v>0</v>
      </c>
      <c r="AG152" s="63">
        <f t="shared" ca="1" si="27"/>
        <v>40.347761094191249</v>
      </c>
      <c r="AH152" s="63">
        <f t="shared" ca="1" si="28"/>
        <v>40.347761094191249</v>
      </c>
      <c r="AI152" s="3">
        <f t="shared" ca="1" si="29"/>
        <v>0</v>
      </c>
    </row>
    <row r="153" spans="7:35">
      <c r="G153" s="3">
        <f t="shared" si="24"/>
        <v>208</v>
      </c>
      <c r="H153" s="95">
        <f t="shared" si="26"/>
        <v>45133</v>
      </c>
      <c r="I153" s="119">
        <f>HLOOKUP($H$5,'Met Data'!$A$2:$F$368,G153,FALSE)</f>
        <v>9.99</v>
      </c>
      <c r="J153" s="119">
        <f ca="1">HLOOKUP($H$5,'Met Data'!$H$2:$M$368,G153,FALSE)*L153</f>
        <v>3.5266666666666602</v>
      </c>
      <c r="K153" s="96">
        <f>HLOOKUP($H$5,'Met Data'!$O$2:$T$368,G153,FALSE)</f>
        <v>1.3793054622795899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45193</v>
      </c>
      <c r="Q153">
        <f ca="1"/>
        <v>34.15565208839601</v>
      </c>
      <c r="R153">
        <f ca="1"/>
        <v>3.1408892413553176</v>
      </c>
      <c r="S153">
        <f ca="1"/>
        <v>1.343845957641232E-2</v>
      </c>
      <c r="T153">
        <f ca="1"/>
        <v>0.30621524642705478</v>
      </c>
      <c r="U153">
        <f ca="1"/>
        <v>0</v>
      </c>
      <c r="V153">
        <f ca="1"/>
        <v>62.167284742531869</v>
      </c>
      <c r="W153">
        <f ca="1"/>
        <v>54.923721475476292</v>
      </c>
      <c r="X153">
        <f ca="1"/>
        <v>0.3443325363233784</v>
      </c>
      <c r="Y153">
        <f ca="1"/>
        <v>1</v>
      </c>
      <c r="Z153">
        <f ca="1"/>
        <v>2.0311600400418115</v>
      </c>
      <c r="AA153">
        <f ca="1"/>
        <v>0</v>
      </c>
      <c r="AB153">
        <f ca="1"/>
        <v>0.99454868041083222</v>
      </c>
      <c r="AD153" s="2">
        <f t="shared" ca="1" si="22"/>
        <v>45193</v>
      </c>
      <c r="AE153">
        <f t="shared" ca="1" si="23"/>
        <v>0</v>
      </c>
      <c r="AG153" s="63">
        <f t="shared" ca="1" si="27"/>
        <v>37.640873866074706</v>
      </c>
      <c r="AH153" s="63">
        <f t="shared" ca="1" si="28"/>
        <v>37.640873866074706</v>
      </c>
      <c r="AI153" s="3">
        <f t="shared" ca="1" si="29"/>
        <v>0</v>
      </c>
    </row>
    <row r="154" spans="7:35">
      <c r="G154" s="3">
        <f t="shared" si="24"/>
        <v>209</v>
      </c>
      <c r="H154" s="95">
        <f t="shared" si="26"/>
        <v>45134</v>
      </c>
      <c r="I154" s="119">
        <f>HLOOKUP($H$5,'Met Data'!$A$2:$F$368,G154,FALSE)</f>
        <v>10.4116666666666</v>
      </c>
      <c r="J154" s="119">
        <f ca="1">HLOOKUP($H$5,'Met Data'!$H$2:$M$368,G154,FALSE)*L154</f>
        <v>5.38</v>
      </c>
      <c r="K154" s="96">
        <f>HLOOKUP($H$5,'Met Data'!$O$2:$T$368,G154,FALSE)</f>
        <v>1.53088528913385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45194</v>
      </c>
      <c r="Q154">
        <f ca="1"/>
        <v>31.208956099533719</v>
      </c>
      <c r="R154">
        <f ca="1"/>
        <v>3.1337159527090321</v>
      </c>
      <c r="S154">
        <f ca="1"/>
        <v>1.3081899968046429E-2</v>
      </c>
      <c r="T154">
        <f ca="1"/>
        <v>0.29824394799940296</v>
      </c>
      <c r="U154">
        <f ca="1"/>
        <v>0</v>
      </c>
      <c r="V154">
        <f ca="1"/>
        <v>65.301000695240901</v>
      </c>
      <c r="W154">
        <f ca="1"/>
        <v>57.692305351749319</v>
      </c>
      <c r="X154">
        <f ca="1"/>
        <v>0.12430588412071124</v>
      </c>
      <c r="Y154">
        <f ca="1"/>
        <v>1</v>
      </c>
      <c r="Z154">
        <f ca="1"/>
        <v>0.80249273235687468</v>
      </c>
      <c r="AA154">
        <f ca="1"/>
        <v>0</v>
      </c>
      <c r="AB154">
        <f ca="1"/>
        <v>0.99569588808868625</v>
      </c>
      <c r="AD154" s="2">
        <f t="shared" ca="1" si="22"/>
        <v>45194</v>
      </c>
      <c r="AE154">
        <f t="shared" ca="1" si="23"/>
        <v>0</v>
      </c>
      <c r="AG154" s="63">
        <f t="shared" ca="1" si="27"/>
        <v>34.466977936363456</v>
      </c>
      <c r="AH154" s="63">
        <f t="shared" ca="1" si="28"/>
        <v>34.466977936363456</v>
      </c>
      <c r="AI154" s="3">
        <f t="shared" ca="1" si="29"/>
        <v>0</v>
      </c>
    </row>
    <row r="155" spans="7:35">
      <c r="G155" s="3">
        <f t="shared" si="24"/>
        <v>210</v>
      </c>
      <c r="H155" s="95">
        <f t="shared" si="26"/>
        <v>45135</v>
      </c>
      <c r="I155" s="119">
        <f>HLOOKUP($H$5,'Met Data'!$A$2:$F$368,G155,FALSE)</f>
        <v>10.494999999999999</v>
      </c>
      <c r="J155" s="119">
        <f ca="1">HLOOKUP($H$5,'Met Data'!$H$2:$M$368,G155,FALSE)*L155</f>
        <v>3.6033333333333299</v>
      </c>
      <c r="K155" s="96">
        <f>HLOOKUP($H$5,'Met Data'!$O$2:$T$368,G155,FALSE)</f>
        <v>1.5836053821317999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45195</v>
      </c>
      <c r="Q155">
        <f ca="1"/>
        <v>126.79360317621838</v>
      </c>
      <c r="R155">
        <f ca="1"/>
        <v>3.202278854242266</v>
      </c>
      <c r="S155">
        <f ca="1"/>
        <v>1.2912549921869854E-2</v>
      </c>
      <c r="T155">
        <f ca="1"/>
        <v>0.29576702901686658</v>
      </c>
      <c r="U155">
        <f ca="1"/>
        <v>99.61306059249651</v>
      </c>
      <c r="V155">
        <f ca="1"/>
        <v>68.503279549483167</v>
      </c>
      <c r="W155">
        <f ca="1"/>
        <v>60.521463366380758</v>
      </c>
      <c r="X155">
        <f ca="1"/>
        <v>1.1348142405083121</v>
      </c>
      <c r="Y155">
        <f ca="1"/>
        <v>1</v>
      </c>
      <c r="Z155">
        <f ca="1"/>
        <v>1.8068370304963182</v>
      </c>
      <c r="AA155">
        <f ca="1"/>
        <v>0</v>
      </c>
      <c r="AB155">
        <f ca="1"/>
        <v>0.99659250903923347</v>
      </c>
      <c r="AD155" s="2">
        <f t="shared" ca="1" si="22"/>
        <v>45195</v>
      </c>
      <c r="AE155">
        <f t="shared" ca="1" si="23"/>
        <v>99.61306059249651</v>
      </c>
      <c r="AG155" s="63">
        <f t="shared" ca="1" si="27"/>
        <v>131.13069627096897</v>
      </c>
      <c r="AH155" s="63">
        <f t="shared" ca="1" si="28"/>
        <v>131.13069627096897</v>
      </c>
      <c r="AI155" s="3">
        <f t="shared" ca="1" si="29"/>
        <v>0</v>
      </c>
    </row>
    <row r="156" spans="7:35">
      <c r="G156" s="3">
        <f t="shared" si="24"/>
        <v>211</v>
      </c>
      <c r="H156" s="95">
        <f t="shared" si="26"/>
        <v>45136</v>
      </c>
      <c r="I156" s="119">
        <f>HLOOKUP($H$5,'Met Data'!$A$2:$F$368,G156,FALSE)</f>
        <v>10.685</v>
      </c>
      <c r="J156" s="119">
        <f ca="1">HLOOKUP($H$5,'Met Data'!$H$2:$M$368,G156,FALSE)*L156</f>
        <v>5.83</v>
      </c>
      <c r="K156" s="96">
        <f>HLOOKUP($H$5,'Met Data'!$O$2:$T$368,G156,FALSE)</f>
        <v>1.6019548518300599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45196</v>
      </c>
      <c r="Q156">
        <f ca="1"/>
        <v>123.51389744725248</v>
      </c>
      <c r="R156">
        <f ca="1"/>
        <v>3.4806238879316851</v>
      </c>
      <c r="S156">
        <f ca="1"/>
        <v>1.316320632661494E-2</v>
      </c>
      <c r="T156">
        <f ca="1"/>
        <v>0.30596655926205257</v>
      </c>
      <c r="U156">
        <f ca="1"/>
        <v>0</v>
      </c>
      <c r="V156">
        <f ca="1"/>
        <v>71.983903437414853</v>
      </c>
      <c r="W156">
        <f ca="1"/>
        <v>63.596534406935007</v>
      </c>
      <c r="X156">
        <f ca="1"/>
        <v>0.11821160662287218</v>
      </c>
      <c r="Y156">
        <f ca="1"/>
        <v>1</v>
      </c>
      <c r="Z156">
        <f ca="1"/>
        <v>0.19282927011568063</v>
      </c>
      <c r="AA156">
        <f ca="1"/>
        <v>0</v>
      </c>
      <c r="AB156">
        <f ca="1"/>
        <v>0.99733502282003283</v>
      </c>
      <c r="AD156" s="2">
        <f t="shared" ca="1" si="22"/>
        <v>45196</v>
      </c>
      <c r="AE156">
        <f t="shared" ca="1" si="23"/>
        <v>0</v>
      </c>
      <c r="AG156" s="63">
        <f t="shared" ca="1" si="27"/>
        <v>127.11273294180704</v>
      </c>
      <c r="AH156" s="63">
        <f t="shared" ca="1" si="28"/>
        <v>127.11273294180704</v>
      </c>
      <c r="AI156" s="3">
        <f t="shared" ca="1" si="29"/>
        <v>0</v>
      </c>
    </row>
    <row r="157" spans="7:35">
      <c r="G157" s="3">
        <f t="shared" si="24"/>
        <v>212</v>
      </c>
      <c r="H157" s="95">
        <f t="shared" si="26"/>
        <v>45137</v>
      </c>
      <c r="I157" s="119">
        <f>HLOOKUP($H$5,'Met Data'!$A$2:$F$368,G157,FALSE)</f>
        <v>10.678333333333301</v>
      </c>
      <c r="J157" s="119">
        <f ca="1">HLOOKUP($H$5,'Met Data'!$H$2:$M$368,G157,FALSE)*L157</f>
        <v>2.98</v>
      </c>
      <c r="K157" s="96">
        <f>HLOOKUP($H$5,'Met Data'!$O$2:$T$368,G157,FALSE)</f>
        <v>1.6077513956073599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45197</v>
      </c>
      <c r="Q157">
        <f ca="1"/>
        <v>119.02079432910297</v>
      </c>
      <c r="R157">
        <f ca="1"/>
        <v>3.7481696478964182</v>
      </c>
      <c r="S157">
        <f ca="1"/>
        <v>1.3363031928338209E-2</v>
      </c>
      <c r="T157">
        <f ca="1"/>
        <v>0.31484695179137334</v>
      </c>
      <c r="U157">
        <f ca="1"/>
        <v>0</v>
      </c>
      <c r="V157">
        <f ca="1"/>
        <v>75.732073085311271</v>
      </c>
      <c r="W157">
        <f ca="1"/>
        <v>66.907977501747482</v>
      </c>
      <c r="X157">
        <f ca="1"/>
        <v>1.0731434539727842</v>
      </c>
      <c r="Y157">
        <f ca="1"/>
        <v>1</v>
      </c>
      <c r="Z157">
        <f ca="1"/>
        <v>1.8166179447524229</v>
      </c>
      <c r="AA157">
        <f ca="1"/>
        <v>0</v>
      </c>
      <c r="AB157">
        <f ca="1"/>
        <v>0.99793733341223401</v>
      </c>
      <c r="AD157" s="2">
        <f t="shared" ca="1" si="22"/>
        <v>45197</v>
      </c>
      <c r="AE157">
        <f t="shared" ca="1" si="23"/>
        <v>0</v>
      </c>
      <c r="AG157" s="63">
        <f t="shared" ca="1" si="27"/>
        <v>123.84210743097218</v>
      </c>
      <c r="AH157" s="63">
        <f t="shared" ca="1" si="28"/>
        <v>123.84210743097218</v>
      </c>
      <c r="AI157" s="3">
        <f t="shared" ca="1" si="29"/>
        <v>0</v>
      </c>
    </row>
    <row r="158" spans="7:35">
      <c r="G158" s="3">
        <f t="shared" si="24"/>
        <v>213</v>
      </c>
      <c r="H158" s="95">
        <f t="shared" si="26"/>
        <v>45138</v>
      </c>
      <c r="I158" s="119">
        <f>HLOOKUP($H$5,'Met Data'!$A$2:$F$368,G158,FALSE)</f>
        <v>10.767241379310301</v>
      </c>
      <c r="J158" s="119">
        <f ca="1">HLOOKUP($H$5,'Met Data'!$H$2:$M$368,G158,FALSE)*L158</f>
        <v>4.4285714285714199</v>
      </c>
      <c r="K158" s="96">
        <f>HLOOKUP($H$5,'Met Data'!$O$2:$T$368,G158,FALSE)</f>
        <v>1.4764466109261301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45198</v>
      </c>
      <c r="Q158">
        <f ca="1"/>
        <v>114.72612644815636</v>
      </c>
      <c r="R158">
        <f ca="1"/>
        <v>4.0373659662942032</v>
      </c>
      <c r="S158">
        <f ca="1"/>
        <v>1.3579377128871251E-2</v>
      </c>
      <c r="T158">
        <f ca="1"/>
        <v>0.32443388270423412</v>
      </c>
      <c r="U158">
        <f ca="1"/>
        <v>0</v>
      </c>
      <c r="V158">
        <f ca="1"/>
        <v>79.769439051605474</v>
      </c>
      <c r="W158">
        <f ca="1"/>
        <v>70.47492054495234</v>
      </c>
      <c r="X158">
        <f ca="1"/>
        <v>0.59531517448551674</v>
      </c>
      <c r="Y158">
        <f ca="1"/>
        <v>1</v>
      </c>
      <c r="Z158">
        <f ca="1"/>
        <v>1.0454741178045666</v>
      </c>
      <c r="AA158">
        <f ca="1"/>
        <v>0</v>
      </c>
      <c r="AB158">
        <f ca="1"/>
        <v>0.99842099989691624</v>
      </c>
      <c r="AD158" s="2">
        <f t="shared" ca="1" si="22"/>
        <v>45198</v>
      </c>
      <c r="AE158">
        <f t="shared" ca="1" si="23"/>
        <v>0</v>
      </c>
      <c r="AG158" s="63">
        <f t="shared" ca="1" si="27"/>
        <v>119.35880758893609</v>
      </c>
      <c r="AH158" s="63">
        <f t="shared" ca="1" si="28"/>
        <v>119.35880758893609</v>
      </c>
      <c r="AI158" s="3">
        <f t="shared" ca="1" si="29"/>
        <v>0</v>
      </c>
    </row>
    <row r="159" spans="7:35">
      <c r="G159" s="3">
        <f t="shared" si="24"/>
        <v>214</v>
      </c>
      <c r="H159" s="95">
        <f t="shared" si="26"/>
        <v>45139</v>
      </c>
      <c r="I159" s="119">
        <f>HLOOKUP($H$5,'Met Data'!$A$2:$F$368,G159,FALSE)</f>
        <v>10.815</v>
      </c>
      <c r="J159" s="119">
        <f ca="1">HLOOKUP($H$5,'Met Data'!$H$2:$M$368,G159,FALSE)*L159</f>
        <v>3.8533333333333299</v>
      </c>
      <c r="K159" s="96">
        <f>HLOOKUP($H$5,'Met Data'!$O$2:$T$368,G159,FALSE)</f>
        <v>1.4161434812322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45199</v>
      </c>
      <c r="Q159">
        <f ca="1"/>
        <v>109.41176974568492</v>
      </c>
      <c r="R159">
        <f ca="1"/>
        <v>4.1124937564777326</v>
      </c>
      <c r="S159">
        <f ca="1"/>
        <v>1.3374158684718473E-2</v>
      </c>
      <c r="T159">
        <f ca="1"/>
        <v>0.32140981291811083</v>
      </c>
      <c r="U159">
        <f ca="1"/>
        <v>0</v>
      </c>
      <c r="V159">
        <f ca="1"/>
        <v>83.881932808083207</v>
      </c>
      <c r="W159">
        <f ca="1"/>
        <v>74.108237692160571</v>
      </c>
      <c r="X159">
        <f ca="1"/>
        <v>1.5366469175965343</v>
      </c>
      <c r="Y159">
        <f ca="1"/>
        <v>1</v>
      </c>
      <c r="Z159">
        <f ca="1"/>
        <v>2.829689020887713</v>
      </c>
      <c r="AA159">
        <f ca="1"/>
        <v>0</v>
      </c>
      <c r="AB159">
        <f ca="1"/>
        <v>0.99878726210876667</v>
      </c>
      <c r="AD159" s="2">
        <f t="shared" ca="1" si="22"/>
        <v>45199</v>
      </c>
      <c r="AE159">
        <f t="shared" ca="1" si="23"/>
        <v>0</v>
      </c>
      <c r="AG159" s="63">
        <f t="shared" ca="1" si="27"/>
        <v>115.06091041975918</v>
      </c>
      <c r="AH159" s="63">
        <f t="shared" ca="1" si="28"/>
        <v>115.06091041975918</v>
      </c>
      <c r="AI159" s="3">
        <f t="shared" ca="1" si="29"/>
        <v>0</v>
      </c>
    </row>
    <row r="160" spans="7:35">
      <c r="G160" s="3">
        <f t="shared" si="24"/>
        <v>215</v>
      </c>
      <c r="H160" s="95">
        <f t="shared" si="26"/>
        <v>45140</v>
      </c>
      <c r="I160" s="119">
        <f>HLOOKUP($H$5,'Met Data'!$A$2:$F$368,G160,FALSE)</f>
        <v>11.156666666666601</v>
      </c>
      <c r="J160" s="119">
        <f ca="1">HLOOKUP($H$5,'Met Data'!$H$2:$M$368,G160,FALSE)*L160</f>
        <v>5.7666666666666604</v>
      </c>
      <c r="K160" s="96">
        <f>HLOOKUP($H$5,'Met Data'!$O$2:$T$368,G160,FALSE)</f>
        <v>1.4216364054283901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45200</v>
      </c>
      <c r="Q160">
        <f ca="1"/>
        <v>102.90737472446817</v>
      </c>
      <c r="R160">
        <f ca="1"/>
        <v>4.1035902070844656</v>
      </c>
      <c r="S160">
        <f ca="1"/>
        <v>1.3040336671185315E-2</v>
      </c>
      <c r="T160">
        <f ca="1"/>
        <v>0.31438296741679206</v>
      </c>
      <c r="U160">
        <f ca="1"/>
        <v>0</v>
      </c>
      <c r="V160">
        <f ca="1"/>
        <v>87.985523015167672</v>
      </c>
      <c r="W160">
        <f ca="1"/>
        <v>77.733688707382441</v>
      </c>
      <c r="X160">
        <f ca="1"/>
        <v>2.728228118220263</v>
      </c>
      <c r="Y160">
        <f ca="1"/>
        <v>1</v>
      </c>
      <c r="Z160">
        <f ca="1"/>
        <v>4.4912460491280299</v>
      </c>
      <c r="AA160">
        <f ca="1"/>
        <v>0</v>
      </c>
      <c r="AB160">
        <f ca="1"/>
        <v>0.9990611622177018</v>
      </c>
      <c r="AD160" s="2">
        <f t="shared" ca="1" si="22"/>
        <v>45200</v>
      </c>
      <c r="AE160">
        <f t="shared" ca="1" si="23"/>
        <v>0</v>
      </c>
      <c r="AG160" s="63">
        <f t="shared" ca="1" si="27"/>
        <v>109.73919304977289</v>
      </c>
      <c r="AH160" s="63">
        <f t="shared" ca="1" si="28"/>
        <v>109.73919304977289</v>
      </c>
      <c r="AI160" s="3">
        <f t="shared" ca="1" si="29"/>
        <v>0</v>
      </c>
    </row>
    <row r="161" spans="7:35">
      <c r="G161" s="3">
        <f t="shared" si="24"/>
        <v>216</v>
      </c>
      <c r="H161" s="95">
        <f t="shared" si="26"/>
        <v>45141</v>
      </c>
      <c r="I161" s="119">
        <f>HLOOKUP($H$5,'Met Data'!$A$2:$F$368,G161,FALSE)</f>
        <v>11.0879310344827</v>
      </c>
      <c r="J161" s="119">
        <f ca="1">HLOOKUP($H$5,'Met Data'!$H$2:$M$368,G161,FALSE)*L161</f>
        <v>3.2896551724137901</v>
      </c>
      <c r="K161" s="96">
        <f>HLOOKUP($H$5,'Met Data'!$O$2:$T$368,G161,FALSE)</f>
        <v>1.4857250646951901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45201</v>
      </c>
      <c r="Q161">
        <f ca="1"/>
        <v>98.003436895451543</v>
      </c>
      <c r="R161">
        <f ca="1"/>
        <v>4.1673056936824082</v>
      </c>
      <c r="S161">
        <f ca="1"/>
        <v>1.2860925450895344E-2</v>
      </c>
      <c r="T161">
        <f ca="1"/>
        <v>0.31202321483058054</v>
      </c>
      <c r="U161">
        <f ca="1"/>
        <v>0</v>
      </c>
      <c r="V161">
        <f ca="1"/>
        <v>92.15282870885008</v>
      </c>
      <c r="W161">
        <f ca="1"/>
        <v>81.415431253657559</v>
      </c>
      <c r="X161">
        <f ca="1"/>
        <v>1.0615162756156922</v>
      </c>
      <c r="Y161">
        <f ca="1"/>
        <v>1</v>
      </c>
      <c r="Z161">
        <f ca="1"/>
        <v>1.8349237318771472</v>
      </c>
      <c r="AA161">
        <f ca="1"/>
        <v>0</v>
      </c>
      <c r="AB161">
        <f ca="1"/>
        <v>0.99927127194366716</v>
      </c>
      <c r="AD161" s="2">
        <f t="shared" ca="1" si="22"/>
        <v>45201</v>
      </c>
      <c r="AE161">
        <f t="shared" ca="1" si="23"/>
        <v>0</v>
      </c>
      <c r="AG161" s="63">
        <f t="shared" ca="1" si="27"/>
        <v>103.23225886474964</v>
      </c>
      <c r="AH161" s="63">
        <f t="shared" ca="1" si="28"/>
        <v>103.23225886474964</v>
      </c>
      <c r="AI161" s="3">
        <f t="shared" ca="1" si="29"/>
        <v>0</v>
      </c>
    </row>
    <row r="162" spans="7:35">
      <c r="G162" s="3">
        <f t="shared" si="24"/>
        <v>217</v>
      </c>
      <c r="H162" s="95">
        <f t="shared" si="26"/>
        <v>45142</v>
      </c>
      <c r="I162" s="119">
        <f>HLOOKUP($H$5,'Met Data'!$A$2:$F$368,G162,FALSE)</f>
        <v>10.9965517241379</v>
      </c>
      <c r="J162" s="119">
        <f ca="1">HLOOKUP($H$5,'Met Data'!$H$2:$M$368,G162,FALSE)*L162</f>
        <v>5.08275862068965</v>
      </c>
      <c r="K162" s="96">
        <f>HLOOKUP($H$5,'Met Data'!$O$2:$T$368,G162,FALSE)</f>
        <v>1.4618721174640501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45202</v>
      </c>
      <c r="Q162">
        <f ca="1"/>
        <v>92.672779413511748</v>
      </c>
      <c r="R162">
        <f ca="1"/>
        <v>4.4341914233173725</v>
      </c>
      <c r="S162">
        <f ca="1"/>
        <v>1.3028701079023541E-2</v>
      </c>
      <c r="T162">
        <f ca="1"/>
        <v>0.32054159403473487</v>
      </c>
      <c r="U162">
        <f ca="1"/>
        <v>0</v>
      </c>
      <c r="V162">
        <f ca="1"/>
        <v>96.587020132167453</v>
      </c>
      <c r="W162">
        <f ca="1"/>
        <v>85.332962728803508</v>
      </c>
      <c r="X162">
        <f ca="1"/>
        <v>1.2300363537361876</v>
      </c>
      <c r="Y162">
        <f ca="1"/>
        <v>1</v>
      </c>
      <c r="Z162">
        <f ca="1"/>
        <v>2.2485286487944833</v>
      </c>
      <c r="AA162">
        <f ca="1"/>
        <v>0</v>
      </c>
      <c r="AB162">
        <f ca="1"/>
        <v>0.99943986647965311</v>
      </c>
      <c r="AD162" s="2">
        <f t="shared" ca="1" si="22"/>
        <v>45202</v>
      </c>
      <c r="AE162">
        <f t="shared" ca="1" si="23"/>
        <v>0</v>
      </c>
      <c r="AG162" s="63">
        <f t="shared" ca="1" si="27"/>
        <v>98.337007190565302</v>
      </c>
      <c r="AH162" s="63">
        <f t="shared" ca="1" si="28"/>
        <v>98.337007190565302</v>
      </c>
      <c r="AI162" s="3">
        <f t="shared" ca="1" si="29"/>
        <v>0</v>
      </c>
    </row>
    <row r="163" spans="7:35">
      <c r="G163" s="3">
        <f t="shared" si="24"/>
        <v>218</v>
      </c>
      <c r="H163" s="95">
        <f t="shared" si="26"/>
        <v>45143</v>
      </c>
      <c r="I163" s="119">
        <f>HLOOKUP($H$5,'Met Data'!$A$2:$F$368,G163,FALSE)</f>
        <v>10.706395995550601</v>
      </c>
      <c r="J163" s="119">
        <f ca="1">HLOOKUP($H$5,'Met Data'!$H$2:$M$368,G163,FALSE)*L163</f>
        <v>4.8827586206896498</v>
      </c>
      <c r="K163" s="96">
        <f>HLOOKUP($H$5,'Met Data'!$O$2:$T$368,G163,FALSE)</f>
        <v>1.3278392687764899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45203</v>
      </c>
      <c r="Q163">
        <f ca="1"/>
        <v>88.677669837614459</v>
      </c>
      <c r="R163">
        <f ca="1"/>
        <v>4.3172655426730415</v>
      </c>
      <c r="S163">
        <f ca="1"/>
        <v>1.2573414951173589E-2</v>
      </c>
      <c r="T163">
        <f ca="1"/>
        <v>0.3095825518245775</v>
      </c>
      <c r="U163">
        <f ca="1"/>
        <v>0</v>
      </c>
      <c r="V163">
        <f ca="1"/>
        <v>100.90428567484049</v>
      </c>
      <c r="W163">
        <f ca="1"/>
        <v>89.147192209526182</v>
      </c>
      <c r="X163">
        <f ca="1"/>
        <v>0</v>
      </c>
      <c r="Y163">
        <f ca="1"/>
        <v>0.99486160287036562</v>
      </c>
      <c r="Z163">
        <f ca="1"/>
        <v>0</v>
      </c>
      <c r="AA163">
        <f ca="1"/>
        <v>0</v>
      </c>
      <c r="AB163">
        <f ca="1"/>
        <v>0.99956403217999323</v>
      </c>
      <c r="AD163" s="2">
        <f t="shared" ca="1" si="22"/>
        <v>45203</v>
      </c>
      <c r="AE163">
        <f t="shared" ca="1" si="23"/>
        <v>0</v>
      </c>
      <c r="AG163" s="63">
        <f t="shared" ca="1" si="27"/>
        <v>92.994935380287501</v>
      </c>
      <c r="AH163" s="63">
        <f t="shared" ca="1" si="28"/>
        <v>92.994935380287501</v>
      </c>
      <c r="AI163" s="3">
        <f t="shared" ca="1" si="29"/>
        <v>0</v>
      </c>
    </row>
    <row r="164" spans="7:35">
      <c r="G164" s="3">
        <f t="shared" si="24"/>
        <v>219</v>
      </c>
      <c r="H164" s="95">
        <f t="shared" si="26"/>
        <v>45144</v>
      </c>
      <c r="I164" s="119">
        <f>HLOOKUP($H$5,'Met Data'!$A$2:$F$368,G164,FALSE)</f>
        <v>10.6327586206896</v>
      </c>
      <c r="J164" s="119">
        <f ca="1">HLOOKUP($H$5,'Met Data'!$H$2:$M$368,G164,FALSE)*L164</f>
        <v>4.1724137931034404</v>
      </c>
      <c r="K164" s="96">
        <f>HLOOKUP($H$5,'Met Data'!$O$2:$T$368,G164,FALSE)</f>
        <v>1.47551454127292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45204</v>
      </c>
      <c r="Q164">
        <f ca="1"/>
        <v>84.195233618891862</v>
      </c>
      <c r="R164">
        <f ca="1"/>
        <v>4.4172049553622372</v>
      </c>
      <c r="S164">
        <f ca="1"/>
        <v>1.2491262427797523E-2</v>
      </c>
      <c r="T164">
        <f ca="1"/>
        <v>0.31029436297452928</v>
      </c>
      <c r="U164">
        <f ca="1"/>
        <v>0</v>
      </c>
      <c r="V164">
        <f ca="1"/>
        <v>105.32149063020273</v>
      </c>
      <c r="W164">
        <f ca="1"/>
        <v>93.049716433853874</v>
      </c>
      <c r="X164">
        <f ca="1"/>
        <v>0.38801688876269758</v>
      </c>
      <c r="Y164">
        <f ca="1"/>
        <v>1</v>
      </c>
      <c r="Z164">
        <f ca="1"/>
        <v>0.78072087061011075</v>
      </c>
      <c r="AA164">
        <f ca="1"/>
        <v>0</v>
      </c>
      <c r="AB164">
        <f ca="1"/>
        <v>0.99966096269077132</v>
      </c>
      <c r="AD164" s="2">
        <f t="shared" ca="1" si="22"/>
        <v>45204</v>
      </c>
      <c r="AE164">
        <f t="shared" ca="1" si="23"/>
        <v>0</v>
      </c>
      <c r="AG164" s="63">
        <f t="shared" ca="1" si="27"/>
        <v>89.000455463016792</v>
      </c>
      <c r="AH164" s="63">
        <f t="shared" ca="1" si="28"/>
        <v>89.000455463016792</v>
      </c>
      <c r="AI164" s="3">
        <f t="shared" ca="1" si="29"/>
        <v>0</v>
      </c>
    </row>
    <row r="165" spans="7:35">
      <c r="G165" s="3">
        <f t="shared" si="24"/>
        <v>220</v>
      </c>
      <c r="H165" s="95">
        <f t="shared" si="26"/>
        <v>45145</v>
      </c>
      <c r="I165" s="119">
        <f>HLOOKUP($H$5,'Met Data'!$A$2:$F$368,G165,FALSE)</f>
        <v>10.7362068965517</v>
      </c>
      <c r="J165" s="119">
        <f ca="1">HLOOKUP($H$5,'Met Data'!$H$2:$M$368,G165,FALSE)*L165</f>
        <v>3.27241379310344</v>
      </c>
      <c r="K165" s="96">
        <f>HLOOKUP($H$5,'Met Data'!$O$2:$T$368,G165,FALSE)</f>
        <v>1.4915207810797499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45205</v>
      </c>
      <c r="Q165">
        <f ca="1"/>
        <v>79.956350007965739</v>
      </c>
      <c r="R165">
        <f ca="1"/>
        <v>4.5650144908424721</v>
      </c>
      <c r="S165">
        <f ca="1"/>
        <v>1.2489409092904857E-2</v>
      </c>
      <c r="T165">
        <f ca="1"/>
        <v>0.31364147082344329</v>
      </c>
      <c r="U165">
        <f ca="1"/>
        <v>0</v>
      </c>
      <c r="V165">
        <f ca="1"/>
        <v>109.8865051210452</v>
      </c>
      <c r="W165">
        <f ca="1"/>
        <v>97.082827827812011</v>
      </c>
      <c r="X165">
        <f ca="1"/>
        <v>0</v>
      </c>
      <c r="Y165">
        <f ca="1"/>
        <v>0.9963141393456042</v>
      </c>
      <c r="Z165">
        <f ca="1"/>
        <v>0</v>
      </c>
      <c r="AA165">
        <f ca="1"/>
        <v>0</v>
      </c>
      <c r="AB165">
        <f ca="1"/>
        <v>0.99973736347744724</v>
      </c>
      <c r="AD165" s="2">
        <f t="shared" ca="1" si="22"/>
        <v>45205</v>
      </c>
      <c r="AE165">
        <f t="shared" ca="1" si="23"/>
        <v>0</v>
      </c>
      <c r="AG165" s="63">
        <f t="shared" ca="1" si="27"/>
        <v>84.521364498808211</v>
      </c>
      <c r="AH165" s="63">
        <f t="shared" ca="1" si="28"/>
        <v>84.521364498808211</v>
      </c>
      <c r="AI165" s="3">
        <f t="shared" ca="1" si="29"/>
        <v>0</v>
      </c>
    </row>
    <row r="166" spans="7:35">
      <c r="G166" s="3">
        <f t="shared" si="24"/>
        <v>221</v>
      </c>
      <c r="H166" s="95">
        <f t="shared" si="26"/>
        <v>45146</v>
      </c>
      <c r="I166" s="119">
        <f>HLOOKUP($H$5,'Met Data'!$A$2:$F$368,G166,FALSE)</f>
        <v>10.733333333333301</v>
      </c>
      <c r="J166" s="119">
        <f ca="1">HLOOKUP($H$5,'Met Data'!$H$2:$M$368,G166,FALSE)*L166</f>
        <v>2.4066666666666601</v>
      </c>
      <c r="K166" s="96">
        <f>HLOOKUP($H$5,'Met Data'!$O$2:$T$368,G166,FALSE)</f>
        <v>1.7881547154649999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45206</v>
      </c>
      <c r="Q166">
        <f ca="1"/>
        <v>75.774942670637259</v>
      </c>
      <c r="R166">
        <f ca="1"/>
        <v>4.5007902603679781</v>
      </c>
      <c r="S166">
        <f ca="1"/>
        <v>1.2183475281679179E-2</v>
      </c>
      <c r="T166">
        <f ca="1"/>
        <v>0.30719944775781799</v>
      </c>
      <c r="U166">
        <f ca="1"/>
        <v>0</v>
      </c>
      <c r="V166">
        <f ca="1"/>
        <v>114.38729538141318</v>
      </c>
      <c r="W166">
        <f ca="1"/>
        <v>101.0591982242959</v>
      </c>
      <c r="X166">
        <f ca="1"/>
        <v>0</v>
      </c>
      <c r="Y166">
        <f ca="1"/>
        <v>0.99238797405001344</v>
      </c>
      <c r="Z166">
        <f ca="1"/>
        <v>0</v>
      </c>
      <c r="AA166">
        <f ca="1"/>
        <v>0</v>
      </c>
      <c r="AB166">
        <f ca="1"/>
        <v>0.99979502953641142</v>
      </c>
      <c r="AD166" s="2">
        <f t="shared" ca="1" si="22"/>
        <v>45206</v>
      </c>
      <c r="AE166">
        <f t="shared" ca="1" si="23"/>
        <v>0</v>
      </c>
      <c r="AG166" s="63">
        <f t="shared" ca="1" si="27"/>
        <v>80.275732931005237</v>
      </c>
      <c r="AH166" s="63">
        <f t="shared" ca="1" si="28"/>
        <v>80.275732931005237</v>
      </c>
      <c r="AI166" s="3">
        <f t="shared" ca="1" si="29"/>
        <v>0</v>
      </c>
    </row>
    <row r="167" spans="7:35">
      <c r="G167" s="3">
        <f t="shared" si="24"/>
        <v>222</v>
      </c>
      <c r="H167" s="95">
        <f t="shared" si="26"/>
        <v>45147</v>
      </c>
      <c r="I167" s="119">
        <f>HLOOKUP($H$5,'Met Data'!$A$2:$F$368,G167,FALSE)</f>
        <v>10.86</v>
      </c>
      <c r="J167" s="119">
        <f ca="1">HLOOKUP($H$5,'Met Data'!$H$2:$M$368,G167,FALSE)*L167</f>
        <v>4.66</v>
      </c>
      <c r="K167" s="96">
        <f>HLOOKUP($H$5,'Met Data'!$O$2:$T$368,G167,FALSE)</f>
        <v>1.7221488940763401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45207</v>
      </c>
      <c r="Q167">
        <f ca="1"/>
        <v>70.725091084387415</v>
      </c>
      <c r="R167">
        <f ca="1"/>
        <v>4.9848258981970446</v>
      </c>
      <c r="S167">
        <f ca="1"/>
        <v>1.2691879016921703E-2</v>
      </c>
      <c r="T167">
        <f ca="1"/>
        <v>0.32729666732083024</v>
      </c>
      <c r="U167">
        <f ca="1"/>
        <v>0</v>
      </c>
      <c r="V167">
        <f ca="1"/>
        <v>119.37212127961023</v>
      </c>
      <c r="W167">
        <f ca="1"/>
        <v>105.46320573998854</v>
      </c>
      <c r="X167">
        <f ca="1"/>
        <v>0.40501423439056483</v>
      </c>
      <c r="Y167">
        <f ca="1"/>
        <v>1</v>
      </c>
      <c r="Z167">
        <f ca="1"/>
        <v>0.97012889045524275</v>
      </c>
      <c r="AA167">
        <f ca="1"/>
        <v>0</v>
      </c>
      <c r="AB167">
        <f ca="1"/>
        <v>0.99984366393381452</v>
      </c>
      <c r="AD167" s="2">
        <f t="shared" ca="1" si="22"/>
        <v>45207</v>
      </c>
      <c r="AE167">
        <f t="shared" ca="1" si="23"/>
        <v>0</v>
      </c>
      <c r="AG167" s="63">
        <f t="shared" ca="1" si="27"/>
        <v>76.114931216975023</v>
      </c>
      <c r="AH167" s="63">
        <f t="shared" ca="1" si="28"/>
        <v>76.114931216975023</v>
      </c>
      <c r="AI167" s="3">
        <f t="shared" ca="1" si="29"/>
        <v>0</v>
      </c>
    </row>
    <row r="168" spans="7:35">
      <c r="G168" s="3">
        <f t="shared" si="24"/>
        <v>223</v>
      </c>
      <c r="H168" s="95">
        <f t="shared" si="26"/>
        <v>45148</v>
      </c>
      <c r="I168" s="119">
        <f>HLOOKUP($H$5,'Met Data'!$A$2:$F$368,G168,FALSE)</f>
        <v>10.6416666666666</v>
      </c>
      <c r="J168" s="119">
        <f ca="1">HLOOKUP($H$5,'Met Data'!$H$2:$M$368,G168,FALSE)*L168</f>
        <v>4.53666666666666</v>
      </c>
      <c r="K168" s="96">
        <f>HLOOKUP($H$5,'Met Data'!$O$2:$T$368,G168,FALSE)</f>
        <v>1.78798041526371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45208</v>
      </c>
      <c r="Q168">
        <f ca="1"/>
        <v>65.313501712824731</v>
      </c>
      <c r="R168">
        <f ca="1"/>
        <v>5.1705234559997137</v>
      </c>
      <c r="S168">
        <f ca="1"/>
        <v>1.275979220779444E-2</v>
      </c>
      <c r="T168">
        <f ca="1"/>
        <v>0.33336865579543573</v>
      </c>
      <c r="U168">
        <f ca="1"/>
        <v>0</v>
      </c>
      <c r="V168">
        <f ca="1"/>
        <v>124.54264473560994</v>
      </c>
      <c r="W168">
        <f ca="1"/>
        <v>110.03127383811888</v>
      </c>
      <c r="X168">
        <f ca="1"/>
        <v>0.58719436356620458</v>
      </c>
      <c r="Y168">
        <f ca="1"/>
        <v>1</v>
      </c>
      <c r="Z168">
        <f ca="1"/>
        <v>1.5230409351437828</v>
      </c>
      <c r="AA168">
        <f ca="1"/>
        <v>0</v>
      </c>
      <c r="AB168">
        <f ca="1"/>
        <v>0.99988156330397016</v>
      </c>
      <c r="AD168" s="2">
        <f t="shared" ca="1" si="22"/>
        <v>45208</v>
      </c>
      <c r="AE168">
        <f t="shared" ca="1" si="23"/>
        <v>0</v>
      </c>
      <c r="AG168" s="63">
        <f t="shared" ca="1" si="27"/>
        <v>71.071219532390643</v>
      </c>
      <c r="AH168" s="63">
        <f t="shared" ca="1" si="28"/>
        <v>71.071219532390643</v>
      </c>
      <c r="AI168" s="3">
        <f t="shared" ca="1" si="29"/>
        <v>0</v>
      </c>
    </row>
    <row r="169" spans="7:35">
      <c r="G169" s="3">
        <f t="shared" si="24"/>
        <v>224</v>
      </c>
      <c r="H169" s="95">
        <f t="shared" si="26"/>
        <v>45149</v>
      </c>
      <c r="I169" s="119">
        <f>HLOOKUP($H$5,'Met Data'!$A$2:$F$368,G169,FALSE)</f>
        <v>10.8983333333333</v>
      </c>
      <c r="J169" s="119">
        <f ca="1">HLOOKUP($H$5,'Met Data'!$H$2:$M$368,G169,FALSE)*L169</f>
        <v>5.7266666666666604</v>
      </c>
      <c r="K169" s="96">
        <f>HLOOKUP($H$5,'Met Data'!$O$2:$T$368,G169,FALSE)</f>
        <v>1.78444613895236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45209</v>
      </c>
      <c r="Q169">
        <f ca="1"/>
        <v>60.260275128120064</v>
      </c>
      <c r="R169">
        <f ca="1"/>
        <v>4.775710098669748</v>
      </c>
      <c r="S169">
        <f ca="1"/>
        <v>1.2012562025840445E-2</v>
      </c>
      <c r="T169">
        <f ca="1"/>
        <v>0.31253762606334973</v>
      </c>
      <c r="U169">
        <f ca="1"/>
        <v>0</v>
      </c>
      <c r="V169">
        <f ca="1"/>
        <v>129.31835483427969</v>
      </c>
      <c r="W169">
        <f ca="1"/>
        <v>114.25053115960688</v>
      </c>
      <c r="X169">
        <f ca="1"/>
        <v>0.60206667412411152</v>
      </c>
      <c r="Y169">
        <f ca="1"/>
        <v>1</v>
      </c>
      <c r="Z169">
        <f ca="1"/>
        <v>1.6925680749415122</v>
      </c>
      <c r="AA169">
        <f ca="1"/>
        <v>0</v>
      </c>
      <c r="AB169">
        <f ca="1"/>
        <v>0.99990814053033739</v>
      </c>
      <c r="AD169" s="2">
        <f t="shared" ca="1" si="22"/>
        <v>45209</v>
      </c>
      <c r="AE169">
        <f t="shared" ca="1" si="23"/>
        <v>0</v>
      </c>
      <c r="AG169" s="63">
        <f t="shared" ca="1" si="27"/>
        <v>65.638051900913922</v>
      </c>
      <c r="AH169" s="63">
        <f t="shared" ca="1" si="28"/>
        <v>65.638051900913936</v>
      </c>
      <c r="AI169" s="3">
        <f t="shared" ca="1" si="29"/>
        <v>0</v>
      </c>
    </row>
    <row r="170" spans="7:35">
      <c r="G170" s="3">
        <f t="shared" si="24"/>
        <v>225</v>
      </c>
      <c r="H170" s="95">
        <f t="shared" si="26"/>
        <v>45150</v>
      </c>
      <c r="I170" s="119">
        <f>HLOOKUP($H$5,'Met Data'!$A$2:$F$368,G170,FALSE)</f>
        <v>10.62</v>
      </c>
      <c r="J170" s="119">
        <f ca="1">HLOOKUP($H$5,'Met Data'!$H$2:$M$368,G170,FALSE)*L170</f>
        <v>3.95333333333333</v>
      </c>
      <c r="K170" s="96">
        <f>HLOOKUP($H$5,'Met Data'!$O$2:$T$368,G170,FALSE)</f>
        <v>1.79702295751458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45210</v>
      </c>
      <c r="Q170">
        <f ca="1"/>
        <v>55.6214752018331</v>
      </c>
      <c r="R170">
        <f ca="1"/>
        <v>4.9710753266946597</v>
      </c>
      <c r="S170">
        <f ca="1"/>
        <v>1.2128561393238257E-2</v>
      </c>
      <c r="T170">
        <f ca="1"/>
        <v>0.32014683901445234</v>
      </c>
      <c r="U170">
        <f ca="1"/>
        <v>0</v>
      </c>
      <c r="V170">
        <f ca="1"/>
        <v>134.28943016097435</v>
      </c>
      <c r="W170">
        <f ca="1"/>
        <v>118.64239028306311</v>
      </c>
      <c r="X170">
        <f ca="1"/>
        <v>0</v>
      </c>
      <c r="Y170">
        <f ca="1"/>
        <v>0.990390174282897</v>
      </c>
      <c r="Z170">
        <f ca="1"/>
        <v>0</v>
      </c>
      <c r="AA170">
        <f ca="1"/>
        <v>0</v>
      </c>
      <c r="AB170">
        <f ca="1"/>
        <v>0.99992937141908711</v>
      </c>
      <c r="AD170" s="2">
        <f t="shared" ca="1" si="22"/>
        <v>45210</v>
      </c>
      <c r="AE170">
        <f t="shared" ca="1" si="23"/>
        <v>0</v>
      </c>
      <c r="AG170" s="63">
        <f t="shared" ca="1" si="27"/>
        <v>60.592550528527759</v>
      </c>
      <c r="AH170" s="63">
        <f t="shared" ca="1" si="28"/>
        <v>60.592550528527759</v>
      </c>
      <c r="AI170" s="3">
        <f t="shared" ca="1" si="29"/>
        <v>0</v>
      </c>
    </row>
    <row r="171" spans="7:35">
      <c r="G171" s="3">
        <f t="shared" si="24"/>
        <v>226</v>
      </c>
      <c r="H171" s="95">
        <f t="shared" si="26"/>
        <v>45151</v>
      </c>
      <c r="I171" s="119">
        <f>HLOOKUP($H$5,'Met Data'!$A$2:$F$368,G171,FALSE)</f>
        <v>10.851666666666601</v>
      </c>
      <c r="J171" s="119">
        <f ca="1">HLOOKUP($H$5,'Met Data'!$H$2:$M$368,G171,FALSE)*L171</f>
        <v>4.43</v>
      </c>
      <c r="K171" s="96">
        <f>HLOOKUP($H$5,'Met Data'!$O$2:$T$368,G171,FALSE)</f>
        <v>1.75622712343688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45211</v>
      </c>
      <c r="Q171">
        <f ca="1"/>
        <v>50.086905419818827</v>
      </c>
      <c r="R171">
        <f ca="1"/>
        <v>5.3036733697529428</v>
      </c>
      <c r="S171">
        <f ca="1"/>
        <v>1.2447556544175953E-2</v>
      </c>
      <c r="T171">
        <f ca="1"/>
        <v>0.33480633955186317</v>
      </c>
      <c r="U171">
        <f ca="1"/>
        <v>0</v>
      </c>
      <c r="V171">
        <f ca="1"/>
        <v>139.59310353072729</v>
      </c>
      <c r="W171">
        <f ca="1"/>
        <v>123.32809402842743</v>
      </c>
      <c r="X171">
        <f ca="1"/>
        <v>0.57815030835736358</v>
      </c>
      <c r="Y171">
        <f ca="1"/>
        <v>1</v>
      </c>
      <c r="Z171">
        <f ca="1"/>
        <v>1.9554613128068183</v>
      </c>
      <c r="AA171">
        <f ca="1"/>
        <v>0</v>
      </c>
      <c r="AB171">
        <f ca="1"/>
        <v>0.9999465794676794</v>
      </c>
      <c r="AD171" s="2">
        <f t="shared" ca="1" si="22"/>
        <v>45211</v>
      </c>
      <c r="AE171">
        <f t="shared" ca="1" si="23"/>
        <v>0</v>
      </c>
      <c r="AG171" s="63">
        <f t="shared" ca="1" si="27"/>
        <v>55.968729097929135</v>
      </c>
      <c r="AH171" s="63">
        <f t="shared" ca="1" si="28"/>
        <v>55.968729097929135</v>
      </c>
      <c r="AI171" s="3">
        <f t="shared" ca="1" si="29"/>
        <v>0</v>
      </c>
    </row>
    <row r="172" spans="7:35">
      <c r="G172" s="3">
        <f t="shared" si="24"/>
        <v>227</v>
      </c>
      <c r="H172" s="95">
        <f t="shared" si="26"/>
        <v>45152</v>
      </c>
      <c r="I172" s="119">
        <f>HLOOKUP($H$5,'Met Data'!$A$2:$F$368,G172,FALSE)</f>
        <v>10.715517241379301</v>
      </c>
      <c r="J172" s="119">
        <f ca="1">HLOOKUP($H$5,'Met Data'!$H$2:$M$368,G172,FALSE)*L172</f>
        <v>5.1034482758620596</v>
      </c>
      <c r="K172" s="96">
        <f>HLOOKUP($H$5,'Met Data'!$O$2:$T$368,G172,FALSE)</f>
        <v>1.8143744354657301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45212</v>
      </c>
      <c r="Q172">
        <f ca="1"/>
        <v>44.654850554538498</v>
      </c>
      <c r="R172">
        <f ca="1"/>
        <v>5.2588245795978992</v>
      </c>
      <c r="S172">
        <f ca="1"/>
        <v>1.2249828479354186E-2</v>
      </c>
      <c r="T172">
        <f ca="1"/>
        <v>0.3322688883038345</v>
      </c>
      <c r="U172">
        <f ca="1"/>
        <v>0</v>
      </c>
      <c r="V172">
        <f ca="1"/>
        <v>144.85192811032519</v>
      </c>
      <c r="W172">
        <f ca="1"/>
        <v>127.97417464292495</v>
      </c>
      <c r="X172">
        <f ca="1"/>
        <v>0.51774900246561906</v>
      </c>
      <c r="Y172">
        <f ca="1"/>
        <v>1</v>
      </c>
      <c r="Z172">
        <f ca="1"/>
        <v>1.9641891021881435</v>
      </c>
      <c r="AA172">
        <f ca="1"/>
        <v>0</v>
      </c>
      <c r="AB172">
        <f ca="1"/>
        <v>0.99995948145840863</v>
      </c>
      <c r="AD172" s="2">
        <f t="shared" ca="1" si="22"/>
        <v>45212</v>
      </c>
      <c r="AE172">
        <f t="shared" ca="1" si="23"/>
        <v>0</v>
      </c>
      <c r="AG172" s="63">
        <f t="shared" ca="1" si="27"/>
        <v>50.431424136602018</v>
      </c>
      <c r="AH172" s="63">
        <f t="shared" ca="1" si="28"/>
        <v>50.431424136602018</v>
      </c>
      <c r="AI172" s="3">
        <f t="shared" ca="1" si="29"/>
        <v>0</v>
      </c>
    </row>
    <row r="173" spans="7:35">
      <c r="G173" s="3">
        <f t="shared" si="24"/>
        <v>228</v>
      </c>
      <c r="H173" s="95">
        <f t="shared" si="26"/>
        <v>45153</v>
      </c>
      <c r="I173" s="119">
        <f>HLOOKUP($H$5,'Met Data'!$A$2:$F$368,G173,FALSE)</f>
        <v>10.171666666666599</v>
      </c>
      <c r="J173" s="119">
        <f ca="1">HLOOKUP($H$5,'Met Data'!$H$2:$M$368,G173,FALSE)*L173</f>
        <v>5.0933333333333302</v>
      </c>
      <c r="K173" s="96">
        <f>HLOOKUP($H$5,'Met Data'!$O$2:$T$368,G173,FALSE)</f>
        <v>1.7504322855227901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45213</v>
      </c>
      <c r="Q173">
        <f ca="1"/>
        <v>39.292503553467903</v>
      </c>
      <c r="R173">
        <f ca="1"/>
        <v>5.0585929517241368</v>
      </c>
      <c r="S173">
        <f ca="1"/>
        <v>1.1862556188755313E-2</v>
      </c>
      <c r="T173">
        <f ca="1"/>
        <v>0.32311480707670703</v>
      </c>
      <c r="U173">
        <f ca="1"/>
        <v>0</v>
      </c>
      <c r="V173">
        <f ca="1"/>
        <v>149.91052106204933</v>
      </c>
      <c r="W173">
        <f ca="1"/>
        <v>132.44335407530608</v>
      </c>
      <c r="X173">
        <f ca="1"/>
        <v>0.63873141261191468</v>
      </c>
      <c r="Y173">
        <f ca="1"/>
        <v>1</v>
      </c>
      <c r="Z173">
        <f ca="1"/>
        <v>2.7538560855635055</v>
      </c>
      <c r="AA173">
        <f ca="1"/>
        <v>0</v>
      </c>
      <c r="AB173">
        <f ca="1"/>
        <v>0.9999689510908355</v>
      </c>
      <c r="AD173" s="2">
        <f t="shared" ca="1" si="22"/>
        <v>45213</v>
      </c>
      <c r="AE173">
        <f t="shared" ca="1" si="23"/>
        <v>0</v>
      </c>
      <c r="AG173" s="63">
        <f t="shared" ca="1" si="27"/>
        <v>44.989827917803957</v>
      </c>
      <c r="AH173" s="63">
        <f t="shared" ca="1" si="28"/>
        <v>44.989827917803957</v>
      </c>
      <c r="AI173" s="3">
        <f t="shared" ca="1" si="29"/>
        <v>0</v>
      </c>
    </row>
    <row r="174" spans="7:35">
      <c r="G174" s="3">
        <f t="shared" si="24"/>
        <v>229</v>
      </c>
      <c r="H174" s="95">
        <f t="shared" si="26"/>
        <v>45154</v>
      </c>
      <c r="I174" s="119">
        <f>HLOOKUP($H$5,'Met Data'!$A$2:$F$368,G174,FALSE)</f>
        <v>10.203333333333299</v>
      </c>
      <c r="J174" s="119">
        <f ca="1">HLOOKUP($H$5,'Met Data'!$H$2:$M$368,G174,FALSE)*L174</f>
        <v>4.3433333333333302</v>
      </c>
      <c r="K174" s="96">
        <f>HLOOKUP($H$5,'Met Data'!$O$2:$T$368,G174,FALSE)</f>
        <v>1.72694084936311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45214</v>
      </c>
      <c r="Q174">
        <f ca="1"/>
        <v>34.201390583746239</v>
      </c>
      <c r="R174">
        <f ca="1"/>
        <v>4.8615646812497175</v>
      </c>
      <c r="S174">
        <f ca="1"/>
        <v>1.1507908938115818E-2</v>
      </c>
      <c r="T174">
        <f ca="1"/>
        <v>0.31478933076940852</v>
      </c>
      <c r="U174">
        <f ca="1"/>
        <v>0</v>
      </c>
      <c r="V174">
        <f ca="1"/>
        <v>154.77208574329904</v>
      </c>
      <c r="W174">
        <f ca="1"/>
        <v>136.73846243646136</v>
      </c>
      <c r="X174">
        <f ca="1"/>
        <v>0.55584552817946697</v>
      </c>
      <c r="Y174">
        <f ca="1"/>
        <v>1</v>
      </c>
      <c r="Z174">
        <f ca="1"/>
        <v>2.75323333009419</v>
      </c>
      <c r="AA174">
        <f ca="1"/>
        <v>0</v>
      </c>
      <c r="AB174">
        <f ca="1"/>
        <v>0.99997598119264874</v>
      </c>
      <c r="AD174" s="2">
        <f t="shared" ca="1" si="22"/>
        <v>45214</v>
      </c>
      <c r="AE174">
        <f t="shared" ca="1" si="23"/>
        <v>0</v>
      </c>
      <c r="AG174" s="63">
        <f t="shared" ca="1" si="27"/>
        <v>39.618800793175424</v>
      </c>
      <c r="AH174" s="63">
        <f t="shared" ca="1" si="28"/>
        <v>39.618800793175424</v>
      </c>
      <c r="AI174" s="3">
        <f t="shared" ca="1" si="29"/>
        <v>0</v>
      </c>
    </row>
    <row r="175" spans="7:35">
      <c r="G175" s="3">
        <f t="shared" si="24"/>
        <v>230</v>
      </c>
      <c r="H175" s="95">
        <f t="shared" si="26"/>
        <v>45155</v>
      </c>
      <c r="I175" s="119">
        <f>HLOOKUP($H$5,'Met Data'!$A$2:$F$368,G175,FALSE)</f>
        <v>10.0833333333333</v>
      </c>
      <c r="J175" s="119">
        <f ca="1">HLOOKUP($H$5,'Met Data'!$H$2:$M$368,G175,FALSE)*L175</f>
        <v>5.3333333333333304</v>
      </c>
      <c r="K175" s="96">
        <f>HLOOKUP($H$5,'Met Data'!$O$2:$T$368,G175,FALSE)</f>
        <v>1.9911176675537099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45215</v>
      </c>
      <c r="Q175">
        <f ca="1"/>
        <v>131.18194607061224</v>
      </c>
      <c r="R175">
        <f ca="1"/>
        <v>4.8675589264383916</v>
      </c>
      <c r="S175">
        <f ca="1"/>
        <v>1.1440487467204719E-2</v>
      </c>
      <c r="T175">
        <f ca="1"/>
        <v>0.316376281102002</v>
      </c>
      <c r="U175">
        <f ca="1"/>
        <v>101.59893120636026</v>
      </c>
      <c r="V175">
        <f ca="1"/>
        <v>159.63964466973744</v>
      </c>
      <c r="W175">
        <f ca="1"/>
        <v>141.03886660962715</v>
      </c>
      <c r="X175">
        <f ca="1"/>
        <v>7.8633561625099338E-2</v>
      </c>
      <c r="Y175">
        <f ca="1"/>
        <v>1</v>
      </c>
      <c r="Z175">
        <f ca="1"/>
        <v>0.10156062937779353</v>
      </c>
      <c r="AA175">
        <f ca="1"/>
        <v>0</v>
      </c>
      <c r="AB175">
        <f ca="1"/>
        <v>0.99998145330137111</v>
      </c>
      <c r="AD175" s="2">
        <f t="shared" ca="1" si="22"/>
        <v>45215</v>
      </c>
      <c r="AE175">
        <f t="shared" ca="1" si="23"/>
        <v>101.59893120636026</v>
      </c>
      <c r="AG175" s="63">
        <f t="shared" ca="1" si="27"/>
        <v>136.12813855867572</v>
      </c>
      <c r="AH175" s="63">
        <f t="shared" ca="1" si="28"/>
        <v>136.12813855867574</v>
      </c>
      <c r="AI175" s="3">
        <f t="shared" ca="1" si="29"/>
        <v>0</v>
      </c>
    </row>
    <row r="176" spans="7:35">
      <c r="G176" s="3">
        <f t="shared" si="24"/>
        <v>231</v>
      </c>
      <c r="H176" s="95">
        <f t="shared" si="26"/>
        <v>45156</v>
      </c>
      <c r="I176" s="119">
        <f>HLOOKUP($H$5,'Met Data'!$A$2:$F$368,G176,FALSE)</f>
        <v>10.0833333333333</v>
      </c>
      <c r="J176" s="119">
        <f ca="1">HLOOKUP($H$5,'Met Data'!$H$2:$M$368,G176,FALSE)*L176</f>
        <v>3.9433333333333298</v>
      </c>
      <c r="K176" s="96">
        <f>HLOOKUP($H$5,'Met Data'!$O$2:$T$368,G176,FALSE)</f>
        <v>1.888960132222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45216</v>
      </c>
      <c r="Q176">
        <f ca="1"/>
        <v>126.2084533898454</v>
      </c>
      <c r="R176">
        <f ca="1"/>
        <v>5.173611376201535</v>
      </c>
      <c r="S176">
        <f ca="1"/>
        <v>1.1791822799854579E-2</v>
      </c>
      <c r="T176">
        <f ca="1"/>
        <v>0.33291456607756253</v>
      </c>
      <c r="U176">
        <f ca="1"/>
        <v>0</v>
      </c>
      <c r="V176">
        <f ca="1"/>
        <v>164.81325604593897</v>
      </c>
      <c r="W176">
        <f ca="1"/>
        <v>145.60966283187949</v>
      </c>
      <c r="X176">
        <f ca="1"/>
        <v>0.14458769344272659</v>
      </c>
      <c r="Y176">
        <f ca="1"/>
        <v>1</v>
      </c>
      <c r="Z176">
        <f ca="1"/>
        <v>0.19407766188046338</v>
      </c>
      <c r="AA176">
        <f ca="1"/>
        <v>0</v>
      </c>
      <c r="AB176">
        <f ca="1"/>
        <v>0.99998594283822895</v>
      </c>
      <c r="AD176" s="2">
        <f t="shared" ca="1" si="22"/>
        <v>45216</v>
      </c>
      <c r="AE176">
        <f t="shared" ca="1" si="23"/>
        <v>0</v>
      </c>
      <c r="AG176" s="63">
        <f t="shared" ca="1" si="27"/>
        <v>131.52665245948967</v>
      </c>
      <c r="AH176" s="63">
        <f t="shared" ca="1" si="28"/>
        <v>131.52665245948967</v>
      </c>
      <c r="AI176" s="3">
        <f t="shared" ca="1" si="29"/>
        <v>0</v>
      </c>
    </row>
    <row r="177" spans="7:35">
      <c r="G177" s="3">
        <f t="shared" si="24"/>
        <v>232</v>
      </c>
      <c r="H177" s="95">
        <f t="shared" si="26"/>
        <v>45157</v>
      </c>
      <c r="I177" s="119">
        <f>HLOOKUP($H$5,'Met Data'!$A$2:$F$368,G177,FALSE)</f>
        <v>10.1383333333333</v>
      </c>
      <c r="J177" s="119">
        <f ca="1">HLOOKUP($H$5,'Met Data'!$H$2:$M$368,G177,FALSE)*L177</f>
        <v>3.5733333333333301</v>
      </c>
      <c r="K177" s="96">
        <f>HLOOKUP($H$5,'Met Data'!$O$2:$T$368,G177,FALSE)</f>
        <v>1.8335933724759199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45217</v>
      </c>
      <c r="Q177">
        <f ca="1"/>
        <v>121.22908454849058</v>
      </c>
      <c r="R177">
        <f ca="1"/>
        <v>4.8288774381928476</v>
      </c>
      <c r="S177">
        <f ca="1"/>
        <v>1.1283076311924489E-2</v>
      </c>
      <c r="T177">
        <f ca="1"/>
        <v>0.31903214495147059</v>
      </c>
      <c r="U177">
        <f ca="1"/>
        <v>0</v>
      </c>
      <c r="V177">
        <f ca="1"/>
        <v>169.64213348413182</v>
      </c>
      <c r="W177">
        <f ca="1"/>
        <v>149.87589257881044</v>
      </c>
      <c r="X177">
        <f ca="1"/>
        <v>0.48080662442537064</v>
      </c>
      <c r="Y177">
        <f ca="1"/>
        <v>1</v>
      </c>
      <c r="Z177">
        <f ca="1"/>
        <v>0.67188707015043292</v>
      </c>
      <c r="AA177">
        <f ca="1"/>
        <v>0</v>
      </c>
      <c r="AB177">
        <f ca="1"/>
        <v>0.99998917827610723</v>
      </c>
      <c r="AD177" s="2">
        <f t="shared" ca="1" si="22"/>
        <v>45217</v>
      </c>
      <c r="AE177">
        <f t="shared" ca="1" si="23"/>
        <v>0</v>
      </c>
      <c r="AG177" s="63">
        <f t="shared" ca="1" si="27"/>
        <v>126.53876861110879</v>
      </c>
      <c r="AH177" s="63">
        <f t="shared" ca="1" si="28"/>
        <v>126.53876861110879</v>
      </c>
      <c r="AI177" s="3">
        <f t="shared" ca="1" si="29"/>
        <v>0</v>
      </c>
    </row>
    <row r="178" spans="7:35">
      <c r="G178" s="3">
        <f t="shared" si="24"/>
        <v>233</v>
      </c>
      <c r="H178" s="95">
        <f t="shared" si="26"/>
        <v>45158</v>
      </c>
      <c r="I178" s="119">
        <f>HLOOKUP($H$5,'Met Data'!$A$2:$F$368,G178,FALSE)</f>
        <v>10.421666666666599</v>
      </c>
      <c r="J178" s="119">
        <f ca="1">HLOOKUP($H$5,'Met Data'!$H$2:$M$368,G178,FALSE)*L178</f>
        <v>4.8033333333333301</v>
      </c>
      <c r="K178" s="96">
        <f>HLOOKUP($H$5,'Met Data'!$O$2:$T$368,G178,FALSE)</f>
        <v>1.7788236818437999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45218</v>
      </c>
      <c r="Q178">
        <f ca="1"/>
        <v>116.92911473938888</v>
      </c>
      <c r="R178">
        <f ca="1"/>
        <v>4.6230983758138393</v>
      </c>
      <c r="S178">
        <f ca="1"/>
        <v>1.0980039402964437E-2</v>
      </c>
      <c r="T178">
        <f ca="1"/>
        <v>0.31214852730916953</v>
      </c>
      <c r="U178">
        <f ca="1"/>
        <v>0</v>
      </c>
      <c r="V178">
        <f ca="1"/>
        <v>174.26523185994566</v>
      </c>
      <c r="W178">
        <f ca="1"/>
        <v>153.96032008112994</v>
      </c>
      <c r="X178">
        <f ca="1"/>
        <v>0</v>
      </c>
      <c r="Y178">
        <f ca="1"/>
        <v>0.98150925272513245</v>
      </c>
      <c r="Z178">
        <f ca="1"/>
        <v>0</v>
      </c>
      <c r="AA178">
        <f ca="1"/>
        <v>0</v>
      </c>
      <c r="AB178">
        <f ca="1"/>
        <v>0.99999160311208457</v>
      </c>
      <c r="AD178" s="2">
        <f t="shared" ca="1" si="22"/>
        <v>45218</v>
      </c>
      <c r="AE178">
        <f t="shared" ca="1" si="23"/>
        <v>0</v>
      </c>
      <c r="AG178" s="63">
        <f t="shared" ca="1" si="27"/>
        <v>121.55221311520272</v>
      </c>
      <c r="AH178" s="63">
        <f t="shared" ca="1" si="28"/>
        <v>121.55221311520272</v>
      </c>
      <c r="AI178" s="3">
        <f t="shared" ca="1" si="29"/>
        <v>0</v>
      </c>
    </row>
    <row r="179" spans="7:35">
      <c r="G179" s="3">
        <f t="shared" si="24"/>
        <v>234</v>
      </c>
      <c r="H179" s="95">
        <f t="shared" si="26"/>
        <v>45159</v>
      </c>
      <c r="I179" s="119">
        <f>HLOOKUP($H$5,'Met Data'!$A$2:$F$368,G179,FALSE)</f>
        <v>10.703333333333299</v>
      </c>
      <c r="J179" s="119">
        <f ca="1">HLOOKUP($H$5,'Met Data'!$H$2:$M$368,G179,FALSE)*L179</f>
        <v>3.9833333333333298</v>
      </c>
      <c r="K179" s="96">
        <f>HLOOKUP($H$5,'Met Data'!$O$2:$T$368,G179,FALSE)</f>
        <v>1.7879198703522201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45219</v>
      </c>
      <c r="Q179">
        <f ca="1"/>
        <v>112.76035774827261</v>
      </c>
      <c r="R179">
        <f ca="1"/>
        <v>4.4843430347621052</v>
      </c>
      <c r="S179">
        <f ca="1"/>
        <v>1.0777482967745833E-2</v>
      </c>
      <c r="T179">
        <f ca="1"/>
        <v>0.30480856067809942</v>
      </c>
      <c r="U179">
        <f ca="1"/>
        <v>0</v>
      </c>
      <c r="V179">
        <f ca="1"/>
        <v>178.74957489470776</v>
      </c>
      <c r="W179">
        <f ca="1"/>
        <v>157.92215963809005</v>
      </c>
      <c r="X179">
        <f ca="1"/>
        <v>0</v>
      </c>
      <c r="Y179">
        <f ca="1"/>
        <v>0.95025978298127078</v>
      </c>
      <c r="Z179">
        <f ca="1"/>
        <v>0</v>
      </c>
      <c r="AA179">
        <f ca="1"/>
        <v>0</v>
      </c>
      <c r="AB179">
        <f ca="1"/>
        <v>0.99999345892422986</v>
      </c>
      <c r="AD179" s="2">
        <f t="shared" ca="1" si="22"/>
        <v>45219</v>
      </c>
      <c r="AE179">
        <f t="shared" ca="1" si="23"/>
        <v>0</v>
      </c>
      <c r="AG179" s="63">
        <f t="shared" ca="1" si="27"/>
        <v>117.24470078303472</v>
      </c>
      <c r="AH179" s="63">
        <f t="shared" ca="1" si="28"/>
        <v>117.24470078303472</v>
      </c>
      <c r="AI179" s="3">
        <f t="shared" ca="1" si="29"/>
        <v>0</v>
      </c>
    </row>
    <row r="180" spans="7:35">
      <c r="G180" s="3">
        <f t="shared" si="24"/>
        <v>235</v>
      </c>
      <c r="H180" s="95">
        <f t="shared" si="26"/>
        <v>45160</v>
      </c>
      <c r="I180" s="119">
        <f>HLOOKUP($H$5,'Met Data'!$A$2:$F$368,G180,FALSE)</f>
        <v>10.8266666666666</v>
      </c>
      <c r="J180" s="119">
        <f ca="1">HLOOKUP($H$5,'Met Data'!$H$2:$M$368,G180,FALSE)*L180</f>
        <v>3.93</v>
      </c>
      <c r="K180" s="96">
        <f>HLOOKUP($H$5,'Met Data'!$O$2:$T$368,G180,FALSE)</f>
        <v>1.8884109943012299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45220</v>
      </c>
      <c r="Q180">
        <f ca="1"/>
        <v>108.42286829983635</v>
      </c>
      <c r="R180">
        <f ca="1"/>
        <v>4.6658192568733057</v>
      </c>
      <c r="S180">
        <f ca="1"/>
        <v>1.1011962406454856E-2</v>
      </c>
      <c r="T180">
        <f ca="1"/>
        <v>0.31731784603059571</v>
      </c>
      <c r="U180">
        <f ca="1"/>
        <v>0</v>
      </c>
      <c r="V180">
        <f ca="1"/>
        <v>183.41539415158107</v>
      </c>
      <c r="W180">
        <f ca="1"/>
        <v>162.04433030037248</v>
      </c>
      <c r="X180">
        <f ca="1"/>
        <v>0</v>
      </c>
      <c r="Y180">
        <f ca="1"/>
        <v>0.94996727391582581</v>
      </c>
      <c r="Z180">
        <f ca="1"/>
        <v>0</v>
      </c>
      <c r="AA180">
        <f ca="1"/>
        <v>0</v>
      </c>
      <c r="AB180">
        <f ca="1"/>
        <v>0.9999949787269139</v>
      </c>
      <c r="AD180" s="2">
        <f t="shared" ca="1" si="22"/>
        <v>45220</v>
      </c>
      <c r="AE180">
        <f t="shared" ca="1" si="23"/>
        <v>0</v>
      </c>
      <c r="AG180" s="63">
        <f t="shared" ca="1" si="27"/>
        <v>113.08868755670966</v>
      </c>
      <c r="AH180" s="63">
        <f t="shared" ca="1" si="28"/>
        <v>113.08868755670966</v>
      </c>
      <c r="AI180" s="3">
        <f t="shared" ca="1" si="29"/>
        <v>0</v>
      </c>
    </row>
    <row r="181" spans="7:35">
      <c r="G181" s="3">
        <f t="shared" si="24"/>
        <v>236</v>
      </c>
      <c r="H181" s="95">
        <f t="shared" si="26"/>
        <v>45161</v>
      </c>
      <c r="I181" s="119">
        <f>HLOOKUP($H$5,'Met Data'!$A$2:$F$368,G181,FALSE)</f>
        <v>11.0766666666666</v>
      </c>
      <c r="J181" s="119">
        <f ca="1">HLOOKUP($H$5,'Met Data'!$H$2:$M$368,G181,FALSE)*L181</f>
        <v>3.45</v>
      </c>
      <c r="K181" s="96">
        <f>HLOOKUP($H$5,'Met Data'!$O$2:$T$368,G181,FALSE)</f>
        <v>2.20927169374758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45221</v>
      </c>
      <c r="Q181">
        <f ca="1"/>
        <v>104.03460398163075</v>
      </c>
      <c r="R181">
        <f ca="1"/>
        <v>4.7279753626287686</v>
      </c>
      <c r="S181">
        <f ca="1"/>
        <v>1.11119097219472E-2</v>
      </c>
      <c r="T181">
        <f ca="1"/>
        <v>0.32859913470121632</v>
      </c>
      <c r="U181">
        <f ca="1"/>
        <v>0</v>
      </c>
      <c r="V181">
        <f ca="1"/>
        <v>188.14336951420984</v>
      </c>
      <c r="W181">
        <f ca="1"/>
        <v>166.22141480768857</v>
      </c>
      <c r="X181">
        <f ca="1"/>
        <v>0</v>
      </c>
      <c r="Y181">
        <f ca="1"/>
        <v>0.95809297209307231</v>
      </c>
      <c r="Z181">
        <f ca="1"/>
        <v>0</v>
      </c>
      <c r="AA181">
        <f ca="1"/>
        <v>0</v>
      </c>
      <c r="AB181">
        <f ca="1"/>
        <v>0.99999618020675241</v>
      </c>
      <c r="AD181" s="2">
        <f t="shared" ca="1" si="22"/>
        <v>45221</v>
      </c>
      <c r="AE181">
        <f t="shared" ca="1" si="23"/>
        <v>0</v>
      </c>
      <c r="AG181" s="63">
        <f t="shared" ca="1" si="27"/>
        <v>108.76257934425952</v>
      </c>
      <c r="AH181" s="63">
        <f t="shared" ca="1" si="28"/>
        <v>108.76257934425952</v>
      </c>
      <c r="AI181" s="3">
        <f t="shared" ca="1" si="29"/>
        <v>0</v>
      </c>
    </row>
    <row r="182" spans="7:35">
      <c r="G182" s="3">
        <f t="shared" si="24"/>
        <v>237</v>
      </c>
      <c r="H182" s="95">
        <f t="shared" si="26"/>
        <v>45162</v>
      </c>
      <c r="I182" s="119">
        <f>HLOOKUP($H$5,'Met Data'!$A$2:$F$368,G182,FALSE)</f>
        <v>11.088333333333299</v>
      </c>
      <c r="J182" s="119">
        <f ca="1">HLOOKUP($H$5,'Met Data'!$H$2:$M$368,G182,FALSE)*L182</f>
        <v>3.2366666666666601</v>
      </c>
      <c r="K182" s="96">
        <f>HLOOKUP($H$5,'Met Data'!$O$2:$T$368,G182,FALSE)</f>
        <v>1.9660073359530601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45222</v>
      </c>
      <c r="Q182">
        <f ca="1"/>
        <v>99.570447893511101</v>
      </c>
      <c r="R182">
        <f ca="1"/>
        <v>4.8157002306988943</v>
      </c>
      <c r="S182">
        <f ca="1"/>
        <v>1.1274928668867368E-2</v>
      </c>
      <c r="T182">
        <f ca="1"/>
        <v>0.3402692139103759</v>
      </c>
      <c r="U182">
        <f ca="1"/>
        <v>0</v>
      </c>
      <c r="V182">
        <f ca="1"/>
        <v>192.95906974490873</v>
      </c>
      <c r="W182">
        <f ca="1"/>
        <v>170.47600271957361</v>
      </c>
      <c r="X182">
        <f ca="1"/>
        <v>0</v>
      </c>
      <c r="Y182">
        <f ca="1"/>
        <v>0.97812842589852667</v>
      </c>
      <c r="Z182">
        <f ca="1"/>
        <v>0</v>
      </c>
      <c r="AA182">
        <f ca="1"/>
        <v>0</v>
      </c>
      <c r="AB182">
        <f ca="1"/>
        <v>0.99999712820361297</v>
      </c>
      <c r="AD182" s="2">
        <f t="shared" ca="1" si="22"/>
        <v>45222</v>
      </c>
      <c r="AE182">
        <f t="shared" ca="1" si="23"/>
        <v>0</v>
      </c>
      <c r="AG182" s="63">
        <f t="shared" ca="1" si="27"/>
        <v>104.38614812421</v>
      </c>
      <c r="AH182" s="63">
        <f t="shared" ca="1" si="28"/>
        <v>104.38614812421</v>
      </c>
      <c r="AI182" s="3">
        <f t="shared" ca="1" si="29"/>
        <v>0</v>
      </c>
    </row>
    <row r="183" spans="7:35">
      <c r="G183" s="3">
        <f t="shared" si="24"/>
        <v>238</v>
      </c>
      <c r="H183" s="95">
        <f t="shared" si="26"/>
        <v>45163</v>
      </c>
      <c r="I183" s="119">
        <f>HLOOKUP($H$5,'Met Data'!$A$2:$F$368,G183,FALSE)</f>
        <v>11.283333333333299</v>
      </c>
      <c r="J183" s="119">
        <f ca="1">HLOOKUP($H$5,'Met Data'!$H$2:$M$368,G183,FALSE)*L183</f>
        <v>7.0266666666666602</v>
      </c>
      <c r="K183" s="96">
        <f>HLOOKUP($H$5,'Met Data'!$O$2:$T$368,G183,FALSE)</f>
        <v>1.72961358813406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45223</v>
      </c>
      <c r="Q183">
        <f ca="1"/>
        <v>95.524039994679413</v>
      </c>
      <c r="R183">
        <f ca="1"/>
        <v>4.3802728040089391</v>
      </c>
      <c r="S183">
        <f ca="1"/>
        <v>1.070130239309286E-2</v>
      </c>
      <c r="T183">
        <f ca="1"/>
        <v>0.32316360278415929</v>
      </c>
      <c r="U183">
        <f ca="1"/>
        <v>0</v>
      </c>
      <c r="V183">
        <f ca="1"/>
        <v>197.33934254891767</v>
      </c>
      <c r="W183">
        <f ca="1"/>
        <v>174.34589802657257</v>
      </c>
      <c r="X183">
        <f ca="1"/>
        <v>0</v>
      </c>
      <c r="Y183">
        <f ca="1"/>
        <v>0.97903644370613163</v>
      </c>
      <c r="Z183">
        <f ca="1"/>
        <v>0</v>
      </c>
      <c r="AA183">
        <f ca="1"/>
        <v>0</v>
      </c>
      <c r="AB183">
        <f ca="1"/>
        <v>0.99999779951481527</v>
      </c>
      <c r="AD183" s="2">
        <f t="shared" ca="1" si="22"/>
        <v>45223</v>
      </c>
      <c r="AE183">
        <f t="shared" ca="1" si="23"/>
        <v>0</v>
      </c>
      <c r="AG183" s="63">
        <f t="shared" ca="1" si="27"/>
        <v>99.904312798688352</v>
      </c>
      <c r="AH183" s="63">
        <f t="shared" ca="1" si="28"/>
        <v>99.904312798688352</v>
      </c>
      <c r="AI183" s="3">
        <f t="shared" ca="1" si="29"/>
        <v>0</v>
      </c>
    </row>
    <row r="184" spans="7:35">
      <c r="G184" s="3">
        <f t="shared" si="24"/>
        <v>239</v>
      </c>
      <c r="H184" s="95">
        <f t="shared" si="26"/>
        <v>45164</v>
      </c>
      <c r="I184" s="119">
        <f>HLOOKUP($H$5,'Met Data'!$A$2:$F$368,G184,FALSE)</f>
        <v>11.1383333333333</v>
      </c>
      <c r="J184" s="119">
        <f ca="1">HLOOKUP($H$5,'Met Data'!$H$2:$M$368,G184,FALSE)*L184</f>
        <v>4.5666666666666602</v>
      </c>
      <c r="K184" s="96">
        <f>HLOOKUP($H$5,'Met Data'!$O$2:$T$368,G184,FALSE)</f>
        <v>2.0311984249146202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45224</v>
      </c>
      <c r="Q184">
        <f ca="1"/>
        <v>91.375338260053553</v>
      </c>
      <c r="R184">
        <f ca="1"/>
        <v>4.4911915920872332</v>
      </c>
      <c r="S184">
        <f ca="1"/>
        <v>1.0922004690112175E-2</v>
      </c>
      <c r="T184">
        <f ca="1"/>
        <v>0.33156785277125861</v>
      </c>
      <c r="U184">
        <f ca="1"/>
        <v>0</v>
      </c>
      <c r="V184">
        <f ca="1"/>
        <v>201.8305341410049</v>
      </c>
      <c r="W184">
        <f ca="1"/>
        <v>178.31378816554849</v>
      </c>
      <c r="X184">
        <f ca="1"/>
        <v>0</v>
      </c>
      <c r="Y184">
        <f ca="1"/>
        <v>0.94953808061621714</v>
      </c>
      <c r="Z184">
        <f ca="1"/>
        <v>0</v>
      </c>
      <c r="AA184">
        <f ca="1"/>
        <v>0</v>
      </c>
      <c r="AB184">
        <f ca="1"/>
        <v>0.99999833814472927</v>
      </c>
      <c r="AD184" s="2">
        <f t="shared" ca="1" si="22"/>
        <v>45224</v>
      </c>
      <c r="AE184">
        <f t="shared" ca="1" si="23"/>
        <v>0</v>
      </c>
      <c r="AG184" s="63">
        <f t="shared" ca="1" si="27"/>
        <v>95.866529852140786</v>
      </c>
      <c r="AH184" s="63">
        <f t="shared" ca="1" si="28"/>
        <v>95.866529852140786</v>
      </c>
      <c r="AI184" s="3">
        <f t="shared" ca="1" si="29"/>
        <v>0</v>
      </c>
    </row>
    <row r="185" spans="7:35">
      <c r="G185" s="3">
        <f t="shared" si="24"/>
        <v>240</v>
      </c>
      <c r="H185" s="95">
        <f t="shared" si="26"/>
        <v>45165</v>
      </c>
      <c r="I185" s="119">
        <f>HLOOKUP($H$5,'Met Data'!$A$2:$F$368,G185,FALSE)</f>
        <v>11.1133333333333</v>
      </c>
      <c r="J185" s="119">
        <f ca="1">HLOOKUP($H$5,'Met Data'!$H$2:$M$368,G185,FALSE)*L185</f>
        <v>2.8866666666666601</v>
      </c>
      <c r="K185" s="96">
        <f>HLOOKUP($H$5,'Met Data'!$O$2:$T$368,G185,FALSE)</f>
        <v>2.0005217214048798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45225</v>
      </c>
      <c r="Q185">
        <f ca="1"/>
        <v>87.211233420689794</v>
      </c>
      <c r="R185">
        <f ca="1"/>
        <v>4.495943178506991</v>
      </c>
      <c r="S185">
        <f ca="1"/>
        <v>1.1018617427636102E-2</v>
      </c>
      <c r="T185">
        <f ca="1"/>
        <v>0.3208197217155942</v>
      </c>
      <c r="U185">
        <f ca="1"/>
        <v>0</v>
      </c>
      <c r="V185">
        <f ca="1"/>
        <v>206.32647731951189</v>
      </c>
      <c r="W185">
        <f ca="1"/>
        <v>182.28587624899257</v>
      </c>
      <c r="X185">
        <f ca="1"/>
        <v>0</v>
      </c>
      <c r="Y185">
        <f ca="1"/>
        <v>0.90348647997195863</v>
      </c>
      <c r="Z185">
        <f ca="1"/>
        <v>0</v>
      </c>
      <c r="AA185">
        <f ca="1"/>
        <v>0</v>
      </c>
      <c r="AB185">
        <f ca="1"/>
        <v>0.99999875655655945</v>
      </c>
      <c r="AD185" s="2">
        <f t="shared" ca="1" si="22"/>
        <v>45225</v>
      </c>
      <c r="AE185">
        <f t="shared" ca="1" si="23"/>
        <v>0</v>
      </c>
      <c r="AG185" s="63">
        <f t="shared" ca="1" si="27"/>
        <v>91.707176599196785</v>
      </c>
      <c r="AH185" s="63">
        <f t="shared" ca="1" si="28"/>
        <v>91.707176599196785</v>
      </c>
      <c r="AI185" s="3">
        <f t="shared" ca="1" si="29"/>
        <v>0</v>
      </c>
    </row>
    <row r="186" spans="7:35">
      <c r="G186" s="3">
        <f t="shared" si="24"/>
        <v>241</v>
      </c>
      <c r="H186" s="95">
        <f t="shared" si="26"/>
        <v>45166</v>
      </c>
      <c r="I186" s="119">
        <f>HLOOKUP($H$5,'Met Data'!$A$2:$F$368,G186,FALSE)</f>
        <v>10.7724137931034</v>
      </c>
      <c r="J186" s="119">
        <f ca="1">HLOOKUP($H$5,'Met Data'!$H$2:$M$368,G186,FALSE)*L186</f>
        <v>2.4862068965517201</v>
      </c>
      <c r="K186" s="96">
        <f>HLOOKUP($H$5,'Met Data'!$O$2:$T$368,G186,FALSE)</f>
        <v>2.19808146037672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45226</v>
      </c>
      <c r="Q186">
        <f ca="1"/>
        <v>82.86635190404418</v>
      </c>
      <c r="R186">
        <f ca="1"/>
        <v>4.6993585819228088</v>
      </c>
      <c r="S186">
        <f ca="1"/>
        <v>1.1476079233962544E-2</v>
      </c>
      <c r="T186">
        <f ca="1"/>
        <v>0.34300098604322971</v>
      </c>
      <c r="U186">
        <f ca="1"/>
        <v>0</v>
      </c>
      <c r="V186">
        <f ca="1"/>
        <v>211.0258359014347</v>
      </c>
      <c r="W186">
        <f ca="1"/>
        <v>186.43767832521118</v>
      </c>
      <c r="X186">
        <f ca="1"/>
        <v>0</v>
      </c>
      <c r="Y186">
        <f ca="1"/>
        <v>0.90574171455988284</v>
      </c>
      <c r="Z186">
        <f ca="1"/>
        <v>0</v>
      </c>
      <c r="AA186">
        <f ca="1"/>
        <v>0</v>
      </c>
      <c r="AB186">
        <f ca="1"/>
        <v>0.99999909189587499</v>
      </c>
      <c r="AD186" s="2">
        <f t="shared" ca="1" si="22"/>
        <v>45226</v>
      </c>
      <c r="AE186">
        <f t="shared" ca="1" si="23"/>
        <v>0</v>
      </c>
      <c r="AG186" s="63">
        <f t="shared" ca="1" si="27"/>
        <v>87.565710485966989</v>
      </c>
      <c r="AH186" s="63">
        <f t="shared" ca="1" si="28"/>
        <v>87.565710485966989</v>
      </c>
      <c r="AI186" s="3">
        <f t="shared" ca="1" si="29"/>
        <v>0</v>
      </c>
    </row>
    <row r="187" spans="7:35">
      <c r="G187" s="3">
        <f t="shared" si="24"/>
        <v>242</v>
      </c>
      <c r="H187" s="95">
        <f t="shared" si="26"/>
        <v>45167</v>
      </c>
      <c r="I187" s="119">
        <f>HLOOKUP($H$5,'Met Data'!$A$2:$F$368,G187,FALSE)</f>
        <v>10.753448275862</v>
      </c>
      <c r="J187" s="119">
        <f ca="1">HLOOKUP($H$5,'Met Data'!$H$2:$M$368,G187,FALSE)*L187</f>
        <v>2.4068965517241301</v>
      </c>
      <c r="K187" s="96">
        <f>HLOOKUP($H$5,'Met Data'!$O$2:$T$368,G187,FALSE)</f>
        <v>2.1823268558862501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45227</v>
      </c>
      <c r="Q187">
        <f ca="1"/>
        <v>78.953635457994693</v>
      </c>
      <c r="R187">
        <f ca="1"/>
        <v>4.2601744168977405</v>
      </c>
      <c r="S187">
        <f ca="1"/>
        <v>1.0902510654349662E-2</v>
      </c>
      <c r="T187">
        <f ca="1"/>
        <v>0.3365554601939052</v>
      </c>
      <c r="U187">
        <f ca="1"/>
        <v>0</v>
      </c>
      <c r="V187">
        <f ca="1"/>
        <v>215.28601031833244</v>
      </c>
      <c r="W187">
        <f ca="1"/>
        <v>190.20146878316183</v>
      </c>
      <c r="X187">
        <f ca="1"/>
        <v>0</v>
      </c>
      <c r="Y187">
        <f ca="1"/>
        <v>0.92838282321586274</v>
      </c>
      <c r="Z187">
        <f ca="1"/>
        <v>0</v>
      </c>
      <c r="AA187">
        <f ca="1"/>
        <v>0</v>
      </c>
      <c r="AB187">
        <f ca="1"/>
        <v>0.99999932471084507</v>
      </c>
      <c r="AD187" s="2">
        <f t="shared" ca="1" si="22"/>
        <v>45227</v>
      </c>
      <c r="AE187">
        <f t="shared" ca="1" si="23"/>
        <v>0</v>
      </c>
      <c r="AG187" s="63">
        <f t="shared" ca="1" si="27"/>
        <v>83.213809874892434</v>
      </c>
      <c r="AH187" s="63">
        <f t="shared" ca="1" si="28"/>
        <v>83.213809874892434</v>
      </c>
      <c r="AI187" s="3">
        <f t="shared" ca="1" si="29"/>
        <v>0</v>
      </c>
    </row>
    <row r="188" spans="7:35">
      <c r="G188" s="3">
        <f t="shared" si="24"/>
        <v>243</v>
      </c>
      <c r="H188" s="95">
        <f t="shared" si="26"/>
        <v>45168</v>
      </c>
      <c r="I188" s="119">
        <f>HLOOKUP($H$5,'Met Data'!$A$2:$F$368,G188,FALSE)</f>
        <v>10.891379310344799</v>
      </c>
      <c r="J188" s="119">
        <f ca="1">HLOOKUP($H$5,'Met Data'!$H$2:$M$368,G188,FALSE)*L188</f>
        <v>2.9931034482758601</v>
      </c>
      <c r="K188" s="96">
        <f>HLOOKUP($H$5,'Met Data'!$O$2:$T$368,G188,FALSE)</f>
        <v>1.8307871864441201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45228</v>
      </c>
      <c r="Q188">
        <f ca="1"/>
        <v>75.196802598623819</v>
      </c>
      <c r="R188">
        <f ca="1"/>
        <v>4.0992731832108689</v>
      </c>
      <c r="S188">
        <f ca="1"/>
        <v>1.0785096680659301E-2</v>
      </c>
      <c r="T188">
        <f ca="1"/>
        <v>0.33165522715932449</v>
      </c>
      <c r="U188">
        <f ca="1"/>
        <v>0</v>
      </c>
      <c r="V188">
        <f ca="1"/>
        <v>219.38528350154331</v>
      </c>
      <c r="W188">
        <f ca="1"/>
        <v>193.82310578241342</v>
      </c>
      <c r="X188">
        <f ca="1"/>
        <v>0</v>
      </c>
      <c r="Y188">
        <f ca="1"/>
        <v>0.91567916757348666</v>
      </c>
      <c r="Z188">
        <f ca="1"/>
        <v>0</v>
      </c>
      <c r="AA188">
        <f ca="1"/>
        <v>0</v>
      </c>
      <c r="AB188">
        <f ca="1"/>
        <v>0.99999949809231514</v>
      </c>
      <c r="AD188" s="2">
        <f t="shared" ca="1" si="22"/>
        <v>45228</v>
      </c>
      <c r="AE188">
        <f t="shared" ca="1" si="23"/>
        <v>0</v>
      </c>
      <c r="AG188" s="63">
        <f t="shared" ca="1" si="27"/>
        <v>79.296075781834688</v>
      </c>
      <c r="AH188" s="63">
        <f t="shared" ca="1" si="28"/>
        <v>79.296075781834688</v>
      </c>
      <c r="AI188" s="3">
        <f t="shared" ca="1" si="29"/>
        <v>0</v>
      </c>
    </row>
    <row r="189" spans="7:35">
      <c r="G189" s="3">
        <f t="shared" si="24"/>
        <v>244</v>
      </c>
      <c r="H189" s="95">
        <f t="shared" si="26"/>
        <v>45169</v>
      </c>
      <c r="I189" s="119">
        <f>HLOOKUP($H$5,'Met Data'!$A$2:$F$368,G189,FALSE)</f>
        <v>10.953448275862</v>
      </c>
      <c r="J189" s="119">
        <f ca="1">HLOOKUP($H$5,'Met Data'!$H$2:$M$368,G189,FALSE)*L189</f>
        <v>4.8862068965517196</v>
      </c>
      <c r="K189" s="96">
        <f>HLOOKUP($H$5,'Met Data'!$O$2:$T$368,G189,FALSE)</f>
        <v>2.1498109306225701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45229</v>
      </c>
      <c r="Q189">
        <f ca="1"/>
        <v>71.436914257543691</v>
      </c>
      <c r="R189">
        <f ca="1"/>
        <v>4.1042674161904529</v>
      </c>
      <c r="S189">
        <f ca="1"/>
        <v>1.0972901381931521E-2</v>
      </c>
      <c r="T189">
        <f ca="1"/>
        <v>0.33340617372839737</v>
      </c>
      <c r="U189">
        <f ca="1"/>
        <v>0</v>
      </c>
      <c r="V189">
        <f ca="1"/>
        <v>223.48955091773377</v>
      </c>
      <c r="W189">
        <f ca="1"/>
        <v>197.44915510017449</v>
      </c>
      <c r="X189">
        <f ca="1"/>
        <v>0</v>
      </c>
      <c r="Y189">
        <f ca="1"/>
        <v>0.8915900035026566</v>
      </c>
      <c r="Z189">
        <f ca="1"/>
        <v>0</v>
      </c>
      <c r="AA189">
        <f ca="1"/>
        <v>0</v>
      </c>
      <c r="AB189">
        <f ca="1"/>
        <v>0.99999963198754105</v>
      </c>
      <c r="AD189" s="2">
        <f t="shared" ca="1" si="22"/>
        <v>45229</v>
      </c>
      <c r="AE189">
        <f t="shared" ca="1" si="23"/>
        <v>0</v>
      </c>
      <c r="AG189" s="63">
        <f t="shared" ca="1" si="27"/>
        <v>75.541181673734144</v>
      </c>
      <c r="AH189" s="63">
        <f t="shared" ca="1" si="28"/>
        <v>75.541181673734144</v>
      </c>
      <c r="AI189" s="3">
        <f t="shared" ca="1" si="29"/>
        <v>0</v>
      </c>
    </row>
    <row r="190" spans="7:35">
      <c r="G190" s="3">
        <f t="shared" si="24"/>
        <v>245</v>
      </c>
      <c r="H190" s="95">
        <f t="shared" si="26"/>
        <v>45170</v>
      </c>
      <c r="I190" s="119">
        <f>HLOOKUP($H$5,'Met Data'!$A$2:$F$368,G190,FALSE)</f>
        <v>10.803333333333301</v>
      </c>
      <c r="J190" s="119">
        <f ca="1">HLOOKUP($H$5,'Met Data'!$H$2:$M$368,G190,FALSE)*L190</f>
        <v>3.05</v>
      </c>
      <c r="K190" s="96">
        <f>HLOOKUP($H$5,'Met Data'!$O$2:$T$368,G190,FALSE)</f>
        <v>2.1147026396135802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45230</v>
      </c>
      <c r="Q190">
        <f ca="1"/>
        <v>67.917978289071229</v>
      </c>
      <c r="R190">
        <f ca="1"/>
        <v>3.8423228868955732</v>
      </c>
      <c r="S190">
        <f ca="1"/>
        <v>1.0697362809226618E-2</v>
      </c>
      <c r="T190">
        <f ca="1"/>
        <v>0.31268955561388367</v>
      </c>
      <c r="U190">
        <f ca="1"/>
        <v>0</v>
      </c>
      <c r="V190">
        <f ca="1"/>
        <v>227.33187380462934</v>
      </c>
      <c r="W190">
        <f ca="1"/>
        <v>200.84378095415394</v>
      </c>
      <c r="X190">
        <f ca="1"/>
        <v>0</v>
      </c>
      <c r="Y190">
        <f ca="1"/>
        <v>0.8537925583589373</v>
      </c>
      <c r="Z190">
        <f ca="1"/>
        <v>0</v>
      </c>
      <c r="AA190">
        <f ca="1"/>
        <v>0</v>
      </c>
      <c r="AB190">
        <f ca="1"/>
        <v>0.99999972853512564</v>
      </c>
      <c r="AD190" s="2">
        <f t="shared" ca="1" si="22"/>
        <v>45230</v>
      </c>
      <c r="AE190">
        <f t="shared" ca="1" si="23"/>
        <v>0</v>
      </c>
      <c r="AG190" s="63">
        <f t="shared" ca="1" si="27"/>
        <v>71.760301175966802</v>
      </c>
      <c r="AH190" s="63">
        <f t="shared" ca="1" si="28"/>
        <v>71.760301175966802</v>
      </c>
      <c r="AI190" s="3">
        <f t="shared" ca="1" si="29"/>
        <v>0</v>
      </c>
    </row>
    <row r="191" spans="7:35">
      <c r="G191" s="3">
        <f t="shared" si="24"/>
        <v>246</v>
      </c>
      <c r="H191" s="95">
        <f t="shared" si="26"/>
        <v>45171</v>
      </c>
      <c r="I191" s="119">
        <f>HLOOKUP($H$5,'Met Data'!$A$2:$F$368,G191,FALSE)</f>
        <v>10.862068965517199</v>
      </c>
      <c r="J191" s="119">
        <f ca="1">HLOOKUP($H$5,'Met Data'!$H$2:$M$368,G191,FALSE)*L191</f>
        <v>2.8035714285714199</v>
      </c>
      <c r="K191" s="96">
        <f>HLOOKUP($H$5,'Met Data'!$O$2:$T$368,G191,FALSE)</f>
        <v>2.04836351360946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45231</v>
      </c>
      <c r="Q191">
        <f ca="1"/>
        <v>64.737199852995602</v>
      </c>
      <c r="R191">
        <f ca="1"/>
        <v>3.4797441339889588</v>
      </c>
      <c r="S191">
        <f ca="1"/>
        <v>1.0218592110152969E-2</v>
      </c>
      <c r="T191">
        <f ca="1"/>
        <v>0.28874710580318264</v>
      </c>
      <c r="U191">
        <f ca="1"/>
        <v>0</v>
      </c>
      <c r="V191">
        <f ca="1"/>
        <v>230.8116179386183</v>
      </c>
      <c r="W191">
        <f ca="1"/>
        <v>203.9180747473068</v>
      </c>
      <c r="X191">
        <f ca="1"/>
        <v>0</v>
      </c>
      <c r="Y191">
        <f ca="1"/>
        <v>0.82396424300815785</v>
      </c>
      <c r="Z191">
        <f ca="1"/>
        <v>0</v>
      </c>
      <c r="AA191">
        <f ca="1"/>
        <v>0</v>
      </c>
      <c r="AB191">
        <f ca="1"/>
        <v>0.99999979662741112</v>
      </c>
      <c r="AD191" s="2">
        <f t="shared" ca="1" si="22"/>
        <v>45231</v>
      </c>
      <c r="AE191">
        <f t="shared" ca="1" si="23"/>
        <v>0</v>
      </c>
      <c r="AG191" s="63">
        <f t="shared" ca="1" si="27"/>
        <v>68.21694398698456</v>
      </c>
      <c r="AH191" s="63">
        <f t="shared" ca="1" si="28"/>
        <v>68.21694398698456</v>
      </c>
      <c r="AI191" s="3">
        <f t="shared" ca="1" si="29"/>
        <v>0</v>
      </c>
    </row>
    <row r="192" spans="7:35">
      <c r="G192" s="3">
        <f t="shared" si="24"/>
        <v>247</v>
      </c>
      <c r="H192" s="95">
        <f t="shared" si="26"/>
        <v>45172</v>
      </c>
      <c r="I192" s="119">
        <f>HLOOKUP($H$5,'Met Data'!$A$2:$F$368,G192,FALSE)</f>
        <v>11.4379310344827</v>
      </c>
      <c r="J192" s="119">
        <f ca="1">HLOOKUP($H$5,'Met Data'!$H$2:$M$368,G192,FALSE)*L192</f>
        <v>2.2964285714285699</v>
      </c>
      <c r="K192" s="96">
        <f>HLOOKUP($H$5,'Met Data'!$O$2:$T$368,G192,FALSE)</f>
        <v>2.1933906940536101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45232</v>
      </c>
      <c r="Q192">
        <f ca="1"/>
        <v>61.679990631514599</v>
      </c>
      <c r="R192">
        <f ca="1"/>
        <v>3.3384548194316608</v>
      </c>
      <c r="S192">
        <f ca="1"/>
        <v>1.0135806701466521E-2</v>
      </c>
      <c r="T192">
        <f ca="1"/>
        <v>0.27110979124918916</v>
      </c>
      <c r="U192">
        <f ca="1"/>
        <v>0</v>
      </c>
      <c r="V192">
        <f ca="1"/>
        <v>234.15007275804996</v>
      </c>
      <c r="W192">
        <f ca="1"/>
        <v>206.86754187330916</v>
      </c>
      <c r="X192">
        <f ca="1"/>
        <v>0</v>
      </c>
      <c r="Y192">
        <f ca="1"/>
        <v>0.77191222764245337</v>
      </c>
      <c r="Z192">
        <f ca="1"/>
        <v>0</v>
      </c>
      <c r="AA192">
        <f ca="1"/>
        <v>0</v>
      </c>
      <c r="AB192">
        <f ca="1"/>
        <v>0.99999984791543683</v>
      </c>
      <c r="AD192" s="2">
        <f t="shared" ca="1" si="22"/>
        <v>45232</v>
      </c>
      <c r="AE192">
        <f t="shared" ca="1" si="23"/>
        <v>0</v>
      </c>
      <c r="AG192" s="63">
        <f t="shared" ca="1" si="27"/>
        <v>65.01844545094626</v>
      </c>
      <c r="AH192" s="63">
        <f t="shared" ca="1" si="28"/>
        <v>65.01844545094626</v>
      </c>
      <c r="AI192" s="3">
        <f t="shared" ca="1" si="29"/>
        <v>0</v>
      </c>
    </row>
    <row r="193" spans="7:35">
      <c r="G193" s="3">
        <f t="shared" si="24"/>
        <v>248</v>
      </c>
      <c r="H193" s="95">
        <f t="shared" si="26"/>
        <v>45173</v>
      </c>
      <c r="I193" s="119">
        <f>HLOOKUP($H$5,'Met Data'!$A$2:$F$368,G193,FALSE)</f>
        <v>11.5448275862068</v>
      </c>
      <c r="J193" s="119">
        <f ca="1">HLOOKUP($H$5,'Met Data'!$H$2:$M$368,G193,FALSE)*L193</f>
        <v>3.6892857142857101</v>
      </c>
      <c r="K193" s="96">
        <f>HLOOKUP($H$5,'Met Data'!$O$2:$T$368,G193,FALSE)</f>
        <v>2.0025541274337399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45233</v>
      </c>
      <c r="Q193">
        <f ca="1"/>
        <v>58.81227560850396</v>
      </c>
      <c r="R193">
        <f ca="1"/>
        <v>3.1409748860103832</v>
      </c>
      <c r="S193">
        <f ca="1"/>
        <v>9.9411644417362055E-3</v>
      </c>
      <c r="T193">
        <f ca="1"/>
        <v>0.26331869855800744</v>
      </c>
      <c r="U193">
        <f ca="1"/>
        <v>0</v>
      </c>
      <c r="V193">
        <f ca="1"/>
        <v>237.29104764406034</v>
      </c>
      <c r="W193">
        <f ca="1"/>
        <v>209.64253889167941</v>
      </c>
      <c r="X193">
        <f ca="1"/>
        <v>0</v>
      </c>
      <c r="Y193">
        <f ca="1"/>
        <v>0.75654825421156313</v>
      </c>
      <c r="Z193">
        <f ca="1"/>
        <v>0</v>
      </c>
      <c r="AA193">
        <f ca="1"/>
        <v>0</v>
      </c>
      <c r="AB193">
        <f ca="1"/>
        <v>0.99999988588720312</v>
      </c>
      <c r="AD193" s="2">
        <f t="shared" ca="1" si="22"/>
        <v>45233</v>
      </c>
      <c r="AE193">
        <f t="shared" ca="1" si="23"/>
        <v>0</v>
      </c>
      <c r="AG193" s="63">
        <f t="shared" ca="1" si="27"/>
        <v>61.953250494514343</v>
      </c>
      <c r="AH193" s="63">
        <f t="shared" ca="1" si="28"/>
        <v>61.953250494514343</v>
      </c>
      <c r="AI193" s="3">
        <f t="shared" ca="1" si="29"/>
        <v>0</v>
      </c>
    </row>
    <row r="194" spans="7:35">
      <c r="G194" s="3">
        <f t="shared" si="24"/>
        <v>249</v>
      </c>
      <c r="H194" s="95">
        <f t="shared" si="26"/>
        <v>45174</v>
      </c>
      <c r="I194" s="119">
        <f>HLOOKUP($H$5,'Met Data'!$A$2:$F$368,G194,FALSE)</f>
        <v>11.734482758620601</v>
      </c>
      <c r="J194" s="119">
        <f ca="1">HLOOKUP($H$5,'Met Data'!$H$2:$M$368,G194,FALSE)*L194</f>
        <v>5.6892857142857096</v>
      </c>
      <c r="K194" s="96">
        <f>HLOOKUP($H$5,'Met Data'!$O$2:$T$368,G194,FALSE)</f>
        <v>2.0261980789565999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45234</v>
      </c>
      <c r="Q194">
        <f ca="1"/>
        <v>56.036339536203904</v>
      </c>
      <c r="R194">
        <f ca="1"/>
        <v>3.0528242521296534</v>
      </c>
      <c r="S194">
        <f ca="1"/>
        <v>9.9632241473965877E-3</v>
      </c>
      <c r="T194">
        <f ca="1"/>
        <v>0.26692495568220204</v>
      </c>
      <c r="U194">
        <f ca="1"/>
        <v>0</v>
      </c>
      <c r="V194">
        <f ca="1"/>
        <v>240.34387189619</v>
      </c>
      <c r="W194">
        <f ca="1"/>
        <v>212.33965634874656</v>
      </c>
      <c r="X194">
        <f ca="1"/>
        <v>0</v>
      </c>
      <c r="Y194">
        <f ca="1"/>
        <v>0.75336805506029469</v>
      </c>
      <c r="Z194">
        <f ca="1"/>
        <v>0</v>
      </c>
      <c r="AA194">
        <f ca="1"/>
        <v>0</v>
      </c>
      <c r="AB194">
        <f ca="1"/>
        <v>0.99999991494620988</v>
      </c>
      <c r="AD194" s="2">
        <f t="shared" ca="1" si="22"/>
        <v>45234</v>
      </c>
      <c r="AE194">
        <f t="shared" ca="1" si="23"/>
        <v>0</v>
      </c>
      <c r="AG194" s="63">
        <f t="shared" ca="1" si="27"/>
        <v>59.089163788333558</v>
      </c>
      <c r="AH194" s="63">
        <f t="shared" ca="1" si="28"/>
        <v>59.089163788333558</v>
      </c>
      <c r="AI194" s="3">
        <f t="shared" ca="1" si="29"/>
        <v>0</v>
      </c>
    </row>
    <row r="195" spans="7:35">
      <c r="G195" s="3">
        <f t="shared" si="24"/>
        <v>250</v>
      </c>
      <c r="H195" s="95">
        <f t="shared" si="26"/>
        <v>45175</v>
      </c>
      <c r="I195" s="119">
        <f>HLOOKUP($H$5,'Met Data'!$A$2:$F$368,G195,FALSE)</f>
        <v>11.682758620689601</v>
      </c>
      <c r="J195" s="119">
        <f ca="1">HLOOKUP($H$5,'Met Data'!$H$2:$M$368,G195,FALSE)*L195</f>
        <v>3.97586206896551</v>
      </c>
      <c r="K195" s="96">
        <f>HLOOKUP($H$5,'Met Data'!$O$2:$T$368,G195,FALSE)</f>
        <v>2.26836536246158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45235</v>
      </c>
      <c r="Q195">
        <f ca="1"/>
        <v>53.340672035838608</v>
      </c>
      <c r="R195">
        <f ca="1"/>
        <v>2.9993742987332439</v>
      </c>
      <c r="S195">
        <f ca="1"/>
        <v>1.00784502441158E-2</v>
      </c>
      <c r="T195">
        <f ca="1"/>
        <v>0.29362834812383404</v>
      </c>
      <c r="U195">
        <f ca="1"/>
        <v>0</v>
      </c>
      <c r="V195">
        <f ca="1"/>
        <v>243.34324619492324</v>
      </c>
      <c r="W195">
        <f ca="1"/>
        <v>214.98955169589888</v>
      </c>
      <c r="X195">
        <f ca="1"/>
        <v>0</v>
      </c>
      <c r="Y195">
        <f ca="1"/>
        <v>0.80378765163482779</v>
      </c>
      <c r="Z195">
        <f ca="1"/>
        <v>0</v>
      </c>
      <c r="AA195">
        <f ca="1"/>
        <v>0</v>
      </c>
      <c r="AB195">
        <f ca="1"/>
        <v>0.99999993730336778</v>
      </c>
      <c r="AD195" s="2">
        <f t="shared" ca="1" si="22"/>
        <v>45235</v>
      </c>
      <c r="AE195">
        <f t="shared" ca="1" si="23"/>
        <v>0</v>
      </c>
      <c r="AG195" s="63">
        <f t="shared" ca="1" si="27"/>
        <v>56.340046334571852</v>
      </c>
      <c r="AH195" s="63">
        <f t="shared" ca="1" si="28"/>
        <v>56.340046334571852</v>
      </c>
      <c r="AI195" s="3">
        <f t="shared" ca="1" si="29"/>
        <v>0</v>
      </c>
    </row>
    <row r="196" spans="7:35">
      <c r="G196" s="3">
        <f t="shared" si="24"/>
        <v>251</v>
      </c>
      <c r="H196" s="95">
        <f t="shared" si="26"/>
        <v>45176</v>
      </c>
      <c r="I196" s="119">
        <f>HLOOKUP($H$5,'Met Data'!$A$2:$F$368,G196,FALSE)</f>
        <v>11.389655172413701</v>
      </c>
      <c r="J196" s="119">
        <f ca="1">HLOOKUP($H$5,'Met Data'!$H$2:$M$368,G196,FALSE)*L196</f>
        <v>2.6793103448275799</v>
      </c>
      <c r="K196" s="96">
        <f>HLOOKUP($H$5,'Met Data'!$O$2:$T$368,G196,FALSE)</f>
        <v>2.1403968231495001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45236</v>
      </c>
      <c r="Q196">
        <f ca="1"/>
        <v>50.919101595672835</v>
      </c>
      <c r="R196">
        <f ca="1"/>
        <v>2.7192415022183241</v>
      </c>
      <c r="S196">
        <f ca="1"/>
        <v>9.6859155195909707E-3</v>
      </c>
      <c r="T196">
        <f ca="1"/>
        <v>0.28798514653296359</v>
      </c>
      <c r="U196">
        <f ca="1"/>
        <v>0</v>
      </c>
      <c r="V196">
        <f ca="1"/>
        <v>246.06248769714156</v>
      </c>
      <c r="W196">
        <f ca="1"/>
        <v>217.39195455957446</v>
      </c>
      <c r="X196">
        <f ca="1"/>
        <v>0</v>
      </c>
      <c r="Y196">
        <f ca="1"/>
        <v>0.81436076551585002</v>
      </c>
      <c r="Z196">
        <f ca="1"/>
        <v>0</v>
      </c>
      <c r="AA196">
        <f ca="1"/>
        <v>0</v>
      </c>
      <c r="AB196">
        <f ca="1"/>
        <v>0.99999995320195145</v>
      </c>
      <c r="AD196" s="2">
        <f t="shared" ca="1" si="22"/>
        <v>45236</v>
      </c>
      <c r="AE196">
        <f t="shared" ca="1" si="23"/>
        <v>0</v>
      </c>
      <c r="AG196" s="63">
        <f t="shared" ca="1" si="27"/>
        <v>53.638343097891159</v>
      </c>
      <c r="AH196" s="63">
        <f t="shared" ca="1" si="28"/>
        <v>53.638343097891159</v>
      </c>
      <c r="AI196" s="3">
        <f t="shared" ca="1" si="29"/>
        <v>0</v>
      </c>
    </row>
    <row r="197" spans="7:35">
      <c r="G197" s="3">
        <f t="shared" si="24"/>
        <v>252</v>
      </c>
      <c r="H197" s="95">
        <f t="shared" si="26"/>
        <v>45177</v>
      </c>
      <c r="I197" s="119">
        <f>HLOOKUP($H$5,'Met Data'!$A$2:$F$368,G197,FALSE)</f>
        <v>11.834482758620601</v>
      </c>
      <c r="J197" s="119">
        <f ca="1">HLOOKUP($H$5,'Met Data'!$H$2:$M$368,G197,FALSE)*L197</f>
        <v>4.4310344827586201</v>
      </c>
      <c r="K197" s="96">
        <f>HLOOKUP($H$5,'Met Data'!$O$2:$T$368,G197,FALSE)</f>
        <v>2.4179314095726698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45237</v>
      </c>
      <c r="Q197">
        <f ca="1"/>
        <v>48.576382034568297</v>
      </c>
      <c r="R197">
        <f ca="1"/>
        <v>2.6543396617519761</v>
      </c>
      <c r="S197">
        <f ca="1"/>
        <v>9.7723167693750668E-3</v>
      </c>
      <c r="T197">
        <f ca="1"/>
        <v>0.30184778387806682</v>
      </c>
      <c r="U197">
        <f ca="1"/>
        <v>0</v>
      </c>
      <c r="V197">
        <f ca="1"/>
        <v>248.71682735889354</v>
      </c>
      <c r="W197">
        <f ca="1"/>
        <v>219.73701776906086</v>
      </c>
      <c r="X197">
        <f ca="1"/>
        <v>0</v>
      </c>
      <c r="Y197">
        <f ca="1"/>
        <v>0.83035448497564623</v>
      </c>
      <c r="Z197">
        <f ca="1"/>
        <v>0</v>
      </c>
      <c r="AA197">
        <f ca="1"/>
        <v>0</v>
      </c>
      <c r="AB197">
        <f ca="1"/>
        <v>0.9999999654131414</v>
      </c>
      <c r="AD197" s="2">
        <f t="shared" ca="1" si="22"/>
        <v>45237</v>
      </c>
      <c r="AE197">
        <f t="shared" ca="1" si="23"/>
        <v>0</v>
      </c>
      <c r="AG197" s="63">
        <f t="shared" ca="1" si="27"/>
        <v>51.230721696320281</v>
      </c>
      <c r="AH197" s="63">
        <f t="shared" ca="1" si="28"/>
        <v>51.230721696320273</v>
      </c>
      <c r="AI197" s="3">
        <f t="shared" ca="1" si="29"/>
        <v>0</v>
      </c>
    </row>
    <row r="198" spans="7:35">
      <c r="G198" s="3">
        <f t="shared" si="24"/>
        <v>253</v>
      </c>
      <c r="H198" s="95">
        <f t="shared" si="26"/>
        <v>45178</v>
      </c>
      <c r="I198" s="119">
        <f>HLOOKUP($H$5,'Met Data'!$A$2:$F$368,G198,FALSE)</f>
        <v>11.465</v>
      </c>
      <c r="J198" s="119">
        <f ca="1">HLOOKUP($H$5,'Met Data'!$H$2:$M$368,G198,FALSE)*L198</f>
        <v>3.6827586206896501</v>
      </c>
      <c r="K198" s="96">
        <f>HLOOKUP($H$5,'Met Data'!$O$2:$T$368,G198,FALSE)</f>
        <v>2.2362909221430498</v>
      </c>
      <c r="L198">
        <f t="shared" ca="1" si="20"/>
        <v>1</v>
      </c>
      <c r="N198" t="b">
        <f t="shared" ca="1" si="25"/>
        <v>1</v>
      </c>
      <c r="O198" t="b">
        <f t="shared" ca="1" si="21"/>
        <v>1</v>
      </c>
      <c r="P198" s="2">
        <f ca="1"/>
        <v>45238</v>
      </c>
      <c r="Q198">
        <f ca="1"/>
        <v>46.327146930846553</v>
      </c>
      <c r="R198">
        <f ca="1"/>
        <v>2.5669759768814799</v>
      </c>
      <c r="S198">
        <f ca="1"/>
        <v>9.8234001777184332E-3</v>
      </c>
      <c r="T198">
        <f ca="1"/>
        <v>0.30791747298202227</v>
      </c>
      <c r="U198">
        <f ca="1"/>
        <v>0</v>
      </c>
      <c r="V198">
        <f ca="1"/>
        <v>251.28380333577502</v>
      </c>
      <c r="W198">
        <f ca="1"/>
        <v>222.00489667309185</v>
      </c>
      <c r="X198">
        <f ca="1"/>
        <v>0</v>
      </c>
      <c r="Y198">
        <f ca="1"/>
        <v>0.8287593200251393</v>
      </c>
      <c r="Z198">
        <f ca="1"/>
        <v>0</v>
      </c>
      <c r="AA198">
        <f ca="1"/>
        <v>0</v>
      </c>
      <c r="AB198">
        <f ca="1"/>
        <v>0.99999997465076906</v>
      </c>
      <c r="AD198" s="2">
        <f t="shared" ca="1" si="22"/>
        <v>45238</v>
      </c>
      <c r="AE198">
        <f t="shared" ca="1" si="23"/>
        <v>0</v>
      </c>
      <c r="AG198" s="63">
        <f t="shared" ca="1" si="27"/>
        <v>48.894122907728033</v>
      </c>
      <c r="AH198" s="63">
        <f t="shared" ca="1" si="28"/>
        <v>48.894122907728033</v>
      </c>
      <c r="AI198" s="3">
        <f t="shared" ca="1" si="29"/>
        <v>0</v>
      </c>
    </row>
    <row r="199" spans="7:35">
      <c r="G199" s="3">
        <f t="shared" si="24"/>
        <v>254</v>
      </c>
      <c r="H199" s="95">
        <f t="shared" si="26"/>
        <v>45179</v>
      </c>
      <c r="I199" s="119">
        <f>HLOOKUP($H$5,'Met Data'!$A$2:$F$368,G199,FALSE)</f>
        <v>11.62</v>
      </c>
      <c r="J199" s="119">
        <f ca="1">HLOOKUP($H$5,'Met Data'!$H$2:$M$368,G199,FALSE)*L199</f>
        <v>1.66333333333333</v>
      </c>
      <c r="K199" s="96">
        <f>HLOOKUP($H$5,'Met Data'!$O$2:$T$368,G199,FALSE)</f>
        <v>2.5120136328346701</v>
      </c>
      <c r="L199">
        <f t="shared" ref="L199:L262" ca="1" si="30">IF(H199&lt;$B$32,$J$4,$J$5)</f>
        <v>1</v>
      </c>
      <c r="N199" t="b">
        <f t="shared" ca="1" si="25"/>
        <v>1</v>
      </c>
      <c r="O199" t="b">
        <f t="shared" ref="O199:O262" ca="1" si="31">AND(IF(P199&gt;($P$3-1),TRUE,FALSE),IF(P199&lt;($P$4+1),TRUE,FALSE))</f>
        <v>1</v>
      </c>
      <c r="P199" s="2">
        <f ca="1"/>
        <v>45239</v>
      </c>
      <c r="Q199">
        <f ca="1"/>
        <v>44.310910334739432</v>
      </c>
      <c r="R199">
        <f ca="1"/>
        <v>2.3240666871658959</v>
      </c>
      <c r="S199">
        <f ca="1"/>
        <v>9.4591744902228214E-3</v>
      </c>
      <c r="T199">
        <f ca="1"/>
        <v>0.29837091656854881</v>
      </c>
      <c r="U199">
        <f ca="1"/>
        <v>0</v>
      </c>
      <c r="V199">
        <f ca="1"/>
        <v>253.60787002294092</v>
      </c>
      <c r="W199">
        <f ca="1"/>
        <v>224.05816941847533</v>
      </c>
      <c r="X199">
        <f ca="1"/>
        <v>0</v>
      </c>
      <c r="Y199">
        <f ca="1"/>
        <v>0.82771222074121265</v>
      </c>
      <c r="Z199">
        <f ca="1"/>
        <v>0</v>
      </c>
      <c r="AA199">
        <f ca="1"/>
        <v>0</v>
      </c>
      <c r="AB199">
        <f ca="1"/>
        <v>0.99999998120730493</v>
      </c>
      <c r="AD199" s="2">
        <f t="shared" ref="AD199:AD262" ca="1" si="32">IFERROR(P199,$AD$5)</f>
        <v>45239</v>
      </c>
      <c r="AE199">
        <f t="shared" ref="AE199:AE262" ca="1" si="33">IFERROR(U199,0)</f>
        <v>0</v>
      </c>
      <c r="AG199" s="63">
        <f t="shared" ca="1" si="27"/>
        <v>46.634977021905328</v>
      </c>
      <c r="AH199" s="63">
        <f t="shared" ca="1" si="28"/>
        <v>46.634977021905328</v>
      </c>
      <c r="AI199" s="3">
        <f t="shared" ca="1" si="29"/>
        <v>0</v>
      </c>
    </row>
    <row r="200" spans="7:35">
      <c r="G200" s="3">
        <f t="shared" ref="G200:G263" si="34">H200-DATE(YEAR(H200),1,0)+1</f>
        <v>255</v>
      </c>
      <c r="H200" s="95">
        <f t="shared" si="26"/>
        <v>45180</v>
      </c>
      <c r="I200" s="119">
        <f>HLOOKUP($H$5,'Met Data'!$A$2:$F$368,G200,FALSE)</f>
        <v>11.7633333333333</v>
      </c>
      <c r="J200" s="119">
        <f ca="1">HLOOKUP($H$5,'Met Data'!$H$2:$M$368,G200,FALSE)*L200</f>
        <v>3.2833333333333301</v>
      </c>
      <c r="K200" s="96">
        <f>HLOOKUP($H$5,'Met Data'!$O$2:$T$368,G200,FALSE)</f>
        <v>2.3151045080086101</v>
      </c>
      <c r="L200">
        <f t="shared" ca="1" si="30"/>
        <v>1</v>
      </c>
      <c r="N200" t="b">
        <f t="shared" ref="N200:N263" ca="1" si="35">IF(P200&lt;$P$4,TRUE,FALSE)</f>
        <v>1</v>
      </c>
      <c r="O200" t="b">
        <f t="shared" ca="1" si="31"/>
        <v>1</v>
      </c>
      <c r="P200" s="2">
        <f ca="1"/>
        <v>45240</v>
      </c>
      <c r="Q200">
        <f ca="1"/>
        <v>42.357056095488858</v>
      </c>
      <c r="R200">
        <f ca="1"/>
        <v>2.2636294747885302</v>
      </c>
      <c r="S200">
        <f ca="1"/>
        <v>9.567371900312871E-3</v>
      </c>
      <c r="T200">
        <f ca="1"/>
        <v>0.30020786363764246</v>
      </c>
      <c r="U200">
        <f ca="1"/>
        <v>0</v>
      </c>
      <c r="V200">
        <f ca="1"/>
        <v>255.87149949772945</v>
      </c>
      <c r="W200">
        <f ca="1"/>
        <v>226.05804693141269</v>
      </c>
      <c r="X200">
        <f ca="1"/>
        <v>0</v>
      </c>
      <c r="Y200">
        <f ca="1"/>
        <v>0.80964524638874902</v>
      </c>
      <c r="Z200">
        <f ca="1"/>
        <v>0</v>
      </c>
      <c r="AA200">
        <f ca="1"/>
        <v>0</v>
      </c>
      <c r="AB200">
        <f ca="1"/>
        <v>0.99027021861755726</v>
      </c>
      <c r="AD200" s="2">
        <f t="shared" ca="1" si="32"/>
        <v>45240</v>
      </c>
      <c r="AE200">
        <f t="shared" ca="1" si="33"/>
        <v>0</v>
      </c>
      <c r="AG200" s="63">
        <f t="shared" ca="1" si="27"/>
        <v>44.620685570277388</v>
      </c>
      <c r="AH200" s="63">
        <f t="shared" ca="1" si="28"/>
        <v>44.620685570277388</v>
      </c>
      <c r="AI200" s="3">
        <f t="shared" ca="1" si="29"/>
        <v>0</v>
      </c>
    </row>
    <row r="201" spans="7:35">
      <c r="G201" s="3">
        <f t="shared" si="34"/>
        <v>256</v>
      </c>
      <c r="H201" s="95">
        <f t="shared" ref="H201:H264" si="36">H200+1</f>
        <v>45181</v>
      </c>
      <c r="I201" s="119">
        <f>HLOOKUP($H$5,'Met Data'!$A$2:$F$368,G201,FALSE)</f>
        <v>12.158333333333299</v>
      </c>
      <c r="J201" s="119">
        <f ca="1">HLOOKUP($H$5,'Met Data'!$H$2:$M$368,G201,FALSE)*L201</f>
        <v>3.8833333333333302</v>
      </c>
      <c r="K201" s="96">
        <f>HLOOKUP($H$5,'Met Data'!$O$2:$T$368,G201,FALSE)</f>
        <v>2.3727724062230302</v>
      </c>
      <c r="L201">
        <f t="shared" ca="1" si="30"/>
        <v>1</v>
      </c>
      <c r="N201" t="b">
        <f t="shared" ca="1" si="35"/>
        <v>1</v>
      </c>
      <c r="O201" t="b">
        <f t="shared" ca="1" si="31"/>
        <v>1</v>
      </c>
      <c r="P201" s="2">
        <f ca="1"/>
        <v>45241</v>
      </c>
      <c r="Q201">
        <f ca="1"/>
        <v>40.515737623661209</v>
      </c>
      <c r="R201">
        <f ca="1"/>
        <v>2.1397859754377748</v>
      </c>
      <c r="S201">
        <f ca="1"/>
        <v>9.5036713142944151E-3</v>
      </c>
      <c r="T201">
        <f ca="1"/>
        <v>0.28896383229583161</v>
      </c>
      <c r="U201">
        <f ca="1"/>
        <v>0</v>
      </c>
      <c r="V201">
        <f ca="1"/>
        <v>258.01128547316722</v>
      </c>
      <c r="W201">
        <f ca="1"/>
        <v>227.94851085337433</v>
      </c>
      <c r="X201">
        <f ca="1"/>
        <v>0</v>
      </c>
      <c r="Y201">
        <f ca="1"/>
        <v>0.77433378232100103</v>
      </c>
      <c r="Z201">
        <f ca="1"/>
        <v>0</v>
      </c>
      <c r="AA201">
        <f ca="1"/>
        <v>0</v>
      </c>
      <c r="AB201">
        <f ca="1"/>
        <v>0.95992667571299628</v>
      </c>
      <c r="AD201" s="2">
        <f t="shared" ca="1" si="32"/>
        <v>45241</v>
      </c>
      <c r="AE201">
        <f t="shared" ca="1" si="33"/>
        <v>0</v>
      </c>
      <c r="AG201" s="63">
        <f ca="1">Q200+S201+T201+U201</f>
        <v>42.655523599098984</v>
      </c>
      <c r="AH201" s="63">
        <f ca="1">Q201+R201+X201</f>
        <v>42.655523599098984</v>
      </c>
      <c r="AI201" s="3">
        <f ca="1">AH201-AG201</f>
        <v>0</v>
      </c>
    </row>
    <row r="202" spans="7:35">
      <c r="G202" s="3">
        <f t="shared" si="34"/>
        <v>257</v>
      </c>
      <c r="H202" s="95">
        <f t="shared" si="36"/>
        <v>45182</v>
      </c>
      <c r="I202" s="119">
        <f>HLOOKUP($H$5,'Met Data'!$A$2:$F$368,G202,FALSE)</f>
        <v>11.908333333333299</v>
      </c>
      <c r="J202" s="119">
        <f ca="1">HLOOKUP($H$5,'Met Data'!$H$2:$M$368,G202,FALSE)*L202</f>
        <v>5.26</v>
      </c>
      <c r="K202" s="96">
        <f>HLOOKUP($H$5,'Met Data'!$O$2:$T$368,G202,FALSE)</f>
        <v>2.4036248389024699</v>
      </c>
      <c r="L202">
        <f t="shared" ca="1" si="30"/>
        <v>1</v>
      </c>
      <c r="N202" t="b">
        <f t="shared" ca="1" si="35"/>
        <v>1</v>
      </c>
      <c r="O202" t="b">
        <f t="shared" ca="1" si="31"/>
        <v>1</v>
      </c>
      <c r="P202" s="2">
        <f ca="1"/>
        <v>45242</v>
      </c>
      <c r="Q202">
        <f ca="1"/>
        <v>38.8201140615691</v>
      </c>
      <c r="R202">
        <f ca="1"/>
        <v>1.9944136166067779</v>
      </c>
      <c r="S202">
        <f ca="1"/>
        <v>9.3591869658204985E-3</v>
      </c>
      <c r="T202">
        <f ca="1"/>
        <v>0.28943086754884212</v>
      </c>
      <c r="U202">
        <f ca="1"/>
        <v>0</v>
      </c>
      <c r="V202">
        <f ca="1"/>
        <v>260.005699089774</v>
      </c>
      <c r="W202">
        <f ca="1"/>
        <v>229.71054080914732</v>
      </c>
      <c r="X202">
        <f ca="1"/>
        <v>0</v>
      </c>
      <c r="Y202">
        <f ca="1"/>
        <v>0.77736984971262446</v>
      </c>
      <c r="Z202">
        <f ca="1"/>
        <v>0</v>
      </c>
      <c r="AA202">
        <f ca="1"/>
        <v>0</v>
      </c>
      <c r="AB202">
        <f ca="1"/>
        <v>0.92967071179474703</v>
      </c>
      <c r="AD202" s="2">
        <f t="shared" ca="1" si="32"/>
        <v>45242</v>
      </c>
      <c r="AE202">
        <f t="shared" ca="1" si="33"/>
        <v>0</v>
      </c>
      <c r="AG202" s="63">
        <f ca="1">Q201+S202+T202+U202</f>
        <v>40.814527678175878</v>
      </c>
      <c r="AH202" s="63">
        <f ca="1">Q202+R202+X202</f>
        <v>40.814527678175878</v>
      </c>
      <c r="AI202" s="3">
        <f ca="1">AH202-AG202</f>
        <v>0</v>
      </c>
    </row>
    <row r="203" spans="7:35">
      <c r="G203" s="3">
        <f t="shared" si="34"/>
        <v>258</v>
      </c>
      <c r="H203" s="95">
        <f t="shared" si="36"/>
        <v>45183</v>
      </c>
      <c r="I203" s="119">
        <f>HLOOKUP($H$5,'Met Data'!$A$2:$F$368,G203,FALSE)</f>
        <v>12.074999999999999</v>
      </c>
      <c r="J203" s="119">
        <f ca="1">HLOOKUP($H$5,'Met Data'!$H$2:$M$368,G203,FALSE)*L203</f>
        <v>3.6933333333333298</v>
      </c>
      <c r="K203" s="96">
        <f>HLOOKUP($H$5,'Met Data'!$O$2:$T$368,G203,FALSE)</f>
        <v>2.56639010677653</v>
      </c>
      <c r="L203">
        <f t="shared" ca="1" si="30"/>
        <v>1</v>
      </c>
      <c r="N203" t="b">
        <f t="shared" ca="1" si="35"/>
        <v>1</v>
      </c>
      <c r="O203" t="b">
        <f t="shared" ca="1" si="31"/>
        <v>1</v>
      </c>
      <c r="P203" s="2">
        <f ca="1"/>
        <v>45243</v>
      </c>
      <c r="Q203">
        <f ca="1"/>
        <v>37.288356701261847</v>
      </c>
      <c r="R203">
        <f ca="1"/>
        <v>1.8200116115015135</v>
      </c>
      <c r="S203">
        <f ca="1"/>
        <v>9.0895120581881983E-3</v>
      </c>
      <c r="T203">
        <f ca="1"/>
        <v>0.27916473913607009</v>
      </c>
      <c r="U203">
        <f ca="1"/>
        <v>0</v>
      </c>
      <c r="V203">
        <f ca="1"/>
        <v>261.82571070127551</v>
      </c>
      <c r="W203">
        <f ca="1"/>
        <v>231.31848960804109</v>
      </c>
      <c r="X203">
        <f ca="1"/>
        <v>0</v>
      </c>
      <c r="Y203">
        <f ca="1"/>
        <v>0.76452424848932299</v>
      </c>
      <c r="Z203">
        <f ca="1"/>
        <v>0</v>
      </c>
      <c r="AA203">
        <f ca="1"/>
        <v>0</v>
      </c>
      <c r="AB203">
        <f ca="1"/>
        <v>0.90012568317714803</v>
      </c>
      <c r="AD203" s="2">
        <f t="shared" ca="1" si="32"/>
        <v>45243</v>
      </c>
      <c r="AE203">
        <f t="shared" ca="1" si="33"/>
        <v>0</v>
      </c>
      <c r="AG203" s="63">
        <f ca="1">Q202+S203+T203+U203</f>
        <v>39.108368312763361</v>
      </c>
      <c r="AH203" s="63">
        <f ca="1">Q203+R203+X203</f>
        <v>39.108368312763361</v>
      </c>
      <c r="AI203" s="3">
        <f ca="1">AH203-AG203</f>
        <v>0</v>
      </c>
    </row>
    <row r="204" spans="7:35">
      <c r="G204" s="3">
        <f t="shared" si="34"/>
        <v>259</v>
      </c>
      <c r="H204" s="95">
        <f t="shared" si="36"/>
        <v>45184</v>
      </c>
      <c r="I204" s="119">
        <f>HLOOKUP($H$5,'Met Data'!$A$2:$F$368,G204,FALSE)</f>
        <v>12.3883333333333</v>
      </c>
      <c r="J204" s="119">
        <f ca="1">HLOOKUP($H$5,'Met Data'!$H$2:$M$368,G204,FALSE)*L204</f>
        <v>3.26</v>
      </c>
      <c r="K204" s="96">
        <f>HLOOKUP($H$5,'Met Data'!$O$2:$T$368,G204,FALSE)</f>
        <v>2.3157931057843801</v>
      </c>
      <c r="L204">
        <f t="shared" ca="1" si="30"/>
        <v>1</v>
      </c>
      <c r="N204" t="b">
        <f t="shared" ca="1" si="35"/>
        <v>1</v>
      </c>
      <c r="O204" t="b">
        <f t="shared" ca="1" si="31"/>
        <v>1</v>
      </c>
      <c r="P204" s="2">
        <f ca="1"/>
        <v>45244</v>
      </c>
      <c r="Q204">
        <f ca="1"/>
        <v>35.880171236428545</v>
      </c>
      <c r="R204">
        <f ca="1"/>
        <v>1.6915462004847654</v>
      </c>
      <c r="S204">
        <f ca="1"/>
        <v>8.9380731843062833E-3</v>
      </c>
      <c r="T204">
        <f ca="1"/>
        <v>0.27442266246716146</v>
      </c>
      <c r="U204">
        <f ca="1"/>
        <v>0</v>
      </c>
      <c r="V204">
        <f ca="1"/>
        <v>263.51725690176028</v>
      </c>
      <c r="W204">
        <f ca="1"/>
        <v>232.81294143689445</v>
      </c>
      <c r="X204">
        <f ca="1"/>
        <v>0</v>
      </c>
      <c r="Y204">
        <f ca="1"/>
        <v>0.7547988710368142</v>
      </c>
      <c r="Z204">
        <f ca="1"/>
        <v>0</v>
      </c>
      <c r="AA204">
        <f ca="1"/>
        <v>0</v>
      </c>
      <c r="AB204">
        <f ca="1"/>
        <v>0.87074035741694178</v>
      </c>
      <c r="AD204" s="2">
        <f t="shared" ca="1" si="32"/>
        <v>45244</v>
      </c>
      <c r="AE204">
        <f t="shared" ca="1" si="33"/>
        <v>0</v>
      </c>
      <c r="AG204" s="63">
        <f t="shared" ref="AG204:AG267" ca="1" si="37">Q203+S204+T204+U204</f>
        <v>37.57171743691331</v>
      </c>
      <c r="AH204" s="63">
        <f t="shared" ref="AH204:AH267" ca="1" si="38">Q204+R204+X204</f>
        <v>37.57171743691331</v>
      </c>
      <c r="AI204" s="3">
        <f t="shared" ref="AI204:AI267" ca="1" si="39">AH204-AG204</f>
        <v>0</v>
      </c>
    </row>
    <row r="205" spans="7:35">
      <c r="G205" s="3">
        <f t="shared" si="34"/>
        <v>260</v>
      </c>
      <c r="H205" s="95">
        <f t="shared" si="36"/>
        <v>45185</v>
      </c>
      <c r="I205" s="119">
        <f>HLOOKUP($H$5,'Met Data'!$A$2:$F$368,G205,FALSE)</f>
        <v>12.5766666666666</v>
      </c>
      <c r="J205" s="119">
        <f ca="1">HLOOKUP($H$5,'Met Data'!$H$2:$M$368,G205,FALSE)*L205</f>
        <v>3.5999999999999899</v>
      </c>
      <c r="K205" s="96">
        <f>HLOOKUP($H$5,'Met Data'!$O$2:$T$368,G205,FALSE)</f>
        <v>2.2894884287258899</v>
      </c>
      <c r="L205">
        <f t="shared" ca="1" si="30"/>
        <v>1</v>
      </c>
      <c r="N205" t="b">
        <f t="shared" ca="1" si="35"/>
        <v>1</v>
      </c>
      <c r="O205" t="b">
        <f t="shared" ca="1" si="31"/>
        <v>1</v>
      </c>
      <c r="P205" s="2">
        <f ca="1"/>
        <v>45245</v>
      </c>
      <c r="Q205">
        <f ca="1"/>
        <v>34.524462147957848</v>
      </c>
      <c r="R205">
        <f ca="1"/>
        <v>1.6366230941316644</v>
      </c>
      <c r="S205">
        <f ca="1"/>
        <v>9.0397121365386468E-3</v>
      </c>
      <c r="T205">
        <f ca="1"/>
        <v>0.27187429352442855</v>
      </c>
      <c r="U205">
        <f ca="1"/>
        <v>0</v>
      </c>
      <c r="V205">
        <f ca="1"/>
        <v>265.15387999589194</v>
      </c>
      <c r="W205">
        <f ca="1"/>
        <v>234.25886965065993</v>
      </c>
      <c r="X205">
        <f ca="1"/>
        <v>0</v>
      </c>
      <c r="Y205">
        <f ca="1"/>
        <v>0.72508938354022134</v>
      </c>
      <c r="Z205">
        <f ca="1"/>
        <v>0</v>
      </c>
      <c r="AA205">
        <f ca="1"/>
        <v>0</v>
      </c>
      <c r="AB205">
        <f ca="1"/>
        <v>0.84025256677021953</v>
      </c>
      <c r="AD205" s="2">
        <f t="shared" ca="1" si="32"/>
        <v>45245</v>
      </c>
      <c r="AE205">
        <f t="shared" ca="1" si="33"/>
        <v>0</v>
      </c>
      <c r="AG205" s="63">
        <f t="shared" ca="1" si="37"/>
        <v>36.161085242089513</v>
      </c>
      <c r="AH205" s="63">
        <f t="shared" ca="1" si="38"/>
        <v>36.161085242089513</v>
      </c>
      <c r="AI205" s="3">
        <f t="shared" ca="1" si="39"/>
        <v>0</v>
      </c>
    </row>
    <row r="206" spans="7:35">
      <c r="G206" s="3">
        <f t="shared" si="34"/>
        <v>261</v>
      </c>
      <c r="H206" s="95">
        <f t="shared" si="36"/>
        <v>45186</v>
      </c>
      <c r="I206" s="119">
        <f>HLOOKUP($H$5,'Met Data'!$A$2:$F$368,G206,FALSE)</f>
        <v>12.482258064516101</v>
      </c>
      <c r="J206" s="119">
        <f ca="1">HLOOKUP($H$5,'Met Data'!$H$2:$M$368,G206,FALSE)*L206</f>
        <v>2.73870967741935</v>
      </c>
      <c r="K206" s="96">
        <f>HLOOKUP($H$5,'Met Data'!$O$2:$T$368,G206,FALSE)</f>
        <v>2.42321708135252</v>
      </c>
      <c r="L206">
        <f t="shared" ca="1" si="30"/>
        <v>1</v>
      </c>
      <c r="N206" t="b">
        <f t="shared" ca="1" si="35"/>
        <v>1</v>
      </c>
      <c r="O206" t="b">
        <f t="shared" ca="1" si="31"/>
        <v>1</v>
      </c>
      <c r="P206" s="2">
        <f ca="1"/>
        <v>45246</v>
      </c>
      <c r="Q206">
        <f ca="1"/>
        <v>33.247145803501802</v>
      </c>
      <c r="R206">
        <f ca="1"/>
        <v>1.5715997024716444</v>
      </c>
      <c r="S206">
        <f ca="1"/>
        <v>9.1211332202805195E-3</v>
      </c>
      <c r="T206">
        <f ca="1"/>
        <v>0.285162224795313</v>
      </c>
      <c r="U206">
        <f ca="1"/>
        <v>0</v>
      </c>
      <c r="V206">
        <f ca="1"/>
        <v>266.72547969836359</v>
      </c>
      <c r="W206">
        <f ca="1"/>
        <v>235.64735082185771</v>
      </c>
      <c r="X206">
        <f ca="1"/>
        <v>0</v>
      </c>
      <c r="Y206">
        <f ca="1"/>
        <v>0.7406352381573521</v>
      </c>
      <c r="Z206">
        <f ca="1"/>
        <v>0</v>
      </c>
      <c r="AA206">
        <f ca="1"/>
        <v>0</v>
      </c>
      <c r="AB206">
        <f ca="1"/>
        <v>0.80874989022329402</v>
      </c>
      <c r="AD206" s="2">
        <f t="shared" ca="1" si="32"/>
        <v>45246</v>
      </c>
      <c r="AE206">
        <f t="shared" ca="1" si="33"/>
        <v>0</v>
      </c>
      <c r="AG206" s="63">
        <f t="shared" ca="1" si="37"/>
        <v>34.818745505973446</v>
      </c>
      <c r="AH206" s="63">
        <f t="shared" ca="1" si="38"/>
        <v>34.818745505973446</v>
      </c>
      <c r="AI206" s="3">
        <f t="shared" ca="1" si="39"/>
        <v>0</v>
      </c>
    </row>
    <row r="207" spans="7:35">
      <c r="G207" s="3">
        <f t="shared" si="34"/>
        <v>262</v>
      </c>
      <c r="H207" s="95">
        <f t="shared" si="36"/>
        <v>45187</v>
      </c>
      <c r="I207" s="119">
        <f>HLOOKUP($H$5,'Met Data'!$A$2:$F$368,G207,FALSE)</f>
        <v>12.261290322580599</v>
      </c>
      <c r="J207" s="119">
        <f ca="1">HLOOKUP($H$5,'Met Data'!$H$2:$M$368,G207,FALSE)*L207</f>
        <v>2.5741935483870901</v>
      </c>
      <c r="K207" s="96">
        <f>HLOOKUP($H$5,'Met Data'!$O$2:$T$368,G207,FALSE)</f>
        <v>2.45933848636487</v>
      </c>
      <c r="L207">
        <f t="shared" ca="1" si="30"/>
        <v>1</v>
      </c>
      <c r="N207" t="b">
        <f t="shared" ca="1" si="35"/>
        <v>1</v>
      </c>
      <c r="O207" t="b">
        <f t="shared" ca="1" si="31"/>
        <v>1</v>
      </c>
      <c r="P207" s="2">
        <f ca="1"/>
        <v>45247</v>
      </c>
      <c r="Q207">
        <f ca="1"/>
        <v>32.118645580702889</v>
      </c>
      <c r="R207">
        <f ca="1"/>
        <v>1.404094935850253</v>
      </c>
      <c r="S207">
        <f ca="1"/>
        <v>8.7580584655864158E-3</v>
      </c>
      <c r="T207">
        <f ca="1"/>
        <v>0.26683665458575262</v>
      </c>
      <c r="U207">
        <f ca="1"/>
        <v>0</v>
      </c>
      <c r="V207">
        <f ca="1"/>
        <v>268.12957463421384</v>
      </c>
      <c r="W207">
        <f ca="1"/>
        <v>236.88784442715433</v>
      </c>
      <c r="X207">
        <f ca="1"/>
        <v>0</v>
      </c>
      <c r="Y207">
        <f ca="1"/>
        <v>0.71463071685970836</v>
      </c>
      <c r="Z207">
        <f ca="1"/>
        <v>0</v>
      </c>
      <c r="AA207">
        <f ca="1"/>
        <v>0</v>
      </c>
      <c r="AB207">
        <f ca="1"/>
        <v>0.77844240925427322</v>
      </c>
      <c r="AD207" s="2">
        <f t="shared" ca="1" si="32"/>
        <v>45247</v>
      </c>
      <c r="AE207">
        <f t="shared" ca="1" si="33"/>
        <v>0</v>
      </c>
      <c r="AG207" s="63">
        <f t="shared" ca="1" si="37"/>
        <v>33.522740516553142</v>
      </c>
      <c r="AH207" s="63">
        <f t="shared" ca="1" si="38"/>
        <v>33.522740516553142</v>
      </c>
      <c r="AI207" s="3">
        <f t="shared" ca="1" si="39"/>
        <v>0</v>
      </c>
    </row>
    <row r="208" spans="7:35">
      <c r="G208" s="3">
        <f t="shared" si="34"/>
        <v>263</v>
      </c>
      <c r="H208" s="95">
        <f t="shared" si="36"/>
        <v>45188</v>
      </c>
      <c r="I208" s="119">
        <f>HLOOKUP($H$5,'Met Data'!$A$2:$F$368,G208,FALSE)</f>
        <v>12.1677419354838</v>
      </c>
      <c r="J208" s="119">
        <f ca="1">HLOOKUP($H$5,'Met Data'!$H$2:$M$368,G208,FALSE)*L208</f>
        <v>3.5774193548387001</v>
      </c>
      <c r="K208" s="96">
        <f>HLOOKUP($H$5,'Met Data'!$O$2:$T$368,G208,FALSE)</f>
        <v>2.2883058912546601</v>
      </c>
      <c r="L208">
        <f t="shared" ca="1" si="30"/>
        <v>1</v>
      </c>
      <c r="N208" t="b">
        <f t="shared" ca="1" si="35"/>
        <v>1</v>
      </c>
      <c r="O208" t="b">
        <f t="shared" ca="1" si="31"/>
        <v>1</v>
      </c>
      <c r="P208" s="2">
        <f ca="1"/>
        <v>45248</v>
      </c>
      <c r="Q208">
        <f ca="1"/>
        <v>31.119843791617818</v>
      </c>
      <c r="R208">
        <f ca="1"/>
        <v>1.257425535195523</v>
      </c>
      <c r="S208">
        <f ca="1"/>
        <v>8.4227156929870262E-3</v>
      </c>
      <c r="T208">
        <f ca="1"/>
        <v>0.2502010304174635</v>
      </c>
      <c r="U208">
        <f ca="1"/>
        <v>0</v>
      </c>
      <c r="V208">
        <f ca="1"/>
        <v>269.38700016940936</v>
      </c>
      <c r="W208">
        <f ca="1"/>
        <v>237.99875815223103</v>
      </c>
      <c r="X208">
        <f ca="1"/>
        <v>0</v>
      </c>
      <c r="Y208">
        <f ca="1"/>
        <v>0.68940810729640511</v>
      </c>
      <c r="Z208">
        <f ca="1"/>
        <v>0</v>
      </c>
      <c r="AA208">
        <f ca="1"/>
        <v>0</v>
      </c>
      <c r="AB208">
        <f ca="1"/>
        <v>0.74927345510730792</v>
      </c>
      <c r="AD208" s="2">
        <f t="shared" ca="1" si="32"/>
        <v>45248</v>
      </c>
      <c r="AE208">
        <f t="shared" ca="1" si="33"/>
        <v>0</v>
      </c>
      <c r="AG208" s="63">
        <f t="shared" ca="1" si="37"/>
        <v>32.377269326813341</v>
      </c>
      <c r="AH208" s="63">
        <f t="shared" ca="1" si="38"/>
        <v>32.377269326813341</v>
      </c>
      <c r="AI208" s="3">
        <f t="shared" ca="1" si="39"/>
        <v>0</v>
      </c>
    </row>
    <row r="209" spans="7:35">
      <c r="G209" s="3">
        <f t="shared" si="34"/>
        <v>264</v>
      </c>
      <c r="H209" s="95">
        <f t="shared" si="36"/>
        <v>45189</v>
      </c>
      <c r="I209" s="119">
        <f>HLOOKUP($H$5,'Met Data'!$A$2:$F$368,G209,FALSE)</f>
        <v>12.1064516129032</v>
      </c>
      <c r="J209" s="119">
        <f ca="1">HLOOKUP($H$5,'Met Data'!$H$2:$M$368,G209,FALSE)*L209</f>
        <v>2.6774193548387002</v>
      </c>
      <c r="K209" s="96">
        <f>HLOOKUP($H$5,'Met Data'!$O$2:$T$368,G209,FALSE)</f>
        <v>2.6656714596224198</v>
      </c>
      <c r="L209">
        <f t="shared" ca="1" si="30"/>
        <v>1</v>
      </c>
      <c r="N209" t="b">
        <f t="shared" ca="1" si="35"/>
        <v>1</v>
      </c>
      <c r="O209" t="b">
        <f t="shared" ca="1" si="31"/>
        <v>1</v>
      </c>
      <c r="P209" s="2">
        <f ca="1"/>
        <v>45249</v>
      </c>
      <c r="Q209">
        <f ca="1"/>
        <v>30.198313039783216</v>
      </c>
      <c r="R209">
        <f ca="1"/>
        <v>1.1680293956249557</v>
      </c>
      <c r="S209">
        <f ca="1"/>
        <v>8.2973860477668637E-3</v>
      </c>
      <c r="T209">
        <f ca="1"/>
        <v>0.23820125774258397</v>
      </c>
      <c r="U209">
        <f ca="1"/>
        <v>0</v>
      </c>
      <c r="V209">
        <f ca="1"/>
        <v>270.55502956503432</v>
      </c>
      <c r="W209">
        <f ca="1"/>
        <v>239.03069193325692</v>
      </c>
      <c r="X209">
        <f ca="1"/>
        <v>0</v>
      </c>
      <c r="Y209">
        <f ca="1"/>
        <v>0.65396391779340224</v>
      </c>
      <c r="Z209">
        <f ca="1"/>
        <v>0</v>
      </c>
      <c r="AA209">
        <f ca="1"/>
        <v>0</v>
      </c>
      <c r="AB209">
        <f ca="1"/>
        <v>0.7201766248314232</v>
      </c>
      <c r="AD209" s="2">
        <f t="shared" ca="1" si="32"/>
        <v>45249</v>
      </c>
      <c r="AE209">
        <f t="shared" ca="1" si="33"/>
        <v>0</v>
      </c>
      <c r="AG209" s="63">
        <f t="shared" ca="1" si="37"/>
        <v>31.366342435408168</v>
      </c>
      <c r="AH209" s="63">
        <f t="shared" ca="1" si="38"/>
        <v>31.366342435408171</v>
      </c>
      <c r="AI209" s="3">
        <f t="shared" ca="1" si="39"/>
        <v>0</v>
      </c>
    </row>
    <row r="210" spans="7:35">
      <c r="G210" s="3">
        <f t="shared" si="34"/>
        <v>265</v>
      </c>
      <c r="H210" s="95">
        <f t="shared" si="36"/>
        <v>45190</v>
      </c>
      <c r="I210" s="119">
        <f>HLOOKUP($H$5,'Met Data'!$A$2:$F$368,G210,FALSE)</f>
        <v>12.012903225806401</v>
      </c>
      <c r="J210" s="119">
        <f ca="1">HLOOKUP($H$5,'Met Data'!$H$2:$M$368,G210,FALSE)*L210</f>
        <v>2.8193548387096699</v>
      </c>
      <c r="K210" s="96">
        <f>HLOOKUP($H$5,'Met Data'!$O$2:$T$368,G210,FALSE)</f>
        <v>2.6640837362866301</v>
      </c>
      <c r="L210">
        <f t="shared" ca="1" si="30"/>
        <v>1</v>
      </c>
      <c r="N210" t="b">
        <f t="shared" ca="1" si="35"/>
        <v>1</v>
      </c>
      <c r="O210" t="b">
        <f t="shared" ca="1" si="31"/>
        <v>1</v>
      </c>
      <c r="P210" s="2">
        <f ca="1"/>
        <v>45250</v>
      </c>
      <c r="Q210">
        <f ca="1"/>
        <v>29.314685679484484</v>
      </c>
      <c r="R210">
        <f ca="1"/>
        <v>1.1330157199113273</v>
      </c>
      <c r="S210">
        <f ca="1"/>
        <v>8.4231754704449102E-3</v>
      </c>
      <c r="T210">
        <f ca="1"/>
        <v>0.24096518414215035</v>
      </c>
      <c r="U210">
        <f ca="1"/>
        <v>0</v>
      </c>
      <c r="V210">
        <f ca="1"/>
        <v>271.68804528494564</v>
      </c>
      <c r="W210">
        <f ca="1"/>
        <v>240.03169173701977</v>
      </c>
      <c r="X210">
        <f ca="1"/>
        <v>0</v>
      </c>
      <c r="Y210">
        <f ca="1"/>
        <v>0.63660525472714202</v>
      </c>
      <c r="Z210">
        <f ca="1"/>
        <v>0</v>
      </c>
      <c r="AA210">
        <f ca="1"/>
        <v>0</v>
      </c>
      <c r="AB210">
        <f ca="1"/>
        <v>0.68980217169639912</v>
      </c>
      <c r="AD210" s="2">
        <f t="shared" ca="1" si="32"/>
        <v>45250</v>
      </c>
      <c r="AE210">
        <f t="shared" ca="1" si="33"/>
        <v>0</v>
      </c>
      <c r="AG210" s="63">
        <f t="shared" ca="1" si="37"/>
        <v>30.447701399395811</v>
      </c>
      <c r="AH210" s="63">
        <f t="shared" ca="1" si="38"/>
        <v>30.447701399395811</v>
      </c>
      <c r="AI210" s="3">
        <f t="shared" ca="1" si="39"/>
        <v>0</v>
      </c>
    </row>
    <row r="211" spans="7:35">
      <c r="G211" s="3">
        <f t="shared" si="34"/>
        <v>266</v>
      </c>
      <c r="H211" s="95">
        <f t="shared" si="36"/>
        <v>45191</v>
      </c>
      <c r="I211" s="119">
        <f>HLOOKUP($H$5,'Met Data'!$A$2:$F$368,G211,FALSE)</f>
        <v>12.1612903225806</v>
      </c>
      <c r="J211" s="119">
        <f ca="1">HLOOKUP($H$5,'Met Data'!$H$2:$M$368,G211,FALSE)*L211</f>
        <v>4.2935483870967701</v>
      </c>
      <c r="K211" s="96">
        <f>HLOOKUP($H$5,'Met Data'!$O$2:$T$368,G211,FALSE)</f>
        <v>2.5405503102234701</v>
      </c>
      <c r="L211">
        <f t="shared" ca="1" si="30"/>
        <v>1</v>
      </c>
      <c r="N211" t="b">
        <f t="shared" ca="1" si="35"/>
        <v>1</v>
      </c>
      <c r="O211" t="b">
        <f t="shared" ca="1" si="31"/>
        <v>1</v>
      </c>
      <c r="P211" s="2">
        <f ca="1"/>
        <v>45251</v>
      </c>
      <c r="Q211">
        <f ca="1"/>
        <v>28.505848452419428</v>
      </c>
      <c r="R211">
        <f ca="1"/>
        <v>1.0579973704118402</v>
      </c>
      <c r="S211">
        <f ca="1"/>
        <v>8.3493985209637245E-3</v>
      </c>
      <c r="T211">
        <f ca="1"/>
        <v>0.24081074482582054</v>
      </c>
      <c r="U211">
        <f ca="1"/>
        <v>0</v>
      </c>
      <c r="V211">
        <f ca="1"/>
        <v>272.74604265535748</v>
      </c>
      <c r="W211">
        <f ca="1"/>
        <v>240.96641412573192</v>
      </c>
      <c r="X211">
        <f ca="1"/>
        <v>0</v>
      </c>
      <c r="Y211">
        <f ca="1"/>
        <v>0.6315488208744594</v>
      </c>
      <c r="Z211">
        <f ca="1"/>
        <v>0</v>
      </c>
      <c r="AA211">
        <f ca="1"/>
        <v>0</v>
      </c>
      <c r="AB211">
        <f ca="1"/>
        <v>0.65920104353797948</v>
      </c>
      <c r="AD211" s="2">
        <f t="shared" ca="1" si="32"/>
        <v>45251</v>
      </c>
      <c r="AE211">
        <f t="shared" ca="1" si="33"/>
        <v>0</v>
      </c>
      <c r="AG211" s="63">
        <f t="shared" ca="1" si="37"/>
        <v>29.563845822831269</v>
      </c>
      <c r="AH211" s="63">
        <f t="shared" ca="1" si="38"/>
        <v>29.563845822831269</v>
      </c>
      <c r="AI211" s="3">
        <f t="shared" ca="1" si="39"/>
        <v>0</v>
      </c>
    </row>
    <row r="212" spans="7:35">
      <c r="G212" s="3">
        <f t="shared" si="34"/>
        <v>267</v>
      </c>
      <c r="H212" s="95">
        <f t="shared" si="36"/>
        <v>45192</v>
      </c>
      <c r="I212" s="119">
        <f>HLOOKUP($H$5,'Met Data'!$A$2:$F$368,G212,FALSE)</f>
        <v>12.285483870967701</v>
      </c>
      <c r="J212" s="119">
        <f ca="1">HLOOKUP($H$5,'Met Data'!$H$2:$M$368,G212,FALSE)*L212</f>
        <v>3.69677419354838</v>
      </c>
      <c r="K212" s="96">
        <f>HLOOKUP($H$5,'Met Data'!$O$2:$T$368,G212,FALSE)</f>
        <v>2.75659518409562</v>
      </c>
      <c r="L212">
        <f t="shared" ca="1" si="30"/>
        <v>1</v>
      </c>
      <c r="N212" t="b">
        <f t="shared" ca="1" si="35"/>
        <v>1</v>
      </c>
      <c r="O212" t="b">
        <f t="shared" ca="1" si="31"/>
        <v>1</v>
      </c>
      <c r="P212" s="2">
        <f ca="1"/>
        <v>45252</v>
      </c>
      <c r="Q212">
        <f ca="1"/>
        <v>27.763964447750652</v>
      </c>
      <c r="R212">
        <f ca="1"/>
        <v>1.0011349473052178</v>
      </c>
      <c r="S212">
        <f ca="1"/>
        <v>8.3621375443048152E-3</v>
      </c>
      <c r="T212">
        <f ca="1"/>
        <v>0.2508888050921344</v>
      </c>
      <c r="U212">
        <f ca="1"/>
        <v>0</v>
      </c>
      <c r="V212">
        <f ca="1"/>
        <v>273.7471776026627</v>
      </c>
      <c r="W212">
        <f ca="1"/>
        <v>241.85089954652659</v>
      </c>
      <c r="X212">
        <f ca="1"/>
        <v>0</v>
      </c>
      <c r="Y212">
        <f ca="1"/>
        <v>0.64831361164873091</v>
      </c>
      <c r="Z212">
        <f ca="1"/>
        <v>0</v>
      </c>
      <c r="AA212">
        <f ca="1"/>
        <v>0</v>
      </c>
      <c r="AB212">
        <f ca="1"/>
        <v>0.62790443519414074</v>
      </c>
      <c r="AD212" s="2">
        <f t="shared" ca="1" si="32"/>
        <v>45252</v>
      </c>
      <c r="AE212">
        <f t="shared" ca="1" si="33"/>
        <v>0</v>
      </c>
      <c r="AG212" s="63">
        <f t="shared" ca="1" si="37"/>
        <v>28.765099395055866</v>
      </c>
      <c r="AH212" s="63">
        <f t="shared" ca="1" si="38"/>
        <v>28.76509939505587</v>
      </c>
      <c r="AI212" s="3">
        <f t="shared" ca="1" si="39"/>
        <v>0</v>
      </c>
    </row>
    <row r="213" spans="7:35">
      <c r="G213" s="3">
        <f t="shared" si="34"/>
        <v>268</v>
      </c>
      <c r="H213" s="95">
        <f t="shared" si="36"/>
        <v>45193</v>
      </c>
      <c r="I213" s="119">
        <f>HLOOKUP($H$5,'Met Data'!$A$2:$F$368,G213,FALSE)</f>
        <v>12.7274193548387</v>
      </c>
      <c r="J213" s="119">
        <f ca="1">HLOOKUP($H$5,'Met Data'!$H$2:$M$368,G213,FALSE)*L213</f>
        <v>4.4354838709677402</v>
      </c>
      <c r="K213" s="96">
        <f>HLOOKUP($H$5,'Met Data'!$O$2:$T$368,G213,FALSE)</f>
        <v>2.4043238309259301</v>
      </c>
      <c r="L213">
        <f t="shared" ca="1" si="30"/>
        <v>1</v>
      </c>
      <c r="N213" t="b">
        <f t="shared" ca="1" si="35"/>
        <v>1</v>
      </c>
      <c r="O213" t="b">
        <f t="shared" ca="1" si="31"/>
        <v>1</v>
      </c>
      <c r="P213" s="2">
        <f ca="1"/>
        <v>45253</v>
      </c>
      <c r="Q213">
        <f ca="1"/>
        <v>27.080576454190727</v>
      </c>
      <c r="R213">
        <f ca="1"/>
        <v>0.94536084485361016</v>
      </c>
      <c r="S213">
        <f ca="1"/>
        <v>8.3774592530199143E-3</v>
      </c>
      <c r="T213">
        <f ca="1"/>
        <v>0.25359539204066506</v>
      </c>
      <c r="U213">
        <f ca="1"/>
        <v>0</v>
      </c>
      <c r="V213">
        <f ca="1"/>
        <v>274.69253844751631</v>
      </c>
      <c r="W213">
        <f ca="1"/>
        <v>242.68610951189015</v>
      </c>
      <c r="X213">
        <f ca="1"/>
        <v>0</v>
      </c>
      <c r="Y213">
        <f ca="1"/>
        <v>0.64197404364734267</v>
      </c>
      <c r="Z213">
        <f ca="1"/>
        <v>0</v>
      </c>
      <c r="AA213">
        <f ca="1"/>
        <v>0</v>
      </c>
      <c r="AB213">
        <f ca="1"/>
        <v>0.59588658813949757</v>
      </c>
      <c r="AD213" s="2">
        <f t="shared" ca="1" si="32"/>
        <v>45253</v>
      </c>
      <c r="AE213">
        <f t="shared" ca="1" si="33"/>
        <v>0</v>
      </c>
      <c r="AG213" s="63">
        <f t="shared" ca="1" si="37"/>
        <v>28.025937299044337</v>
      </c>
      <c r="AH213" s="63">
        <f t="shared" ca="1" si="38"/>
        <v>28.025937299044337</v>
      </c>
      <c r="AI213" s="3">
        <f t="shared" ca="1" si="39"/>
        <v>0</v>
      </c>
    </row>
    <row r="214" spans="7:35">
      <c r="G214" s="3">
        <f t="shared" si="34"/>
        <v>269</v>
      </c>
      <c r="H214" s="95">
        <f t="shared" si="36"/>
        <v>45194</v>
      </c>
      <c r="I214" s="119">
        <f>HLOOKUP($H$5,'Met Data'!$A$2:$F$368,G214,FALSE)</f>
        <v>12.4338709677419</v>
      </c>
      <c r="J214" s="119">
        <f ca="1">HLOOKUP($H$5,'Met Data'!$H$2:$M$368,G214,FALSE)*L214</f>
        <v>3.1290322580645098</v>
      </c>
      <c r="K214" s="96">
        <f>HLOOKUP($H$5,'Met Data'!$O$2:$T$368,G214,FALSE)</f>
        <v>2.32653952570764</v>
      </c>
      <c r="L214">
        <f t="shared" ca="1" si="30"/>
        <v>1</v>
      </c>
      <c r="N214" t="b">
        <f t="shared" ca="1" si="35"/>
        <v>1</v>
      </c>
      <c r="O214" t="b">
        <f t="shared" ca="1" si="31"/>
        <v>1</v>
      </c>
      <c r="P214" s="2">
        <f ca="1"/>
        <v>45254</v>
      </c>
      <c r="Q214">
        <f ca="1"/>
        <v>26.475991662909845</v>
      </c>
      <c r="R214">
        <f ca="1"/>
        <v>0.8589030721378208</v>
      </c>
      <c r="S214">
        <f ca="1"/>
        <v>8.1702540196699758E-3</v>
      </c>
      <c r="T214">
        <f ca="1"/>
        <v>0.24614802683726994</v>
      </c>
      <c r="U214">
        <f ca="1"/>
        <v>0</v>
      </c>
      <c r="V214">
        <f ca="1"/>
        <v>275.55144151965413</v>
      </c>
      <c r="W214">
        <f ca="1"/>
        <v>243.44493552952795</v>
      </c>
      <c r="X214">
        <f ca="1"/>
        <v>0</v>
      </c>
      <c r="Y214">
        <f ca="1"/>
        <v>0.62905711251181073</v>
      </c>
      <c r="Z214">
        <f ca="1"/>
        <v>0</v>
      </c>
      <c r="AA214">
        <f ca="1"/>
        <v>0</v>
      </c>
      <c r="AB214">
        <f ca="1"/>
        <v>0.56434216501694656</v>
      </c>
      <c r="AD214" s="2">
        <f t="shared" ca="1" si="32"/>
        <v>45254</v>
      </c>
      <c r="AE214">
        <f t="shared" ca="1" si="33"/>
        <v>0</v>
      </c>
      <c r="AG214" s="63">
        <f t="shared" ca="1" si="37"/>
        <v>27.334894735047666</v>
      </c>
      <c r="AH214" s="63">
        <f t="shared" ca="1" si="38"/>
        <v>27.334894735047666</v>
      </c>
      <c r="AI214" s="3">
        <f t="shared" ca="1" si="39"/>
        <v>0</v>
      </c>
    </row>
    <row r="215" spans="7:35">
      <c r="G215" s="3">
        <f t="shared" si="34"/>
        <v>270</v>
      </c>
      <c r="H215" s="95">
        <f t="shared" si="36"/>
        <v>45195</v>
      </c>
      <c r="I215" s="119">
        <f>HLOOKUP($H$5,'Met Data'!$A$2:$F$368,G215,FALSE)</f>
        <v>12.341666666666599</v>
      </c>
      <c r="J215" s="119">
        <f ca="1">HLOOKUP($H$5,'Met Data'!$H$2:$M$368,G215,FALSE)*L215</f>
        <v>4.32666666666666</v>
      </c>
      <c r="K215" s="96">
        <f>HLOOKUP($H$5,'Met Data'!$O$2:$T$368,G215,FALSE)</f>
        <v>2.5198296361703401</v>
      </c>
      <c r="L215">
        <f t="shared" ca="1" si="30"/>
        <v>1</v>
      </c>
      <c r="N215" t="b">
        <f t="shared" ca="1" si="35"/>
        <v>1</v>
      </c>
      <c r="O215" t="b">
        <f t="shared" ca="1" si="31"/>
        <v>1</v>
      </c>
      <c r="P215" s="2">
        <f ca="1"/>
        <v>45255</v>
      </c>
      <c r="Q215">
        <f ca="1"/>
        <v>25.900778217956962</v>
      </c>
      <c r="R215">
        <f ca="1"/>
        <v>0.83890329995386992</v>
      </c>
      <c r="S215">
        <f ca="1"/>
        <v>8.4098538060199957E-3</v>
      </c>
      <c r="T215">
        <f ca="1"/>
        <v>0.25528000119496447</v>
      </c>
      <c r="U215">
        <f ca="1"/>
        <v>0</v>
      </c>
      <c r="V215">
        <f ca="1"/>
        <v>276.390344819608</v>
      </c>
      <c r="W215">
        <f ca="1"/>
        <v>244.18609209414785</v>
      </c>
      <c r="X215">
        <f ca="1"/>
        <v>0</v>
      </c>
      <c r="Y215">
        <f ca="1"/>
        <v>0.61793015235238591</v>
      </c>
      <c r="Z215">
        <f ca="1"/>
        <v>0</v>
      </c>
      <c r="AA215">
        <f ca="1"/>
        <v>0</v>
      </c>
      <c r="AB215">
        <f ca="1"/>
        <v>0.53085252911525538</v>
      </c>
      <c r="AD215" s="2">
        <f t="shared" ca="1" si="32"/>
        <v>45255</v>
      </c>
      <c r="AE215">
        <f t="shared" ca="1" si="33"/>
        <v>0</v>
      </c>
      <c r="AG215" s="63">
        <f t="shared" ca="1" si="37"/>
        <v>26.739681517910828</v>
      </c>
      <c r="AH215" s="63">
        <f t="shared" ca="1" si="38"/>
        <v>26.739681517910832</v>
      </c>
      <c r="AI215" s="3">
        <f t="shared" ca="1" si="39"/>
        <v>0</v>
      </c>
    </row>
    <row r="216" spans="7:35">
      <c r="G216" s="3">
        <f t="shared" si="34"/>
        <v>271</v>
      </c>
      <c r="H216" s="95">
        <f t="shared" si="36"/>
        <v>45196</v>
      </c>
      <c r="I216" s="119">
        <f>HLOOKUP($H$5,'Met Data'!$A$2:$F$368,G216,FALSE)</f>
        <v>12.7183333333333</v>
      </c>
      <c r="J216" s="119">
        <f ca="1">HLOOKUP($H$5,'Met Data'!$H$2:$M$368,G216,FALSE)*L216</f>
        <v>2.83</v>
      </c>
      <c r="K216" s="96">
        <f>HLOOKUP($H$5,'Met Data'!$O$2:$T$368,G216,FALSE)</f>
        <v>2.6371707298843199</v>
      </c>
      <c r="L216">
        <f t="shared" ca="1" si="30"/>
        <v>1</v>
      </c>
      <c r="N216" t="b">
        <f t="shared" ca="1" si="35"/>
        <v>1</v>
      </c>
      <c r="O216" t="b">
        <f t="shared" ca="1" si="31"/>
        <v>1</v>
      </c>
      <c r="P216" s="2">
        <f ca="1"/>
        <v>45256</v>
      </c>
      <c r="Q216">
        <f ca="1"/>
        <v>25.38649772397568</v>
      </c>
      <c r="R216">
        <f ca="1"/>
        <v>0.7722844734780665</v>
      </c>
      <c r="S216">
        <f ca="1"/>
        <v>8.3080265293462574E-3</v>
      </c>
      <c r="T216">
        <f ca="1"/>
        <v>0.24969595296743949</v>
      </c>
      <c r="U216">
        <f ca="1"/>
        <v>0</v>
      </c>
      <c r="V216">
        <f ca="1"/>
        <v>277.16262929308607</v>
      </c>
      <c r="W216">
        <f ca="1"/>
        <v>244.86839207711824</v>
      </c>
      <c r="X216">
        <f ca="1"/>
        <v>0</v>
      </c>
      <c r="Y216">
        <f ca="1"/>
        <v>0.59880523025692423</v>
      </c>
      <c r="Z216">
        <f ca="1"/>
        <v>0</v>
      </c>
      <c r="AA216">
        <f ca="1"/>
        <v>0</v>
      </c>
      <c r="AB216">
        <f ca="1"/>
        <v>0.49723250178161116</v>
      </c>
      <c r="AD216" s="2">
        <f t="shared" ca="1" si="32"/>
        <v>45256</v>
      </c>
      <c r="AE216">
        <f t="shared" ca="1" si="33"/>
        <v>0</v>
      </c>
      <c r="AG216" s="63">
        <f t="shared" ca="1" si="37"/>
        <v>26.158782197453746</v>
      </c>
      <c r="AH216" s="63">
        <f t="shared" ca="1" si="38"/>
        <v>26.158782197453746</v>
      </c>
      <c r="AI216" s="3">
        <f t="shared" ca="1" si="39"/>
        <v>0</v>
      </c>
    </row>
    <row r="217" spans="7:35">
      <c r="G217" s="3">
        <f t="shared" si="34"/>
        <v>272</v>
      </c>
      <c r="H217" s="95">
        <f t="shared" si="36"/>
        <v>45197</v>
      </c>
      <c r="I217" s="119">
        <f>HLOOKUP($H$5,'Met Data'!$A$2:$F$368,G217,FALSE)</f>
        <v>13.04</v>
      </c>
      <c r="J217" s="119">
        <f ca="1">HLOOKUP($H$5,'Met Data'!$H$2:$M$368,G217,FALSE)*L217</f>
        <v>4.2233333333333301</v>
      </c>
      <c r="K217" s="96">
        <f>HLOOKUP($H$5,'Met Data'!$O$2:$T$368,G217,FALSE)</f>
        <v>2.4067153885809098</v>
      </c>
      <c r="L217">
        <f t="shared" ca="1" si="30"/>
        <v>1</v>
      </c>
      <c r="N217" t="b">
        <f t="shared" ca="1" si="35"/>
        <v>1</v>
      </c>
      <c r="O217" t="b">
        <f t="shared" ca="1" si="31"/>
        <v>1</v>
      </c>
      <c r="P217" s="2">
        <f ca="1"/>
        <v>45257</v>
      </c>
      <c r="Q217">
        <f ca="1"/>
        <v>24.953503508823001</v>
      </c>
      <c r="R217">
        <f ca="1"/>
        <v>0.68548509481024666</v>
      </c>
      <c r="S217">
        <f ca="1"/>
        <v>7.9845752295719663E-3</v>
      </c>
      <c r="T217">
        <f ca="1"/>
        <v>0.24450630442799842</v>
      </c>
      <c r="U217">
        <f ca="1"/>
        <v>0</v>
      </c>
      <c r="V217">
        <f ca="1"/>
        <v>277.84811438789632</v>
      </c>
      <c r="W217">
        <f ca="1"/>
        <v>245.47400630940902</v>
      </c>
      <c r="X217">
        <f ca="1"/>
        <v>0</v>
      </c>
      <c r="Y217">
        <f ca="1"/>
        <v>0.60471890061831535</v>
      </c>
      <c r="Z217">
        <f ca="1"/>
        <v>0</v>
      </c>
      <c r="AA217">
        <f ca="1"/>
        <v>0</v>
      </c>
      <c r="AB217">
        <f ca="1"/>
        <v>0.46471493933448205</v>
      </c>
      <c r="AD217" s="2">
        <f t="shared" ca="1" si="32"/>
        <v>45257</v>
      </c>
      <c r="AE217">
        <f t="shared" ca="1" si="33"/>
        <v>0</v>
      </c>
      <c r="AG217" s="63">
        <f t="shared" ca="1" si="37"/>
        <v>25.638988603633248</v>
      </c>
      <c r="AH217" s="63">
        <f t="shared" ca="1" si="38"/>
        <v>25.638988603633248</v>
      </c>
      <c r="AI217" s="3">
        <f t="shared" ca="1" si="39"/>
        <v>0</v>
      </c>
    </row>
    <row r="218" spans="7:35">
      <c r="G218" s="3">
        <f t="shared" si="34"/>
        <v>273</v>
      </c>
      <c r="H218" s="95">
        <f t="shared" si="36"/>
        <v>45198</v>
      </c>
      <c r="I218" s="119">
        <f>HLOOKUP($H$5,'Met Data'!$A$2:$F$368,G218,FALSE)</f>
        <v>13.381034482758601</v>
      </c>
      <c r="J218" s="119">
        <f ca="1">HLOOKUP($H$5,'Met Data'!$H$2:$M$368,G218,FALSE)*L218</f>
        <v>3.7620689655172401</v>
      </c>
      <c r="K218" s="96">
        <f>HLOOKUP($H$5,'Met Data'!$O$2:$T$368,G218,FALSE)</f>
        <v>2.71659484771267</v>
      </c>
      <c r="L218">
        <f t="shared" ca="1" si="30"/>
        <v>1</v>
      </c>
      <c r="N218" t="b">
        <f t="shared" ca="1" si="35"/>
        <v>1</v>
      </c>
      <c r="O218" t="b">
        <f t="shared" ca="1" si="31"/>
        <v>1</v>
      </c>
      <c r="P218" s="2">
        <f ca="1"/>
        <v>45258</v>
      </c>
      <c r="Q218">
        <f ca="1"/>
        <v>24.589331940661218</v>
      </c>
      <c r="R218">
        <f ca="1"/>
        <v>0.62502409624676147</v>
      </c>
      <c r="S218">
        <f ca="1"/>
        <v>7.8228419997845577E-3</v>
      </c>
      <c r="T218">
        <f ca="1"/>
        <v>0.25302968608519055</v>
      </c>
      <c r="U218">
        <f ca="1"/>
        <v>0</v>
      </c>
      <c r="V218">
        <f ca="1"/>
        <v>278.47313848414308</v>
      </c>
      <c r="W218">
        <f ca="1"/>
        <v>246.0262042945694</v>
      </c>
      <c r="X218">
        <f ca="1"/>
        <v>0</v>
      </c>
      <c r="Y218">
        <f ca="1"/>
        <v>0.63539379929833983</v>
      </c>
      <c r="Z218">
        <f ca="1"/>
        <v>0</v>
      </c>
      <c r="AA218">
        <f ca="1"/>
        <v>0</v>
      </c>
      <c r="AB218">
        <f ca="1"/>
        <v>0.43244981043613462</v>
      </c>
      <c r="AD218" s="2">
        <f t="shared" ca="1" si="32"/>
        <v>45258</v>
      </c>
      <c r="AE218">
        <f t="shared" ca="1" si="33"/>
        <v>0</v>
      </c>
      <c r="AG218" s="63">
        <f t="shared" ca="1" si="37"/>
        <v>25.214356036907979</v>
      </c>
      <c r="AH218" s="63">
        <f t="shared" ca="1" si="38"/>
        <v>25.214356036907979</v>
      </c>
      <c r="AI218" s="3">
        <f t="shared" ca="1" si="39"/>
        <v>0</v>
      </c>
    </row>
    <row r="219" spans="7:35">
      <c r="G219" s="3">
        <f t="shared" si="34"/>
        <v>274</v>
      </c>
      <c r="H219" s="95">
        <f t="shared" si="36"/>
        <v>45199</v>
      </c>
      <c r="I219" s="119">
        <f>HLOOKUP($H$5,'Met Data'!$A$2:$F$368,G219,FALSE)</f>
        <v>13.274137931034399</v>
      </c>
      <c r="J219" s="119">
        <f ca="1">HLOOKUP($H$5,'Met Data'!$H$2:$M$368,G219,FALSE)*L219</f>
        <v>5.4793103448275797</v>
      </c>
      <c r="K219" s="96">
        <f>HLOOKUP($H$5,'Met Data'!$O$2:$T$368,G219,FALSE)</f>
        <v>2.6496213239398698</v>
      </c>
      <c r="L219">
        <f t="shared" ca="1" si="30"/>
        <v>1</v>
      </c>
      <c r="N219" t="b">
        <f t="shared" ca="1" si="35"/>
        <v>1</v>
      </c>
      <c r="O219" t="b">
        <f t="shared" ca="1" si="31"/>
        <v>1</v>
      </c>
      <c r="P219" s="2">
        <f ca="1"/>
        <v>45259</v>
      </c>
      <c r="Q219">
        <f ca="1"/>
        <v>24.269529505216774</v>
      </c>
      <c r="R219">
        <f ca="1"/>
        <v>0.58029700659301398</v>
      </c>
      <c r="S219">
        <f ca="1"/>
        <v>7.7682730697130609E-3</v>
      </c>
      <c r="T219">
        <f ca="1"/>
        <v>0.25272629807885799</v>
      </c>
      <c r="U219">
        <f ca="1"/>
        <v>0</v>
      </c>
      <c r="V219">
        <f ca="1"/>
        <v>279.05343549073609</v>
      </c>
      <c r="W219">
        <f ca="1"/>
        <v>246.53888666915219</v>
      </c>
      <c r="X219">
        <f ca="1"/>
        <v>0</v>
      </c>
      <c r="Y219">
        <f ca="1"/>
        <v>0.6275641943797311</v>
      </c>
      <c r="Z219">
        <f ca="1"/>
        <v>0</v>
      </c>
      <c r="AA219">
        <f ca="1"/>
        <v>0</v>
      </c>
      <c r="AB219">
        <f ca="1"/>
        <v>0.39983418794753645</v>
      </c>
      <c r="AD219" s="2">
        <f t="shared" ca="1" si="32"/>
        <v>45259</v>
      </c>
      <c r="AE219">
        <f t="shared" ca="1" si="33"/>
        <v>0</v>
      </c>
      <c r="AG219" s="63">
        <f t="shared" ca="1" si="37"/>
        <v>24.849826511809791</v>
      </c>
      <c r="AH219" s="63">
        <f t="shared" ca="1" si="38"/>
        <v>24.849826511809788</v>
      </c>
      <c r="AI219" s="3">
        <f t="shared" ca="1" si="39"/>
        <v>0</v>
      </c>
    </row>
    <row r="220" spans="7:35">
      <c r="G220" s="3">
        <f t="shared" si="34"/>
        <v>275</v>
      </c>
      <c r="H220" s="95">
        <f t="shared" si="36"/>
        <v>45200</v>
      </c>
      <c r="I220" s="119">
        <f>HLOOKUP($H$5,'Met Data'!$A$2:$F$368,G220,FALSE)</f>
        <v>13.0233333333333</v>
      </c>
      <c r="J220" s="119">
        <f ca="1">HLOOKUP($H$5,'Met Data'!$H$2:$M$368,G220,FALSE)*L220</f>
        <v>7.2033333333333296</v>
      </c>
      <c r="K220" s="96">
        <f>HLOOKUP($H$5,'Met Data'!$O$2:$T$368,G220,FALSE)</f>
        <v>2.7120872842053001</v>
      </c>
      <c r="L220">
        <f t="shared" ca="1" si="30"/>
        <v>1</v>
      </c>
      <c r="N220" t="b">
        <f t="shared" ca="1" si="35"/>
        <v>1</v>
      </c>
      <c r="O220" t="b">
        <f t="shared" ca="1" si="31"/>
        <v>1</v>
      </c>
      <c r="P220" s="2">
        <f ca="1"/>
        <v>45260</v>
      </c>
      <c r="Q220">
        <f ca="1"/>
        <v>23.988521471304765</v>
      </c>
      <c r="R220">
        <f ca="1"/>
        <v>0.54610450128689081</v>
      </c>
      <c r="S220">
        <f ca="1"/>
        <v>7.8023332532781708E-3</v>
      </c>
      <c r="T220">
        <f ca="1"/>
        <v>0.25729413412160396</v>
      </c>
      <c r="U220">
        <f ca="1"/>
        <v>0</v>
      </c>
      <c r="V220">
        <f ca="1"/>
        <v>279.59953999202298</v>
      </c>
      <c r="W220">
        <f ca="1"/>
        <v>247.02136055633267</v>
      </c>
      <c r="X220">
        <f ca="1"/>
        <v>0</v>
      </c>
      <c r="Y220">
        <f ca="1"/>
        <v>0.62392409214888656</v>
      </c>
      <c r="Z220">
        <f ca="1"/>
        <v>0</v>
      </c>
      <c r="AA220">
        <f ca="1"/>
        <v>0</v>
      </c>
      <c r="AB220">
        <f ca="1"/>
        <v>0.36634988139592528</v>
      </c>
      <c r="AD220" s="2">
        <f t="shared" ca="1" si="32"/>
        <v>45260</v>
      </c>
      <c r="AE220">
        <f t="shared" ca="1" si="33"/>
        <v>0</v>
      </c>
      <c r="AG220" s="63">
        <f t="shared" ca="1" si="37"/>
        <v>24.534625972591655</v>
      </c>
      <c r="AH220" s="63">
        <f t="shared" ca="1" si="38"/>
        <v>24.534625972591655</v>
      </c>
      <c r="AI220" s="3">
        <f t="shared" ca="1" si="39"/>
        <v>0</v>
      </c>
    </row>
    <row r="221" spans="7:35">
      <c r="G221" s="3">
        <f t="shared" si="34"/>
        <v>276</v>
      </c>
      <c r="H221" s="95">
        <f t="shared" si="36"/>
        <v>45201</v>
      </c>
      <c r="I221" s="119">
        <f>HLOOKUP($H$5,'Met Data'!$A$2:$F$368,G221,FALSE)</f>
        <v>12.938333333333301</v>
      </c>
      <c r="J221" s="119">
        <f ca="1">HLOOKUP($H$5,'Met Data'!$H$2:$M$368,G221,FALSE)*L221</f>
        <v>4.3633333333333297</v>
      </c>
      <c r="K221" s="96">
        <f>HLOOKUP($H$5,'Met Data'!$O$2:$T$368,G221,FALSE)</f>
        <v>2.5284096014561799</v>
      </c>
      <c r="L221">
        <f t="shared" ca="1" si="30"/>
        <v>1</v>
      </c>
      <c r="N221" t="b">
        <f t="shared" ca="1" si="35"/>
        <v>1</v>
      </c>
      <c r="O221" t="b">
        <f t="shared" ca="1" si="31"/>
        <v>1</v>
      </c>
      <c r="P221" s="2">
        <f ca="1"/>
        <v>45261</v>
      </c>
      <c r="Q221">
        <f ca="1"/>
        <v>23.739915805071217</v>
      </c>
      <c r="R221">
        <f ca="1"/>
        <v>0.51085800825615024</v>
      </c>
      <c r="S221">
        <f ca="1"/>
        <v>7.8171942153852925E-3</v>
      </c>
      <c r="T221">
        <f ca="1"/>
        <v>0.25443514780721649</v>
      </c>
      <c r="U221">
        <f ca="1"/>
        <v>0</v>
      </c>
      <c r="V221">
        <f ca="1"/>
        <v>280.11039800027913</v>
      </c>
      <c r="W221">
        <f ca="1"/>
        <v>247.4726947761749</v>
      </c>
      <c r="X221">
        <f ca="1"/>
        <v>0</v>
      </c>
      <c r="Y221">
        <f ca="1"/>
        <v>0.6004984463625691</v>
      </c>
      <c r="Z221">
        <f ca="1"/>
        <v>0</v>
      </c>
      <c r="AA221">
        <f ca="1"/>
        <v>0</v>
      </c>
      <c r="AB221">
        <f ca="1"/>
        <v>0.3320928190827378</v>
      </c>
      <c r="AD221" s="2">
        <f t="shared" ca="1" si="32"/>
        <v>45261</v>
      </c>
      <c r="AE221">
        <f t="shared" ca="1" si="33"/>
        <v>0</v>
      </c>
      <c r="AG221" s="63">
        <f t="shared" ca="1" si="37"/>
        <v>24.250773813327367</v>
      </c>
      <c r="AH221" s="63">
        <f t="shared" ca="1" si="38"/>
        <v>24.250773813327367</v>
      </c>
      <c r="AI221" s="3">
        <f t="shared" ca="1" si="39"/>
        <v>0</v>
      </c>
    </row>
    <row r="222" spans="7:35">
      <c r="G222" s="3">
        <f t="shared" si="34"/>
        <v>277</v>
      </c>
      <c r="H222" s="95">
        <f t="shared" si="36"/>
        <v>45202</v>
      </c>
      <c r="I222" s="119">
        <f>HLOOKUP($H$5,'Met Data'!$A$2:$F$368,G222,FALSE)</f>
        <v>13.2433333333333</v>
      </c>
      <c r="J222" s="119">
        <f ca="1">HLOOKUP($H$5,'Met Data'!$H$2:$M$368,G222,FALSE)*L222</f>
        <v>5.1333333333333302</v>
      </c>
      <c r="K222" s="96">
        <f>HLOOKUP($H$5,'Met Data'!$O$2:$T$368,G222,FALSE)</f>
        <v>2.88480468453885</v>
      </c>
      <c r="L222">
        <f t="shared" ca="1" si="30"/>
        <v>1</v>
      </c>
      <c r="N222" t="b">
        <f t="shared" ca="1" si="35"/>
        <v>1</v>
      </c>
      <c r="O222" t="b">
        <f t="shared" ca="1" si="31"/>
        <v>1</v>
      </c>
      <c r="P222" s="2">
        <f ca="1"/>
        <v>45262</v>
      </c>
      <c r="Q222">
        <f ca="1"/>
        <v>23.545171224353883</v>
      </c>
      <c r="R222">
        <f ca="1"/>
        <v>0.48293420411221177</v>
      </c>
      <c r="S222">
        <f ca="1"/>
        <v>7.9164578374610883E-3</v>
      </c>
      <c r="T222">
        <f ca="1"/>
        <v>0.28027316555741788</v>
      </c>
      <c r="U222">
        <f ca="1"/>
        <v>0</v>
      </c>
      <c r="V222">
        <f ca="1"/>
        <v>280.59333220439134</v>
      </c>
      <c r="W222">
        <f ca="1"/>
        <v>247.89935879773373</v>
      </c>
      <c r="X222">
        <f ca="1"/>
        <v>0</v>
      </c>
      <c r="Y222">
        <f ca="1"/>
        <v>0.6485497530386789</v>
      </c>
      <c r="Z222">
        <f ca="1"/>
        <v>0</v>
      </c>
      <c r="AA222">
        <f ca="1"/>
        <v>0</v>
      </c>
      <c r="AB222">
        <f ca="1"/>
        <v>0.29656737145054946</v>
      </c>
      <c r="AD222" s="2">
        <f t="shared" ca="1" si="32"/>
        <v>45262</v>
      </c>
      <c r="AE222">
        <f t="shared" ca="1" si="33"/>
        <v>0</v>
      </c>
      <c r="AG222" s="63">
        <f t="shared" ca="1" si="37"/>
        <v>24.028105428466095</v>
      </c>
      <c r="AH222" s="63">
        <f t="shared" ca="1" si="38"/>
        <v>24.028105428466095</v>
      </c>
      <c r="AI222" s="3">
        <f t="shared" ca="1" si="39"/>
        <v>0</v>
      </c>
    </row>
    <row r="223" spans="7:35">
      <c r="G223" s="3">
        <f t="shared" si="34"/>
        <v>278</v>
      </c>
      <c r="H223" s="95">
        <f t="shared" si="36"/>
        <v>45203</v>
      </c>
      <c r="I223" s="119">
        <f>HLOOKUP($H$5,'Met Data'!$A$2:$F$368,G223,FALSE)</f>
        <v>12.85</v>
      </c>
      <c r="J223" s="119">
        <f ca="1">HLOOKUP($H$5,'Met Data'!$H$2:$M$368,G223,FALSE)*L223</f>
        <v>2.5033333333333299</v>
      </c>
      <c r="K223" s="96">
        <f>HLOOKUP($H$5,'Met Data'!$O$2:$T$368,G223,FALSE)</f>
        <v>2.7808067783335901</v>
      </c>
      <c r="L223">
        <f t="shared" ca="1" si="30"/>
        <v>1</v>
      </c>
      <c r="N223" t="b">
        <f t="shared" ca="1" si="35"/>
        <v>1</v>
      </c>
      <c r="O223" t="b">
        <f t="shared" ca="1" si="31"/>
        <v>1</v>
      </c>
      <c r="P223" s="2">
        <f ca="1"/>
        <v>45263</v>
      </c>
      <c r="Q223">
        <f ca="1"/>
        <v>23.381898928945851</v>
      </c>
      <c r="R223">
        <f ca="1"/>
        <v>0.44978412425433589</v>
      </c>
      <c r="S223">
        <f ca="1"/>
        <v>7.9452726000166507E-3</v>
      </c>
      <c r="T223">
        <f ca="1"/>
        <v>0.27856655624628474</v>
      </c>
      <c r="U223">
        <f ca="1"/>
        <v>0</v>
      </c>
      <c r="V223">
        <f ca="1"/>
        <v>281.04311632864568</v>
      </c>
      <c r="W223">
        <f ca="1"/>
        <v>248.2967352967548</v>
      </c>
      <c r="X223">
        <f ca="1"/>
        <v>0</v>
      </c>
      <c r="Y223">
        <f ca="1"/>
        <v>0.62706539487492408</v>
      </c>
      <c r="Z223">
        <f ca="1"/>
        <v>0</v>
      </c>
      <c r="AA223">
        <f ca="1"/>
        <v>0</v>
      </c>
      <c r="AB223">
        <f ca="1"/>
        <v>0.26015511996507601</v>
      </c>
      <c r="AD223" s="2">
        <f t="shared" ca="1" si="32"/>
        <v>45263</v>
      </c>
      <c r="AE223">
        <f t="shared" ca="1" si="33"/>
        <v>0</v>
      </c>
      <c r="AG223" s="63">
        <f t="shared" ca="1" si="37"/>
        <v>23.831683053200184</v>
      </c>
      <c r="AH223" s="63">
        <f t="shared" ca="1" si="38"/>
        <v>23.831683053200187</v>
      </c>
      <c r="AI223" s="3">
        <f t="shared" ca="1" si="39"/>
        <v>0</v>
      </c>
    </row>
    <row r="224" spans="7:35">
      <c r="G224" s="3">
        <f t="shared" si="34"/>
        <v>279</v>
      </c>
      <c r="H224" s="95">
        <f t="shared" si="36"/>
        <v>45204</v>
      </c>
      <c r="I224" s="119">
        <f>HLOOKUP($H$5,'Met Data'!$A$2:$F$368,G224,FALSE)</f>
        <v>12.875806451612901</v>
      </c>
      <c r="J224" s="119">
        <f ca="1">HLOOKUP($H$5,'Met Data'!$H$2:$M$368,G224,FALSE)*L224</f>
        <v>4.1354838709677404</v>
      </c>
      <c r="K224" s="96">
        <f>HLOOKUP($H$5,'Met Data'!$O$2:$T$368,G224,FALSE)</f>
        <v>3.0772949163384999</v>
      </c>
      <c r="L224">
        <f t="shared" ca="1" si="30"/>
        <v>1</v>
      </c>
      <c r="N224" t="b">
        <f t="shared" ca="1" si="35"/>
        <v>1</v>
      </c>
      <c r="O224" t="b">
        <f t="shared" ca="1" si="31"/>
        <v>1</v>
      </c>
      <c r="P224" s="2">
        <f ca="1"/>
        <v>45264</v>
      </c>
      <c r="Q224">
        <f ca="1"/>
        <v>23.28465698441552</v>
      </c>
      <c r="R224">
        <f ca="1"/>
        <v>0.40962790685460959</v>
      </c>
      <c r="S224">
        <f ca="1"/>
        <v>7.840704297643164E-3</v>
      </c>
      <c r="T224">
        <f ca="1"/>
        <v>0.30454525802663579</v>
      </c>
      <c r="U224">
        <f ca="1"/>
        <v>0</v>
      </c>
      <c r="V224">
        <f ca="1"/>
        <v>281.45274423550029</v>
      </c>
      <c r="W224">
        <f ca="1"/>
        <v>248.65863447182483</v>
      </c>
      <c r="X224">
        <f ca="1"/>
        <v>0</v>
      </c>
      <c r="Y224">
        <f ca="1"/>
        <v>0.69126064315506652</v>
      </c>
      <c r="Z224">
        <f ca="1"/>
        <v>0</v>
      </c>
      <c r="AA224">
        <f ca="1"/>
        <v>0</v>
      </c>
      <c r="AB224">
        <f ca="1"/>
        <v>0.22359862073744174</v>
      </c>
      <c r="AD224" s="2">
        <f t="shared" ca="1" si="32"/>
        <v>45264</v>
      </c>
      <c r="AE224">
        <f t="shared" ca="1" si="33"/>
        <v>0</v>
      </c>
      <c r="AG224" s="63">
        <f t="shared" ca="1" si="37"/>
        <v>23.694284891270129</v>
      </c>
      <c r="AH224" s="63">
        <f t="shared" ca="1" si="38"/>
        <v>23.694284891270129</v>
      </c>
      <c r="AI224" s="3">
        <f t="shared" ca="1" si="39"/>
        <v>0</v>
      </c>
    </row>
    <row r="225" spans="7:35">
      <c r="G225" s="3">
        <f t="shared" si="34"/>
        <v>280</v>
      </c>
      <c r="H225" s="95">
        <f t="shared" si="36"/>
        <v>45205</v>
      </c>
      <c r="I225" s="119">
        <f>HLOOKUP($H$5,'Met Data'!$A$2:$F$368,G225,FALSE)</f>
        <v>12.9966666666666</v>
      </c>
      <c r="J225" s="119">
        <f ca="1">HLOOKUP($H$5,'Met Data'!$H$2:$M$368,G225,FALSE)*L225</f>
        <v>2.96999999999999</v>
      </c>
      <c r="K225" s="96">
        <f>HLOOKUP($H$5,'Met Data'!$O$2:$T$368,G225,FALSE)</f>
        <v>3.1690364753373701</v>
      </c>
      <c r="L225">
        <f t="shared" ca="1" si="30"/>
        <v>1</v>
      </c>
      <c r="N225" t="b">
        <f t="shared" ca="1" si="35"/>
        <v>1</v>
      </c>
      <c r="O225" t="b">
        <f t="shared" ca="1" si="31"/>
        <v>1</v>
      </c>
      <c r="P225" s="2">
        <f ca="1"/>
        <v>45265</v>
      </c>
      <c r="Q225">
        <f ca="1"/>
        <v>23.241962916914158</v>
      </c>
      <c r="R225">
        <f ca="1"/>
        <v>0.36617032168510377</v>
      </c>
      <c r="S225">
        <f ca="1"/>
        <v>7.619780821165989E-3</v>
      </c>
      <c r="T225">
        <f ca="1"/>
        <v>0.31585647336257683</v>
      </c>
      <c r="U225">
        <f ca="1"/>
        <v>0</v>
      </c>
      <c r="V225">
        <f ca="1"/>
        <v>281.81891455718539</v>
      </c>
      <c r="W225">
        <f ca="1"/>
        <v>248.98213962158502</v>
      </c>
      <c r="X225">
        <f ca="1"/>
        <v>0</v>
      </c>
      <c r="Y225">
        <f ca="1"/>
        <v>0.72912193022878213</v>
      </c>
      <c r="Z225">
        <f ca="1"/>
        <v>0</v>
      </c>
      <c r="AA225">
        <f ca="1"/>
        <v>0</v>
      </c>
      <c r="AB225">
        <f ca="1"/>
        <v>0.1875830505429108</v>
      </c>
      <c r="AD225" s="2">
        <f t="shared" ca="1" si="32"/>
        <v>45265</v>
      </c>
      <c r="AE225">
        <f t="shared" ca="1" si="33"/>
        <v>0</v>
      </c>
      <c r="AG225" s="63">
        <f t="shared" ca="1" si="37"/>
        <v>23.608133238599262</v>
      </c>
      <c r="AH225" s="63">
        <f t="shared" ca="1" si="38"/>
        <v>23.608133238599262</v>
      </c>
      <c r="AI225" s="3">
        <f t="shared" ca="1" si="39"/>
        <v>0</v>
      </c>
    </row>
    <row r="226" spans="7:35">
      <c r="G226" s="3">
        <f t="shared" si="34"/>
        <v>281</v>
      </c>
      <c r="H226" s="95">
        <f t="shared" si="36"/>
        <v>45206</v>
      </c>
      <c r="I226" s="119">
        <f>HLOOKUP($H$5,'Met Data'!$A$2:$F$368,G226,FALSE)</f>
        <v>12.7633333333333</v>
      </c>
      <c r="J226" s="119">
        <f ca="1">HLOOKUP($H$5,'Met Data'!$H$2:$M$368,G226,FALSE)*L226</f>
        <v>2.61</v>
      </c>
      <c r="K226" s="96">
        <f>HLOOKUP($H$5,'Met Data'!$O$2:$T$368,G226,FALSE)</f>
        <v>2.8220150579732999</v>
      </c>
      <c r="L226">
        <f t="shared" ca="1" si="30"/>
        <v>1</v>
      </c>
      <c r="N226" t="b">
        <f t="shared" ca="1" si="35"/>
        <v>1</v>
      </c>
      <c r="O226" t="b">
        <f t="shared" ca="1" si="31"/>
        <v>1</v>
      </c>
      <c r="P226" s="2">
        <f ca="1"/>
        <v>45266</v>
      </c>
      <c r="Q226">
        <f ca="1"/>
        <v>23.238049363021929</v>
      </c>
      <c r="R226">
        <f ca="1"/>
        <v>0.33316851689420446</v>
      </c>
      <c r="S226">
        <f ca="1"/>
        <v>7.5105274896527519E-3</v>
      </c>
      <c r="T226">
        <f ca="1"/>
        <v>0.32174443551232129</v>
      </c>
      <c r="U226">
        <f ca="1"/>
        <v>0</v>
      </c>
      <c r="V226">
        <f ca="1"/>
        <v>282.1520830740796</v>
      </c>
      <c r="W226">
        <f ca="1"/>
        <v>249.27648824726617</v>
      </c>
      <c r="X226">
        <f ca="1"/>
        <v>0</v>
      </c>
      <c r="Y226">
        <f ca="1"/>
        <v>0.74142544682609401</v>
      </c>
      <c r="Z226">
        <f ca="1"/>
        <v>0</v>
      </c>
      <c r="AA226">
        <f ca="1"/>
        <v>0</v>
      </c>
      <c r="AB226">
        <f ca="1"/>
        <v>0.1514799013620679</v>
      </c>
      <c r="AD226" s="2">
        <f t="shared" ca="1" si="32"/>
        <v>45266</v>
      </c>
      <c r="AE226">
        <f t="shared" ca="1" si="33"/>
        <v>0</v>
      </c>
      <c r="AG226" s="63">
        <f t="shared" ca="1" si="37"/>
        <v>23.571217879916134</v>
      </c>
      <c r="AH226" s="63">
        <f t="shared" ca="1" si="38"/>
        <v>23.571217879916134</v>
      </c>
      <c r="AI226" s="3">
        <f t="shared" ca="1" si="39"/>
        <v>0</v>
      </c>
    </row>
    <row r="227" spans="7:35">
      <c r="G227" s="3">
        <f t="shared" si="34"/>
        <v>282</v>
      </c>
      <c r="H227" s="95">
        <f t="shared" si="36"/>
        <v>45207</v>
      </c>
      <c r="I227" s="119">
        <f>HLOOKUP($H$5,'Met Data'!$A$2:$F$368,G227,FALSE)</f>
        <v>13.4816666666666</v>
      </c>
      <c r="J227" s="119">
        <f ca="1">HLOOKUP($H$5,'Met Data'!$H$2:$M$368,G227,FALSE)*L227</f>
        <v>4.0666666666666602</v>
      </c>
      <c r="K227" s="96">
        <f>HLOOKUP($H$5,'Met Data'!$O$2:$T$368,G227,FALSE)</f>
        <v>2.68549157073894</v>
      </c>
      <c r="L227">
        <f t="shared" ca="1" si="30"/>
        <v>1</v>
      </c>
      <c r="N227" t="b">
        <f t="shared" ca="1" si="35"/>
        <v>1</v>
      </c>
      <c r="O227" t="b">
        <f t="shared" ca="1" si="31"/>
        <v>1</v>
      </c>
      <c r="P227" s="2">
        <f ca="1"/>
        <v>45267</v>
      </c>
      <c r="Q227">
        <f ca="1"/>
        <v>23.271223321108188</v>
      </c>
      <c r="R227">
        <f ca="1"/>
        <v>0.28941630401646989</v>
      </c>
      <c r="S227">
        <f ca="1"/>
        <v>7.1276305908050119E-3</v>
      </c>
      <c r="T227">
        <f ca="1"/>
        <v>0.31546263151192511</v>
      </c>
      <c r="U227">
        <f ca="1"/>
        <v>0</v>
      </c>
      <c r="V227">
        <f ca="1"/>
        <v>282.44149937809607</v>
      </c>
      <c r="W227">
        <f ca="1"/>
        <v>249.53218254915018</v>
      </c>
      <c r="X227">
        <f ca="1"/>
        <v>0</v>
      </c>
      <c r="Y227">
        <f ca="1"/>
        <v>0.75780387337387556</v>
      </c>
      <c r="Z227">
        <f ca="1"/>
        <v>0</v>
      </c>
      <c r="AA227">
        <f ca="1"/>
        <v>0</v>
      </c>
      <c r="AB227">
        <f ca="1"/>
        <v>0.11698923587038079</v>
      </c>
      <c r="AD227" s="2">
        <f t="shared" ca="1" si="32"/>
        <v>45267</v>
      </c>
      <c r="AE227">
        <f t="shared" ca="1" si="33"/>
        <v>0</v>
      </c>
      <c r="AG227" s="63">
        <f t="shared" ca="1" si="37"/>
        <v>23.560639625124658</v>
      </c>
      <c r="AH227" s="63">
        <f t="shared" ca="1" si="38"/>
        <v>23.560639625124658</v>
      </c>
      <c r="AI227" s="3">
        <f t="shared" ca="1" si="39"/>
        <v>0</v>
      </c>
    </row>
    <row r="228" spans="7:35">
      <c r="G228" s="3">
        <f t="shared" si="34"/>
        <v>283</v>
      </c>
      <c r="H228" s="95">
        <f t="shared" si="36"/>
        <v>45208</v>
      </c>
      <c r="I228" s="119">
        <f>HLOOKUP($H$5,'Met Data'!$A$2:$F$368,G228,FALSE)</f>
        <v>13.6933333333333</v>
      </c>
      <c r="J228" s="119">
        <f ca="1">HLOOKUP($H$5,'Met Data'!$H$2:$M$368,G228,FALSE)*L228</f>
        <v>4.22</v>
      </c>
      <c r="K228" s="96">
        <f>HLOOKUP($H$5,'Met Data'!$O$2:$T$368,G228,FALSE)</f>
        <v>2.6969590648562201</v>
      </c>
      <c r="L228">
        <f t="shared" ca="1" si="30"/>
        <v>1</v>
      </c>
      <c r="N228" t="b">
        <f t="shared" ca="1" si="35"/>
        <v>1</v>
      </c>
      <c r="O228" t="b">
        <f t="shared" ca="1" si="31"/>
        <v>1</v>
      </c>
      <c r="P228" s="2">
        <f ca="1"/>
        <v>45268</v>
      </c>
      <c r="Q228">
        <f ca="1"/>
        <v>23.324302881059197</v>
      </c>
      <c r="R228">
        <f ca="1"/>
        <v>0.26248992509613345</v>
      </c>
      <c r="S228">
        <f ca="1"/>
        <v>6.9894536912586958E-3</v>
      </c>
      <c r="T228">
        <f ca="1"/>
        <v>0.30858003135588402</v>
      </c>
      <c r="U228">
        <f ca="1"/>
        <v>0</v>
      </c>
      <c r="V228">
        <f ca="1"/>
        <v>282.7039893031922</v>
      </c>
      <c r="W228">
        <f ca="1"/>
        <v>249.76408786069479</v>
      </c>
      <c r="X228">
        <f ca="1"/>
        <v>0</v>
      </c>
      <c r="Y228">
        <f ca="1"/>
        <v>0.7442860687111561</v>
      </c>
      <c r="Z228">
        <f ca="1"/>
        <v>0</v>
      </c>
      <c r="AA228">
        <f ca="1"/>
        <v>0</v>
      </c>
      <c r="AB228">
        <f ca="1"/>
        <v>8.2663424941163188E-2</v>
      </c>
      <c r="AD228" s="2">
        <f t="shared" ca="1" si="32"/>
        <v>45268</v>
      </c>
      <c r="AE228">
        <f t="shared" ca="1" si="33"/>
        <v>0</v>
      </c>
      <c r="AG228" s="63">
        <f t="shared" ca="1" si="37"/>
        <v>23.58679280615533</v>
      </c>
      <c r="AH228" s="63">
        <f t="shared" ca="1" si="38"/>
        <v>23.58679280615533</v>
      </c>
      <c r="AI228" s="3">
        <f t="shared" ca="1" si="39"/>
        <v>0</v>
      </c>
    </row>
    <row r="229" spans="7:35">
      <c r="G229" s="3">
        <f t="shared" si="34"/>
        <v>284</v>
      </c>
      <c r="H229" s="95">
        <f t="shared" si="36"/>
        <v>45209</v>
      </c>
      <c r="I229" s="119">
        <f>HLOOKUP($H$5,'Met Data'!$A$2:$F$368,G229,FALSE)</f>
        <v>12.9568965517241</v>
      </c>
      <c r="J229" s="119">
        <f ca="1">HLOOKUP($H$5,'Met Data'!$H$2:$M$368,G229,FALSE)*L229</f>
        <v>4.5966666666666596</v>
      </c>
      <c r="K229" s="96">
        <f>HLOOKUP($H$5,'Met Data'!$O$2:$T$368,G229,FALSE)</f>
        <v>2.9040985917251398</v>
      </c>
      <c r="L229">
        <f t="shared" ca="1" si="30"/>
        <v>1</v>
      </c>
      <c r="N229" t="b">
        <f t="shared" ca="1" si="35"/>
        <v>1</v>
      </c>
      <c r="O229" t="b">
        <f t="shared" ca="1" si="31"/>
        <v>1</v>
      </c>
      <c r="P229" s="2">
        <f ca="1"/>
        <v>45269</v>
      </c>
      <c r="Q229">
        <f ca="1"/>
        <v>23.38976282839938</v>
      </c>
      <c r="R229">
        <f ca="1"/>
        <v>0.24866222464930843</v>
      </c>
      <c r="S229">
        <f ca="1"/>
        <v>7.1003721314033541E-3</v>
      </c>
      <c r="T229">
        <f ca="1"/>
        <v>0.30702179985808692</v>
      </c>
      <c r="U229">
        <f ca="1"/>
        <v>0</v>
      </c>
      <c r="V229">
        <f ca="1"/>
        <v>282.95265152784151</v>
      </c>
      <c r="W229">
        <f ca="1"/>
        <v>249.98377663791373</v>
      </c>
      <c r="X229">
        <f ca="1"/>
        <v>0</v>
      </c>
      <c r="Y229">
        <f ca="1"/>
        <v>0.71283627464581234</v>
      </c>
      <c r="Z229">
        <f ca="1"/>
        <v>0</v>
      </c>
      <c r="AA229">
        <f ca="1"/>
        <v>0</v>
      </c>
      <c r="AB229">
        <f ca="1"/>
        <v>4.6915743410644972E-2</v>
      </c>
      <c r="AD229" s="2">
        <f t="shared" ca="1" si="32"/>
        <v>45269</v>
      </c>
      <c r="AE229">
        <f t="shared" ca="1" si="33"/>
        <v>0</v>
      </c>
      <c r="AG229" s="63">
        <f t="shared" ca="1" si="37"/>
        <v>23.638425053048689</v>
      </c>
      <c r="AH229" s="63">
        <f t="shared" ca="1" si="38"/>
        <v>23.638425053048689</v>
      </c>
      <c r="AI229" s="3">
        <f t="shared" ca="1" si="39"/>
        <v>0</v>
      </c>
    </row>
    <row r="230" spans="7:35">
      <c r="G230" s="3">
        <f t="shared" si="34"/>
        <v>285</v>
      </c>
      <c r="H230" s="95">
        <f t="shared" si="36"/>
        <v>45210</v>
      </c>
      <c r="I230" s="119">
        <f>HLOOKUP($H$5,'Met Data'!$A$2:$F$368,G230,FALSE)</f>
        <v>13.2293103448275</v>
      </c>
      <c r="J230" s="119">
        <f ca="1">HLOOKUP($H$5,'Met Data'!$H$2:$M$368,G230,FALSE)*L230</f>
        <v>2.3896551724137902</v>
      </c>
      <c r="K230" s="96">
        <f>HLOOKUP($H$5,'Met Data'!$O$2:$T$368,G230,FALSE)</f>
        <v>2.90858576113735</v>
      </c>
      <c r="L230">
        <f t="shared" ca="1" si="30"/>
        <v>1</v>
      </c>
      <c r="N230" t="b">
        <f t="shared" ca="1" si="35"/>
        <v>1</v>
      </c>
      <c r="O230" t="b">
        <f t="shared" ca="1" si="31"/>
        <v>1</v>
      </c>
      <c r="P230" s="2">
        <f ca="1"/>
        <v>45270</v>
      </c>
      <c r="Q230">
        <f ca="1"/>
        <v>23.478092077116713</v>
      </c>
      <c r="R230">
        <f ca="1"/>
        <v>0.22419550389776077</v>
      </c>
      <c r="S230">
        <f ca="1"/>
        <v>6.945551233565439E-3</v>
      </c>
      <c r="T230">
        <f ca="1"/>
        <v>0.305579201381528</v>
      </c>
      <c r="U230">
        <f ca="1"/>
        <v>0</v>
      </c>
      <c r="V230">
        <f ca="1"/>
        <v>283.17684703173927</v>
      </c>
      <c r="W230">
        <f ca="1"/>
        <v>250.181849490269</v>
      </c>
      <c r="X230">
        <f ca="1"/>
        <v>0</v>
      </c>
      <c r="Y230">
        <f ca="1"/>
        <v>0.71414372390793091</v>
      </c>
      <c r="Z230">
        <f ca="1"/>
        <v>0</v>
      </c>
      <c r="AA230">
        <f ca="1"/>
        <v>0</v>
      </c>
      <c r="AB230">
        <f ca="1"/>
        <v>1.1420495428908661E-2</v>
      </c>
      <c r="AD230" s="2">
        <f t="shared" ca="1" si="32"/>
        <v>45270</v>
      </c>
      <c r="AE230">
        <f t="shared" ca="1" si="33"/>
        <v>0</v>
      </c>
      <c r="AG230" s="63">
        <f t="shared" ca="1" si="37"/>
        <v>23.702287581014474</v>
      </c>
      <c r="AH230" s="63">
        <f t="shared" ca="1" si="38"/>
        <v>23.702287581014474</v>
      </c>
      <c r="AI230" s="3">
        <f t="shared" ca="1" si="39"/>
        <v>0</v>
      </c>
    </row>
    <row r="231" spans="7:35">
      <c r="G231" s="3">
        <f t="shared" si="34"/>
        <v>286</v>
      </c>
      <c r="H231" s="95">
        <f t="shared" si="36"/>
        <v>45211</v>
      </c>
      <c r="I231" s="119">
        <f>HLOOKUP($H$5,'Met Data'!$A$2:$F$368,G231,FALSE)</f>
        <v>13.7431034482758</v>
      </c>
      <c r="J231" s="119">
        <f ca="1">HLOOKUP($H$5,'Met Data'!$H$2:$M$368,G231,FALSE)*L231</f>
        <v>5.39310344827586</v>
      </c>
      <c r="K231" s="96">
        <f>HLOOKUP($H$5,'Met Data'!$O$2:$T$368,G231,FALSE)</f>
        <v>2.9187130451018599</v>
      </c>
      <c r="L231">
        <f t="shared" ca="1" si="30"/>
        <v>1</v>
      </c>
      <c r="N231" t="b">
        <f t="shared" ca="1" si="35"/>
        <v>1</v>
      </c>
      <c r="O231" t="b">
        <f t="shared" ca="1" si="31"/>
        <v>1</v>
      </c>
      <c r="P231" s="2">
        <f ca="1"/>
        <v>45271</v>
      </c>
      <c r="Q231">
        <f ca="1"/>
        <v>23.57710759756813</v>
      </c>
      <c r="R231">
        <f ca="1"/>
        <v>0.21257299509647964</v>
      </c>
      <c r="S231">
        <f ca="1"/>
        <v>7.0870958028859121E-3</v>
      </c>
      <c r="T231">
        <f ca="1"/>
        <v>0.3045014197450116</v>
      </c>
      <c r="U231">
        <f ca="1"/>
        <v>0</v>
      </c>
      <c r="V231">
        <f ca="1"/>
        <v>283.38942002683575</v>
      </c>
      <c r="W231">
        <f ca="1"/>
        <v>250.36965405699956</v>
      </c>
      <c r="X231">
        <f ca="1"/>
        <v>0</v>
      </c>
      <c r="Y231">
        <f ca="1"/>
        <v>0.68011762649115814</v>
      </c>
      <c r="Z231">
        <f ca="1"/>
        <v>0</v>
      </c>
      <c r="AA231">
        <f ca="1"/>
        <v>0</v>
      </c>
      <c r="AB231">
        <f ca="1"/>
        <v>0</v>
      </c>
      <c r="AD231" s="2">
        <f t="shared" ca="1" si="32"/>
        <v>45271</v>
      </c>
      <c r="AE231">
        <f t="shared" ca="1" si="33"/>
        <v>0</v>
      </c>
      <c r="AG231" s="63">
        <f t="shared" ca="1" si="37"/>
        <v>23.789680592664613</v>
      </c>
      <c r="AH231" s="63">
        <f t="shared" ca="1" si="38"/>
        <v>23.78968059266461</v>
      </c>
      <c r="AI231" s="3">
        <f t="shared" ca="1" si="39"/>
        <v>0</v>
      </c>
    </row>
    <row r="232" spans="7:35">
      <c r="G232" s="3">
        <f t="shared" si="34"/>
        <v>287</v>
      </c>
      <c r="H232" s="95">
        <f t="shared" si="36"/>
        <v>45212</v>
      </c>
      <c r="I232" s="119">
        <f>HLOOKUP($H$5,'Met Data'!$A$2:$F$368,G232,FALSE)</f>
        <v>13.6551724137931</v>
      </c>
      <c r="J232" s="119">
        <f ca="1">HLOOKUP($H$5,'Met Data'!$H$2:$M$368,G232,FALSE)*L232</f>
        <v>4.9586206896551701</v>
      </c>
      <c r="K232" s="96">
        <f>HLOOKUP($H$5,'Met Data'!$O$2:$T$368,G232,FALSE)</f>
        <v>2.9944315874670302</v>
      </c>
      <c r="L232">
        <f t="shared" ca="1" si="30"/>
        <v>1</v>
      </c>
      <c r="N232" t="b">
        <f t="shared" ca="1" si="35"/>
        <v>1</v>
      </c>
      <c r="O232" t="b">
        <f t="shared" ca="1" si="31"/>
        <v>1</v>
      </c>
      <c r="P232" s="2">
        <f ca="1"/>
        <v>45272</v>
      </c>
      <c r="Q232">
        <f ca="1"/>
        <v>23.695128101365171</v>
      </c>
      <c r="R232">
        <f ca="1"/>
        <v>0.19927403310617819</v>
      </c>
      <c r="S232">
        <f ca="1"/>
        <v>7.1953717717425647E-3</v>
      </c>
      <c r="T232">
        <f ca="1"/>
        <v>0.31009916513147623</v>
      </c>
      <c r="U232">
        <f ca="1"/>
        <v>0</v>
      </c>
      <c r="V232">
        <f ca="1"/>
        <v>283.58869405994193</v>
      </c>
      <c r="W232">
        <f ca="1"/>
        <v>250.54570922069132</v>
      </c>
      <c r="X232">
        <f ca="1"/>
        <v>0</v>
      </c>
      <c r="Y232">
        <f ca="1"/>
        <v>0.6666802365368919</v>
      </c>
      <c r="Z232">
        <f ca="1"/>
        <v>0</v>
      </c>
      <c r="AA232">
        <f ca="1"/>
        <v>0</v>
      </c>
      <c r="AB232">
        <f ca="1"/>
        <v>0</v>
      </c>
      <c r="AD232" s="2">
        <f t="shared" ca="1" si="32"/>
        <v>45272</v>
      </c>
      <c r="AE232">
        <f t="shared" ca="1" si="33"/>
        <v>0</v>
      </c>
      <c r="AG232" s="63">
        <f t="shared" ca="1" si="37"/>
        <v>23.894402134471349</v>
      </c>
      <c r="AH232" s="63">
        <f t="shared" ca="1" si="38"/>
        <v>23.894402134471349</v>
      </c>
      <c r="AI232" s="3">
        <f t="shared" ca="1" si="39"/>
        <v>0</v>
      </c>
    </row>
    <row r="233" spans="7:35">
      <c r="G233" s="3">
        <f t="shared" si="34"/>
        <v>288</v>
      </c>
      <c r="H233" s="95">
        <f t="shared" si="36"/>
        <v>45213</v>
      </c>
      <c r="I233" s="119">
        <f>HLOOKUP($H$5,'Met Data'!$A$2:$F$368,G233,FALSE)</f>
        <v>13.334482758620601</v>
      </c>
      <c r="J233" s="119">
        <f ca="1">HLOOKUP($H$5,'Met Data'!$H$2:$M$368,G233,FALSE)*L233</f>
        <v>5.6758620689655102</v>
      </c>
      <c r="K233" s="96">
        <f>HLOOKUP($H$5,'Met Data'!$O$2:$T$368,G233,FALSE)</f>
        <v>2.9220059834019998</v>
      </c>
      <c r="L233">
        <f t="shared" ca="1" si="30"/>
        <v>1</v>
      </c>
      <c r="N233" t="b">
        <f t="shared" ca="1" si="35"/>
        <v>1</v>
      </c>
      <c r="O233" t="b">
        <f t="shared" ca="1" si="31"/>
        <v>1</v>
      </c>
      <c r="P233" s="2">
        <f ca="1"/>
        <v>45273</v>
      </c>
      <c r="Q233">
        <f ca="1"/>
        <v>23.823128875531996</v>
      </c>
      <c r="R233">
        <f ca="1"/>
        <v>0.17625229577595292</v>
      </c>
      <c r="S233">
        <f ca="1"/>
        <v>6.9580820866077531E-3</v>
      </c>
      <c r="T233">
        <f ca="1"/>
        <v>0.2972949878561677</v>
      </c>
      <c r="U233">
        <f ca="1"/>
        <v>0</v>
      </c>
      <c r="V233">
        <f ca="1"/>
        <v>283.76494635571788</v>
      </c>
      <c r="W233">
        <f ca="1"/>
        <v>250.70142507739476</v>
      </c>
      <c r="X233">
        <f ca="1"/>
        <v>0</v>
      </c>
      <c r="Y233">
        <f ca="1"/>
        <v>0.64838730334016148</v>
      </c>
      <c r="Z233">
        <f ca="1"/>
        <v>0</v>
      </c>
      <c r="AA233">
        <f ca="1"/>
        <v>0</v>
      </c>
      <c r="AB233">
        <f ca="1"/>
        <v>0</v>
      </c>
      <c r="AD233" s="2">
        <f t="shared" ca="1" si="32"/>
        <v>45273</v>
      </c>
      <c r="AE233">
        <f t="shared" ca="1" si="33"/>
        <v>0</v>
      </c>
      <c r="AG233" s="63">
        <f t="shared" ca="1" si="37"/>
        <v>23.999381171307949</v>
      </c>
      <c r="AH233" s="63">
        <f t="shared" ca="1" si="38"/>
        <v>23.999381171307949</v>
      </c>
      <c r="AI233" s="3">
        <f t="shared" ca="1" si="39"/>
        <v>0</v>
      </c>
    </row>
    <row r="234" spans="7:35">
      <c r="G234" s="3">
        <f t="shared" si="34"/>
        <v>289</v>
      </c>
      <c r="H234" s="95">
        <f t="shared" si="36"/>
        <v>45214</v>
      </c>
      <c r="I234" s="119">
        <f>HLOOKUP($H$5,'Met Data'!$A$2:$F$368,G234,FALSE)</f>
        <v>13.0379310344827</v>
      </c>
      <c r="J234" s="119">
        <f ca="1">HLOOKUP($H$5,'Met Data'!$H$2:$M$368,G234,FALSE)*L234</f>
        <v>5.9344827586206899</v>
      </c>
      <c r="K234" s="96">
        <f>HLOOKUP($H$5,'Met Data'!$O$2:$T$368,G234,FALSE)</f>
        <v>3.1812494285264998</v>
      </c>
      <c r="L234">
        <f t="shared" ca="1" si="30"/>
        <v>1</v>
      </c>
      <c r="N234" t="b">
        <f t="shared" ca="1" si="35"/>
        <v>1</v>
      </c>
      <c r="O234" t="b">
        <f t="shared" ca="1" si="31"/>
        <v>1</v>
      </c>
      <c r="P234" s="2">
        <f ca="1"/>
        <v>45274</v>
      </c>
      <c r="Q234">
        <f ca="1"/>
        <v>23.978625551624468</v>
      </c>
      <c r="R234">
        <f ca="1"/>
        <v>0.15800958677340304</v>
      </c>
      <c r="S234">
        <f ca="1"/>
        <v>6.8015639222585023E-3</v>
      </c>
      <c r="T234">
        <f ca="1"/>
        <v>0.30670469894361407</v>
      </c>
      <c r="U234">
        <f ca="1"/>
        <v>0</v>
      </c>
      <c r="V234">
        <f ca="1"/>
        <v>283.92295594249128</v>
      </c>
      <c r="W234">
        <f ca="1"/>
        <v>250.84102381602938</v>
      </c>
      <c r="X234">
        <f ca="1"/>
        <v>0</v>
      </c>
      <c r="Y234">
        <f ca="1"/>
        <v>0.6763178285547794</v>
      </c>
      <c r="Z234">
        <f ca="1"/>
        <v>0</v>
      </c>
      <c r="AA234">
        <f ca="1"/>
        <v>0</v>
      </c>
      <c r="AB234">
        <f ca="1"/>
        <v>0</v>
      </c>
      <c r="AD234" s="2">
        <f t="shared" ca="1" si="32"/>
        <v>45274</v>
      </c>
      <c r="AE234">
        <f t="shared" ca="1" si="33"/>
        <v>0</v>
      </c>
      <c r="AG234" s="63">
        <f t="shared" ca="1" si="37"/>
        <v>24.136635138397871</v>
      </c>
      <c r="AH234" s="63">
        <f t="shared" ca="1" si="38"/>
        <v>24.136635138397871</v>
      </c>
      <c r="AI234" s="3">
        <f t="shared" ca="1" si="39"/>
        <v>0</v>
      </c>
    </row>
    <row r="235" spans="7:35">
      <c r="G235" s="3">
        <f t="shared" si="34"/>
        <v>290</v>
      </c>
      <c r="H235" s="95">
        <f t="shared" si="36"/>
        <v>45215</v>
      </c>
      <c r="I235" s="119">
        <f>HLOOKUP($H$5,'Met Data'!$A$2:$F$368,G235,FALSE)</f>
        <v>13.094827586206801</v>
      </c>
      <c r="J235" s="119">
        <f ca="1">HLOOKUP($H$5,'Met Data'!$H$2:$M$368,G235,FALSE)*L235</f>
        <v>3.2862068965517199</v>
      </c>
      <c r="K235" s="96">
        <f>HLOOKUP($H$5,'Met Data'!$O$2:$T$368,G235,FALSE)</f>
        <v>3.1846462671739202</v>
      </c>
      <c r="L235">
        <f t="shared" ca="1" si="30"/>
        <v>1</v>
      </c>
      <c r="N235" t="b">
        <f t="shared" ca="1" si="35"/>
        <v>1</v>
      </c>
      <c r="O235" t="b">
        <f t="shared" ca="1" si="31"/>
        <v>1</v>
      </c>
      <c r="P235" s="2">
        <f ca="1"/>
        <v>45275</v>
      </c>
      <c r="Q235">
        <f ca="1"/>
        <v>24.145402065240592</v>
      </c>
      <c r="R235">
        <f ca="1"/>
        <v>0.1407454436516673</v>
      </c>
      <c r="S235">
        <f ca="1"/>
        <v>6.6088459789783727E-3</v>
      </c>
      <c r="T235">
        <f ca="1"/>
        <v>0.30091311128881254</v>
      </c>
      <c r="U235">
        <f ca="1"/>
        <v>0</v>
      </c>
      <c r="V235">
        <f ca="1"/>
        <v>284.06370138614295</v>
      </c>
      <c r="W235">
        <f ca="1"/>
        <v>250.96536998263591</v>
      </c>
      <c r="X235">
        <f ca="1"/>
        <v>0</v>
      </c>
      <c r="Y235">
        <f ca="1"/>
        <v>0.67168202273154742</v>
      </c>
      <c r="Z235">
        <f ca="1"/>
        <v>0</v>
      </c>
      <c r="AA235">
        <f ca="1"/>
        <v>0</v>
      </c>
      <c r="AB235">
        <f ca="1"/>
        <v>0</v>
      </c>
      <c r="AD235" s="2">
        <f t="shared" ca="1" si="32"/>
        <v>45275</v>
      </c>
      <c r="AE235">
        <f t="shared" ca="1" si="33"/>
        <v>0</v>
      </c>
      <c r="AG235" s="63">
        <f t="shared" ca="1" si="37"/>
        <v>24.28614750889226</v>
      </c>
      <c r="AH235" s="63">
        <f t="shared" ca="1" si="38"/>
        <v>24.28614750889226</v>
      </c>
      <c r="AI235" s="3">
        <f t="shared" ca="1" si="39"/>
        <v>0</v>
      </c>
    </row>
    <row r="236" spans="7:35">
      <c r="G236" s="3">
        <f t="shared" si="34"/>
        <v>291</v>
      </c>
      <c r="H236" s="95">
        <f t="shared" si="36"/>
        <v>45216</v>
      </c>
      <c r="I236" s="119">
        <f>HLOOKUP($H$5,'Met Data'!$A$2:$F$368,G236,FALSE)</f>
        <v>13.6775862068965</v>
      </c>
      <c r="J236" s="119">
        <f ca="1">HLOOKUP($H$5,'Met Data'!$H$2:$M$368,G236,FALSE)*L236</f>
        <v>3.4241379310344802</v>
      </c>
      <c r="K236" s="96">
        <f>HLOOKUP($H$5,'Met Data'!$O$2:$T$368,G236,FALSE)</f>
        <v>3.2300602691540199</v>
      </c>
      <c r="L236">
        <f t="shared" ca="1" si="30"/>
        <v>1</v>
      </c>
      <c r="N236" t="b">
        <f t="shared" ca="1" si="35"/>
        <v>1</v>
      </c>
      <c r="O236" t="b">
        <f t="shared" ca="1" si="31"/>
        <v>1</v>
      </c>
      <c r="P236" s="2">
        <f ca="1"/>
        <v>45276</v>
      </c>
      <c r="Q236">
        <f ca="1"/>
        <v>24.347569303585495</v>
      </c>
      <c r="R236">
        <f ca="1"/>
        <v>0.12817189827427455</v>
      </c>
      <c r="S236">
        <f ca="1"/>
        <v>6.5405749775244715E-3</v>
      </c>
      <c r="T236">
        <f ca="1"/>
        <v>0.32379856164165388</v>
      </c>
      <c r="U236">
        <f ca="1"/>
        <v>0</v>
      </c>
      <c r="V236">
        <f ca="1"/>
        <v>284.19187328441723</v>
      </c>
      <c r="W236">
        <f ca="1"/>
        <v>251.07860763924182</v>
      </c>
      <c r="X236">
        <f ca="1"/>
        <v>0</v>
      </c>
      <c r="Y236">
        <f ca="1"/>
        <v>0.72115413015521668</v>
      </c>
      <c r="Z236">
        <f ca="1"/>
        <v>0</v>
      </c>
      <c r="AA236">
        <f ca="1"/>
        <v>0</v>
      </c>
      <c r="AB236">
        <f ca="1"/>
        <v>0</v>
      </c>
      <c r="AD236" s="2">
        <f t="shared" ca="1" si="32"/>
        <v>45276</v>
      </c>
      <c r="AE236">
        <f t="shared" ca="1" si="33"/>
        <v>0</v>
      </c>
      <c r="AG236" s="63">
        <f t="shared" ca="1" si="37"/>
        <v>24.475741201859769</v>
      </c>
      <c r="AH236" s="63">
        <f t="shared" ca="1" si="38"/>
        <v>24.475741201859769</v>
      </c>
      <c r="AI236" s="3">
        <f t="shared" ca="1" si="39"/>
        <v>0</v>
      </c>
    </row>
    <row r="237" spans="7:35">
      <c r="G237" s="3">
        <f t="shared" si="34"/>
        <v>292</v>
      </c>
      <c r="H237" s="95">
        <f t="shared" si="36"/>
        <v>45217</v>
      </c>
      <c r="I237" s="119">
        <f>HLOOKUP($H$5,'Met Data'!$A$2:$F$368,G237,FALSE)</f>
        <v>13.189655172413699</v>
      </c>
      <c r="J237" s="119">
        <f ca="1">HLOOKUP($H$5,'Met Data'!$H$2:$M$368,G237,FALSE)*L237</f>
        <v>3.6586206896551698</v>
      </c>
      <c r="K237" s="96">
        <f>HLOOKUP($H$5,'Met Data'!$O$2:$T$368,G237,FALSE)</f>
        <v>2.98673361950474</v>
      </c>
      <c r="L237">
        <f t="shared" ca="1" si="30"/>
        <v>1</v>
      </c>
      <c r="N237" t="b">
        <f t="shared" ca="1" si="35"/>
        <v>1</v>
      </c>
      <c r="O237" t="b">
        <f t="shared" ca="1" si="31"/>
        <v>1</v>
      </c>
      <c r="P237" s="2">
        <f ca="1"/>
        <v>45277</v>
      </c>
      <c r="Q237">
        <f ca="1"/>
        <v>24.577425771744789</v>
      </c>
      <c r="R237">
        <f ca="1"/>
        <v>0.11615267655292882</v>
      </c>
      <c r="S237">
        <f ca="1"/>
        <v>6.4498599418056912E-3</v>
      </c>
      <c r="T237">
        <f ca="1"/>
        <v>0.33955928477041714</v>
      </c>
      <c r="U237">
        <f ca="1"/>
        <v>0</v>
      </c>
      <c r="V237">
        <f ca="1"/>
        <v>284.30802596097016</v>
      </c>
      <c r="W237">
        <f ca="1"/>
        <v>251.18122652121562</v>
      </c>
      <c r="X237">
        <f ca="1"/>
        <v>0</v>
      </c>
      <c r="Y237">
        <f ca="1"/>
        <v>0.75433627542616166</v>
      </c>
      <c r="Z237">
        <f ca="1"/>
        <v>0</v>
      </c>
      <c r="AA237">
        <f ca="1"/>
        <v>0</v>
      </c>
      <c r="AB237">
        <f ca="1"/>
        <v>0</v>
      </c>
      <c r="AD237" s="2">
        <f t="shared" ca="1" si="32"/>
        <v>45277</v>
      </c>
      <c r="AE237">
        <f t="shared" ca="1" si="33"/>
        <v>0</v>
      </c>
      <c r="AG237" s="63">
        <f t="shared" ca="1" si="37"/>
        <v>24.693578448297718</v>
      </c>
      <c r="AH237" s="63">
        <f t="shared" ca="1" si="38"/>
        <v>24.693578448297718</v>
      </c>
      <c r="AI237" s="3">
        <f t="shared" ca="1" si="39"/>
        <v>0</v>
      </c>
    </row>
    <row r="238" spans="7:35">
      <c r="G238" s="3">
        <f t="shared" si="34"/>
        <v>293</v>
      </c>
      <c r="H238" s="95">
        <f t="shared" si="36"/>
        <v>45218</v>
      </c>
      <c r="I238" s="119">
        <f>HLOOKUP($H$5,'Met Data'!$A$2:$F$368,G238,FALSE)</f>
        <v>12.9428571428571</v>
      </c>
      <c r="J238" s="119">
        <f ca="1">HLOOKUP($H$5,'Met Data'!$H$2:$M$368,G238,FALSE)*L238</f>
        <v>2.3892857142857098</v>
      </c>
      <c r="K238" s="96">
        <f>HLOOKUP($H$5,'Met Data'!$O$2:$T$368,G238,FALSE)</f>
        <v>3.3877860671285598</v>
      </c>
      <c r="L238">
        <f t="shared" ca="1" si="30"/>
        <v>1</v>
      </c>
      <c r="N238" t="b">
        <f t="shared" ca="1" si="35"/>
        <v>1</v>
      </c>
      <c r="O238" t="b">
        <f t="shared" ca="1" si="31"/>
        <v>1</v>
      </c>
      <c r="P238" s="2">
        <f ca="1"/>
        <v>45278</v>
      </c>
      <c r="Q238">
        <f ca="1"/>
        <v>24.82530897075036</v>
      </c>
      <c r="R238">
        <f ca="1"/>
        <v>0.10235222069445626</v>
      </c>
      <c r="S238">
        <f ca="1"/>
        <v>6.2094470297582305E-3</v>
      </c>
      <c r="T238">
        <f ca="1"/>
        <v>0.34402597267026874</v>
      </c>
      <c r="U238">
        <f ca="1"/>
        <v>0</v>
      </c>
      <c r="V238">
        <f ca="1"/>
        <v>284.41037818166461</v>
      </c>
      <c r="W238">
        <f ca="1"/>
        <v>251.27165293898662</v>
      </c>
      <c r="X238">
        <f ca="1"/>
        <v>0</v>
      </c>
      <c r="Y238">
        <f ca="1"/>
        <v>0.78205362474717066</v>
      </c>
      <c r="Z238">
        <f ca="1"/>
        <v>0</v>
      </c>
      <c r="AA238">
        <f ca="1"/>
        <v>0</v>
      </c>
      <c r="AB238">
        <f ca="1"/>
        <v>0</v>
      </c>
      <c r="AD238" s="2">
        <f t="shared" ca="1" si="32"/>
        <v>45278</v>
      </c>
      <c r="AE238">
        <f t="shared" ca="1" si="33"/>
        <v>0</v>
      </c>
      <c r="AG238" s="63">
        <f t="shared" ca="1" si="37"/>
        <v>24.927661191444816</v>
      </c>
      <c r="AH238" s="63">
        <f t="shared" ca="1" si="38"/>
        <v>24.927661191444816</v>
      </c>
      <c r="AI238" s="3">
        <f t="shared" ca="1" si="39"/>
        <v>0</v>
      </c>
    </row>
    <row r="239" spans="7:35">
      <c r="G239" s="3">
        <f t="shared" si="34"/>
        <v>294</v>
      </c>
      <c r="H239" s="95">
        <f t="shared" si="36"/>
        <v>45219</v>
      </c>
      <c r="I239" s="119">
        <f>HLOOKUP($H$5,'Met Data'!$A$2:$F$368,G239,FALSE)</f>
        <v>12.819642857142799</v>
      </c>
      <c r="J239" s="119">
        <f ca="1">HLOOKUP($H$5,'Met Data'!$H$2:$M$368,G239,FALSE)*L239</f>
        <v>1.6142857142857101</v>
      </c>
      <c r="K239" s="96">
        <f>HLOOKUP($H$5,'Met Data'!$O$2:$T$368,G239,FALSE)</f>
        <v>3.30175747979975</v>
      </c>
      <c r="L239">
        <f t="shared" ca="1" si="30"/>
        <v>1</v>
      </c>
      <c r="N239" t="b">
        <f t="shared" ca="1" si="35"/>
        <v>1</v>
      </c>
      <c r="O239" t="b">
        <f t="shared" ca="1" si="31"/>
        <v>1</v>
      </c>
      <c r="P239" s="2">
        <f ca="1"/>
        <v>45279</v>
      </c>
      <c r="Q239">
        <f ca="1"/>
        <v>25.095495770920806</v>
      </c>
      <c r="R239">
        <f ca="1"/>
        <v>9.3899329717316959E-2</v>
      </c>
      <c r="S239">
        <f ca="1"/>
        <v>6.1792045610413737E-3</v>
      </c>
      <c r="T239">
        <f ca="1"/>
        <v>0.3579069253267213</v>
      </c>
      <c r="U239">
        <f ca="1"/>
        <v>0</v>
      </c>
      <c r="V239">
        <f ca="1"/>
        <v>284.50427751138193</v>
      </c>
      <c r="W239">
        <f ca="1"/>
        <v>251.35461137369208</v>
      </c>
      <c r="X239">
        <f ca="1"/>
        <v>0</v>
      </c>
      <c r="Y239">
        <f ca="1"/>
        <v>0.80180143704204054</v>
      </c>
      <c r="Z239">
        <f ca="1"/>
        <v>0</v>
      </c>
      <c r="AA239">
        <f ca="1"/>
        <v>0</v>
      </c>
      <c r="AB239">
        <f ca="1"/>
        <v>0</v>
      </c>
      <c r="AD239" s="2">
        <f t="shared" ca="1" si="32"/>
        <v>45279</v>
      </c>
      <c r="AE239">
        <f t="shared" ca="1" si="33"/>
        <v>0</v>
      </c>
      <c r="AG239" s="63">
        <f t="shared" ca="1" si="37"/>
        <v>25.189395100638119</v>
      </c>
      <c r="AH239" s="63">
        <f t="shared" ca="1" si="38"/>
        <v>25.189395100638123</v>
      </c>
      <c r="AI239" s="3">
        <f t="shared" ca="1" si="39"/>
        <v>0</v>
      </c>
    </row>
    <row r="240" spans="7:35">
      <c r="G240" s="3">
        <f t="shared" si="34"/>
        <v>295</v>
      </c>
      <c r="H240" s="95">
        <f t="shared" si="36"/>
        <v>45220</v>
      </c>
      <c r="I240" s="119">
        <f>HLOOKUP($H$5,'Met Data'!$A$2:$F$368,G240,FALSE)</f>
        <v>13.2785714285714</v>
      </c>
      <c r="J240" s="119">
        <f ca="1">HLOOKUP($H$5,'Met Data'!$H$2:$M$368,G240,FALSE)*L240</f>
        <v>2.9214285714285699</v>
      </c>
      <c r="K240" s="96">
        <f>HLOOKUP($H$5,'Met Data'!$O$2:$T$368,G240,FALSE)</f>
        <v>2.9372247945615499</v>
      </c>
      <c r="L240">
        <f t="shared" ca="1" si="30"/>
        <v>1</v>
      </c>
      <c r="N240" t="b">
        <f t="shared" ca="1" si="35"/>
        <v>1</v>
      </c>
      <c r="O240" t="b">
        <f t="shared" ca="1" si="31"/>
        <v>1</v>
      </c>
      <c r="P240" s="2">
        <f ca="1"/>
        <v>45280</v>
      </c>
      <c r="Q240">
        <f ca="1"/>
        <v>25.363231864741401</v>
      </c>
      <c r="R240">
        <f ca="1"/>
        <v>8.6668687332291938E-2</v>
      </c>
      <c r="S240">
        <f ca="1"/>
        <v>6.1906055266067739E-3</v>
      </c>
      <c r="T240">
        <f ca="1"/>
        <v>0.34821417562628065</v>
      </c>
      <c r="U240">
        <f ca="1"/>
        <v>0</v>
      </c>
      <c r="V240">
        <f ca="1"/>
        <v>284.59094619871422</v>
      </c>
      <c r="W240">
        <f ca="1"/>
        <v>251.43118166083585</v>
      </c>
      <c r="X240">
        <f ca="1"/>
        <v>0</v>
      </c>
      <c r="Y240">
        <f ca="1"/>
        <v>0.76437798960275261</v>
      </c>
      <c r="Z240">
        <f ca="1"/>
        <v>0</v>
      </c>
      <c r="AA240">
        <f ca="1"/>
        <v>0</v>
      </c>
      <c r="AB240">
        <f ca="1"/>
        <v>0</v>
      </c>
      <c r="AD240" s="2">
        <f t="shared" ca="1" si="32"/>
        <v>45280</v>
      </c>
      <c r="AE240">
        <f t="shared" ca="1" si="33"/>
        <v>0</v>
      </c>
      <c r="AG240" s="63">
        <f t="shared" ca="1" si="37"/>
        <v>25.449900552073693</v>
      </c>
      <c r="AH240" s="63">
        <f t="shared" ca="1" si="38"/>
        <v>25.449900552073693</v>
      </c>
      <c r="AI240" s="3">
        <f t="shared" ca="1" si="39"/>
        <v>0</v>
      </c>
    </row>
    <row r="241" spans="7:35">
      <c r="G241" s="3">
        <f t="shared" si="34"/>
        <v>296</v>
      </c>
      <c r="H241" s="95">
        <f t="shared" si="36"/>
        <v>45221</v>
      </c>
      <c r="I241" s="119">
        <f>HLOOKUP($H$5,'Met Data'!$A$2:$F$368,G241,FALSE)</f>
        <v>13.5625</v>
      </c>
      <c r="J241" s="119">
        <f ca="1">HLOOKUP($H$5,'Met Data'!$H$2:$M$368,G241,FALSE)*L241</f>
        <v>3.3499999999999899</v>
      </c>
      <c r="K241" s="96">
        <f>HLOOKUP($H$5,'Met Data'!$O$2:$T$368,G241,FALSE)</f>
        <v>2.9112128548041598</v>
      </c>
      <c r="L241">
        <f t="shared" ca="1" si="30"/>
        <v>1</v>
      </c>
      <c r="N241" t="b">
        <f t="shared" ca="1" si="35"/>
        <v>1</v>
      </c>
      <c r="O241" t="b">
        <f t="shared" ca="1" si="31"/>
        <v>1</v>
      </c>
      <c r="P241" s="2">
        <f ca="1"/>
        <v>45281</v>
      </c>
      <c r="Q241">
        <f ca="1"/>
        <v>25.645177295731127</v>
      </c>
      <c r="R241">
        <f ca="1"/>
        <v>7.8087823645603294E-2</v>
      </c>
      <c r="S241">
        <f ca="1"/>
        <v>6.0823628545172426E-3</v>
      </c>
      <c r="T241">
        <f ca="1"/>
        <v>0.35395089178081285</v>
      </c>
      <c r="U241">
        <f ca="1"/>
        <v>0</v>
      </c>
      <c r="V241">
        <f ca="1"/>
        <v>284.66903402235982</v>
      </c>
      <c r="W241">
        <f ca="1"/>
        <v>251.50017090323718</v>
      </c>
      <c r="X241">
        <f ca="1"/>
        <v>0</v>
      </c>
      <c r="Y241">
        <f ca="1"/>
        <v>0.77683529774050752</v>
      </c>
      <c r="Z241">
        <f ca="1"/>
        <v>0</v>
      </c>
      <c r="AA241">
        <f ca="1"/>
        <v>0</v>
      </c>
      <c r="AB241">
        <f ca="1"/>
        <v>0</v>
      </c>
      <c r="AD241" s="2">
        <f t="shared" ca="1" si="32"/>
        <v>45281</v>
      </c>
      <c r="AE241">
        <f t="shared" ca="1" si="33"/>
        <v>0</v>
      </c>
      <c r="AG241" s="63">
        <f t="shared" ca="1" si="37"/>
        <v>25.72326511937673</v>
      </c>
      <c r="AH241" s="63">
        <f t="shared" ca="1" si="38"/>
        <v>25.72326511937673</v>
      </c>
      <c r="AI241" s="3">
        <f t="shared" ca="1" si="39"/>
        <v>0</v>
      </c>
    </row>
    <row r="242" spans="7:35">
      <c r="G242" s="3">
        <f t="shared" si="34"/>
        <v>297</v>
      </c>
      <c r="H242" s="95">
        <f t="shared" si="36"/>
        <v>45222</v>
      </c>
      <c r="I242" s="119">
        <f>HLOOKUP($H$5,'Met Data'!$A$2:$F$368,G242,FALSE)</f>
        <v>13.9310344827586</v>
      </c>
      <c r="J242" s="119">
        <f ca="1">HLOOKUP($H$5,'Met Data'!$H$2:$M$368,G242,FALSE)*L242</f>
        <v>4.6137931034482698</v>
      </c>
      <c r="K242" s="96">
        <f>HLOOKUP($H$5,'Met Data'!$O$2:$T$368,G242,FALSE)</f>
        <v>3.5318790230099002</v>
      </c>
      <c r="L242">
        <f t="shared" ca="1" si="30"/>
        <v>1</v>
      </c>
      <c r="N242" t="b">
        <f t="shared" ca="1" si="35"/>
        <v>1</v>
      </c>
      <c r="O242" t="b">
        <f t="shared" ca="1" si="31"/>
        <v>1</v>
      </c>
      <c r="P242" s="2">
        <f ca="1"/>
        <v>45282</v>
      </c>
      <c r="Q242">
        <f ca="1"/>
        <v>25.92512689440608</v>
      </c>
      <c r="R242">
        <f ca="1"/>
        <v>7.1249403614615403E-2</v>
      </c>
      <c r="S242">
        <f ca="1"/>
        <v>6.0441978041678723E-3</v>
      </c>
      <c r="T242">
        <f ca="1"/>
        <v>0.34515480448539965</v>
      </c>
      <c r="U242">
        <f ca="1"/>
        <v>0</v>
      </c>
      <c r="V242">
        <f ca="1"/>
        <v>284.74028342597444</v>
      </c>
      <c r="W242">
        <f ca="1"/>
        <v>251.56311851974692</v>
      </c>
      <c r="X242">
        <f ca="1"/>
        <v>0</v>
      </c>
      <c r="Y242">
        <f ca="1"/>
        <v>0.74801364387568214</v>
      </c>
      <c r="Z242">
        <f ca="1"/>
        <v>0</v>
      </c>
      <c r="AA242">
        <f ca="1"/>
        <v>0</v>
      </c>
      <c r="AB242">
        <f ca="1"/>
        <v>0</v>
      </c>
      <c r="AD242" s="2">
        <f t="shared" ca="1" si="32"/>
        <v>45282</v>
      </c>
      <c r="AE242">
        <f t="shared" ca="1" si="33"/>
        <v>0</v>
      </c>
      <c r="AG242" s="63">
        <f t="shared" ca="1" si="37"/>
        <v>25.996376298020696</v>
      </c>
      <c r="AH242" s="63">
        <f t="shared" ca="1" si="38"/>
        <v>25.996376298020696</v>
      </c>
      <c r="AI242" s="3">
        <f t="shared" ca="1" si="39"/>
        <v>0</v>
      </c>
    </row>
    <row r="243" spans="7:35">
      <c r="G243" s="3">
        <f t="shared" si="34"/>
        <v>298</v>
      </c>
      <c r="H243" s="95">
        <f t="shared" si="36"/>
        <v>45223</v>
      </c>
      <c r="I243" s="119">
        <f>HLOOKUP($H$5,'Met Data'!$A$2:$F$368,G243,FALSE)</f>
        <v>13.336206896551699</v>
      </c>
      <c r="J243" s="119">
        <f ca="1">HLOOKUP($H$5,'Met Data'!$H$2:$M$368,G243,FALSE)*L243</f>
        <v>3.30689655172413</v>
      </c>
      <c r="K243" s="96">
        <f>HLOOKUP($H$5,'Met Data'!$O$2:$T$368,G243,FALSE)</f>
        <v>3.2578637469081699</v>
      </c>
      <c r="L243">
        <f t="shared" ca="1" si="30"/>
        <v>1</v>
      </c>
      <c r="N243" t="b">
        <f t="shared" ca="1" si="35"/>
        <v>1</v>
      </c>
      <c r="O243" t="b">
        <f t="shared" ca="1" si="31"/>
        <v>1</v>
      </c>
      <c r="P243" s="2">
        <f ca="1"/>
        <v>45283</v>
      </c>
      <c r="Q243">
        <f ca="1"/>
        <v>26.196748797048429</v>
      </c>
      <c r="R243">
        <f ca="1"/>
        <v>6.2230476243996691E-2</v>
      </c>
      <c r="S243">
        <f ca="1"/>
        <v>5.7829082187117464E-3</v>
      </c>
      <c r="T243">
        <f ca="1"/>
        <v>0.32806947066763165</v>
      </c>
      <c r="U243">
        <f ca="1"/>
        <v>0</v>
      </c>
      <c r="V243">
        <f ca="1"/>
        <v>284.80251390221844</v>
      </c>
      <c r="W243">
        <f ca="1"/>
        <v>251.61809806982163</v>
      </c>
      <c r="X243">
        <f ca="1"/>
        <v>0</v>
      </c>
      <c r="Y243">
        <f ca="1"/>
        <v>0.73187258666865362</v>
      </c>
      <c r="Z243">
        <f ca="1"/>
        <v>0</v>
      </c>
      <c r="AA243">
        <f ca="1"/>
        <v>0</v>
      </c>
      <c r="AB243">
        <f ca="1"/>
        <v>0</v>
      </c>
      <c r="AD243" s="2">
        <f t="shared" ca="1" si="32"/>
        <v>45283</v>
      </c>
      <c r="AE243">
        <f t="shared" ca="1" si="33"/>
        <v>0</v>
      </c>
      <c r="AG243" s="63">
        <f t="shared" ca="1" si="37"/>
        <v>26.258979273292425</v>
      </c>
      <c r="AH243" s="63">
        <f t="shared" ca="1" si="38"/>
        <v>26.258979273292425</v>
      </c>
      <c r="AI243" s="3">
        <f t="shared" ca="1" si="39"/>
        <v>0</v>
      </c>
    </row>
    <row r="244" spans="7:35">
      <c r="G244" s="3">
        <f t="shared" si="34"/>
        <v>299</v>
      </c>
      <c r="H244" s="95">
        <f t="shared" si="36"/>
        <v>45224</v>
      </c>
      <c r="I244" s="119">
        <f>HLOOKUP($H$5,'Met Data'!$A$2:$F$368,G244,FALSE)</f>
        <v>13.789655172413701</v>
      </c>
      <c r="J244" s="119">
        <f ca="1">HLOOKUP($H$5,'Met Data'!$H$2:$M$368,G244,FALSE)*L244</f>
        <v>1.8172413793103399</v>
      </c>
      <c r="K244" s="96">
        <f>HLOOKUP($H$5,'Met Data'!$O$2:$T$368,G244,FALSE)</f>
        <v>3.4101531049699898</v>
      </c>
      <c r="L244">
        <f t="shared" ca="1" si="30"/>
        <v>1</v>
      </c>
      <c r="N244" t="b">
        <f t="shared" ca="1" si="35"/>
        <v>1</v>
      </c>
      <c r="O244" t="b">
        <f t="shared" ca="1" si="31"/>
        <v>1</v>
      </c>
      <c r="P244" s="2">
        <f ca="1"/>
        <v>45284</v>
      </c>
      <c r="Q244">
        <f ca="1"/>
        <v>26.479721205791321</v>
      </c>
      <c r="R244">
        <f ca="1"/>
        <v>5.6764283415077443E-2</v>
      </c>
      <c r="S244">
        <f ca="1"/>
        <v>5.7363042094831229E-3</v>
      </c>
      <c r="T244">
        <f ca="1"/>
        <v>0.3340003879484853</v>
      </c>
      <c r="U244">
        <f ca="1"/>
        <v>0</v>
      </c>
      <c r="V244">
        <f ca="1"/>
        <v>284.85927818563351</v>
      </c>
      <c r="W244">
        <f ca="1"/>
        <v>251.66824833301806</v>
      </c>
      <c r="X244">
        <f ca="1"/>
        <v>0</v>
      </c>
      <c r="Y244">
        <f ca="1"/>
        <v>0.73746735558155241</v>
      </c>
      <c r="Z244">
        <f ca="1"/>
        <v>0</v>
      </c>
      <c r="AA244">
        <f ca="1"/>
        <v>0</v>
      </c>
      <c r="AB244">
        <f ca="1"/>
        <v>0</v>
      </c>
      <c r="AD244" s="2">
        <f t="shared" ca="1" si="32"/>
        <v>45284</v>
      </c>
      <c r="AE244">
        <f t="shared" ca="1" si="33"/>
        <v>0</v>
      </c>
      <c r="AG244" s="63">
        <f t="shared" ca="1" si="37"/>
        <v>26.536485489206399</v>
      </c>
      <c r="AH244" s="63">
        <f t="shared" ca="1" si="38"/>
        <v>26.536485489206399</v>
      </c>
      <c r="AI244" s="3">
        <f t="shared" ca="1" si="39"/>
        <v>0</v>
      </c>
    </row>
    <row r="245" spans="7:35">
      <c r="G245" s="3">
        <f t="shared" si="34"/>
        <v>300</v>
      </c>
      <c r="H245" s="95">
        <f t="shared" si="36"/>
        <v>45225</v>
      </c>
      <c r="I245" s="119">
        <f>HLOOKUP($H$5,'Met Data'!$A$2:$F$368,G245,FALSE)</f>
        <v>14.0810344827586</v>
      </c>
      <c r="J245" s="119">
        <f ca="1">HLOOKUP($H$5,'Met Data'!$H$2:$M$368,G245,FALSE)*L245</f>
        <v>0.78965517241379302</v>
      </c>
      <c r="K245" s="96">
        <f>HLOOKUP($H$5,'Met Data'!$O$2:$T$368,G245,FALSE)</f>
        <v>3.2764418127891499</v>
      </c>
      <c r="L245">
        <f t="shared" ca="1" si="30"/>
        <v>1</v>
      </c>
      <c r="N245" t="b">
        <f t="shared" ca="1" si="35"/>
        <v>1</v>
      </c>
      <c r="O245" t="b">
        <f t="shared" ca="1" si="31"/>
        <v>1</v>
      </c>
      <c r="P245" s="2">
        <f ca="1"/>
        <v>45285</v>
      </c>
      <c r="Q245">
        <f ca="1"/>
        <v>26.787744356968886</v>
      </c>
      <c r="R245">
        <f ca="1"/>
        <v>5.2154204955115802E-2</v>
      </c>
      <c r="S245">
        <f ca="1"/>
        <v>5.7329634673770613E-3</v>
      </c>
      <c r="T245">
        <f ca="1"/>
        <v>0.35444439266530509</v>
      </c>
      <c r="U245">
        <f ca="1"/>
        <v>0</v>
      </c>
      <c r="V245">
        <f ca="1"/>
        <v>284.91143239058863</v>
      </c>
      <c r="W245">
        <f ca="1"/>
        <v>251.71432567158277</v>
      </c>
      <c r="X245">
        <f ca="1"/>
        <v>0</v>
      </c>
      <c r="Y245">
        <f ca="1"/>
        <v>0.76811059971337958</v>
      </c>
      <c r="Z245">
        <f ca="1"/>
        <v>0</v>
      </c>
      <c r="AA245">
        <f ca="1"/>
        <v>0</v>
      </c>
      <c r="AB245">
        <f ca="1"/>
        <v>0</v>
      </c>
      <c r="AD245" s="2">
        <f t="shared" ca="1" si="32"/>
        <v>45285</v>
      </c>
      <c r="AE245">
        <f t="shared" ca="1" si="33"/>
        <v>0</v>
      </c>
      <c r="AG245" s="63">
        <f t="shared" ca="1" si="37"/>
        <v>26.839898561924002</v>
      </c>
      <c r="AH245" s="63">
        <f t="shared" ca="1" si="38"/>
        <v>26.839898561924002</v>
      </c>
      <c r="AI245" s="3">
        <f t="shared" ca="1" si="39"/>
        <v>0</v>
      </c>
    </row>
    <row r="246" spans="7:35">
      <c r="G246" s="3">
        <f t="shared" si="34"/>
        <v>301</v>
      </c>
      <c r="H246" s="95">
        <f t="shared" si="36"/>
        <v>45226</v>
      </c>
      <c r="I246" s="119">
        <f>HLOOKUP($H$5,'Met Data'!$A$2:$F$368,G246,FALSE)</f>
        <v>14.8396551724137</v>
      </c>
      <c r="J246" s="119">
        <f ca="1">HLOOKUP($H$5,'Met Data'!$H$2:$M$368,G246,FALSE)*L246</f>
        <v>3.4241379310344802</v>
      </c>
      <c r="K246" s="96">
        <f>HLOOKUP($H$5,'Met Data'!$O$2:$T$368,G246,FALSE)</f>
        <v>3.3023555527193</v>
      </c>
      <c r="L246">
        <f t="shared" ca="1" si="30"/>
        <v>1</v>
      </c>
      <c r="N246" t="b">
        <f t="shared" ca="1" si="35"/>
        <v>1</v>
      </c>
      <c r="O246" t="b">
        <f t="shared" ca="1" si="31"/>
        <v>1</v>
      </c>
      <c r="P246" s="2">
        <f ca="1"/>
        <v>45286</v>
      </c>
      <c r="Q246">
        <f ca="1"/>
        <v>27.075744914406197</v>
      </c>
      <c r="R246">
        <f ca="1"/>
        <v>4.5903663567287367E-2</v>
      </c>
      <c r="S246">
        <f ca="1"/>
        <v>5.5225445567863574E-3</v>
      </c>
      <c r="T246">
        <f ca="1"/>
        <v>0.32838167644781108</v>
      </c>
      <c r="U246">
        <f ca="1"/>
        <v>0</v>
      </c>
      <c r="V246">
        <f ca="1"/>
        <v>284.95733605415592</v>
      </c>
      <c r="W246">
        <f ca="1"/>
        <v>251.75488076487525</v>
      </c>
      <c r="X246">
        <f ca="1"/>
        <v>0</v>
      </c>
      <c r="Y246">
        <f ca="1"/>
        <v>0.72663931226746092</v>
      </c>
      <c r="Z246">
        <f ca="1"/>
        <v>0</v>
      </c>
      <c r="AA246">
        <f ca="1"/>
        <v>0</v>
      </c>
      <c r="AB246">
        <f ca="1"/>
        <v>0</v>
      </c>
      <c r="AD246" s="2">
        <f t="shared" ca="1" si="32"/>
        <v>45286</v>
      </c>
      <c r="AE246">
        <f t="shared" ca="1" si="33"/>
        <v>0</v>
      </c>
      <c r="AG246" s="63">
        <f t="shared" ca="1" si="37"/>
        <v>27.121648577973485</v>
      </c>
      <c r="AH246" s="63">
        <f t="shared" ca="1" si="38"/>
        <v>27.121648577973485</v>
      </c>
      <c r="AI246" s="3">
        <f t="shared" ca="1" si="39"/>
        <v>0</v>
      </c>
    </row>
    <row r="247" spans="7:35">
      <c r="G247" s="3">
        <f t="shared" si="34"/>
        <v>302</v>
      </c>
      <c r="H247" s="95">
        <f t="shared" si="36"/>
        <v>45227</v>
      </c>
      <c r="I247" s="119">
        <f>HLOOKUP($H$5,'Met Data'!$A$2:$F$368,G247,FALSE)</f>
        <v>14.274137931034399</v>
      </c>
      <c r="J247" s="119">
        <f ca="1">HLOOKUP($H$5,'Met Data'!$H$2:$M$368,G247,FALSE)*L247</f>
        <v>4.16206896551724</v>
      </c>
      <c r="K247" s="96">
        <f>HLOOKUP($H$5,'Met Data'!$O$2:$T$368,G247,FALSE)</f>
        <v>2.9394492851949701</v>
      </c>
      <c r="L247">
        <f t="shared" ca="1" si="30"/>
        <v>1</v>
      </c>
      <c r="N247" t="b">
        <f t="shared" ca="1" si="35"/>
        <v>1</v>
      </c>
      <c r="O247" t="b">
        <f t="shared" ca="1" si="31"/>
        <v>1</v>
      </c>
      <c r="P247" s="2">
        <f ca="1"/>
        <v>45287</v>
      </c>
      <c r="Q247">
        <f ca="1"/>
        <v>27.36037162473848</v>
      </c>
      <c r="R247">
        <f ca="1"/>
        <v>4.1615948369496891E-2</v>
      </c>
      <c r="S247">
        <f ca="1"/>
        <v>5.452388347545245E-3</v>
      </c>
      <c r="T247">
        <f ca="1"/>
        <v>0.32079027035423341</v>
      </c>
      <c r="U247">
        <f ca="1"/>
        <v>0</v>
      </c>
      <c r="V247">
        <f ca="1"/>
        <v>284.99895200252541</v>
      </c>
      <c r="W247">
        <f ca="1"/>
        <v>251.79164773590594</v>
      </c>
      <c r="X247">
        <f ca="1"/>
        <v>0</v>
      </c>
      <c r="Y247">
        <f ca="1"/>
        <v>0.70486116329807214</v>
      </c>
      <c r="Z247">
        <f ca="1"/>
        <v>0</v>
      </c>
      <c r="AA247">
        <f ca="1"/>
        <v>0</v>
      </c>
      <c r="AB247">
        <f ca="1"/>
        <v>0</v>
      </c>
      <c r="AD247" s="2">
        <f t="shared" ca="1" si="32"/>
        <v>45287</v>
      </c>
      <c r="AE247">
        <f t="shared" ca="1" si="33"/>
        <v>0</v>
      </c>
      <c r="AG247" s="63">
        <f t="shared" ca="1" si="37"/>
        <v>27.401987573107977</v>
      </c>
      <c r="AH247" s="63">
        <f t="shared" ca="1" si="38"/>
        <v>27.401987573107977</v>
      </c>
      <c r="AI247" s="3">
        <f t="shared" ca="1" si="39"/>
        <v>0</v>
      </c>
    </row>
    <row r="248" spans="7:35">
      <c r="G248" s="3">
        <f t="shared" si="34"/>
        <v>303</v>
      </c>
      <c r="H248" s="95">
        <f t="shared" si="36"/>
        <v>45228</v>
      </c>
      <c r="I248" s="119">
        <f>HLOOKUP($H$5,'Met Data'!$A$2:$F$368,G248,FALSE)</f>
        <v>14.29</v>
      </c>
      <c r="J248" s="119">
        <f ca="1">HLOOKUP($H$5,'Met Data'!$H$2:$M$368,G248,FALSE)*L248</f>
        <v>2.4933333333333301</v>
      </c>
      <c r="K248" s="96">
        <f>HLOOKUP($H$5,'Met Data'!$O$2:$T$368,G248,FALSE)</f>
        <v>3.1793308523033601</v>
      </c>
      <c r="L248">
        <f t="shared" ca="1" si="30"/>
        <v>1</v>
      </c>
      <c r="N248" t="b">
        <f t="shared" ca="1" si="35"/>
        <v>1</v>
      </c>
      <c r="O248" t="b">
        <f t="shared" ca="1" si="31"/>
        <v>1</v>
      </c>
      <c r="P248" s="2">
        <f ca="1"/>
        <v>45288</v>
      </c>
      <c r="Q248">
        <f ca="1"/>
        <v>27.649086533411968</v>
      </c>
      <c r="R248">
        <f ca="1"/>
        <v>3.9801772712621641E-2</v>
      </c>
      <c r="S248">
        <f ca="1"/>
        <v>5.6576820075076029E-3</v>
      </c>
      <c r="T248">
        <f ca="1"/>
        <v>0.32285899937860418</v>
      </c>
      <c r="U248">
        <f ca="1"/>
        <v>0</v>
      </c>
      <c r="V248">
        <f ca="1"/>
        <v>285.03875377523804</v>
      </c>
      <c r="W248">
        <f ca="1"/>
        <v>251.82681191410268</v>
      </c>
      <c r="X248">
        <f ca="1"/>
        <v>0</v>
      </c>
      <c r="Y248">
        <f ca="1"/>
        <v>0.66410565705503033</v>
      </c>
      <c r="Z248">
        <f ca="1"/>
        <v>0</v>
      </c>
      <c r="AA248">
        <f ca="1"/>
        <v>0</v>
      </c>
      <c r="AB248">
        <f ca="1"/>
        <v>0</v>
      </c>
      <c r="AD248" s="2">
        <f t="shared" ca="1" si="32"/>
        <v>45288</v>
      </c>
      <c r="AE248">
        <f t="shared" ca="1" si="33"/>
        <v>0</v>
      </c>
      <c r="AG248" s="63">
        <f t="shared" ca="1" si="37"/>
        <v>27.688888306124589</v>
      </c>
      <c r="AH248" s="63">
        <f t="shared" ca="1" si="38"/>
        <v>27.688888306124589</v>
      </c>
      <c r="AI248" s="3">
        <f t="shared" ca="1" si="39"/>
        <v>0</v>
      </c>
    </row>
    <row r="249" spans="7:35">
      <c r="G249" s="3">
        <f t="shared" si="34"/>
        <v>304</v>
      </c>
      <c r="H249" s="95">
        <f t="shared" si="36"/>
        <v>45229</v>
      </c>
      <c r="I249" s="119">
        <f>HLOOKUP($H$5,'Met Data'!$A$2:$F$368,G249,FALSE)</f>
        <v>14.715</v>
      </c>
      <c r="J249" s="119">
        <f ca="1">HLOOKUP($H$5,'Met Data'!$H$2:$M$368,G249,FALSE)*L249</f>
        <v>1.99</v>
      </c>
      <c r="K249" s="96">
        <f>HLOOKUP($H$5,'Met Data'!$O$2:$T$368,G249,FALSE)</f>
        <v>3.2908149619424898</v>
      </c>
      <c r="L249">
        <f t="shared" ca="1" si="30"/>
        <v>1</v>
      </c>
      <c r="N249" t="b">
        <f t="shared" ca="1" si="35"/>
        <v>1</v>
      </c>
      <c r="O249" t="b">
        <f t="shared" ca="1" si="31"/>
        <v>1</v>
      </c>
      <c r="P249" s="2">
        <f ca="1"/>
        <v>45289</v>
      </c>
      <c r="Q249">
        <f ca="1"/>
        <v>27.950567105322861</v>
      </c>
      <c r="R249">
        <f ca="1"/>
        <v>3.6460206174297127E-2</v>
      </c>
      <c r="S249">
        <f ca="1"/>
        <v>5.6780455803089325E-3</v>
      </c>
      <c r="T249">
        <f ca="1"/>
        <v>0.33226273250488381</v>
      </c>
      <c r="U249">
        <f ca="1"/>
        <v>0</v>
      </c>
      <c r="V249">
        <f ca="1"/>
        <v>285.07521398141233</v>
      </c>
      <c r="W249">
        <f ca="1"/>
        <v>251.85902387602368</v>
      </c>
      <c r="X249">
        <f ca="1"/>
        <v>0</v>
      </c>
      <c r="Y249">
        <f ca="1"/>
        <v>0.66737031366407051</v>
      </c>
      <c r="Z249">
        <f ca="1"/>
        <v>0</v>
      </c>
      <c r="AA249">
        <f ca="1"/>
        <v>0</v>
      </c>
      <c r="AB249">
        <f ca="1"/>
        <v>0</v>
      </c>
      <c r="AD249" s="2">
        <f t="shared" ca="1" si="32"/>
        <v>45289</v>
      </c>
      <c r="AE249">
        <f t="shared" ca="1" si="33"/>
        <v>0</v>
      </c>
      <c r="AG249" s="63">
        <f t="shared" ca="1" si="37"/>
        <v>27.987027311497162</v>
      </c>
      <c r="AH249" s="63">
        <f t="shared" ca="1" si="38"/>
        <v>27.987027311497158</v>
      </c>
      <c r="AI249" s="3">
        <f t="shared" ca="1" si="39"/>
        <v>0</v>
      </c>
    </row>
    <row r="250" spans="7:35">
      <c r="G250" s="3">
        <f t="shared" si="34"/>
        <v>305</v>
      </c>
      <c r="H250" s="95">
        <f t="shared" si="36"/>
        <v>45230</v>
      </c>
      <c r="I250" s="119">
        <f>HLOOKUP($H$5,'Met Data'!$A$2:$F$368,G250,FALSE)</f>
        <v>14.5266666666666</v>
      </c>
      <c r="J250" s="119">
        <f ca="1">HLOOKUP($H$5,'Met Data'!$H$2:$M$368,G250,FALSE)*L250</f>
        <v>1.75</v>
      </c>
      <c r="K250" s="96">
        <f>HLOOKUP($H$5,'Met Data'!$O$2:$T$368,G250,FALSE)</f>
        <v>3.7910621493299299</v>
      </c>
      <c r="L250">
        <f t="shared" ca="1" si="30"/>
        <v>1</v>
      </c>
      <c r="N250" t="b">
        <f t="shared" ca="1" si="35"/>
        <v>1</v>
      </c>
      <c r="O250" t="b">
        <f t="shared" ca="1" si="31"/>
        <v>1</v>
      </c>
      <c r="P250" s="2">
        <f ca="1"/>
        <v>45290</v>
      </c>
      <c r="Q250">
        <f ca="1"/>
        <v>28.266120889156372</v>
      </c>
      <c r="R250">
        <f ca="1"/>
        <v>3.2012464229012494E-2</v>
      </c>
      <c r="S250">
        <f ca="1"/>
        <v>5.4828836578186824E-3</v>
      </c>
      <c r="T250">
        <f ca="1"/>
        <v>0.34208336440470544</v>
      </c>
      <c r="U250">
        <f ca="1"/>
        <v>0</v>
      </c>
      <c r="V250">
        <f ca="1"/>
        <v>285.10722644564134</v>
      </c>
      <c r="W250">
        <f ca="1"/>
        <v>251.88730633481757</v>
      </c>
      <c r="X250">
        <f ca="1"/>
        <v>0</v>
      </c>
      <c r="Y250">
        <f ca="1"/>
        <v>0.70215778077169955</v>
      </c>
      <c r="Z250">
        <f ca="1"/>
        <v>0</v>
      </c>
      <c r="AA250">
        <f ca="1"/>
        <v>0</v>
      </c>
      <c r="AB250">
        <f ca="1"/>
        <v>0</v>
      </c>
      <c r="AD250" s="2">
        <f t="shared" ca="1" si="32"/>
        <v>45290</v>
      </c>
      <c r="AE250">
        <f t="shared" ca="1" si="33"/>
        <v>0</v>
      </c>
      <c r="AG250" s="63">
        <f t="shared" ca="1" si="37"/>
        <v>28.298133353385385</v>
      </c>
      <c r="AH250" s="63">
        <f t="shared" ca="1" si="38"/>
        <v>28.298133353385385</v>
      </c>
      <c r="AI250" s="3">
        <f t="shared" ca="1" si="39"/>
        <v>0</v>
      </c>
    </row>
    <row r="251" spans="7:35">
      <c r="G251" s="3">
        <f t="shared" si="34"/>
        <v>306</v>
      </c>
      <c r="H251" s="95">
        <f t="shared" si="36"/>
        <v>45231</v>
      </c>
      <c r="I251" s="119">
        <f>HLOOKUP($H$5,'Met Data'!$A$2:$F$368,G251,FALSE)</f>
        <v>14.0416666666666</v>
      </c>
      <c r="J251" s="119">
        <f ca="1">HLOOKUP($H$5,'Met Data'!$H$2:$M$368,G251,FALSE)*L251</f>
        <v>2.11666666666666</v>
      </c>
      <c r="K251" s="96">
        <f>HLOOKUP($H$5,'Met Data'!$O$2:$T$368,G251,FALSE)</f>
        <v>3.7273958064413302</v>
      </c>
      <c r="L251">
        <f t="shared" ca="1" si="30"/>
        <v>1</v>
      </c>
      <c r="N251" t="b">
        <f t="shared" ca="1" si="35"/>
        <v>1</v>
      </c>
      <c r="O251" t="b">
        <f t="shared" ca="1" si="31"/>
        <v>1</v>
      </c>
      <c r="P251" s="2">
        <f ca="1"/>
        <v>45291</v>
      </c>
      <c r="Q251">
        <f ca="1"/>
        <v>28.630023701336654</v>
      </c>
      <c r="R251">
        <f ca="1"/>
        <v>2.7907659336051438E-2</v>
      </c>
      <c r="S251">
        <f ca="1"/>
        <v>5.2528184374240894E-3</v>
      </c>
      <c r="T251">
        <f ca="1"/>
        <v>0.38655765307890982</v>
      </c>
      <c r="U251">
        <f ca="1"/>
        <v>0</v>
      </c>
      <c r="V251">
        <f ca="1"/>
        <v>285.1351341049774</v>
      </c>
      <c r="W251">
        <f ca="1"/>
        <v>251.91196226944226</v>
      </c>
      <c r="X251">
        <f ca="1"/>
        <v>0</v>
      </c>
      <c r="Y251">
        <f ca="1"/>
        <v>0.81512937192828061</v>
      </c>
      <c r="Z251">
        <f ca="1"/>
        <v>0</v>
      </c>
      <c r="AA251">
        <f ca="1"/>
        <v>0</v>
      </c>
      <c r="AB251">
        <f ca="1"/>
        <v>0</v>
      </c>
      <c r="AD251" s="2">
        <f t="shared" ca="1" si="32"/>
        <v>45291</v>
      </c>
      <c r="AE251">
        <f t="shared" ca="1" si="33"/>
        <v>0</v>
      </c>
      <c r="AG251" s="63">
        <f t="shared" ca="1" si="37"/>
        <v>28.657931360672706</v>
      </c>
      <c r="AH251" s="63">
        <f t="shared" ca="1" si="38"/>
        <v>28.657931360672706</v>
      </c>
      <c r="AI251" s="3">
        <f t="shared" ca="1" si="39"/>
        <v>0</v>
      </c>
    </row>
    <row r="252" spans="7:35">
      <c r="G252" s="3">
        <f t="shared" si="34"/>
        <v>307</v>
      </c>
      <c r="H252" s="95">
        <f t="shared" si="36"/>
        <v>45232</v>
      </c>
      <c r="I252" s="119">
        <f>HLOOKUP($H$5,'Met Data'!$A$2:$F$368,G252,FALSE)</f>
        <v>14.098333333333301</v>
      </c>
      <c r="J252" s="119">
        <f ca="1">HLOOKUP($H$5,'Met Data'!$H$2:$M$368,G252,FALSE)*L252</f>
        <v>0.94</v>
      </c>
      <c r="K252" s="96">
        <f>HLOOKUP($H$5,'Met Data'!$O$2:$T$368,G252,FALSE)</f>
        <v>3.7508089301659</v>
      </c>
      <c r="L252">
        <f t="shared" ca="1" si="30"/>
        <v>1</v>
      </c>
      <c r="N252" t="b">
        <f t="shared" ca="1" si="35"/>
        <v>1</v>
      </c>
      <c r="O252" t="b">
        <f t="shared" ca="1" si="31"/>
        <v>1</v>
      </c>
      <c r="P252" s="2">
        <f ca="1"/>
        <v>45292</v>
      </c>
      <c r="Q252">
        <f ca="1"/>
        <v>28.984112925673536</v>
      </c>
      <c r="R252">
        <f ca="1"/>
        <v>2.4715160283506066E-2</v>
      </c>
      <c r="S252">
        <f ca="1"/>
        <v>5.0969439062402699E-3</v>
      </c>
      <c r="T252">
        <f ca="1"/>
        <v>0.37370744071414652</v>
      </c>
      <c r="U252">
        <f ca="1"/>
        <v>0</v>
      </c>
      <c r="V252">
        <f ca="1"/>
        <v>285.1598492652609</v>
      </c>
      <c r="W252">
        <f ca="1"/>
        <v>251.93379768633804</v>
      </c>
      <c r="X252">
        <f ca="1"/>
        <v>0</v>
      </c>
      <c r="Y252">
        <f ca="1"/>
        <v>0.79900861120314615</v>
      </c>
      <c r="Z252">
        <f ca="1"/>
        <v>0</v>
      </c>
      <c r="AA252">
        <f ca="1"/>
        <v>0</v>
      </c>
      <c r="AB252">
        <f ca="1"/>
        <v>0</v>
      </c>
      <c r="AD252" s="2">
        <f t="shared" ca="1" si="32"/>
        <v>45292</v>
      </c>
      <c r="AE252">
        <f t="shared" ca="1" si="33"/>
        <v>0</v>
      </c>
      <c r="AG252" s="63">
        <f t="shared" ca="1" si="37"/>
        <v>29.008828085957038</v>
      </c>
      <c r="AH252" s="63">
        <f t="shared" ca="1" si="38"/>
        <v>29.008828085957042</v>
      </c>
      <c r="AI252" s="3">
        <f t="shared" ca="1" si="39"/>
        <v>0</v>
      </c>
    </row>
    <row r="253" spans="7:35">
      <c r="G253" s="3">
        <f t="shared" si="34"/>
        <v>308</v>
      </c>
      <c r="H253" s="95">
        <f t="shared" si="36"/>
        <v>45233</v>
      </c>
      <c r="I253" s="119">
        <f>HLOOKUP($H$5,'Met Data'!$A$2:$F$368,G253,FALSE)</f>
        <v>13.9933333333333</v>
      </c>
      <c r="J253" s="119">
        <f ca="1">HLOOKUP($H$5,'Met Data'!$H$2:$M$368,G253,FALSE)*L253</f>
        <v>2.42</v>
      </c>
      <c r="K253" s="96">
        <f>HLOOKUP($H$5,'Met Data'!$O$2:$T$368,G253,FALSE)</f>
        <v>3.2496546498492198</v>
      </c>
      <c r="L253">
        <f t="shared" ca="1" si="30"/>
        <v>1</v>
      </c>
      <c r="N253" t="b">
        <f t="shared" ca="1" si="35"/>
        <v>0</v>
      </c>
      <c r="O253" t="b">
        <f t="shared" ca="1" si="31"/>
        <v>1</v>
      </c>
      <c r="P253" s="2">
        <f ca="1"/>
        <v>45293</v>
      </c>
      <c r="Q253">
        <f ca="1"/>
        <v>29.329850963413399</v>
      </c>
      <c r="R253">
        <f ca="1"/>
        <v>2.2817616135569097E-2</v>
      </c>
      <c r="S253">
        <f ca="1"/>
        <v>5.1346484422749583E-3</v>
      </c>
      <c r="T253">
        <f ca="1"/>
        <v>0.36342100543315553</v>
      </c>
      <c r="U253">
        <f ca="1"/>
        <v>0</v>
      </c>
      <c r="V253">
        <f ca="1"/>
        <v>285.18266688139647</v>
      </c>
      <c r="W253">
        <f ca="1"/>
        <v>251.95395665577922</v>
      </c>
      <c r="X253">
        <f ca="1"/>
        <v>0</v>
      </c>
      <c r="Y253">
        <f ca="1"/>
        <v>0.75607571008052832</v>
      </c>
      <c r="Z253">
        <f ca="1"/>
        <v>0</v>
      </c>
      <c r="AA253">
        <f ca="1"/>
        <v>0</v>
      </c>
      <c r="AB253">
        <f ca="1"/>
        <v>0</v>
      </c>
      <c r="AD253" s="2">
        <f t="shared" ca="1" si="32"/>
        <v>45293</v>
      </c>
      <c r="AE253">
        <f t="shared" ca="1" si="33"/>
        <v>0</v>
      </c>
      <c r="AG253" s="63">
        <f t="shared" ca="1" si="37"/>
        <v>29.352668579548968</v>
      </c>
      <c r="AH253" s="63">
        <f t="shared" ca="1" si="38"/>
        <v>29.352668579548968</v>
      </c>
      <c r="AI253" s="3">
        <f t="shared" ca="1" si="39"/>
        <v>0</v>
      </c>
    </row>
    <row r="254" spans="7:35">
      <c r="G254" s="3">
        <f t="shared" si="34"/>
        <v>309</v>
      </c>
      <c r="H254" s="95">
        <f t="shared" si="36"/>
        <v>45234</v>
      </c>
      <c r="I254" s="119">
        <f>HLOOKUP($H$5,'Met Data'!$A$2:$F$368,G254,FALSE)</f>
        <v>14.2016666666666</v>
      </c>
      <c r="J254" s="119">
        <f ca="1">HLOOKUP($H$5,'Met Data'!$H$2:$M$368,G254,FALSE)*L254</f>
        <v>3.21999999999999</v>
      </c>
      <c r="K254" s="96">
        <f>HLOOKUP($H$5,'Met Data'!$O$2:$T$368,G254,FALSE)</f>
        <v>3.3917308243993398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45294</v>
      </c>
      <c r="Q254">
        <f ca="1"/>
        <v>28.581605831806613</v>
      </c>
      <c r="R254">
        <f ca="1"/>
        <v>0</v>
      </c>
      <c r="S254">
        <f ca="1"/>
        <v>-1.0883172853045364</v>
      </c>
      <c r="T254">
        <f ca="1"/>
        <v>0.34007215369775207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0.71641723074086638</v>
      </c>
      <c r="Z254">
        <f ca="1"/>
        <v>0</v>
      </c>
      <c r="AA254">
        <f ca="1"/>
        <v>0</v>
      </c>
      <c r="AB254">
        <f ca="1"/>
        <v>0</v>
      </c>
      <c r="AD254" s="2">
        <f t="shared" ca="1" si="32"/>
        <v>45294</v>
      </c>
      <c r="AE254">
        <f t="shared" ca="1" si="33"/>
        <v>0</v>
      </c>
      <c r="AG254" s="63">
        <f t="shared" ca="1" si="37"/>
        <v>28.581605831806613</v>
      </c>
      <c r="AH254" s="63">
        <f t="shared" ca="1" si="38"/>
        <v>28.581605831806613</v>
      </c>
      <c r="AI254" s="3">
        <f t="shared" ca="1" si="39"/>
        <v>0</v>
      </c>
    </row>
    <row r="255" spans="7:35">
      <c r="G255" s="3">
        <f t="shared" si="34"/>
        <v>310</v>
      </c>
      <c r="H255" s="95">
        <f t="shared" si="36"/>
        <v>45235</v>
      </c>
      <c r="I255" s="119">
        <f>HLOOKUP($H$5,'Met Data'!$A$2:$F$368,G255,FALSE)</f>
        <v>14.5483333333333</v>
      </c>
      <c r="J255" s="119">
        <f ca="1">HLOOKUP($H$5,'Met Data'!$H$2:$M$368,G255,FALSE)*L255</f>
        <v>6.2166666666666597</v>
      </c>
      <c r="K255" s="96">
        <f>HLOOKUP($H$5,'Met Data'!$O$2:$T$368,G255,FALSE)</f>
        <v>3.4940085056696999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45295</v>
      </c>
      <c r="Q255">
        <f ca="1"/>
        <v>27.877262596924172</v>
      </c>
      <c r="R255">
        <f ca="1"/>
        <v>0</v>
      </c>
      <c r="S255">
        <f ca="1"/>
        <v>-1.0340964950378222</v>
      </c>
      <c r="T255">
        <f ca="1"/>
        <v>0.32975326015538048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0.67949212183234819</v>
      </c>
      <c r="Z255">
        <f ca="1"/>
        <v>0</v>
      </c>
      <c r="AA255">
        <f ca="1"/>
        <v>0</v>
      </c>
      <c r="AB255">
        <f ca="1"/>
        <v>0</v>
      </c>
      <c r="AD255" s="2">
        <f t="shared" ca="1" si="32"/>
        <v>45295</v>
      </c>
      <c r="AE255">
        <f t="shared" ca="1" si="33"/>
        <v>0</v>
      </c>
      <c r="AG255" s="63">
        <f t="shared" ca="1" si="37"/>
        <v>27.877262596924172</v>
      </c>
      <c r="AH255" s="63">
        <f t="shared" ca="1" si="38"/>
        <v>27.877262596924172</v>
      </c>
      <c r="AI255" s="3">
        <f t="shared" ca="1" si="39"/>
        <v>0</v>
      </c>
    </row>
    <row r="256" spans="7:35">
      <c r="G256" s="3">
        <f t="shared" si="34"/>
        <v>311</v>
      </c>
      <c r="H256" s="95">
        <f t="shared" si="36"/>
        <v>45236</v>
      </c>
      <c r="I256" s="119">
        <f>HLOOKUP($H$5,'Met Data'!$A$2:$F$368,G256,FALSE)</f>
        <v>14.156666666666601</v>
      </c>
      <c r="J256" s="119">
        <f ca="1">HLOOKUP($H$5,'Met Data'!$H$2:$M$368,G256,FALSE)*L256</f>
        <v>4.1999999999999904</v>
      </c>
      <c r="K256" s="96">
        <f>HLOOKUP($H$5,'Met Data'!$O$2:$T$368,G256,FALSE)</f>
        <v>3.6290518837480299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45296</v>
      </c>
      <c r="Q256">
        <f ca="1"/>
        <v>27.245848418347784</v>
      </c>
      <c r="R256">
        <f ca="1"/>
        <v>0</v>
      </c>
      <c r="S256">
        <f ca="1"/>
        <v>-0.93881630022263884</v>
      </c>
      <c r="T256">
        <f ca="1"/>
        <v>0.30740212164624864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0.65008676907889928</v>
      </c>
      <c r="Z256">
        <f ca="1"/>
        <v>0</v>
      </c>
      <c r="AA256">
        <f ca="1"/>
        <v>0</v>
      </c>
      <c r="AB256">
        <f ca="1"/>
        <v>0</v>
      </c>
      <c r="AD256" s="2">
        <f t="shared" ca="1" si="32"/>
        <v>45296</v>
      </c>
      <c r="AE256">
        <f t="shared" ca="1" si="33"/>
        <v>0</v>
      </c>
      <c r="AG256" s="63">
        <f t="shared" ca="1" si="37"/>
        <v>27.245848418347784</v>
      </c>
      <c r="AH256" s="63">
        <f t="shared" ca="1" si="38"/>
        <v>27.245848418347784</v>
      </c>
      <c r="AI256" s="3">
        <f t="shared" ca="1" si="39"/>
        <v>0</v>
      </c>
    </row>
    <row r="257" spans="7:35">
      <c r="G257" s="3">
        <f t="shared" si="34"/>
        <v>312</v>
      </c>
      <c r="H257" s="95">
        <f t="shared" si="36"/>
        <v>45237</v>
      </c>
      <c r="I257" s="119">
        <f>HLOOKUP($H$5,'Met Data'!$A$2:$F$368,G257,FALSE)</f>
        <v>14.466666666666599</v>
      </c>
      <c r="J257" s="119">
        <f ca="1">HLOOKUP($H$5,'Met Data'!$H$2:$M$368,G257,FALSE)*L257</f>
        <v>4.18333333333333</v>
      </c>
      <c r="K257" s="96">
        <f>HLOOKUP($H$5,'Met Data'!$O$2:$T$368,G257,FALSE)</f>
        <v>3.3196725038188899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45297</v>
      </c>
      <c r="Q257">
        <f ca="1"/>
        <v>26.664531826236541</v>
      </c>
      <c r="R257">
        <f ca="1"/>
        <v>0</v>
      </c>
      <c r="S257">
        <f ca="1"/>
        <v>-0.88204479458556229</v>
      </c>
      <c r="T257">
        <f ca="1"/>
        <v>0.30072820247431759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0.62881640388532412</v>
      </c>
      <c r="Z257">
        <f ca="1"/>
        <v>0</v>
      </c>
      <c r="AA257">
        <f ca="1"/>
        <v>0</v>
      </c>
      <c r="AB257">
        <f ca="1"/>
        <v>0</v>
      </c>
      <c r="AD257" s="2">
        <f t="shared" ca="1" si="32"/>
        <v>45297</v>
      </c>
      <c r="AE257">
        <f t="shared" ca="1" si="33"/>
        <v>0</v>
      </c>
      <c r="AG257" s="63">
        <f t="shared" ca="1" si="37"/>
        <v>26.664531826236541</v>
      </c>
      <c r="AH257" s="63">
        <f t="shared" ca="1" si="38"/>
        <v>26.664531826236541</v>
      </c>
      <c r="AI257" s="3">
        <f t="shared" ca="1" si="39"/>
        <v>0</v>
      </c>
    </row>
    <row r="258" spans="7:35">
      <c r="G258" s="3">
        <f t="shared" si="34"/>
        <v>313</v>
      </c>
      <c r="H258" s="95">
        <f t="shared" si="36"/>
        <v>45238</v>
      </c>
      <c r="I258" s="119">
        <f>HLOOKUP($H$5,'Met Data'!$A$2:$F$368,G258,FALSE)</f>
        <v>14.7283333333333</v>
      </c>
      <c r="J258" s="119">
        <f ca="1">HLOOKUP($H$5,'Met Data'!$H$2:$M$368,G258,FALSE)*L258</f>
        <v>3.4833333333333298</v>
      </c>
      <c r="K258" s="96">
        <f>HLOOKUP($H$5,'Met Data'!$O$2:$T$368,G258,FALSE)</f>
        <v>3.5694722560107999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45298</v>
      </c>
      <c r="Q258">
        <f ca="1"/>
        <v>26.119663231781971</v>
      </c>
      <c r="R258">
        <f ca="1"/>
        <v>0</v>
      </c>
      <c r="S258">
        <f ca="1"/>
        <v>-0.84746635639328538</v>
      </c>
      <c r="T258">
        <f ca="1"/>
        <v>0.30259776193871318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0.60872257948045316</v>
      </c>
      <c r="Z258">
        <f ca="1"/>
        <v>0</v>
      </c>
      <c r="AA258">
        <f ca="1"/>
        <v>0</v>
      </c>
      <c r="AB258">
        <f ca="1"/>
        <v>0</v>
      </c>
      <c r="AD258" s="2">
        <f t="shared" ca="1" si="32"/>
        <v>45298</v>
      </c>
      <c r="AE258">
        <f t="shared" ca="1" si="33"/>
        <v>0</v>
      </c>
      <c r="AG258" s="63">
        <f t="shared" ca="1" si="37"/>
        <v>26.119663231781971</v>
      </c>
      <c r="AH258" s="63">
        <f t="shared" ca="1" si="38"/>
        <v>26.119663231781971</v>
      </c>
      <c r="AI258" s="3">
        <f t="shared" ca="1" si="39"/>
        <v>0</v>
      </c>
    </row>
    <row r="259" spans="7:35">
      <c r="G259" s="3">
        <f t="shared" si="34"/>
        <v>314</v>
      </c>
      <c r="H259" s="95">
        <f t="shared" si="36"/>
        <v>45239</v>
      </c>
      <c r="I259" s="119">
        <f>HLOOKUP($H$5,'Met Data'!$A$2:$F$368,G259,FALSE)</f>
        <v>14.37</v>
      </c>
      <c r="J259" s="119">
        <f ca="1">HLOOKUP($H$5,'Met Data'!$H$2:$M$368,G259,FALSE)*L259</f>
        <v>3.5433333333333299</v>
      </c>
      <c r="K259" s="96">
        <f>HLOOKUP($H$5,'Met Data'!$O$2:$T$368,G259,FALSE)</f>
        <v>3.5998767062500399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45299</v>
      </c>
      <c r="Q259">
        <f ca="1"/>
        <v>25.629376257638658</v>
      </c>
      <c r="R259">
        <f ca="1"/>
        <v>0</v>
      </c>
      <c r="S259">
        <f ca="1"/>
        <v>-0.79953734988777825</v>
      </c>
      <c r="T259">
        <f ca="1"/>
        <v>0.30925037574446484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0.61316190345687238</v>
      </c>
      <c r="Z259">
        <f ca="1"/>
        <v>0</v>
      </c>
      <c r="AA259">
        <f ca="1"/>
        <v>0</v>
      </c>
      <c r="AB259">
        <f ca="1"/>
        <v>0</v>
      </c>
      <c r="AD259" s="2">
        <f t="shared" ca="1" si="32"/>
        <v>45299</v>
      </c>
      <c r="AE259">
        <f t="shared" ca="1" si="33"/>
        <v>0</v>
      </c>
      <c r="AG259" s="63">
        <f t="shared" ca="1" si="37"/>
        <v>25.629376257638658</v>
      </c>
      <c r="AH259" s="63">
        <f t="shared" ca="1" si="38"/>
        <v>25.629376257638658</v>
      </c>
      <c r="AI259" s="3">
        <f t="shared" ca="1" si="39"/>
        <v>0</v>
      </c>
    </row>
    <row r="260" spans="7:35">
      <c r="G260" s="3">
        <f t="shared" si="34"/>
        <v>315</v>
      </c>
      <c r="H260" s="95">
        <f t="shared" si="36"/>
        <v>45240</v>
      </c>
      <c r="I260" s="119">
        <f>HLOOKUP($H$5,'Met Data'!$A$2:$F$368,G260,FALSE)</f>
        <v>14.7216666666666</v>
      </c>
      <c r="J260" s="119">
        <f ca="1">HLOOKUP($H$5,'Met Data'!$H$2:$M$368,G260,FALSE)*L260</f>
        <v>2.9033333333333302</v>
      </c>
      <c r="K260" s="96">
        <f>HLOOKUP($H$5,'Met Data'!$O$2:$T$368,G260,FALSE)</f>
        <v>3.8854632375309301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45300</v>
      </c>
      <c r="Q260">
        <f ca="1"/>
        <v>25.194276558292017</v>
      </c>
      <c r="R260">
        <f ca="1"/>
        <v>0</v>
      </c>
      <c r="S260">
        <f ca="1"/>
        <v>-0.75295500520034508</v>
      </c>
      <c r="T260">
        <f ca="1"/>
        <v>0.31785530585370519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0.62166291364082282</v>
      </c>
      <c r="Z260">
        <f ca="1"/>
        <v>0</v>
      </c>
      <c r="AA260">
        <f ca="1"/>
        <v>0</v>
      </c>
      <c r="AB260">
        <f ca="1"/>
        <v>0</v>
      </c>
      <c r="AD260" s="2">
        <f t="shared" ca="1" si="32"/>
        <v>45300</v>
      </c>
      <c r="AE260">
        <f t="shared" ca="1" si="33"/>
        <v>0</v>
      </c>
      <c r="AG260" s="63">
        <f t="shared" ca="1" si="37"/>
        <v>25.194276558292017</v>
      </c>
      <c r="AH260" s="63">
        <f t="shared" ca="1" si="38"/>
        <v>25.194276558292017</v>
      </c>
      <c r="AI260" s="3">
        <f t="shared" ca="1" si="39"/>
        <v>0</v>
      </c>
    </row>
    <row r="261" spans="7:35">
      <c r="G261" s="3">
        <f t="shared" si="34"/>
        <v>316</v>
      </c>
      <c r="H261" s="95">
        <f t="shared" si="36"/>
        <v>45241</v>
      </c>
      <c r="I261" s="119">
        <f>HLOOKUP($H$5,'Met Data'!$A$2:$F$368,G261,FALSE)</f>
        <v>14.816666666666601</v>
      </c>
      <c r="J261" s="119">
        <f ca="1">HLOOKUP($H$5,'Met Data'!$H$2:$M$368,G261,FALSE)*L261</f>
        <v>1.5433333333333299</v>
      </c>
      <c r="K261" s="96">
        <f>HLOOKUP($H$5,'Met Data'!$O$2:$T$368,G261,FALSE)</f>
        <v>3.4766729681443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45301</v>
      </c>
      <c r="Q261">
        <f ca="1"/>
        <v>24.806722096186217</v>
      </c>
      <c r="R261">
        <f ca="1"/>
        <v>0</v>
      </c>
      <c r="S261">
        <f ca="1"/>
        <v>-0.69001135887175735</v>
      </c>
      <c r="T261">
        <f ca="1"/>
        <v>0.30245689676595661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0.59315074749134766</v>
      </c>
      <c r="Z261">
        <f ca="1"/>
        <v>0</v>
      </c>
      <c r="AA261">
        <f ca="1"/>
        <v>0</v>
      </c>
      <c r="AB261">
        <f ca="1"/>
        <v>0</v>
      </c>
      <c r="AD261" s="2">
        <f t="shared" ca="1" si="32"/>
        <v>45301</v>
      </c>
      <c r="AE261">
        <f t="shared" ca="1" si="33"/>
        <v>0</v>
      </c>
      <c r="AG261" s="63">
        <f t="shared" ca="1" si="37"/>
        <v>24.806722096186217</v>
      </c>
      <c r="AH261" s="63">
        <f t="shared" ca="1" si="38"/>
        <v>24.806722096186217</v>
      </c>
      <c r="AI261" s="3">
        <f t="shared" ca="1" si="39"/>
        <v>0</v>
      </c>
    </row>
    <row r="262" spans="7:35">
      <c r="G262" s="3">
        <f t="shared" si="34"/>
        <v>317</v>
      </c>
      <c r="H262" s="95">
        <f t="shared" si="36"/>
        <v>45242</v>
      </c>
      <c r="I262" s="119">
        <f>HLOOKUP($H$5,'Met Data'!$A$2:$F$368,G262,FALSE)</f>
        <v>14.7883333333333</v>
      </c>
      <c r="J262" s="119">
        <f ca="1">HLOOKUP($H$5,'Met Data'!$H$2:$M$368,G262,FALSE)*L262</f>
        <v>3.6066666666666598</v>
      </c>
      <c r="K262" s="96">
        <f>HLOOKUP($H$5,'Met Data'!$O$2:$T$368,G262,FALSE)</f>
        <v>3.49823939059966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45302</v>
      </c>
      <c r="Q262">
        <f ca="1"/>
        <v>24.466096666081153</v>
      </c>
      <c r="R262">
        <f ca="1"/>
        <v>0</v>
      </c>
      <c r="S262">
        <f ca="1"/>
        <v>-0.62743201117955039</v>
      </c>
      <c r="T262">
        <f ca="1"/>
        <v>0.28680658107448698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0.56822823219383922</v>
      </c>
      <c r="Z262">
        <f ca="1"/>
        <v>0</v>
      </c>
      <c r="AA262">
        <f ca="1"/>
        <v>0</v>
      </c>
      <c r="AB262">
        <f ca="1"/>
        <v>0</v>
      </c>
      <c r="AD262" s="2">
        <f t="shared" ca="1" si="32"/>
        <v>45302</v>
      </c>
      <c r="AE262">
        <f t="shared" ca="1" si="33"/>
        <v>0</v>
      </c>
      <c r="AG262" s="63">
        <f t="shared" ca="1" si="37"/>
        <v>24.466096666081153</v>
      </c>
      <c r="AH262" s="63">
        <f t="shared" ca="1" si="38"/>
        <v>24.466096666081153</v>
      </c>
      <c r="AI262" s="3">
        <f t="shared" ca="1" si="39"/>
        <v>0</v>
      </c>
    </row>
    <row r="263" spans="7:35">
      <c r="G263" s="3">
        <f t="shared" si="34"/>
        <v>318</v>
      </c>
      <c r="H263" s="95">
        <f t="shared" si="36"/>
        <v>45243</v>
      </c>
      <c r="I263" s="119">
        <f>HLOOKUP($H$5,'Met Data'!$A$2:$F$368,G263,FALSE)</f>
        <v>14.5583333333333</v>
      </c>
      <c r="J263" s="119">
        <f ca="1">HLOOKUP($H$5,'Met Data'!$H$2:$M$368,G263,FALSE)*L263</f>
        <v>3.0633333333333299</v>
      </c>
      <c r="K263" s="96">
        <f>HLOOKUP($H$5,'Met Data'!$O$2:$T$368,G263,FALSE)</f>
        <v>3.8424324154218401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45303</v>
      </c>
      <c r="Q263">
        <f ca="1"/>
        <v>24.160141051316444</v>
      </c>
      <c r="R263">
        <f ca="1"/>
        <v>0</v>
      </c>
      <c r="S263">
        <f ca="1"/>
        <v>-0.58585655859084262</v>
      </c>
      <c r="T263">
        <f ca="1"/>
        <v>0.27990094382613101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0.54265517861901502</v>
      </c>
      <c r="Z263">
        <f ca="1"/>
        <v>0</v>
      </c>
      <c r="AA263">
        <f ca="1"/>
        <v>0</v>
      </c>
      <c r="AB263">
        <f ca="1"/>
        <v>0</v>
      </c>
      <c r="AD263" s="2">
        <f t="shared" ref="AD263:AD326" ca="1" si="42">IFERROR(P263,$AD$5)</f>
        <v>45303</v>
      </c>
      <c r="AE263">
        <f t="shared" ref="AE263:AE326" ca="1" si="43">IFERROR(U263,0)</f>
        <v>0</v>
      </c>
      <c r="AG263" s="63">
        <f t="shared" ca="1" si="37"/>
        <v>24.16014105131644</v>
      </c>
      <c r="AH263" s="63">
        <f t="shared" ca="1" si="38"/>
        <v>24.160141051316444</v>
      </c>
      <c r="AI263" s="3">
        <f t="shared" ca="1" si="39"/>
        <v>0</v>
      </c>
    </row>
    <row r="264" spans="7:35">
      <c r="G264" s="3">
        <f t="shared" ref="G264:G327" si="44">H264-DATE(YEAR(H264),1,0)+1</f>
        <v>319</v>
      </c>
      <c r="H264" s="95">
        <f t="shared" si="36"/>
        <v>45244</v>
      </c>
      <c r="I264" s="119">
        <f>HLOOKUP($H$5,'Met Data'!$A$2:$F$368,G264,FALSE)</f>
        <v>14.5066666666666</v>
      </c>
      <c r="J264" s="119">
        <f ca="1">HLOOKUP($H$5,'Met Data'!$H$2:$M$368,G264,FALSE)*L264</f>
        <v>3.2933333333333299</v>
      </c>
      <c r="K264" s="96">
        <f>HLOOKUP($H$5,'Met Data'!$O$2:$T$368,G264,FALSE)</f>
        <v>3.93837814578281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45304</v>
      </c>
      <c r="Q264">
        <f ca="1"/>
        <v>23.906033164323858</v>
      </c>
      <c r="R264">
        <f ca="1"/>
        <v>0</v>
      </c>
      <c r="S264">
        <f ca="1"/>
        <v>-0.54694116963653094</v>
      </c>
      <c r="T264">
        <f ca="1"/>
        <v>0.29283328264394848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0.56777748574700326</v>
      </c>
      <c r="Z264">
        <f ca="1"/>
        <v>0</v>
      </c>
      <c r="AA264">
        <f ca="1"/>
        <v>0</v>
      </c>
      <c r="AB264">
        <f ca="1"/>
        <v>0</v>
      </c>
      <c r="AD264" s="2">
        <f t="shared" ca="1" si="42"/>
        <v>45304</v>
      </c>
      <c r="AE264">
        <f t="shared" ca="1" si="43"/>
        <v>0</v>
      </c>
      <c r="AG264" s="63">
        <f t="shared" ca="1" si="37"/>
        <v>23.906033164323858</v>
      </c>
      <c r="AH264" s="63">
        <f t="shared" ca="1" si="38"/>
        <v>23.906033164323858</v>
      </c>
      <c r="AI264" s="3">
        <f t="shared" ca="1" si="39"/>
        <v>0</v>
      </c>
    </row>
    <row r="265" spans="7:35">
      <c r="G265" s="3">
        <f t="shared" si="44"/>
        <v>320</v>
      </c>
      <c r="H265" s="95">
        <f t="shared" ref="H265:H328" si="46">H264+1</f>
        <v>45245</v>
      </c>
      <c r="I265" s="119">
        <f>HLOOKUP($H$5,'Met Data'!$A$2:$F$368,G265,FALSE)</f>
        <v>14.8633333333333</v>
      </c>
      <c r="J265" s="119">
        <f ca="1">HLOOKUP($H$5,'Met Data'!$H$2:$M$368,G265,FALSE)*L265</f>
        <v>2.0666666666666602</v>
      </c>
      <c r="K265" s="96">
        <f>HLOOKUP($H$5,'Met Data'!$O$2:$T$368,G265,FALSE)</f>
        <v>3.82063419166102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45305</v>
      </c>
      <c r="Q265">
        <f ca="1"/>
        <v>23.690071291262779</v>
      </c>
      <c r="R265">
        <f ca="1"/>
        <v>0</v>
      </c>
      <c r="S265">
        <f ca="1"/>
        <v>-0.51115067264850467</v>
      </c>
      <c r="T265">
        <f ca="1"/>
        <v>0.2951887995874245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0.56203711105311482</v>
      </c>
      <c r="Z265">
        <f ca="1"/>
        <v>0</v>
      </c>
      <c r="AA265">
        <f ca="1"/>
        <v>0</v>
      </c>
      <c r="AB265">
        <f ca="1"/>
        <v>0</v>
      </c>
      <c r="AD265" s="2">
        <f t="shared" ca="1" si="42"/>
        <v>45305</v>
      </c>
      <c r="AE265">
        <f t="shared" ca="1" si="43"/>
        <v>0</v>
      </c>
      <c r="AG265" s="63">
        <f t="shared" ca="1" si="37"/>
        <v>23.690071291262779</v>
      </c>
      <c r="AH265" s="63">
        <f t="shared" ca="1" si="38"/>
        <v>23.690071291262779</v>
      </c>
      <c r="AI265" s="3">
        <f t="shared" ca="1" si="39"/>
        <v>0</v>
      </c>
    </row>
    <row r="266" spans="7:35">
      <c r="G266" s="3">
        <f t="shared" si="44"/>
        <v>321</v>
      </c>
      <c r="H266" s="95">
        <f t="shared" si="46"/>
        <v>45246</v>
      </c>
      <c r="I266" s="119">
        <f>HLOOKUP($H$5,'Met Data'!$A$2:$F$368,G266,FALSE)</f>
        <v>15.191666666666601</v>
      </c>
      <c r="J266" s="119">
        <f ca="1">HLOOKUP($H$5,'Met Data'!$H$2:$M$368,G266,FALSE)*L266</f>
        <v>4.1233333333333304</v>
      </c>
      <c r="K266" s="96">
        <f>HLOOKUP($H$5,'Met Data'!$O$2:$T$368,G266,FALSE)</f>
        <v>3.4660928584042798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45306</v>
      </c>
      <c r="Q266">
        <f ca="1"/>
        <v>23.506780827249081</v>
      </c>
      <c r="R266">
        <f ca="1"/>
        <v>0</v>
      </c>
      <c r="S266">
        <f ca="1"/>
        <v>-0.4688887033821576</v>
      </c>
      <c r="T266">
        <f ca="1"/>
        <v>0.28559823936846268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0.53846742213150678</v>
      </c>
      <c r="Z266">
        <f ca="1"/>
        <v>0</v>
      </c>
      <c r="AA266">
        <f ca="1"/>
        <v>0</v>
      </c>
      <c r="AB266">
        <f ca="1"/>
        <v>0</v>
      </c>
      <c r="AD266" s="2">
        <f t="shared" ca="1" si="42"/>
        <v>45306</v>
      </c>
      <c r="AE266">
        <f t="shared" ca="1" si="43"/>
        <v>0</v>
      </c>
      <c r="AG266" s="63">
        <f t="shared" ca="1" si="37"/>
        <v>23.506780827249081</v>
      </c>
      <c r="AH266" s="63">
        <f t="shared" ca="1" si="38"/>
        <v>23.506780827249081</v>
      </c>
      <c r="AI266" s="3">
        <f t="shared" ca="1" si="39"/>
        <v>0</v>
      </c>
    </row>
    <row r="267" spans="7:35">
      <c r="G267" s="3">
        <f t="shared" si="44"/>
        <v>322</v>
      </c>
      <c r="H267" s="95">
        <f t="shared" si="46"/>
        <v>45247</v>
      </c>
      <c r="I267" s="119">
        <f>HLOOKUP($H$5,'Met Data'!$A$2:$F$368,G267,FALSE)</f>
        <v>14.805</v>
      </c>
      <c r="J267" s="119">
        <f ca="1">HLOOKUP($H$5,'Met Data'!$H$2:$M$368,G267,FALSE)*L267</f>
        <v>2.0999999999999899</v>
      </c>
      <c r="K267" s="96">
        <f>HLOOKUP($H$5,'Met Data'!$O$2:$T$368,G267,FALSE)</f>
        <v>3.7178898330930501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45307</v>
      </c>
      <c r="Q267">
        <f ca="1"/>
        <v>23.366965059458721</v>
      </c>
      <c r="R267">
        <f ca="1"/>
        <v>0</v>
      </c>
      <c r="S267">
        <f ca="1"/>
        <v>-0.42928849810607161</v>
      </c>
      <c r="T267">
        <f ca="1"/>
        <v>0.28947273031571125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0.55000980326774829</v>
      </c>
      <c r="Z267">
        <f ca="1"/>
        <v>0</v>
      </c>
      <c r="AA267">
        <f ca="1"/>
        <v>0</v>
      </c>
      <c r="AB267">
        <f ca="1"/>
        <v>0</v>
      </c>
      <c r="AD267" s="2">
        <f t="shared" ca="1" si="42"/>
        <v>45307</v>
      </c>
      <c r="AE267">
        <f t="shared" ca="1" si="43"/>
        <v>0</v>
      </c>
      <c r="AG267" s="63">
        <f t="shared" ca="1" si="37"/>
        <v>23.366965059458721</v>
      </c>
      <c r="AH267" s="63">
        <f t="shared" ca="1" si="38"/>
        <v>23.366965059458721</v>
      </c>
      <c r="AI267" s="3">
        <f t="shared" ca="1" si="39"/>
        <v>0</v>
      </c>
    </row>
    <row r="268" spans="7:35">
      <c r="G268" s="3">
        <f t="shared" si="44"/>
        <v>323</v>
      </c>
      <c r="H268" s="95">
        <f t="shared" si="46"/>
        <v>45248</v>
      </c>
      <c r="I268" s="119">
        <f>HLOOKUP($H$5,'Met Data'!$A$2:$F$368,G268,FALSE)</f>
        <v>14.4366666666666</v>
      </c>
      <c r="J268" s="119">
        <f ca="1">HLOOKUP($H$5,'Met Data'!$H$2:$M$368,G268,FALSE)*L268</f>
        <v>2.25</v>
      </c>
      <c r="K268" s="96">
        <f>HLOOKUP($H$5,'Met Data'!$O$2:$T$368,G268,FALSE)</f>
        <v>3.8903759726723899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45308</v>
      </c>
      <c r="Q268">
        <f ca="1"/>
        <v>23.268136384955227</v>
      </c>
      <c r="R268">
        <f ca="1"/>
        <v>0</v>
      </c>
      <c r="S268">
        <f ca="1"/>
        <v>-0.38738109551329281</v>
      </c>
      <c r="T268">
        <f ca="1"/>
        <v>0.28855242100979739</v>
      </c>
      <c r="U268">
        <f ca="1"/>
        <v>0</v>
      </c>
      <c r="V268">
        <f ca="1"/>
        <v>3.3992420297040686</v>
      </c>
      <c r="W268">
        <f ca="1"/>
        <v>3.1096769679144627</v>
      </c>
      <c r="X268">
        <f ca="1"/>
        <v>0</v>
      </c>
      <c r="Y268">
        <f ca="1"/>
        <v>0.55949956798696998</v>
      </c>
      <c r="Z268">
        <f ca="1"/>
        <v>0</v>
      </c>
      <c r="AA268">
        <f ca="1"/>
        <v>0</v>
      </c>
      <c r="AB268">
        <f ca="1"/>
        <v>7.8076752669027265E-3</v>
      </c>
      <c r="AD268" s="2">
        <f t="shared" ca="1" si="42"/>
        <v>45308</v>
      </c>
      <c r="AE268">
        <f t="shared" ca="1" si="43"/>
        <v>0</v>
      </c>
      <c r="AG268" s="63">
        <f t="shared" ref="AG268:AG331" ca="1" si="47">Q267+S268+T268+U268</f>
        <v>23.268136384955227</v>
      </c>
      <c r="AH268" s="63">
        <f t="shared" ref="AH268:AH331" ca="1" si="48">Q268+R268+X268</f>
        <v>23.268136384955227</v>
      </c>
      <c r="AI268" s="3">
        <f t="shared" ref="AI268:AI331" ca="1" si="49">AH268-AG268</f>
        <v>0</v>
      </c>
    </row>
    <row r="269" spans="7:35">
      <c r="G269" s="3">
        <f t="shared" si="44"/>
        <v>324</v>
      </c>
      <c r="H269" s="95">
        <f t="shared" si="46"/>
        <v>45249</v>
      </c>
      <c r="I269" s="119">
        <f>HLOOKUP($H$5,'Met Data'!$A$2:$F$368,G269,FALSE)</f>
        <v>14.4133333333333</v>
      </c>
      <c r="J269" s="119">
        <f ca="1">HLOOKUP($H$5,'Met Data'!$H$2:$M$368,G269,FALSE)*L269</f>
        <v>1.6566666666666601</v>
      </c>
      <c r="K269" s="96">
        <f>HLOOKUP($H$5,'Met Data'!$O$2:$T$368,G269,FALSE)</f>
        <v>3.9105195639997401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45309</v>
      </c>
      <c r="Q269">
        <f ca="1"/>
        <v>23.029936293531563</v>
      </c>
      <c r="R269">
        <f ca="1"/>
        <v>0.17020061014664156</v>
      </c>
      <c r="S269">
        <f ca="1"/>
        <v>-0.35519974057750758</v>
      </c>
      <c r="T269">
        <f ca="1"/>
        <v>0.28720025930048332</v>
      </c>
      <c r="U269">
        <f ca="1"/>
        <v>0</v>
      </c>
      <c r="V269">
        <f ca="1"/>
        <v>3.5694426398507102</v>
      </c>
      <c r="W269">
        <f ca="1"/>
        <v>3.2653790075671312</v>
      </c>
      <c r="X269">
        <f ca="1"/>
        <v>0</v>
      </c>
      <c r="Y269">
        <f ca="1"/>
        <v>0.55354662036747704</v>
      </c>
      <c r="Z269">
        <f ca="1"/>
        <v>0</v>
      </c>
      <c r="AA269">
        <f ca="1"/>
        <v>0</v>
      </c>
      <c r="AB269">
        <f ca="1"/>
        <v>9.1110146297809086E-3</v>
      </c>
      <c r="AD269" s="2">
        <f t="shared" ca="1" si="42"/>
        <v>45309</v>
      </c>
      <c r="AE269">
        <f t="shared" ca="1" si="43"/>
        <v>0</v>
      </c>
      <c r="AG269" s="63">
        <f t="shared" ca="1" si="47"/>
        <v>23.200136903678203</v>
      </c>
      <c r="AH269" s="63">
        <f t="shared" ca="1" si="48"/>
        <v>23.200136903678203</v>
      </c>
      <c r="AI269" s="3">
        <f t="shared" ca="1" si="49"/>
        <v>0</v>
      </c>
    </row>
    <row r="270" spans="7:35">
      <c r="G270" s="3">
        <f t="shared" si="44"/>
        <v>325</v>
      </c>
      <c r="H270" s="95">
        <f t="shared" si="46"/>
        <v>45250</v>
      </c>
      <c r="I270" s="119">
        <f>HLOOKUP($H$5,'Met Data'!$A$2:$F$368,G270,FALSE)</f>
        <v>14.8266666666666</v>
      </c>
      <c r="J270" s="119">
        <f ca="1">HLOOKUP($H$5,'Met Data'!$H$2:$M$368,G270,FALSE)*L270</f>
        <v>2.4166666666666599</v>
      </c>
      <c r="K270" s="96">
        <f>HLOOKUP($H$5,'Met Data'!$O$2:$T$368,G270,FALSE)</f>
        <v>3.75734672122165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45310</v>
      </c>
      <c r="Q270">
        <f ca="1"/>
        <v>22.808466594119643</v>
      </c>
      <c r="R270">
        <f ca="1"/>
        <v>0.1824585124291338</v>
      </c>
      <c r="S270">
        <f ca="1"/>
        <v>-0.33006220914849038</v>
      </c>
      <c r="T270">
        <f ca="1"/>
        <v>0.2910510221657035</v>
      </c>
      <c r="U270">
        <f ca="1"/>
        <v>0</v>
      </c>
      <c r="V270">
        <f ca="1"/>
        <v>3.751901152279844</v>
      </c>
      <c r="W270">
        <f ca="1"/>
        <v>3.4322947578263756</v>
      </c>
      <c r="X270">
        <f ca="1"/>
        <v>0</v>
      </c>
      <c r="Y270">
        <f ca="1"/>
        <v>0.54753967327488362</v>
      </c>
      <c r="Z270">
        <f ca="1"/>
        <v>0</v>
      </c>
      <c r="AA270">
        <f ca="1"/>
        <v>0</v>
      </c>
      <c r="AB270">
        <f ca="1"/>
        <v>1.0664704501795743E-2</v>
      </c>
      <c r="AD270" s="2">
        <f t="shared" ca="1" si="42"/>
        <v>45310</v>
      </c>
      <c r="AE270">
        <f t="shared" ca="1" si="43"/>
        <v>0</v>
      </c>
      <c r="AG270" s="63">
        <f t="shared" ca="1" si="47"/>
        <v>22.990925106548776</v>
      </c>
      <c r="AH270" s="63">
        <f t="shared" ca="1" si="48"/>
        <v>22.990925106548776</v>
      </c>
      <c r="AI270" s="3">
        <f t="shared" ca="1" si="49"/>
        <v>0</v>
      </c>
    </row>
    <row r="271" spans="7:35">
      <c r="G271" s="3">
        <f t="shared" si="44"/>
        <v>326</v>
      </c>
      <c r="H271" s="95">
        <f t="shared" si="46"/>
        <v>45251</v>
      </c>
      <c r="I271" s="119">
        <f>HLOOKUP($H$5,'Met Data'!$A$2:$F$368,G271,FALSE)</f>
        <v>14.899999999999901</v>
      </c>
      <c r="J271" s="119">
        <f ca="1">HLOOKUP($H$5,'Met Data'!$H$2:$M$368,G271,FALSE)*L271</f>
        <v>2.8366666666666598</v>
      </c>
      <c r="K271" s="96">
        <f>HLOOKUP($H$5,'Met Data'!$O$2:$T$368,G271,FALSE)</f>
        <v>3.5492721007612098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45311</v>
      </c>
      <c r="Q271">
        <f ca="1"/>
        <v>22.600053712484296</v>
      </c>
      <c r="R271">
        <f ca="1"/>
        <v>0.19069687844541772</v>
      </c>
      <c r="S271">
        <f ca="1"/>
        <v>-0.29824099015710104</v>
      </c>
      <c r="T271">
        <f ca="1"/>
        <v>0.28052498696717199</v>
      </c>
      <c r="U271">
        <f ca="1"/>
        <v>0</v>
      </c>
      <c r="V271">
        <f ca="1"/>
        <v>3.9425980307252617</v>
      </c>
      <c r="W271">
        <f ca="1"/>
        <v>3.6067470873671841</v>
      </c>
      <c r="X271">
        <f ca="1"/>
        <v>0</v>
      </c>
      <c r="Y271">
        <f ca="1"/>
        <v>0.52316972514187998</v>
      </c>
      <c r="Z271">
        <f ca="1"/>
        <v>0</v>
      </c>
      <c r="AA271">
        <f ca="1"/>
        <v>0</v>
      </c>
      <c r="AB271">
        <f ca="1"/>
        <v>1.2471222753681328E-2</v>
      </c>
      <c r="AD271" s="2">
        <f t="shared" ca="1" si="42"/>
        <v>45311</v>
      </c>
      <c r="AE271">
        <f t="shared" ca="1" si="43"/>
        <v>0</v>
      </c>
      <c r="AG271" s="63">
        <f t="shared" ca="1" si="47"/>
        <v>22.790750590929715</v>
      </c>
      <c r="AH271" s="63">
        <f t="shared" ca="1" si="48"/>
        <v>22.790750590929715</v>
      </c>
      <c r="AI271" s="3">
        <f t="shared" ca="1" si="49"/>
        <v>0</v>
      </c>
    </row>
    <row r="272" spans="7:35">
      <c r="G272" s="3">
        <f t="shared" si="44"/>
        <v>327</v>
      </c>
      <c r="H272" s="95">
        <f t="shared" si="46"/>
        <v>45252</v>
      </c>
      <c r="I272" s="119">
        <f>HLOOKUP($H$5,'Met Data'!$A$2:$F$368,G272,FALSE)</f>
        <v>15.125</v>
      </c>
      <c r="J272" s="119">
        <f ca="1">HLOOKUP($H$5,'Met Data'!$H$2:$M$368,G272,FALSE)*L272</f>
        <v>4.0966666666666596</v>
      </c>
      <c r="K272" s="96">
        <f>HLOOKUP($H$5,'Met Data'!$O$2:$T$368,G272,FALSE)</f>
        <v>3.6984174874033999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45312</v>
      </c>
      <c r="Q272">
        <f ca="1"/>
        <v>22.454705984855725</v>
      </c>
      <c r="R272">
        <f ca="1"/>
        <v>0.2034820409810072</v>
      </c>
      <c r="S272">
        <f ca="1"/>
        <v>-0.27375766449674188</v>
      </c>
      <c r="T272">
        <f ca="1"/>
        <v>0.33189197784917712</v>
      </c>
      <c r="U272">
        <f ca="1"/>
        <v>0</v>
      </c>
      <c r="V272">
        <f ca="1"/>
        <v>4.1460800717062689</v>
      </c>
      <c r="W272">
        <f ca="1"/>
        <v>3.7928954730053652</v>
      </c>
      <c r="X272">
        <f ca="1"/>
        <v>0</v>
      </c>
      <c r="Y272">
        <f ca="1"/>
        <v>0.63726355990453887</v>
      </c>
      <c r="Z272">
        <f ca="1"/>
        <v>0</v>
      </c>
      <c r="AA272">
        <f ca="1"/>
        <v>0</v>
      </c>
      <c r="AB272">
        <f ca="1"/>
        <v>1.461610562686359E-2</v>
      </c>
      <c r="AD272" s="2">
        <f t="shared" ca="1" si="42"/>
        <v>45312</v>
      </c>
      <c r="AE272">
        <f t="shared" ca="1" si="43"/>
        <v>0</v>
      </c>
      <c r="AG272" s="63">
        <f t="shared" ca="1" si="47"/>
        <v>22.658188025836733</v>
      </c>
      <c r="AH272" s="63">
        <f t="shared" ca="1" si="48"/>
        <v>22.658188025836733</v>
      </c>
      <c r="AI272" s="3">
        <f t="shared" ca="1" si="49"/>
        <v>0</v>
      </c>
    </row>
    <row r="273" spans="7:35">
      <c r="G273" s="3">
        <f t="shared" si="44"/>
        <v>328</v>
      </c>
      <c r="H273" s="95">
        <f t="shared" si="46"/>
        <v>45253</v>
      </c>
      <c r="I273" s="119">
        <f>HLOOKUP($H$5,'Met Data'!$A$2:$F$368,G273,FALSE)</f>
        <v>15.358333333333301</v>
      </c>
      <c r="J273" s="119">
        <f ca="1">HLOOKUP($H$5,'Met Data'!$H$2:$M$368,G273,FALSE)*L273</f>
        <v>3.04</v>
      </c>
      <c r="K273" s="96">
        <f>HLOOKUP($H$5,'Met Data'!$O$2:$T$368,G273,FALSE)</f>
        <v>3.9426742076693699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45313</v>
      </c>
      <c r="Q273">
        <f ca="1"/>
        <v>22.335357249022955</v>
      </c>
      <c r="R273">
        <f ca="1"/>
        <v>0.21527183886182755</v>
      </c>
      <c r="S273">
        <f ca="1"/>
        <v>-0.24789255292794365</v>
      </c>
      <c r="T273">
        <f ca="1"/>
        <v>0.34381565595700009</v>
      </c>
      <c r="U273">
        <f ca="1"/>
        <v>0</v>
      </c>
      <c r="V273">
        <f ca="1"/>
        <v>4.3613519105680965</v>
      </c>
      <c r="W273">
        <f ca="1"/>
        <v>3.9898293404085923</v>
      </c>
      <c r="X273">
        <f ca="1"/>
        <v>0</v>
      </c>
      <c r="Y273">
        <f ca="1"/>
        <v>0.65834746274524492</v>
      </c>
      <c r="Z273">
        <f ca="1"/>
        <v>0</v>
      </c>
      <c r="AA273">
        <f ca="1"/>
        <v>0</v>
      </c>
      <c r="AB273">
        <f ca="1"/>
        <v>1.7142627162469701E-2</v>
      </c>
      <c r="AD273" s="2">
        <f t="shared" ca="1" si="42"/>
        <v>45313</v>
      </c>
      <c r="AE273">
        <f t="shared" ca="1" si="43"/>
        <v>0</v>
      </c>
      <c r="AG273" s="63">
        <f t="shared" ca="1" si="47"/>
        <v>22.550629087884783</v>
      </c>
      <c r="AH273" s="63">
        <f t="shared" ca="1" si="48"/>
        <v>22.550629087884783</v>
      </c>
      <c r="AI273" s="3">
        <f t="shared" ca="1" si="49"/>
        <v>0</v>
      </c>
    </row>
    <row r="274" spans="7:35">
      <c r="G274" s="3">
        <f t="shared" si="44"/>
        <v>329</v>
      </c>
      <c r="H274" s="95">
        <f t="shared" si="46"/>
        <v>45254</v>
      </c>
      <c r="I274" s="119">
        <f>HLOOKUP($H$5,'Met Data'!$A$2:$F$368,G274,FALSE)</f>
        <v>15.2051724137931</v>
      </c>
      <c r="J274" s="119">
        <f ca="1">HLOOKUP($H$5,'Met Data'!$H$2:$M$368,G274,FALSE)*L274</f>
        <v>2.4655172413793101</v>
      </c>
      <c r="K274" s="96">
        <f>HLOOKUP($H$5,'Met Data'!$O$2:$T$368,G274,FALSE)</f>
        <v>3.7475647250722499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45314</v>
      </c>
      <c r="Q274">
        <f ca="1"/>
        <v>22.22698427458235</v>
      </c>
      <c r="R274">
        <f ca="1"/>
        <v>0.22643321665805871</v>
      </c>
      <c r="S274">
        <f ca="1"/>
        <v>-0.22210229515072655</v>
      </c>
      <c r="T274">
        <f ca="1"/>
        <v>0.34016253736818081</v>
      </c>
      <c r="U274">
        <f ca="1"/>
        <v>0</v>
      </c>
      <c r="V274">
        <f ca="1"/>
        <v>4.5877851272261552</v>
      </c>
      <c r="W274">
        <f ca="1"/>
        <v>4.1969738015735576</v>
      </c>
      <c r="X274">
        <f ca="1"/>
        <v>0</v>
      </c>
      <c r="Y274">
        <f ca="1"/>
        <v>0.64942116161652796</v>
      </c>
      <c r="Z274">
        <f ca="1"/>
        <v>0</v>
      </c>
      <c r="AA274">
        <f ca="1"/>
        <v>0</v>
      </c>
      <c r="AB274">
        <f ca="1"/>
        <v>2.0100767807058217E-2</v>
      </c>
      <c r="AD274" s="2">
        <f t="shared" ca="1" si="42"/>
        <v>45314</v>
      </c>
      <c r="AE274">
        <f t="shared" ca="1" si="43"/>
        <v>0</v>
      </c>
      <c r="AG274" s="63">
        <f t="shared" ca="1" si="47"/>
        <v>22.453417491240408</v>
      </c>
      <c r="AH274" s="63">
        <f t="shared" ca="1" si="48"/>
        <v>22.453417491240408</v>
      </c>
      <c r="AI274" s="3">
        <f t="shared" ca="1" si="49"/>
        <v>0</v>
      </c>
    </row>
    <row r="275" spans="7:35">
      <c r="G275" s="3">
        <f t="shared" si="44"/>
        <v>330</v>
      </c>
      <c r="H275" s="95">
        <f t="shared" si="46"/>
        <v>45255</v>
      </c>
      <c r="I275" s="119">
        <f>HLOOKUP($H$5,'Met Data'!$A$2:$F$368,G275,FALSE)</f>
        <v>15.834482758620601</v>
      </c>
      <c r="J275" s="119">
        <f ca="1">HLOOKUP($H$5,'Met Data'!$H$2:$M$368,G275,FALSE)*L275</f>
        <v>2.7965517241379301</v>
      </c>
      <c r="K275" s="96">
        <f>HLOOKUP($H$5,'Met Data'!$O$2:$T$368,G275,FALSE)</f>
        <v>4.1132182691665697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45315</v>
      </c>
      <c r="Q275">
        <f ca="1"/>
        <v>22.136938930521463</v>
      </c>
      <c r="R275">
        <f ca="1"/>
        <v>0.2385612323895101</v>
      </c>
      <c r="S275">
        <f ca="1"/>
        <v>-0.19823145217142724</v>
      </c>
      <c r="T275">
        <f ca="1"/>
        <v>0.34674734050005046</v>
      </c>
      <c r="U275">
        <f ca="1"/>
        <v>0</v>
      </c>
      <c r="V275">
        <f ca="1"/>
        <v>4.8263463596156653</v>
      </c>
      <c r="W275">
        <f ca="1"/>
        <v>4.4152131512039601</v>
      </c>
      <c r="X275">
        <f ca="1"/>
        <v>0</v>
      </c>
      <c r="Y275">
        <f ca="1"/>
        <v>0.66161993048348866</v>
      </c>
      <c r="Z275">
        <f ca="1"/>
        <v>0</v>
      </c>
      <c r="AA275">
        <f ca="1"/>
        <v>0</v>
      </c>
      <c r="AB275">
        <f ca="1"/>
        <v>2.3567771763245524E-2</v>
      </c>
      <c r="AD275" s="2">
        <f t="shared" ca="1" si="42"/>
        <v>45315</v>
      </c>
      <c r="AE275">
        <f t="shared" ca="1" si="43"/>
        <v>0</v>
      </c>
      <c r="AG275" s="63">
        <f t="shared" ca="1" si="47"/>
        <v>22.375500162910974</v>
      </c>
      <c r="AH275" s="63">
        <f t="shared" ca="1" si="48"/>
        <v>22.375500162910974</v>
      </c>
      <c r="AI275" s="3">
        <f t="shared" ca="1" si="49"/>
        <v>0</v>
      </c>
    </row>
    <row r="276" spans="7:35">
      <c r="G276" s="3">
        <f t="shared" si="44"/>
        <v>331</v>
      </c>
      <c r="H276" s="95">
        <f t="shared" si="46"/>
        <v>45256</v>
      </c>
      <c r="I276" s="119">
        <f>HLOOKUP($H$5,'Met Data'!$A$2:$F$368,G276,FALSE)</f>
        <v>15.876666666666599</v>
      </c>
      <c r="J276" s="119">
        <f ca="1">HLOOKUP($H$5,'Met Data'!$H$2:$M$368,G276,FALSE)*L276</f>
        <v>2.2666666666666599</v>
      </c>
      <c r="K276" s="96">
        <f>HLOOKUP($H$5,'Met Data'!$O$2:$T$368,G276,FALSE)</f>
        <v>4.0838977840275996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45316</v>
      </c>
      <c r="Q276">
        <f ca="1"/>
        <v>22.062081872520746</v>
      </c>
      <c r="R276">
        <f ca="1"/>
        <v>0.25480704471647986</v>
      </c>
      <c r="S276">
        <f ca="1"/>
        <v>-0.17796680330126335</v>
      </c>
      <c r="T276">
        <f ca="1"/>
        <v>0.35791679001702725</v>
      </c>
      <c r="U276">
        <f ca="1"/>
        <v>0</v>
      </c>
      <c r="V276">
        <f ca="1"/>
        <v>5.0811534043321451</v>
      </c>
      <c r="W276">
        <f ca="1"/>
        <v>4.6483144106297765</v>
      </c>
      <c r="X276">
        <f ca="1"/>
        <v>0</v>
      </c>
      <c r="Y276">
        <f ca="1"/>
        <v>0.67289343697344972</v>
      </c>
      <c r="Z276">
        <f ca="1"/>
        <v>0</v>
      </c>
      <c r="AA276">
        <f ca="1"/>
        <v>0</v>
      </c>
      <c r="AB276">
        <f ca="1"/>
        <v>2.7687410617903405E-2</v>
      </c>
      <c r="AD276" s="2">
        <f t="shared" ca="1" si="42"/>
        <v>45316</v>
      </c>
      <c r="AE276">
        <f t="shared" ca="1" si="43"/>
        <v>0</v>
      </c>
      <c r="AG276" s="63">
        <f t="shared" ca="1" si="47"/>
        <v>22.316888917237229</v>
      </c>
      <c r="AH276" s="63">
        <f t="shared" ca="1" si="48"/>
        <v>22.316888917237225</v>
      </c>
      <c r="AI276" s="3">
        <f t="shared" ca="1" si="49"/>
        <v>0</v>
      </c>
    </row>
    <row r="277" spans="7:35">
      <c r="G277" s="3">
        <f t="shared" si="44"/>
        <v>332</v>
      </c>
      <c r="H277" s="95">
        <f t="shared" si="46"/>
        <v>45257</v>
      </c>
      <c r="I277" s="119">
        <f>HLOOKUP($H$5,'Met Data'!$A$2:$F$368,G277,FALSE)</f>
        <v>15.52</v>
      </c>
      <c r="J277" s="119">
        <f ca="1">HLOOKUP($H$5,'Met Data'!$H$2:$M$368,G277,FALSE)*L277</f>
        <v>3.6933333333333298</v>
      </c>
      <c r="K277" s="96">
        <f>HLOOKUP($H$5,'Met Data'!$O$2:$T$368,G277,FALSE)</f>
        <v>4.2967341086411999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45317</v>
      </c>
      <c r="Q277">
        <f ca="1"/>
        <v>21.980282298650437</v>
      </c>
      <c r="R277">
        <f ca="1"/>
        <v>0.2701214030472352</v>
      </c>
      <c r="S277">
        <f ca="1"/>
        <v>-0.15711625096877668</v>
      </c>
      <c r="T277">
        <f ca="1"/>
        <v>0.34543808014570249</v>
      </c>
      <c r="U277">
        <f ca="1"/>
        <v>0</v>
      </c>
      <c r="V277">
        <f ca="1"/>
        <v>5.3512748073793803</v>
      </c>
      <c r="W277">
        <f ca="1"/>
        <v>4.8954254719359511</v>
      </c>
      <c r="X277">
        <f ca="1"/>
        <v>0</v>
      </c>
      <c r="Y277">
        <f ca="1"/>
        <v>0.63985312298194941</v>
      </c>
      <c r="Z277">
        <f ca="1"/>
        <v>0</v>
      </c>
      <c r="AA277">
        <f ca="1"/>
        <v>0</v>
      </c>
      <c r="AB277">
        <f ca="1"/>
        <v>3.2546239296597168E-2</v>
      </c>
      <c r="AD277" s="2">
        <f t="shared" ca="1" si="42"/>
        <v>45317</v>
      </c>
      <c r="AE277">
        <f t="shared" ca="1" si="43"/>
        <v>0</v>
      </c>
      <c r="AG277" s="63">
        <f t="shared" ca="1" si="47"/>
        <v>22.250403701697671</v>
      </c>
      <c r="AH277" s="63">
        <f t="shared" ca="1" si="48"/>
        <v>22.250403701697671</v>
      </c>
      <c r="AI277" s="3">
        <f t="shared" ca="1" si="49"/>
        <v>0</v>
      </c>
    </row>
    <row r="278" spans="7:35">
      <c r="G278" s="3">
        <f t="shared" si="44"/>
        <v>333</v>
      </c>
      <c r="H278" s="95">
        <f t="shared" si="46"/>
        <v>45258</v>
      </c>
      <c r="I278" s="119">
        <f>HLOOKUP($H$5,'Met Data'!$A$2:$F$368,G278,FALSE)</f>
        <v>15.438333333333301</v>
      </c>
      <c r="J278" s="119">
        <f ca="1">HLOOKUP($H$5,'Met Data'!$H$2:$M$368,G278,FALSE)*L278</f>
        <v>4.5933333333333302</v>
      </c>
      <c r="K278" s="96">
        <f>HLOOKUP($H$5,'Met Data'!$O$2:$T$368,G278,FALSE)</f>
        <v>3.7863185649490698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45318</v>
      </c>
      <c r="Q278">
        <f ca="1"/>
        <v>21.903372557853125</v>
      </c>
      <c r="R278">
        <f ca="1"/>
        <v>0.27732445534729511</v>
      </c>
      <c r="S278">
        <f ca="1"/>
        <v>-0.13336914235489417</v>
      </c>
      <c r="T278">
        <f ca="1"/>
        <v>0.33378385690487788</v>
      </c>
      <c r="U278">
        <f ca="1"/>
        <v>0</v>
      </c>
      <c r="V278">
        <f ca="1"/>
        <v>5.6285992627266754</v>
      </c>
      <c r="W278">
        <f ca="1"/>
        <v>5.1491259921981074</v>
      </c>
      <c r="X278">
        <f ca="1"/>
        <v>0</v>
      </c>
      <c r="Y278">
        <f ca="1"/>
        <v>0.63213245319860867</v>
      </c>
      <c r="Z278">
        <f ca="1"/>
        <v>0</v>
      </c>
      <c r="AA278">
        <f ca="1"/>
        <v>0</v>
      </c>
      <c r="AB278">
        <f ca="1"/>
        <v>3.8083498959689648E-2</v>
      </c>
      <c r="AD278" s="2">
        <f t="shared" ca="1" si="42"/>
        <v>45318</v>
      </c>
      <c r="AE278">
        <f t="shared" ca="1" si="43"/>
        <v>0</v>
      </c>
      <c r="AG278" s="63">
        <f t="shared" ca="1" si="47"/>
        <v>22.180697013200419</v>
      </c>
      <c r="AH278" s="63">
        <f t="shared" ca="1" si="48"/>
        <v>22.180697013200419</v>
      </c>
      <c r="AI278" s="3">
        <f t="shared" ca="1" si="49"/>
        <v>0</v>
      </c>
    </row>
    <row r="279" spans="7:35">
      <c r="G279" s="3">
        <f t="shared" si="44"/>
        <v>334</v>
      </c>
      <c r="H279" s="95">
        <f t="shared" si="46"/>
        <v>45259</v>
      </c>
      <c r="I279" s="119">
        <f>HLOOKUP($H$5,'Met Data'!$A$2:$F$368,G279,FALSE)</f>
        <v>15.551724137931</v>
      </c>
      <c r="J279" s="119">
        <f ca="1">HLOOKUP($H$5,'Met Data'!$H$2:$M$368,G279,FALSE)*L279</f>
        <v>2.63448275862069</v>
      </c>
      <c r="K279" s="96">
        <f>HLOOKUP($H$5,'Met Data'!$O$2:$T$368,G279,FALSE)</f>
        <v>3.91369181219603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45319</v>
      </c>
      <c r="Q279">
        <f ca="1"/>
        <v>21.819771373090411</v>
      </c>
      <c r="R279">
        <f ca="1"/>
        <v>0.29463452605790774</v>
      </c>
      <c r="S279">
        <f ca="1"/>
        <v>-0.11598057788841842</v>
      </c>
      <c r="T279">
        <f ca="1"/>
        <v>0.32701391918361322</v>
      </c>
      <c r="U279">
        <f ca="1"/>
        <v>0</v>
      </c>
      <c r="V279">
        <f ca="1"/>
        <v>5.9232337887845832</v>
      </c>
      <c r="W279">
        <f ca="1"/>
        <v>5.418662021591822</v>
      </c>
      <c r="X279">
        <f ca="1"/>
        <v>0</v>
      </c>
      <c r="Y279">
        <f ca="1"/>
        <v>0.60797746413488718</v>
      </c>
      <c r="Z279">
        <f ca="1"/>
        <v>0</v>
      </c>
      <c r="AA279">
        <f ca="1"/>
        <v>0</v>
      </c>
      <c r="AB279">
        <f ca="1"/>
        <v>4.4599062336139556E-2</v>
      </c>
      <c r="AD279" s="2">
        <f t="shared" ca="1" si="42"/>
        <v>45319</v>
      </c>
      <c r="AE279">
        <f t="shared" ca="1" si="43"/>
        <v>0</v>
      </c>
      <c r="AG279" s="63">
        <f t="shared" ca="1" si="47"/>
        <v>22.11440589914832</v>
      </c>
      <c r="AH279" s="63">
        <f t="shared" ca="1" si="48"/>
        <v>22.11440589914832</v>
      </c>
      <c r="AI279" s="3">
        <f t="shared" ca="1" si="49"/>
        <v>0</v>
      </c>
    </row>
    <row r="280" spans="7:35">
      <c r="G280" s="3">
        <f t="shared" si="44"/>
        <v>335</v>
      </c>
      <c r="H280" s="95">
        <f t="shared" si="46"/>
        <v>45260</v>
      </c>
      <c r="I280" s="119">
        <f>HLOOKUP($H$5,'Met Data'!$A$2:$F$368,G280,FALSE)</f>
        <v>15.832758620689599</v>
      </c>
      <c r="J280" s="119">
        <f ca="1">HLOOKUP($H$5,'Met Data'!$H$2:$M$368,G280,FALSE)*L280</f>
        <v>2.4931034482758601</v>
      </c>
      <c r="K280" s="96">
        <f>HLOOKUP($H$5,'Met Data'!$O$2:$T$368,G280,FALSE)</f>
        <v>3.5204814386258598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45320</v>
      </c>
      <c r="Q280">
        <f ca="1"/>
        <v>21.730387647586099</v>
      </c>
      <c r="R280">
        <f ca="1"/>
        <v>0.31481369981071339</v>
      </c>
      <c r="S280">
        <f ca="1"/>
        <v>-9.9788350556202943E-2</v>
      </c>
      <c r="T280">
        <f ca="1"/>
        <v>0.32521832486260527</v>
      </c>
      <c r="U280">
        <f ca="1"/>
        <v>0</v>
      </c>
      <c r="V280">
        <f ca="1"/>
        <v>6.2380474885952966</v>
      </c>
      <c r="W280">
        <f ca="1"/>
        <v>5.7066582580853265</v>
      </c>
      <c r="X280">
        <f ca="1"/>
        <v>0</v>
      </c>
      <c r="Y280">
        <f ca="1"/>
        <v>0.5909551904918372</v>
      </c>
      <c r="Z280">
        <f ca="1"/>
        <v>0</v>
      </c>
      <c r="AA280">
        <f ca="1"/>
        <v>0</v>
      </c>
      <c r="AB280">
        <f ca="1"/>
        <v>5.2305309497285929E-2</v>
      </c>
      <c r="AD280" s="2">
        <f t="shared" ca="1" si="42"/>
        <v>45320</v>
      </c>
      <c r="AE280">
        <f t="shared" ca="1" si="43"/>
        <v>0</v>
      </c>
      <c r="AG280" s="63">
        <f t="shared" ca="1" si="47"/>
        <v>22.045201347396812</v>
      </c>
      <c r="AH280" s="63">
        <f t="shared" ca="1" si="48"/>
        <v>22.045201347396812</v>
      </c>
      <c r="AI280" s="3">
        <f t="shared" ca="1" si="49"/>
        <v>0</v>
      </c>
    </row>
    <row r="281" spans="7:35">
      <c r="G281" s="3">
        <f t="shared" si="44"/>
        <v>336</v>
      </c>
      <c r="H281" s="95">
        <f t="shared" si="46"/>
        <v>45261</v>
      </c>
      <c r="I281" s="119">
        <f>HLOOKUP($H$5,'Met Data'!$A$2:$F$368,G281,FALSE)</f>
        <v>16.082758620689599</v>
      </c>
      <c r="J281" s="119">
        <f ca="1">HLOOKUP($H$5,'Met Data'!$H$2:$M$368,G281,FALSE)*L281</f>
        <v>1.7689655172413701</v>
      </c>
      <c r="K281" s="96">
        <f>HLOOKUP($H$5,'Met Data'!$O$2:$T$368,G281,FALSE)</f>
        <v>4.0516623269738101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45321</v>
      </c>
      <c r="Q281">
        <f ca="1"/>
        <v>21.643558731079697</v>
      </c>
      <c r="R281">
        <f ca="1"/>
        <v>0.33649731850040254</v>
      </c>
      <c r="S281">
        <f ca="1"/>
        <v>-8.4048673740543478E-2</v>
      </c>
      <c r="T281">
        <f ca="1"/>
        <v>0.33371707573454545</v>
      </c>
      <c r="U281">
        <f ca="1"/>
        <v>0</v>
      </c>
      <c r="V281">
        <f ca="1"/>
        <v>6.5745448070956991</v>
      </c>
      <c r="W281">
        <f ca="1"/>
        <v>6.0144909901949539</v>
      </c>
      <c r="X281">
        <f ca="1"/>
        <v>0</v>
      </c>
      <c r="Y281">
        <f ca="1"/>
        <v>0.59749444601624413</v>
      </c>
      <c r="Z281">
        <f ca="1"/>
        <v>0</v>
      </c>
      <c r="AA281">
        <f ca="1"/>
        <v>0</v>
      </c>
      <c r="AB281">
        <f ca="1"/>
        <v>6.1416382055640796E-2</v>
      </c>
      <c r="AD281" s="2">
        <f t="shared" ca="1" si="42"/>
        <v>45321</v>
      </c>
      <c r="AE281">
        <f t="shared" ca="1" si="43"/>
        <v>0</v>
      </c>
      <c r="AG281" s="63">
        <f t="shared" ca="1" si="47"/>
        <v>21.980056049580099</v>
      </c>
      <c r="AH281" s="63">
        <f t="shared" ca="1" si="48"/>
        <v>21.980056049580099</v>
      </c>
      <c r="AI281" s="3">
        <f t="shared" ca="1" si="49"/>
        <v>0</v>
      </c>
    </row>
    <row r="282" spans="7:35">
      <c r="G282" s="3">
        <f t="shared" si="44"/>
        <v>337</v>
      </c>
      <c r="H282" s="95">
        <f t="shared" si="46"/>
        <v>45262</v>
      </c>
      <c r="I282" s="119">
        <f>HLOOKUP($H$5,'Met Data'!$A$2:$F$368,G282,FALSE)</f>
        <v>16.4931034482758</v>
      </c>
      <c r="J282" s="119">
        <f ca="1">HLOOKUP($H$5,'Met Data'!$H$2:$M$368,G282,FALSE)*L282</f>
        <v>5.1137931034482698</v>
      </c>
      <c r="K282" s="96">
        <f>HLOOKUP($H$5,'Met Data'!$O$2:$T$368,G282,FALSE)</f>
        <v>3.5036176940509298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45322</v>
      </c>
      <c r="Q282">
        <f ca="1"/>
        <v>21.556902699669507</v>
      </c>
      <c r="R282">
        <f ca="1"/>
        <v>0.35256974149179499</v>
      </c>
      <c r="S282">
        <f ca="1"/>
        <v>-6.754825984861057E-2</v>
      </c>
      <c r="T282">
        <f ca="1"/>
        <v>0.33346196993021621</v>
      </c>
      <c r="U282">
        <f ca="1"/>
        <v>0</v>
      </c>
      <c r="V282">
        <f ca="1"/>
        <v>6.9271145485874941</v>
      </c>
      <c r="W282">
        <f ca="1"/>
        <v>6.337027012967078</v>
      </c>
      <c r="X282">
        <f ca="1"/>
        <v>0</v>
      </c>
      <c r="Y282">
        <f ca="1"/>
        <v>0.59986701399398679</v>
      </c>
      <c r="Z282">
        <f ca="1"/>
        <v>0</v>
      </c>
      <c r="AA282">
        <f ca="1"/>
        <v>0</v>
      </c>
      <c r="AB282">
        <f ca="1"/>
        <v>7.1951478042488567E-2</v>
      </c>
      <c r="AD282" s="2">
        <f t="shared" ca="1" si="42"/>
        <v>45322</v>
      </c>
      <c r="AE282">
        <f t="shared" ca="1" si="43"/>
        <v>0</v>
      </c>
      <c r="AG282" s="63">
        <f t="shared" ca="1" si="47"/>
        <v>21.909472441161302</v>
      </c>
      <c r="AH282" s="63">
        <f t="shared" ca="1" si="48"/>
        <v>21.909472441161302</v>
      </c>
      <c r="AI282" s="3">
        <f t="shared" ca="1" si="49"/>
        <v>0</v>
      </c>
    </row>
    <row r="283" spans="7:35">
      <c r="G283" s="3">
        <f t="shared" si="44"/>
        <v>338</v>
      </c>
      <c r="H283" s="95">
        <f t="shared" si="46"/>
        <v>45263</v>
      </c>
      <c r="I283" s="119">
        <f>HLOOKUP($H$5,'Met Data'!$A$2:$F$368,G283,FALSE)</f>
        <v>16.78</v>
      </c>
      <c r="J283" s="119">
        <f ca="1">HLOOKUP($H$5,'Met Data'!$H$2:$M$368,G283,FALSE)*L283</f>
        <v>1.71</v>
      </c>
      <c r="K283" s="96">
        <f>HLOOKUP($H$5,'Met Data'!$O$2:$T$368,G283,FALSE)</f>
        <v>3.8786861346319301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45323</v>
      </c>
      <c r="Q283">
        <f ca="1"/>
        <v>21.452014415838132</v>
      </c>
      <c r="R283">
        <f ca="1"/>
        <v>0.37328994038871954</v>
      </c>
      <c r="S283">
        <f ca="1"/>
        <v>-5.2906259741551054E-2</v>
      </c>
      <c r="T283">
        <f ca="1"/>
        <v>0.32130791629889716</v>
      </c>
      <c r="U283">
        <f ca="1"/>
        <v>0</v>
      </c>
      <c r="V283">
        <f ca="1"/>
        <v>7.3004044889762136</v>
      </c>
      <c r="W283">
        <f ca="1"/>
        <v>6.6785181806560177</v>
      </c>
      <c r="X283">
        <f ca="1"/>
        <v>0</v>
      </c>
      <c r="Y283">
        <f ca="1"/>
        <v>0.56661400913668336</v>
      </c>
      <c r="Z283">
        <f ca="1"/>
        <v>0</v>
      </c>
      <c r="AA283">
        <f ca="1"/>
        <v>0</v>
      </c>
      <c r="AB283">
        <f ca="1"/>
        <v>8.4221472501200004E-2</v>
      </c>
      <c r="AD283" s="2">
        <f t="shared" ca="1" si="42"/>
        <v>45323</v>
      </c>
      <c r="AE283">
        <f t="shared" ca="1" si="43"/>
        <v>0</v>
      </c>
      <c r="AG283" s="63">
        <f t="shared" ca="1" si="47"/>
        <v>21.825304356226852</v>
      </c>
      <c r="AH283" s="63">
        <f t="shared" ca="1" si="48"/>
        <v>21.825304356226852</v>
      </c>
      <c r="AI283" s="3">
        <f t="shared" ca="1" si="49"/>
        <v>0</v>
      </c>
    </row>
    <row r="284" spans="7:35">
      <c r="G284" s="3">
        <f t="shared" si="44"/>
        <v>339</v>
      </c>
      <c r="H284" s="95">
        <f t="shared" si="46"/>
        <v>45264</v>
      </c>
      <c r="I284" s="119">
        <f>HLOOKUP($H$5,'Met Data'!$A$2:$F$368,G284,FALSE)</f>
        <v>16.8266666666666</v>
      </c>
      <c r="J284" s="119">
        <f ca="1">HLOOKUP($H$5,'Met Data'!$H$2:$M$368,G284,FALSE)*L284</f>
        <v>6.0433333333333303</v>
      </c>
      <c r="K284" s="96">
        <f>HLOOKUP($H$5,'Met Data'!$O$2:$T$368,G284,FALSE)</f>
        <v>3.6269671816345701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45324</v>
      </c>
      <c r="Q284">
        <f ca="1"/>
        <v>21.353154780326836</v>
      </c>
      <c r="R284">
        <f ca="1"/>
        <v>0.3864545107513786</v>
      </c>
      <c r="S284">
        <f ca="1"/>
        <v>-3.8378697945862683E-2</v>
      </c>
      <c r="T284">
        <f ca="1"/>
        <v>0.3259735731859435</v>
      </c>
      <c r="U284">
        <f ca="1"/>
        <v>0</v>
      </c>
      <c r="V284">
        <f ca="1"/>
        <v>7.6868589997275922</v>
      </c>
      <c r="W284">
        <f ca="1"/>
        <v>7.0320524923433902</v>
      </c>
      <c r="X284">
        <f ca="1"/>
        <v>0</v>
      </c>
      <c r="Y284">
        <f ca="1"/>
        <v>0.58937552192080023</v>
      </c>
      <c r="Z284">
        <f ca="1"/>
        <v>0</v>
      </c>
      <c r="AA284">
        <f ca="1"/>
        <v>0</v>
      </c>
      <c r="AB284">
        <f ca="1"/>
        <v>9.813430354140662E-2</v>
      </c>
      <c r="AD284" s="2">
        <f t="shared" ca="1" si="42"/>
        <v>45324</v>
      </c>
      <c r="AE284">
        <f t="shared" ca="1" si="43"/>
        <v>0</v>
      </c>
      <c r="AG284" s="63">
        <f t="shared" ca="1" si="47"/>
        <v>21.739609291078214</v>
      </c>
      <c r="AH284" s="63">
        <f t="shared" ca="1" si="48"/>
        <v>21.739609291078214</v>
      </c>
      <c r="AI284" s="3">
        <f t="shared" ca="1" si="49"/>
        <v>0</v>
      </c>
    </row>
    <row r="285" spans="7:35">
      <c r="G285" s="3">
        <f t="shared" si="44"/>
        <v>340</v>
      </c>
      <c r="H285" s="95">
        <f t="shared" si="46"/>
        <v>45265</v>
      </c>
      <c r="I285" s="119">
        <f>HLOOKUP($H$5,'Met Data'!$A$2:$F$368,G285,FALSE)</f>
        <v>16.6516666666666</v>
      </c>
      <c r="J285" s="119">
        <f ca="1">HLOOKUP($H$5,'Met Data'!$H$2:$M$368,G285,FALSE)*L285</f>
        <v>4.9033333333333298</v>
      </c>
      <c r="K285" s="96">
        <f>HLOOKUP($H$5,'Met Data'!$O$2:$T$368,G285,FALSE)</f>
        <v>3.8159631078200702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45325</v>
      </c>
      <c r="Q285">
        <f ca="1"/>
        <v>21.235662720997034</v>
      </c>
      <c r="R285">
        <f ca="1"/>
        <v>0.39959591432651997</v>
      </c>
      <c r="S285">
        <f ca="1"/>
        <v>-2.5485525295266598E-2</v>
      </c>
      <c r="T285">
        <f ca="1"/>
        <v>0.30758938029198329</v>
      </c>
      <c r="U285">
        <f ca="1"/>
        <v>0</v>
      </c>
      <c r="V285">
        <f ca="1"/>
        <v>8.0864549140541122</v>
      </c>
      <c r="W285">
        <f ca="1"/>
        <v>7.3976087547087612</v>
      </c>
      <c r="X285">
        <f ca="1"/>
        <v>0</v>
      </c>
      <c r="Y285">
        <f ca="1"/>
        <v>0.55781368719022195</v>
      </c>
      <c r="Z285">
        <f ca="1"/>
        <v>0</v>
      </c>
      <c r="AA285">
        <f ca="1"/>
        <v>0</v>
      </c>
      <c r="AB285">
        <f ca="1"/>
        <v>0.11379961153152122</v>
      </c>
      <c r="AD285" s="2">
        <f t="shared" ca="1" si="42"/>
        <v>45325</v>
      </c>
      <c r="AE285">
        <f t="shared" ca="1" si="43"/>
        <v>0</v>
      </c>
      <c r="AG285" s="63">
        <f t="shared" ca="1" si="47"/>
        <v>21.635258635323552</v>
      </c>
      <c r="AH285" s="63">
        <f t="shared" ca="1" si="48"/>
        <v>21.635258635323552</v>
      </c>
      <c r="AI285" s="3">
        <f t="shared" ca="1" si="49"/>
        <v>0</v>
      </c>
    </row>
    <row r="286" spans="7:35">
      <c r="G286" s="3">
        <f t="shared" si="44"/>
        <v>341</v>
      </c>
      <c r="H286" s="95">
        <f t="shared" si="46"/>
        <v>45266</v>
      </c>
      <c r="I286" s="119">
        <f>HLOOKUP($H$5,'Met Data'!$A$2:$F$368,G286,FALSE)</f>
        <v>16.68</v>
      </c>
      <c r="J286" s="119">
        <f ca="1">HLOOKUP($H$5,'Met Data'!$H$2:$M$368,G286,FALSE)*L286</f>
        <v>3.7299999999999902</v>
      </c>
      <c r="K286" s="96">
        <f>HLOOKUP($H$5,'Met Data'!$O$2:$T$368,G286,FALSE)</f>
        <v>3.9805130657979602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45326</v>
      </c>
      <c r="Q286">
        <f ca="1"/>
        <v>21.133704995932408</v>
      </c>
      <c r="R286">
        <f ca="1"/>
        <v>0.40096000694574485</v>
      </c>
      <c r="S286">
        <f ca="1"/>
        <v>-1.3814571475077031E-2</v>
      </c>
      <c r="T286">
        <f ca="1"/>
        <v>0.31281685335619763</v>
      </c>
      <c r="U286">
        <f ca="1"/>
        <v>0</v>
      </c>
      <c r="V286">
        <f ca="1"/>
        <v>8.4874149209998571</v>
      </c>
      <c r="W286">
        <f ca="1"/>
        <v>7.7644129092109795</v>
      </c>
      <c r="X286">
        <f ca="1"/>
        <v>0</v>
      </c>
      <c r="Y286">
        <f ca="1"/>
        <v>0.60406498444839207</v>
      </c>
      <c r="Z286">
        <f ca="1"/>
        <v>0</v>
      </c>
      <c r="AA286">
        <f ca="1"/>
        <v>0</v>
      </c>
      <c r="AB286">
        <f ca="1"/>
        <v>0.13079184339236752</v>
      </c>
      <c r="AD286" s="2">
        <f t="shared" ca="1" si="42"/>
        <v>45326</v>
      </c>
      <c r="AE286">
        <f t="shared" ca="1" si="43"/>
        <v>0</v>
      </c>
      <c r="AG286" s="63">
        <f t="shared" ca="1" si="47"/>
        <v>21.534665002878153</v>
      </c>
      <c r="AH286" s="63">
        <f t="shared" ca="1" si="48"/>
        <v>21.534665002878153</v>
      </c>
      <c r="AI286" s="3">
        <f t="shared" ca="1" si="49"/>
        <v>0</v>
      </c>
    </row>
    <row r="287" spans="7:35">
      <c r="G287" s="3">
        <f t="shared" si="44"/>
        <v>342</v>
      </c>
      <c r="H287" s="95">
        <f t="shared" si="46"/>
        <v>45267</v>
      </c>
      <c r="I287" s="119">
        <f>HLOOKUP($H$5,'Met Data'!$A$2:$F$368,G287,FALSE)</f>
        <v>16.158333333333299</v>
      </c>
      <c r="J287" s="119">
        <f ca="1">HLOOKUP($H$5,'Met Data'!$H$2:$M$368,G287,FALSE)*L287</f>
        <v>3.96999999999999</v>
      </c>
      <c r="K287" s="96">
        <f>HLOOKUP($H$5,'Met Data'!$O$2:$T$368,G287,FALSE)</f>
        <v>3.9985245379954399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45327</v>
      </c>
      <c r="Q287">
        <f ca="1"/>
        <v>21.015619231442106</v>
      </c>
      <c r="R287">
        <f ca="1"/>
        <v>0.43442707573982275</v>
      </c>
      <c r="S287">
        <f ca="1"/>
        <v>-4.1798972067610407E-3</v>
      </c>
      <c r="T287">
        <f ca="1"/>
        <v>0.3205212084562819</v>
      </c>
      <c r="U287">
        <f ca="1"/>
        <v>0</v>
      </c>
      <c r="V287">
        <f ca="1"/>
        <v>8.9218419967396798</v>
      </c>
      <c r="W287">
        <f ca="1"/>
        <v>8.1618332340544484</v>
      </c>
      <c r="X287">
        <f ca="1"/>
        <v>0</v>
      </c>
      <c r="Y287">
        <f ca="1"/>
        <v>0.59674963651074175</v>
      </c>
      <c r="Z287">
        <f ca="1"/>
        <v>0</v>
      </c>
      <c r="AA287">
        <f ca="1"/>
        <v>0</v>
      </c>
      <c r="AB287">
        <f ca="1"/>
        <v>0.15058034921111807</v>
      </c>
      <c r="AD287" s="2">
        <f t="shared" ca="1" si="42"/>
        <v>45327</v>
      </c>
      <c r="AE287">
        <f t="shared" ca="1" si="43"/>
        <v>0</v>
      </c>
      <c r="AG287" s="63">
        <f t="shared" ca="1" si="47"/>
        <v>21.450046307181928</v>
      </c>
      <c r="AH287" s="63">
        <f t="shared" ca="1" si="48"/>
        <v>21.450046307181928</v>
      </c>
      <c r="AI287" s="3">
        <f t="shared" ca="1" si="49"/>
        <v>0</v>
      </c>
    </row>
    <row r="288" spans="7:35">
      <c r="G288" s="3">
        <f t="shared" si="44"/>
        <v>343</v>
      </c>
      <c r="H288" s="95">
        <f t="shared" si="46"/>
        <v>45268</v>
      </c>
      <c r="I288" s="119">
        <f>HLOOKUP($H$5,'Met Data'!$A$2:$F$368,G288,FALSE)</f>
        <v>16.105</v>
      </c>
      <c r="J288" s="119">
        <f ca="1">HLOOKUP($H$5,'Met Data'!$H$2:$M$368,G288,FALSE)*L288</f>
        <v>2.43333333333333</v>
      </c>
      <c r="K288" s="96">
        <f>HLOOKUP($H$5,'Met Data'!$O$2:$T$368,G288,FALSE)</f>
        <v>4.0668482894046898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45328</v>
      </c>
      <c r="Q288">
        <f ca="1"/>
        <v>20.866524918444043</v>
      </c>
      <c r="R288">
        <f ca="1"/>
        <v>0.45166638748304067</v>
      </c>
      <c r="S288">
        <f ca="1"/>
        <v>5.2212645731799512E-3</v>
      </c>
      <c r="T288">
        <f ca="1"/>
        <v>0.29735080991179846</v>
      </c>
      <c r="U288">
        <f ca="1"/>
        <v>0</v>
      </c>
      <c r="V288">
        <f ca="1"/>
        <v>9.3735083842227205</v>
      </c>
      <c r="W288">
        <f ca="1"/>
        <v>8.5750243366778207</v>
      </c>
      <c r="X288">
        <f ca="1"/>
        <v>0</v>
      </c>
      <c r="Y288">
        <f ca="1"/>
        <v>0.54667100934310087</v>
      </c>
      <c r="Z288">
        <f ca="1"/>
        <v>0</v>
      </c>
      <c r="AA288">
        <f ca="1"/>
        <v>0</v>
      </c>
      <c r="AB288">
        <f ca="1"/>
        <v>0.17257778432682586</v>
      </c>
      <c r="AD288" s="2">
        <f t="shared" ca="1" si="42"/>
        <v>45328</v>
      </c>
      <c r="AE288">
        <f t="shared" ca="1" si="43"/>
        <v>0</v>
      </c>
      <c r="AG288" s="63">
        <f t="shared" ca="1" si="47"/>
        <v>21.318191305927083</v>
      </c>
      <c r="AH288" s="63">
        <f t="shared" ca="1" si="48"/>
        <v>21.318191305927083</v>
      </c>
      <c r="AI288" s="3">
        <f t="shared" ca="1" si="49"/>
        <v>0</v>
      </c>
    </row>
    <row r="289" spans="7:35">
      <c r="G289" s="3">
        <f t="shared" si="44"/>
        <v>344</v>
      </c>
      <c r="H289" s="95">
        <f t="shared" si="46"/>
        <v>45269</v>
      </c>
      <c r="I289" s="119">
        <f>HLOOKUP($H$5,'Met Data'!$A$2:$F$368,G289,FALSE)</f>
        <v>16.565000000000001</v>
      </c>
      <c r="J289" s="119">
        <f ca="1">HLOOKUP($H$5,'Met Data'!$H$2:$M$368,G289,FALSE)*L289</f>
        <v>1.57666666666666</v>
      </c>
      <c r="K289" s="96">
        <f>HLOOKUP($H$5,'Met Data'!$O$2:$T$368,G289,FALSE)</f>
        <v>4.3303303245888296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45329</v>
      </c>
      <c r="Q289">
        <f ca="1"/>
        <v>20.689564433239433</v>
      </c>
      <c r="R289">
        <f ca="1"/>
        <v>0.47671742450640053</v>
      </c>
      <c r="S289">
        <f ca="1"/>
        <v>1.3960321551795829E-2</v>
      </c>
      <c r="T289">
        <f ca="1"/>
        <v>0.28579661774999354</v>
      </c>
      <c r="U289">
        <f ca="1"/>
        <v>0</v>
      </c>
      <c r="V289">
        <f ca="1"/>
        <v>9.850225808729121</v>
      </c>
      <c r="W289">
        <f ca="1"/>
        <v>9.0111324990966413</v>
      </c>
      <c r="X289">
        <f ca="1"/>
        <v>0</v>
      </c>
      <c r="Y289">
        <f ca="1"/>
        <v>0.51114196805856738</v>
      </c>
      <c r="Z289">
        <f ca="1"/>
        <v>0</v>
      </c>
      <c r="AA289">
        <f ca="1"/>
        <v>0</v>
      </c>
      <c r="AB289">
        <f ca="1"/>
        <v>0.19722929025913122</v>
      </c>
      <c r="AD289" s="2">
        <f t="shared" ca="1" si="42"/>
        <v>45329</v>
      </c>
      <c r="AE289">
        <f t="shared" ca="1" si="43"/>
        <v>0</v>
      </c>
      <c r="AG289" s="63">
        <f t="shared" ca="1" si="47"/>
        <v>21.166281857745833</v>
      </c>
      <c r="AH289" s="63">
        <f t="shared" ca="1" si="48"/>
        <v>21.166281857745833</v>
      </c>
      <c r="AI289" s="3">
        <f t="shared" ca="1" si="49"/>
        <v>0</v>
      </c>
    </row>
    <row r="290" spans="7:35">
      <c r="G290" s="3">
        <f t="shared" si="44"/>
        <v>345</v>
      </c>
      <c r="H290" s="95">
        <f t="shared" si="46"/>
        <v>45270</v>
      </c>
      <c r="I290" s="119">
        <f>HLOOKUP($H$5,'Met Data'!$A$2:$F$368,G290,FALSE)</f>
        <v>16.483333333333299</v>
      </c>
      <c r="J290" s="119">
        <f ca="1">HLOOKUP($H$5,'Met Data'!$H$2:$M$368,G290,FALSE)*L290</f>
        <v>2.9733333333333301</v>
      </c>
      <c r="K290" s="96">
        <f>HLOOKUP($H$5,'Met Data'!$O$2:$T$368,G290,FALSE)</f>
        <v>4.0534379567104599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45330</v>
      </c>
      <c r="Q290">
        <f ca="1"/>
        <v>20.49518650616761</v>
      </c>
      <c r="R290">
        <f ca="1"/>
        <v>0.49876993117753088</v>
      </c>
      <c r="S290">
        <f ca="1"/>
        <v>2.1972149083339332E-2</v>
      </c>
      <c r="T290">
        <f ca="1"/>
        <v>0.28241985502236888</v>
      </c>
      <c r="U290">
        <f ca="1"/>
        <v>0</v>
      </c>
      <c r="V290">
        <f ca="1"/>
        <v>10.348995739906652</v>
      </c>
      <c r="W290">
        <f ca="1"/>
        <v>9.4674146213220105</v>
      </c>
      <c r="X290">
        <f ca="1"/>
        <v>0</v>
      </c>
      <c r="Y290">
        <f ca="1"/>
        <v>0.50322331924412156</v>
      </c>
      <c r="Z290">
        <f ca="1"/>
        <v>0</v>
      </c>
      <c r="AA290">
        <f ca="1"/>
        <v>0</v>
      </c>
      <c r="AB290">
        <f ca="1"/>
        <v>0.2244066540908877</v>
      </c>
      <c r="AD290" s="2">
        <f t="shared" ca="1" si="42"/>
        <v>45330</v>
      </c>
      <c r="AE290">
        <f t="shared" ca="1" si="43"/>
        <v>0</v>
      </c>
      <c r="AG290" s="63">
        <f t="shared" ca="1" si="47"/>
        <v>20.99395643734514</v>
      </c>
      <c r="AH290" s="63">
        <f t="shared" ca="1" si="48"/>
        <v>20.99395643734514</v>
      </c>
      <c r="AI290" s="3">
        <f t="shared" ca="1" si="49"/>
        <v>0</v>
      </c>
    </row>
    <row r="291" spans="7:35">
      <c r="G291" s="3">
        <f t="shared" si="44"/>
        <v>346</v>
      </c>
      <c r="H291" s="95">
        <f t="shared" si="46"/>
        <v>45271</v>
      </c>
      <c r="I291" s="119">
        <f>HLOOKUP($H$5,'Met Data'!$A$2:$F$368,G291,FALSE)</f>
        <v>17.015000000000001</v>
      </c>
      <c r="J291" s="119">
        <f ca="1">HLOOKUP($H$5,'Met Data'!$H$2:$M$368,G291,FALSE)*L291</f>
        <v>1.12666666666666</v>
      </c>
      <c r="K291" s="96">
        <f>HLOOKUP($H$5,'Met Data'!$O$2:$T$368,G291,FALSE)</f>
        <v>4.1505313677650202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45331</v>
      </c>
      <c r="Q291">
        <f ca="1"/>
        <v>20.270221775183476</v>
      </c>
      <c r="R291">
        <f ca="1"/>
        <v>0.52751454783437168</v>
      </c>
      <c r="S291">
        <f ca="1"/>
        <v>2.7965718073126311E-2</v>
      </c>
      <c r="T291">
        <f ca="1"/>
        <v>0.27458409877711099</v>
      </c>
      <c r="U291">
        <f ca="1"/>
        <v>0</v>
      </c>
      <c r="V291">
        <f ca="1"/>
        <v>10.876510287741024</v>
      </c>
      <c r="W291">
        <f ca="1"/>
        <v>9.9499927447112313</v>
      </c>
      <c r="X291">
        <f ca="1"/>
        <v>0</v>
      </c>
      <c r="Y291">
        <f ca="1"/>
        <v>0.47428809016257206</v>
      </c>
      <c r="Z291">
        <f ca="1"/>
        <v>0</v>
      </c>
      <c r="AA291">
        <f ca="1"/>
        <v>0</v>
      </c>
      <c r="AB291">
        <f ca="1"/>
        <v>0.25443932880574455</v>
      </c>
      <c r="AD291" s="2">
        <f t="shared" ca="1" si="42"/>
        <v>45331</v>
      </c>
      <c r="AE291">
        <f t="shared" ca="1" si="43"/>
        <v>0</v>
      </c>
      <c r="AG291" s="63">
        <f t="shared" ca="1" si="47"/>
        <v>20.797736323017848</v>
      </c>
      <c r="AH291" s="63">
        <f t="shared" ca="1" si="48"/>
        <v>20.797736323017848</v>
      </c>
      <c r="AI291" s="3">
        <f t="shared" ca="1" si="49"/>
        <v>0</v>
      </c>
    </row>
    <row r="292" spans="7:35">
      <c r="G292" s="3">
        <f t="shared" si="44"/>
        <v>347</v>
      </c>
      <c r="H292" s="95">
        <f t="shared" si="46"/>
        <v>45272</v>
      </c>
      <c r="I292" s="119">
        <f>HLOOKUP($H$5,'Met Data'!$A$2:$F$368,G292,FALSE)</f>
        <v>17.483333333333299</v>
      </c>
      <c r="J292" s="119">
        <f ca="1">HLOOKUP($H$5,'Met Data'!$H$2:$M$368,G292,FALSE)*L292</f>
        <v>1.9166666666666601</v>
      </c>
      <c r="K292" s="96">
        <f>HLOOKUP($H$5,'Met Data'!$O$2:$T$368,G292,FALSE)</f>
        <v>3.8850422651579102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45332</v>
      </c>
      <c r="Q292">
        <f ca="1"/>
        <v>20.012847974784609</v>
      </c>
      <c r="R292">
        <f ca="1"/>
        <v>0.56738412684788742</v>
      </c>
      <c r="S292">
        <f ca="1"/>
        <v>3.3869135266659356E-2</v>
      </c>
      <c r="T292">
        <f ca="1"/>
        <v>0.27614119118236119</v>
      </c>
      <c r="U292">
        <f ca="1"/>
        <v>0</v>
      </c>
      <c r="V292">
        <f ca="1"/>
        <v>11.443894414588911</v>
      </c>
      <c r="W292">
        <f ca="1"/>
        <v>10.469044149642446</v>
      </c>
      <c r="X292">
        <f ca="1"/>
        <v>0</v>
      </c>
      <c r="Y292">
        <f ca="1"/>
        <v>0.45798620930009498</v>
      </c>
      <c r="Z292">
        <f ca="1"/>
        <v>0</v>
      </c>
      <c r="AA292">
        <f ca="1"/>
        <v>0</v>
      </c>
      <c r="AB292">
        <f ca="1"/>
        <v>0.28788804064973578</v>
      </c>
      <c r="AD292" s="2">
        <f t="shared" ca="1" si="42"/>
        <v>45332</v>
      </c>
      <c r="AE292">
        <f t="shared" ca="1" si="43"/>
        <v>0</v>
      </c>
      <c r="AG292" s="63">
        <f t="shared" ca="1" si="47"/>
        <v>20.580232101632497</v>
      </c>
      <c r="AH292" s="63">
        <f t="shared" ca="1" si="48"/>
        <v>20.580232101632497</v>
      </c>
      <c r="AI292" s="3">
        <f t="shared" ca="1" si="49"/>
        <v>0</v>
      </c>
    </row>
    <row r="293" spans="7:35">
      <c r="G293" s="3">
        <f t="shared" si="44"/>
        <v>348</v>
      </c>
      <c r="H293" s="95">
        <f t="shared" si="46"/>
        <v>45273</v>
      </c>
      <c r="I293" s="119">
        <f>HLOOKUP($H$5,'Met Data'!$A$2:$F$368,G293,FALSE)</f>
        <v>17.251666666666601</v>
      </c>
      <c r="J293" s="119">
        <f ca="1">HLOOKUP($H$5,'Met Data'!$H$2:$M$368,G293,FALSE)*L293</f>
        <v>1.93333333333333</v>
      </c>
      <c r="K293" s="96">
        <f>HLOOKUP($H$5,'Met Data'!$O$2:$T$368,G293,FALSE)</f>
        <v>4.3816384015384404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45333</v>
      </c>
      <c r="Q293">
        <f ca="1"/>
        <v>19.730167746205112</v>
      </c>
      <c r="R293">
        <f ca="1"/>
        <v>0.60277415146303071</v>
      </c>
      <c r="S293">
        <f ca="1"/>
        <v>4.0094720160482211E-2</v>
      </c>
      <c r="T293">
        <f ca="1"/>
        <v>0.27999920272305123</v>
      </c>
      <c r="U293">
        <f ca="1"/>
        <v>0</v>
      </c>
      <c r="V293">
        <f ca="1"/>
        <v>12.046668566051942</v>
      </c>
      <c r="W293">
        <f ca="1"/>
        <v>11.020470873388257</v>
      </c>
      <c r="X293">
        <f ca="1"/>
        <v>0</v>
      </c>
      <c r="Y293">
        <f ca="1"/>
        <v>0.45823347005313814</v>
      </c>
      <c r="Z293">
        <f ca="1"/>
        <v>0</v>
      </c>
      <c r="AA293">
        <f ca="1"/>
        <v>0</v>
      </c>
      <c r="AB293">
        <f ca="1"/>
        <v>0.32430524485550216</v>
      </c>
      <c r="AD293" s="2">
        <f t="shared" ca="1" si="42"/>
        <v>45333</v>
      </c>
      <c r="AE293">
        <f t="shared" ca="1" si="43"/>
        <v>0</v>
      </c>
      <c r="AG293" s="63">
        <f t="shared" ca="1" si="47"/>
        <v>20.332941897668142</v>
      </c>
      <c r="AH293" s="63">
        <f t="shared" ca="1" si="48"/>
        <v>20.332941897668142</v>
      </c>
      <c r="AI293" s="3">
        <f t="shared" ca="1" si="49"/>
        <v>0</v>
      </c>
    </row>
    <row r="294" spans="7:35">
      <c r="G294" s="3">
        <f t="shared" si="44"/>
        <v>349</v>
      </c>
      <c r="H294" s="95">
        <f t="shared" si="46"/>
        <v>45274</v>
      </c>
      <c r="I294" s="119">
        <f>HLOOKUP($H$5,'Met Data'!$A$2:$F$368,G294,FALSE)</f>
        <v>17.1733333333333</v>
      </c>
      <c r="J294" s="119">
        <f ca="1">HLOOKUP($H$5,'Met Data'!$H$2:$M$368,G294,FALSE)*L294</f>
        <v>4.1233333333333304</v>
      </c>
      <c r="K294" s="96">
        <f>HLOOKUP($H$5,'Met Data'!$O$2:$T$368,G294,FALSE)</f>
        <v>4.03321434314394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45334</v>
      </c>
      <c r="Q294">
        <f ca="1"/>
        <v>19.426577801976784</v>
      </c>
      <c r="R294">
        <f ca="1"/>
        <v>0.62881795614645064</v>
      </c>
      <c r="S294">
        <f ca="1"/>
        <v>4.551918651801401E-2</v>
      </c>
      <c r="T294">
        <f ca="1"/>
        <v>0.27970882540010966</v>
      </c>
      <c r="U294">
        <f ca="1"/>
        <v>0</v>
      </c>
      <c r="V294">
        <f ca="1"/>
        <v>12.675486522198392</v>
      </c>
      <c r="W294">
        <f ca="1"/>
        <v>11.595722855492605</v>
      </c>
      <c r="X294">
        <f ca="1"/>
        <v>0</v>
      </c>
      <c r="Y294">
        <f ca="1"/>
        <v>0.46160910860638488</v>
      </c>
      <c r="Z294">
        <f ca="1"/>
        <v>0</v>
      </c>
      <c r="AA294">
        <f ca="1"/>
        <v>0</v>
      </c>
      <c r="AB294">
        <f ca="1"/>
        <v>0.36277761011692367</v>
      </c>
      <c r="AD294" s="2">
        <f t="shared" ca="1" si="42"/>
        <v>45334</v>
      </c>
      <c r="AE294">
        <f t="shared" ca="1" si="43"/>
        <v>0</v>
      </c>
      <c r="AG294" s="63">
        <f t="shared" ca="1" si="47"/>
        <v>20.055395758123236</v>
      </c>
      <c r="AH294" s="63">
        <f t="shared" ca="1" si="48"/>
        <v>20.055395758123232</v>
      </c>
      <c r="AI294" s="3">
        <f t="shared" ca="1" si="49"/>
        <v>0</v>
      </c>
    </row>
    <row r="295" spans="7:35">
      <c r="G295" s="3">
        <f t="shared" si="44"/>
        <v>350</v>
      </c>
      <c r="H295" s="95">
        <f t="shared" si="46"/>
        <v>45275</v>
      </c>
      <c r="I295" s="119">
        <f>HLOOKUP($H$5,'Met Data'!$A$2:$F$368,G295,FALSE)</f>
        <v>17.0068965517241</v>
      </c>
      <c r="J295" s="119">
        <f ca="1">HLOOKUP($H$5,'Met Data'!$H$2:$M$368,G295,FALSE)*L295</f>
        <v>2.5793103448275798</v>
      </c>
      <c r="K295" s="96">
        <f>HLOOKUP($H$5,'Met Data'!$O$2:$T$368,G295,FALSE)</f>
        <v>4.1838965938969297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45335</v>
      </c>
      <c r="Q295">
        <f ca="1"/>
        <v>19.083642853049014</v>
      </c>
      <c r="R295">
        <f ca="1"/>
        <v>0.64990264995759794</v>
      </c>
      <c r="S295">
        <f ca="1"/>
        <v>4.5174268372367266E-2</v>
      </c>
      <c r="T295">
        <f ca="1"/>
        <v>0.26179343265746319</v>
      </c>
      <c r="U295">
        <f ca="1"/>
        <v>0</v>
      </c>
      <c r="V295">
        <f ca="1"/>
        <v>13.32538917215599</v>
      </c>
      <c r="W295">
        <f ca="1"/>
        <v>12.19026342786122</v>
      </c>
      <c r="X295">
        <f ca="1"/>
        <v>0</v>
      </c>
      <c r="Y295">
        <f ca="1"/>
        <v>0.42130277562932911</v>
      </c>
      <c r="Z295">
        <f ca="1"/>
        <v>0</v>
      </c>
      <c r="AA295">
        <f ca="1"/>
        <v>0</v>
      </c>
      <c r="AB295">
        <f ca="1"/>
        <v>0.40253505398690398</v>
      </c>
      <c r="AD295" s="2">
        <f t="shared" ca="1" si="42"/>
        <v>45335</v>
      </c>
      <c r="AE295">
        <f t="shared" ca="1" si="43"/>
        <v>0</v>
      </c>
      <c r="AG295" s="63">
        <f t="shared" ca="1" si="47"/>
        <v>19.733545503006614</v>
      </c>
      <c r="AH295" s="63">
        <f t="shared" ca="1" si="48"/>
        <v>19.73354550300661</v>
      </c>
      <c r="AI295" s="3">
        <f t="shared" ca="1" si="49"/>
        <v>0</v>
      </c>
    </row>
    <row r="296" spans="7:35">
      <c r="G296" s="3">
        <f t="shared" si="44"/>
        <v>351</v>
      </c>
      <c r="H296" s="95">
        <f t="shared" si="46"/>
        <v>45276</v>
      </c>
      <c r="I296" s="119">
        <f>HLOOKUP($H$5,'Met Data'!$A$2:$F$368,G296,FALSE)</f>
        <v>17.105172413793099</v>
      </c>
      <c r="J296" s="119">
        <f ca="1">HLOOKUP($H$5,'Met Data'!$H$2:$M$368,G296,FALSE)*L296</f>
        <v>5.3551724137930998</v>
      </c>
      <c r="K296" s="96">
        <f>HLOOKUP($H$5,'Met Data'!$O$2:$T$368,G296,FALSE)</f>
        <v>3.9954599380242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45336</v>
      </c>
      <c r="Q296">
        <f ca="1"/>
        <v>18.705801403796283</v>
      </c>
      <c r="R296">
        <f ca="1"/>
        <v>0.68157425040974928</v>
      </c>
      <c r="S296">
        <f ca="1"/>
        <v>4.6934306476231313E-2</v>
      </c>
      <c r="T296">
        <f ca="1"/>
        <v>0.25679849468078747</v>
      </c>
      <c r="U296">
        <f ca="1"/>
        <v>0</v>
      </c>
      <c r="V296">
        <f ca="1"/>
        <v>14.00696342256574</v>
      </c>
      <c r="W296">
        <f ca="1"/>
        <v>12.813777649532362</v>
      </c>
      <c r="X296">
        <f ca="1"/>
        <v>0</v>
      </c>
      <c r="Y296">
        <f ca="1"/>
        <v>0.40477697556229758</v>
      </c>
      <c r="Z296">
        <f ca="1"/>
        <v>0</v>
      </c>
      <c r="AA296">
        <f ca="1"/>
        <v>0</v>
      </c>
      <c r="AB296">
        <f ca="1"/>
        <v>0.44368430544362231</v>
      </c>
      <c r="AD296" s="2">
        <f t="shared" ca="1" si="42"/>
        <v>45336</v>
      </c>
      <c r="AE296">
        <f t="shared" ca="1" si="43"/>
        <v>0</v>
      </c>
      <c r="AG296" s="63">
        <f t="shared" ca="1" si="47"/>
        <v>19.387375654206032</v>
      </c>
      <c r="AH296" s="63">
        <f t="shared" ca="1" si="48"/>
        <v>19.387375654206032</v>
      </c>
      <c r="AI296" s="3">
        <f t="shared" ca="1" si="49"/>
        <v>0</v>
      </c>
    </row>
    <row r="297" spans="7:35">
      <c r="G297" s="3">
        <f t="shared" si="44"/>
        <v>352</v>
      </c>
      <c r="H297" s="95">
        <f t="shared" si="46"/>
        <v>45277</v>
      </c>
      <c r="I297" s="119">
        <f>HLOOKUP($H$5,'Met Data'!$A$2:$F$368,G297,FALSE)</f>
        <v>17.153448275862001</v>
      </c>
      <c r="J297" s="119">
        <f ca="1">HLOOKUP($H$5,'Met Data'!$H$2:$M$368,G297,FALSE)*L297</f>
        <v>4.6827586206896497</v>
      </c>
      <c r="K297" s="96">
        <f>HLOOKUP($H$5,'Met Data'!$O$2:$T$368,G297,FALSE)</f>
        <v>4.0087446707632299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45337</v>
      </c>
      <c r="Q297">
        <f ca="1"/>
        <v>18.305300824828947</v>
      </c>
      <c r="R297">
        <f ca="1"/>
        <v>0.7015741610469437</v>
      </c>
      <c r="S297">
        <f ca="1"/>
        <v>4.9050292569496889E-2</v>
      </c>
      <c r="T297">
        <f ca="1"/>
        <v>0.25202328951011477</v>
      </c>
      <c r="U297">
        <f ca="1"/>
        <v>0</v>
      </c>
      <c r="V297">
        <f ca="1"/>
        <v>14.708537583612683</v>
      </c>
      <c r="W297">
        <f ca="1"/>
        <v>13.455588085749383</v>
      </c>
      <c r="X297">
        <f ca="1"/>
        <v>0</v>
      </c>
      <c r="Y297">
        <f ca="1"/>
        <v>0.40334030410035765</v>
      </c>
      <c r="Z297">
        <f ca="1"/>
        <v>0</v>
      </c>
      <c r="AA297">
        <f ca="1"/>
        <v>0</v>
      </c>
      <c r="AB297">
        <f ca="1"/>
        <v>0.48494030542270039</v>
      </c>
      <c r="AD297" s="2">
        <f t="shared" ca="1" si="42"/>
        <v>45337</v>
      </c>
      <c r="AE297">
        <f t="shared" ca="1" si="43"/>
        <v>0</v>
      </c>
      <c r="AG297" s="63">
        <f t="shared" ca="1" si="47"/>
        <v>19.006874985875893</v>
      </c>
      <c r="AH297" s="63">
        <f t="shared" ca="1" si="48"/>
        <v>19.006874985875889</v>
      </c>
      <c r="AI297" s="3">
        <f t="shared" ca="1" si="49"/>
        <v>0</v>
      </c>
    </row>
    <row r="298" spans="7:35">
      <c r="G298" s="3">
        <f t="shared" si="44"/>
        <v>353</v>
      </c>
      <c r="H298" s="95">
        <f t="shared" si="46"/>
        <v>45278</v>
      </c>
      <c r="I298" s="119">
        <f>HLOOKUP($H$5,'Met Data'!$A$2:$F$368,G298,FALSE)</f>
        <v>16.853448275862</v>
      </c>
      <c r="J298" s="119">
        <f ca="1">HLOOKUP($H$5,'Met Data'!$H$2:$M$368,G298,FALSE)*L298</f>
        <v>4.4103448275861998</v>
      </c>
      <c r="K298" s="96">
        <f>HLOOKUP($H$5,'Met Data'!$O$2:$T$368,G298,FALSE)</f>
        <v>3.8624789224218001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45338</v>
      </c>
      <c r="Q298">
        <f ca="1"/>
        <v>17.870813430436421</v>
      </c>
      <c r="R298">
        <f ca="1"/>
        <v>0.72840973339007498</v>
      </c>
      <c r="S298">
        <f ca="1"/>
        <v>4.915636259381273E-2</v>
      </c>
      <c r="T298">
        <f ca="1"/>
        <v>0.24476597640373782</v>
      </c>
      <c r="U298">
        <f ca="1"/>
        <v>0</v>
      </c>
      <c r="V298">
        <f ca="1"/>
        <v>15.436947317002758</v>
      </c>
      <c r="W298">
        <f ca="1"/>
        <v>14.121948101109931</v>
      </c>
      <c r="X298">
        <f ca="1"/>
        <v>0</v>
      </c>
      <c r="Y298">
        <f ca="1"/>
        <v>0.38561202668297173</v>
      </c>
      <c r="Z298">
        <f ca="1"/>
        <v>0</v>
      </c>
      <c r="AA298">
        <f ca="1"/>
        <v>0</v>
      </c>
      <c r="AB298">
        <f ca="1"/>
        <v>0.52612463820001965</v>
      </c>
      <c r="AD298" s="2">
        <f t="shared" ca="1" si="42"/>
        <v>45338</v>
      </c>
      <c r="AE298">
        <f t="shared" ca="1" si="43"/>
        <v>0</v>
      </c>
      <c r="AG298" s="63">
        <f t="shared" ca="1" si="47"/>
        <v>18.599223163826498</v>
      </c>
      <c r="AH298" s="63">
        <f t="shared" ca="1" si="48"/>
        <v>18.599223163826494</v>
      </c>
      <c r="AI298" s="3">
        <f t="shared" ca="1" si="49"/>
        <v>0</v>
      </c>
    </row>
    <row r="299" spans="7:35">
      <c r="G299" s="3">
        <f t="shared" si="44"/>
        <v>354</v>
      </c>
      <c r="H299" s="95">
        <f t="shared" si="46"/>
        <v>45279</v>
      </c>
      <c r="I299" s="119">
        <f>HLOOKUP($H$5,'Met Data'!$A$2:$F$368,G299,FALSE)</f>
        <v>17.030357142857099</v>
      </c>
      <c r="J299" s="119">
        <f ca="1">HLOOKUP($H$5,'Met Data'!$H$2:$M$368,G299,FALSE)*L299</f>
        <v>4.3285714285714203</v>
      </c>
      <c r="K299" s="96">
        <f>HLOOKUP($H$5,'Met Data'!$O$2:$T$368,G299,FALSE)</f>
        <v>4.1713118658622399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45339</v>
      </c>
      <c r="Q299">
        <f ca="1"/>
        <v>17.42027480289617</v>
      </c>
      <c r="R299">
        <f ca="1"/>
        <v>0.76234130614459517</v>
      </c>
      <c r="S299">
        <f ca="1"/>
        <v>5.6106158226835845E-2</v>
      </c>
      <c r="T299">
        <f ca="1"/>
        <v>0.25569652037750995</v>
      </c>
      <c r="U299">
        <f ca="1"/>
        <v>0</v>
      </c>
      <c r="V299">
        <f ca="1"/>
        <v>16.199288623147353</v>
      </c>
      <c r="W299">
        <f ca="1"/>
        <v>14.81934922191628</v>
      </c>
      <c r="X299">
        <f ca="1"/>
        <v>0</v>
      </c>
      <c r="Y299">
        <f ca="1"/>
        <v>0.41879554382252621</v>
      </c>
      <c r="Z299">
        <f ca="1"/>
        <v>0</v>
      </c>
      <c r="AA299">
        <f ca="1"/>
        <v>0</v>
      </c>
      <c r="AB299">
        <f ca="1"/>
        <v>0.56702908555019715</v>
      </c>
      <c r="AD299" s="2">
        <f t="shared" ca="1" si="42"/>
        <v>45339</v>
      </c>
      <c r="AE299">
        <f t="shared" ca="1" si="43"/>
        <v>0</v>
      </c>
      <c r="AG299" s="63">
        <f t="shared" ca="1" si="47"/>
        <v>18.182616109040765</v>
      </c>
      <c r="AH299" s="63">
        <f t="shared" ca="1" si="48"/>
        <v>18.182616109040765</v>
      </c>
      <c r="AI299" s="3">
        <f t="shared" ca="1" si="49"/>
        <v>0</v>
      </c>
    </row>
    <row r="300" spans="7:35">
      <c r="G300" s="3">
        <f t="shared" si="44"/>
        <v>355</v>
      </c>
      <c r="H300" s="95">
        <f t="shared" si="46"/>
        <v>45280</v>
      </c>
      <c r="I300" s="119">
        <f>HLOOKUP($H$5,'Met Data'!$A$2:$F$368,G300,FALSE)</f>
        <v>17.3086206896551</v>
      </c>
      <c r="J300" s="119">
        <f ca="1">HLOOKUP($H$5,'Met Data'!$H$2:$M$368,G300,FALSE)*L300</f>
        <v>1.38620689655172</v>
      </c>
      <c r="K300" s="96">
        <f>HLOOKUP($H$5,'Met Data'!$O$2:$T$368,G300,FALSE)</f>
        <v>4.2492728260034598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45340</v>
      </c>
      <c r="Q300">
        <f ca="1"/>
        <v>16.921126567250159</v>
      </c>
      <c r="R300">
        <f ca="1"/>
        <v>0.80356332076760495</v>
      </c>
      <c r="S300">
        <f ca="1"/>
        <v>5.5172160451601115E-2</v>
      </c>
      <c r="T300">
        <f ca="1"/>
        <v>0.24924292466999301</v>
      </c>
      <c r="U300">
        <f ca="1"/>
        <v>0</v>
      </c>
      <c r="V300">
        <f ca="1"/>
        <v>17.002851943914958</v>
      </c>
      <c r="W300">
        <f ca="1"/>
        <v>15.554460852396277</v>
      </c>
      <c r="X300">
        <f ca="1"/>
        <v>0</v>
      </c>
      <c r="Y300">
        <f ca="1"/>
        <v>0.39106389895190447</v>
      </c>
      <c r="Z300">
        <f ca="1"/>
        <v>0</v>
      </c>
      <c r="AA300">
        <f ca="1"/>
        <v>0</v>
      </c>
      <c r="AB300">
        <f ca="1"/>
        <v>0.60740117792911197</v>
      </c>
      <c r="AD300" s="2">
        <f t="shared" ca="1" si="42"/>
        <v>45340</v>
      </c>
      <c r="AE300">
        <f t="shared" ca="1" si="43"/>
        <v>0</v>
      </c>
      <c r="AG300" s="63">
        <f t="shared" ca="1" si="47"/>
        <v>17.724689888017764</v>
      </c>
      <c r="AH300" s="63">
        <f t="shared" ca="1" si="48"/>
        <v>17.724689888017764</v>
      </c>
      <c r="AI300" s="3">
        <f t="shared" ca="1" si="49"/>
        <v>0</v>
      </c>
    </row>
    <row r="301" spans="7:35">
      <c r="G301" s="3">
        <f t="shared" si="44"/>
        <v>356</v>
      </c>
      <c r="H301" s="95">
        <f t="shared" si="46"/>
        <v>45281</v>
      </c>
      <c r="I301" s="119">
        <f>HLOOKUP($H$5,'Met Data'!$A$2:$F$368,G301,FALSE)</f>
        <v>17.3086206896551</v>
      </c>
      <c r="J301" s="119">
        <f ca="1">HLOOKUP($H$5,'Met Data'!$H$2:$M$368,G301,FALSE)*L301</f>
        <v>3.66206896551724</v>
      </c>
      <c r="K301" s="96">
        <f>HLOOKUP($H$5,'Met Data'!$O$2:$T$368,G301,FALSE)</f>
        <v>3.9108587200843599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45341</v>
      </c>
      <c r="Q301">
        <f ca="1"/>
        <v>16.378737169159795</v>
      </c>
      <c r="R301">
        <f ca="1"/>
        <v>0.83928720778927257</v>
      </c>
      <c r="S301">
        <f ca="1"/>
        <v>5.4080800742053015E-2</v>
      </c>
      <c r="T301">
        <f ca="1"/>
        <v>0.24281700895685693</v>
      </c>
      <c r="U301">
        <f ca="1"/>
        <v>0</v>
      </c>
      <c r="V301">
        <f ca="1"/>
        <v>17.842139151704231</v>
      </c>
      <c r="W301">
        <f ca="1"/>
        <v>16.322253223966463</v>
      </c>
      <c r="X301">
        <f ca="1"/>
        <v>0</v>
      </c>
      <c r="Y301">
        <f ca="1"/>
        <v>0.36985016525843295</v>
      </c>
      <c r="Z301">
        <f ca="1"/>
        <v>0</v>
      </c>
      <c r="AA301">
        <f ca="1"/>
        <v>0</v>
      </c>
      <c r="AB301">
        <f ca="1"/>
        <v>0.64636572895082411</v>
      </c>
      <c r="AD301" s="2">
        <f t="shared" ca="1" si="42"/>
        <v>45341</v>
      </c>
      <c r="AE301">
        <f t="shared" ca="1" si="43"/>
        <v>0</v>
      </c>
      <c r="AG301" s="63">
        <f t="shared" ca="1" si="47"/>
        <v>17.218024376949067</v>
      </c>
      <c r="AH301" s="63">
        <f t="shared" ca="1" si="48"/>
        <v>17.218024376949067</v>
      </c>
      <c r="AI301" s="3">
        <f t="shared" ca="1" si="49"/>
        <v>0</v>
      </c>
    </row>
    <row r="302" spans="7:35">
      <c r="G302" s="3">
        <f t="shared" si="44"/>
        <v>357</v>
      </c>
      <c r="H302" s="95">
        <f t="shared" si="46"/>
        <v>45282</v>
      </c>
      <c r="I302" s="119">
        <f>HLOOKUP($H$5,'Met Data'!$A$2:$F$368,G302,FALSE)</f>
        <v>17.474137931034399</v>
      </c>
      <c r="J302" s="119">
        <f ca="1">HLOOKUP($H$5,'Met Data'!$H$2:$M$368,G302,FALSE)*L302</f>
        <v>1.82758620689655</v>
      </c>
      <c r="K302" s="96">
        <f>HLOOKUP($H$5,'Met Data'!$O$2:$T$368,G302,FALSE)</f>
        <v>4.3560784704810001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45342</v>
      </c>
      <c r="Q302">
        <f ca="1"/>
        <v>15.8100718243677</v>
      </c>
      <c r="R302">
        <f ca="1"/>
        <v>0.88141486662377844</v>
      </c>
      <c r="S302">
        <f ca="1"/>
        <v>6.0195611940400795E-2</v>
      </c>
      <c r="T302">
        <f ca="1"/>
        <v>0.25255390989128151</v>
      </c>
      <c r="U302">
        <f ca="1"/>
        <v>0</v>
      </c>
      <c r="V302">
        <f ca="1"/>
        <v>18.723554018328009</v>
      </c>
      <c r="W302">
        <f ca="1"/>
        <v>17.128584601951921</v>
      </c>
      <c r="X302">
        <f ca="1"/>
        <v>0</v>
      </c>
      <c r="Y302">
        <f ca="1"/>
        <v>0.39634233130840785</v>
      </c>
      <c r="Z302">
        <f ca="1"/>
        <v>0</v>
      </c>
      <c r="AA302">
        <f ca="1"/>
        <v>0</v>
      </c>
      <c r="AB302">
        <f ca="1"/>
        <v>0.68369821984961598</v>
      </c>
      <c r="AD302" s="2">
        <f t="shared" ca="1" si="42"/>
        <v>45342</v>
      </c>
      <c r="AE302">
        <f t="shared" ca="1" si="43"/>
        <v>0</v>
      </c>
      <c r="AG302" s="63">
        <f t="shared" ca="1" si="47"/>
        <v>16.691486690991479</v>
      </c>
      <c r="AH302" s="63">
        <f t="shared" ca="1" si="48"/>
        <v>16.691486690991479</v>
      </c>
      <c r="AI302" s="3">
        <f t="shared" ca="1" si="49"/>
        <v>0</v>
      </c>
    </row>
    <row r="303" spans="7:35">
      <c r="G303" s="3">
        <f t="shared" si="44"/>
        <v>358</v>
      </c>
      <c r="H303" s="95">
        <f t="shared" si="46"/>
        <v>45283</v>
      </c>
      <c r="I303" s="119">
        <f>HLOOKUP($H$5,'Met Data'!$A$2:$F$368,G303,FALSE)</f>
        <v>17.091379310344799</v>
      </c>
      <c r="J303" s="119">
        <f ca="1">HLOOKUP($H$5,'Met Data'!$H$2:$M$368,G303,FALSE)*L303</f>
        <v>2.22413793103448</v>
      </c>
      <c r="K303" s="96">
        <f>HLOOKUP($H$5,'Met Data'!$O$2:$T$368,G303,FALSE)</f>
        <v>4.1386344294122503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45343</v>
      </c>
      <c r="Q303">
        <f ca="1"/>
        <v>15.211593218905172</v>
      </c>
      <c r="R303">
        <f ca="1"/>
        <v>0.91546014601112446</v>
      </c>
      <c r="S303">
        <f ca="1"/>
        <v>6.2996544254250608E-2</v>
      </c>
      <c r="T303">
        <f ca="1"/>
        <v>0.25398499629434729</v>
      </c>
      <c r="U303">
        <f ca="1"/>
        <v>0</v>
      </c>
      <c r="V303">
        <f ca="1"/>
        <v>19.639014164339134</v>
      </c>
      <c r="W303">
        <f ca="1"/>
        <v>17.966061105895431</v>
      </c>
      <c r="X303">
        <f ca="1"/>
        <v>0</v>
      </c>
      <c r="Y303">
        <f ca="1"/>
        <v>0.40455285677910596</v>
      </c>
      <c r="Z303">
        <f ca="1"/>
        <v>0</v>
      </c>
      <c r="AA303">
        <f ca="1"/>
        <v>0</v>
      </c>
      <c r="AB303">
        <f ca="1"/>
        <v>0.71865168641504962</v>
      </c>
      <c r="AD303" s="2">
        <f t="shared" ca="1" si="42"/>
        <v>45343</v>
      </c>
      <c r="AE303">
        <f t="shared" ca="1" si="43"/>
        <v>0</v>
      </c>
      <c r="AG303" s="63">
        <f t="shared" ca="1" si="47"/>
        <v>16.127053364916296</v>
      </c>
      <c r="AH303" s="63">
        <f t="shared" ca="1" si="48"/>
        <v>16.127053364916296</v>
      </c>
      <c r="AI303" s="3">
        <f t="shared" ca="1" si="49"/>
        <v>0</v>
      </c>
    </row>
    <row r="304" spans="7:35">
      <c r="G304" s="3">
        <f t="shared" si="44"/>
        <v>359</v>
      </c>
      <c r="H304" s="95">
        <f t="shared" si="46"/>
        <v>45284</v>
      </c>
      <c r="I304" s="119">
        <f>HLOOKUP($H$5,'Met Data'!$A$2:$F$368,G304,FALSE)</f>
        <v>17.2275862068965</v>
      </c>
      <c r="J304" s="119">
        <f ca="1">HLOOKUP($H$5,'Met Data'!$H$2:$M$368,G304,FALSE)*L304</f>
        <v>3.0655172413793101</v>
      </c>
      <c r="K304" s="96">
        <f>HLOOKUP($H$5,'Met Data'!$O$2:$T$368,G304,FALSE)</f>
        <v>3.7757934515094398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45344</v>
      </c>
      <c r="Q304">
        <f ca="1"/>
        <v>14.576294198998569</v>
      </c>
      <c r="R304">
        <f ca="1"/>
        <v>0.94034005224379058</v>
      </c>
      <c r="S304">
        <f ca="1"/>
        <v>6.0725055050561139E-2</v>
      </c>
      <c r="T304">
        <f ca="1"/>
        <v>0.2443159772866266</v>
      </c>
      <c r="U304">
        <f ca="1"/>
        <v>0</v>
      </c>
      <c r="V304">
        <f ca="1"/>
        <v>20.579354216582924</v>
      </c>
      <c r="W304">
        <f ca="1"/>
        <v>18.826298116651785</v>
      </c>
      <c r="X304">
        <f ca="1"/>
        <v>0</v>
      </c>
      <c r="Y304">
        <f ca="1"/>
        <v>0.38571995891005251</v>
      </c>
      <c r="Z304">
        <f ca="1"/>
        <v>0</v>
      </c>
      <c r="AA304">
        <f ca="1"/>
        <v>0</v>
      </c>
      <c r="AB304">
        <f ca="1"/>
        <v>0.75069435881541335</v>
      </c>
      <c r="AD304" s="2">
        <f t="shared" ca="1" si="42"/>
        <v>45344</v>
      </c>
      <c r="AE304">
        <f t="shared" ca="1" si="43"/>
        <v>0</v>
      </c>
      <c r="AG304" s="63">
        <f t="shared" ca="1" si="47"/>
        <v>15.51663425124236</v>
      </c>
      <c r="AH304" s="63">
        <f t="shared" ca="1" si="48"/>
        <v>15.51663425124236</v>
      </c>
      <c r="AI304" s="3">
        <f t="shared" ca="1" si="49"/>
        <v>0</v>
      </c>
    </row>
    <row r="305" spans="7:35">
      <c r="G305" s="3">
        <f t="shared" si="44"/>
        <v>360</v>
      </c>
      <c r="H305" s="95">
        <f t="shared" si="46"/>
        <v>45285</v>
      </c>
      <c r="I305" s="119">
        <f>HLOOKUP($H$5,'Met Data'!$A$2:$F$368,G305,FALSE)</f>
        <v>17.475862068965501</v>
      </c>
      <c r="J305" s="119">
        <f ca="1">HLOOKUP($H$5,'Met Data'!$H$2:$M$368,G305,FALSE)*L305</f>
        <v>4.4724137931034402</v>
      </c>
      <c r="K305" s="96">
        <f>HLOOKUP($H$5,'Met Data'!$O$2:$T$368,G305,FALSE)</f>
        <v>3.82075028631309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45345</v>
      </c>
      <c r="Q305">
        <f ca="1"/>
        <v>13.909778045954994</v>
      </c>
      <c r="R305">
        <f ca="1"/>
        <v>0.97849259598364213</v>
      </c>
      <c r="S305">
        <f ca="1"/>
        <v>6.4036683421036855E-2</v>
      </c>
      <c r="T305">
        <f ca="1"/>
        <v>0.24793975951903022</v>
      </c>
      <c r="U305">
        <f ca="1"/>
        <v>0</v>
      </c>
      <c r="V305">
        <f ca="1"/>
        <v>21.557846812566567</v>
      </c>
      <c r="W305">
        <f ca="1"/>
        <v>19.721437639644229</v>
      </c>
      <c r="X305">
        <f ca="1"/>
        <v>0</v>
      </c>
      <c r="Y305">
        <f ca="1"/>
        <v>0.39814698076774113</v>
      </c>
      <c r="Z305">
        <f ca="1"/>
        <v>0</v>
      </c>
      <c r="AA305">
        <f ca="1"/>
        <v>0</v>
      </c>
      <c r="AB305">
        <f ca="1"/>
        <v>0.78018070018407193</v>
      </c>
      <c r="AD305" s="2">
        <f t="shared" ca="1" si="42"/>
        <v>45345</v>
      </c>
      <c r="AE305">
        <f t="shared" ca="1" si="43"/>
        <v>0</v>
      </c>
      <c r="AG305" s="63">
        <f t="shared" ca="1" si="47"/>
        <v>14.888270641938636</v>
      </c>
      <c r="AH305" s="63">
        <f t="shared" ca="1" si="48"/>
        <v>14.888270641938636</v>
      </c>
      <c r="AI305" s="3">
        <f t="shared" ca="1" si="49"/>
        <v>0</v>
      </c>
    </row>
    <row r="306" spans="7:35">
      <c r="G306" s="3">
        <f t="shared" si="44"/>
        <v>361</v>
      </c>
      <c r="H306" s="95">
        <f t="shared" si="46"/>
        <v>45286</v>
      </c>
      <c r="I306" s="119">
        <f>HLOOKUP($H$5,'Met Data'!$A$2:$F$368,G306,FALSE)</f>
        <v>17.193103448275799</v>
      </c>
      <c r="J306" s="119">
        <f ca="1">HLOOKUP($H$5,'Met Data'!$H$2:$M$368,G306,FALSE)*L306</f>
        <v>1.2034482758620599</v>
      </c>
      <c r="K306" s="96">
        <f>HLOOKUP($H$5,'Met Data'!$O$2:$T$368,G306,FALSE)</f>
        <v>4.4822943456663404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45346</v>
      </c>
      <c r="Q306">
        <f ca="1"/>
        <v>13.220057038221558</v>
      </c>
      <c r="R306">
        <f ca="1"/>
        <v>0.98728027988778777</v>
      </c>
      <c r="S306">
        <f ca="1"/>
        <v>6.1240949302650449E-2</v>
      </c>
      <c r="T306">
        <f ca="1"/>
        <v>0.23631832285170074</v>
      </c>
      <c r="U306">
        <f ca="1"/>
        <v>0</v>
      </c>
      <c r="V306">
        <f ca="1"/>
        <v>22.545127092454354</v>
      </c>
      <c r="W306">
        <f ca="1"/>
        <v>20.624616266060094</v>
      </c>
      <c r="X306">
        <f ca="1"/>
        <v>0</v>
      </c>
      <c r="Y306">
        <f ca="1"/>
        <v>0.3846760764180952</v>
      </c>
      <c r="Z306">
        <f ca="1"/>
        <v>0</v>
      </c>
      <c r="AA306">
        <f ca="1"/>
        <v>0</v>
      </c>
      <c r="AB306">
        <f ca="1"/>
        <v>0.80630661490117217</v>
      </c>
      <c r="AD306" s="2">
        <f t="shared" ca="1" si="42"/>
        <v>45346</v>
      </c>
      <c r="AE306">
        <f t="shared" ca="1" si="43"/>
        <v>0</v>
      </c>
      <c r="AG306" s="63">
        <f t="shared" ca="1" si="47"/>
        <v>14.207337318109346</v>
      </c>
      <c r="AH306" s="63">
        <f t="shared" ca="1" si="48"/>
        <v>14.207337318109346</v>
      </c>
      <c r="AI306" s="3">
        <f t="shared" ca="1" si="49"/>
        <v>0</v>
      </c>
    </row>
    <row r="307" spans="7:35">
      <c r="G307" s="3">
        <f t="shared" si="44"/>
        <v>362</v>
      </c>
      <c r="H307" s="95">
        <f t="shared" si="46"/>
        <v>45287</v>
      </c>
      <c r="I307" s="119">
        <f>HLOOKUP($H$5,'Met Data'!$A$2:$F$368,G307,FALSE)</f>
        <v>17.263793103448201</v>
      </c>
      <c r="J307" s="119">
        <f ca="1">HLOOKUP($H$5,'Met Data'!$H$2:$M$368,G307,FALSE)*L307</f>
        <v>1.9379310344827501</v>
      </c>
      <c r="K307" s="96">
        <f>HLOOKUP($H$5,'Met Data'!$O$2:$T$368,G307,FALSE)</f>
        <v>4.2854150969519402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45347</v>
      </c>
      <c r="Q307">
        <f ca="1"/>
        <v>12.510327864845056</v>
      </c>
      <c r="R307">
        <f ca="1"/>
        <v>0.98840677442994718</v>
      </c>
      <c r="S307">
        <f ca="1"/>
        <v>5.6786072246168828E-2</v>
      </c>
      <c r="T307">
        <f ca="1"/>
        <v>0.22189152880727703</v>
      </c>
      <c r="U307">
        <f ca="1"/>
        <v>0</v>
      </c>
      <c r="V307">
        <f ca="1"/>
        <v>23.533533866884301</v>
      </c>
      <c r="W307">
        <f ca="1"/>
        <v>21.528825426371938</v>
      </c>
      <c r="X307">
        <f ca="1"/>
        <v>0</v>
      </c>
      <c r="Y307">
        <f ca="1"/>
        <v>0.36327517729238018</v>
      </c>
      <c r="Z307">
        <f ca="1"/>
        <v>0</v>
      </c>
      <c r="AA307">
        <f ca="1"/>
        <v>0</v>
      </c>
      <c r="AB307">
        <f ca="1"/>
        <v>0.82919773049532519</v>
      </c>
      <c r="AD307" s="2">
        <f t="shared" ca="1" si="42"/>
        <v>45347</v>
      </c>
      <c r="AE307">
        <f t="shared" ca="1" si="43"/>
        <v>0</v>
      </c>
      <c r="AG307" s="63">
        <f t="shared" ca="1" si="47"/>
        <v>13.498734639275003</v>
      </c>
      <c r="AH307" s="63">
        <f t="shared" ca="1" si="48"/>
        <v>13.498734639275003</v>
      </c>
      <c r="AI307" s="3">
        <f t="shared" ca="1" si="49"/>
        <v>0</v>
      </c>
    </row>
    <row r="308" spans="7:35">
      <c r="G308" s="3">
        <f t="shared" si="44"/>
        <v>363</v>
      </c>
      <c r="H308" s="95">
        <f t="shared" si="46"/>
        <v>45288</v>
      </c>
      <c r="I308" s="119">
        <f>HLOOKUP($H$5,'Met Data'!$A$2:$F$368,G308,FALSE)</f>
        <v>18.060344827586199</v>
      </c>
      <c r="J308" s="119">
        <f ca="1">HLOOKUP($H$5,'Met Data'!$H$2:$M$368,G308,FALSE)*L308</f>
        <v>0.81379310344827505</v>
      </c>
      <c r="K308" s="96">
        <f>HLOOKUP($H$5,'Met Data'!$O$2:$T$368,G308,FALSE)</f>
        <v>4.2768570571644897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45348</v>
      </c>
      <c r="Q308">
        <f ca="1"/>
        <v>11.757151236175947</v>
      </c>
      <c r="R308">
        <f ca="1"/>
        <v>1.0336129727697454</v>
      </c>
      <c r="S308">
        <f ca="1"/>
        <v>5.7528368599296442E-2</v>
      </c>
      <c r="T308">
        <f ca="1"/>
        <v>0.22290797550134012</v>
      </c>
      <c r="U308">
        <f ca="1"/>
        <v>0</v>
      </c>
      <c r="V308">
        <f ca="1"/>
        <v>24.567146839654047</v>
      </c>
      <c r="W308">
        <f ca="1"/>
        <v>22.474389886646481</v>
      </c>
      <c r="X308">
        <f ca="1"/>
        <v>0</v>
      </c>
      <c r="Y308">
        <f ca="1"/>
        <v>0.3603218329058771</v>
      </c>
      <c r="Z308">
        <f ca="1"/>
        <v>0</v>
      </c>
      <c r="AA308">
        <f ca="1"/>
        <v>0</v>
      </c>
      <c r="AB308">
        <f ca="1"/>
        <v>0.85004935670366821</v>
      </c>
      <c r="AD308" s="2">
        <f t="shared" ca="1" si="42"/>
        <v>45348</v>
      </c>
      <c r="AE308">
        <f t="shared" ca="1" si="43"/>
        <v>0</v>
      </c>
      <c r="AG308" s="63">
        <f t="shared" ca="1" si="47"/>
        <v>12.790764208945692</v>
      </c>
      <c r="AH308" s="63">
        <f t="shared" ca="1" si="48"/>
        <v>12.790764208945692</v>
      </c>
      <c r="AI308" s="3">
        <f t="shared" ca="1" si="49"/>
        <v>0</v>
      </c>
    </row>
    <row r="309" spans="7:35">
      <c r="G309" s="3">
        <f t="shared" si="44"/>
        <v>364</v>
      </c>
      <c r="H309" s="95">
        <f t="shared" si="46"/>
        <v>45289</v>
      </c>
      <c r="I309" s="119">
        <f>HLOOKUP($H$5,'Met Data'!$A$2:$F$368,G309,FALSE)</f>
        <v>18.386206896551698</v>
      </c>
      <c r="J309" s="119">
        <f ca="1">HLOOKUP($H$5,'Met Data'!$H$2:$M$368,G309,FALSE)*L309</f>
        <v>3.0068965517241302</v>
      </c>
      <c r="K309" s="96">
        <f>HLOOKUP($H$5,'Met Data'!$O$2:$T$368,G309,FALSE)</f>
        <v>4.2622812571545499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45349</v>
      </c>
      <c r="Q309">
        <f ca="1"/>
        <v>10.955589309749987</v>
      </c>
      <c r="R309">
        <f ca="1"/>
        <v>1.0802490588295477</v>
      </c>
      <c r="S309">
        <f ca="1"/>
        <v>5.6912503144001647E-2</v>
      </c>
      <c r="T309">
        <f ca="1"/>
        <v>0.2217746292595861</v>
      </c>
      <c r="U309">
        <f ca="1"/>
        <v>0</v>
      </c>
      <c r="V309">
        <f ca="1"/>
        <v>25.647395898483595</v>
      </c>
      <c r="W309">
        <f ca="1"/>
        <v>23.462617729353511</v>
      </c>
      <c r="X309">
        <f ca="1"/>
        <v>0</v>
      </c>
      <c r="Y309">
        <f ca="1"/>
        <v>0.3496455985035774</v>
      </c>
      <c r="Z309">
        <f ca="1"/>
        <v>0</v>
      </c>
      <c r="AA309">
        <f ca="1"/>
        <v>0</v>
      </c>
      <c r="AB309">
        <f ca="1"/>
        <v>0.86889885048795301</v>
      </c>
      <c r="AD309" s="2">
        <f t="shared" ca="1" si="42"/>
        <v>45349</v>
      </c>
      <c r="AE309">
        <f t="shared" ca="1" si="43"/>
        <v>0</v>
      </c>
      <c r="AG309" s="63">
        <f t="shared" ca="1" si="47"/>
        <v>12.035838368579535</v>
      </c>
      <c r="AH309" s="63">
        <f t="shared" ca="1" si="48"/>
        <v>12.035838368579535</v>
      </c>
      <c r="AI309" s="3">
        <f t="shared" ca="1" si="49"/>
        <v>0</v>
      </c>
    </row>
    <row r="310" spans="7:35">
      <c r="G310" s="3">
        <f t="shared" si="44"/>
        <v>365</v>
      </c>
      <c r="H310" s="95">
        <f t="shared" si="46"/>
        <v>45290</v>
      </c>
      <c r="I310" s="119">
        <f>HLOOKUP($H$5,'Met Data'!$A$2:$F$368,G310,FALSE)</f>
        <v>18.156896551724099</v>
      </c>
      <c r="J310" s="119">
        <f ca="1">HLOOKUP($H$5,'Met Data'!$H$2:$M$368,G310,FALSE)*L310</f>
        <v>4.4172413793103402</v>
      </c>
      <c r="K310" s="96">
        <f>HLOOKUP($H$5,'Met Data'!$O$2:$T$368,G310,FALSE)</f>
        <v>3.8040621578745699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45350</v>
      </c>
      <c r="Q310">
        <f ca="1"/>
        <v>10.143791087970868</v>
      </c>
      <c r="R310">
        <f ca="1"/>
        <v>1.0973974414534524</v>
      </c>
      <c r="S310">
        <f ca="1"/>
        <v>6.0830957465846325E-2</v>
      </c>
      <c r="T310">
        <f ca="1"/>
        <v>0.22476826220848647</v>
      </c>
      <c r="U310">
        <f ca="1"/>
        <v>0</v>
      </c>
      <c r="V310">
        <f ca="1"/>
        <v>26.744793339937047</v>
      </c>
      <c r="W310">
        <f ca="1"/>
        <v>24.466533166535001</v>
      </c>
      <c r="X310">
        <f ca="1"/>
        <v>0</v>
      </c>
      <c r="Y310">
        <f ca="1"/>
        <v>0.37652806957824941</v>
      </c>
      <c r="Z310">
        <f ca="1"/>
        <v>0</v>
      </c>
      <c r="AA310">
        <f ca="1"/>
        <v>0</v>
      </c>
      <c r="AB310">
        <f ca="1"/>
        <v>0.88538919162279017</v>
      </c>
      <c r="AD310" s="2">
        <f t="shared" ca="1" si="42"/>
        <v>45350</v>
      </c>
      <c r="AE310">
        <f t="shared" ca="1" si="43"/>
        <v>0</v>
      </c>
      <c r="AG310" s="63">
        <f t="shared" ca="1" si="47"/>
        <v>11.241188529424321</v>
      </c>
      <c r="AH310" s="63">
        <f t="shared" ca="1" si="48"/>
        <v>11.241188529424321</v>
      </c>
      <c r="AI310" s="3">
        <f t="shared" ca="1" si="49"/>
        <v>0</v>
      </c>
    </row>
    <row r="311" spans="7:35">
      <c r="G311" s="3">
        <f t="shared" si="44"/>
        <v>366</v>
      </c>
      <c r="H311" s="95">
        <f t="shared" si="46"/>
        <v>45291</v>
      </c>
      <c r="I311" s="119">
        <f>HLOOKUP($H$5,'Met Data'!$A$2:$F$368,G311,FALSE)</f>
        <v>17.8086206896551</v>
      </c>
      <c r="J311" s="119">
        <f ca="1">HLOOKUP($H$5,'Met Data'!$H$2:$M$368,G311,FALSE)*L311</f>
        <v>8.7896551724137897</v>
      </c>
      <c r="K311" s="96">
        <f>HLOOKUP($H$5,'Met Data'!$O$2:$T$368,G311,FALSE)</f>
        <v>3.8298931146257198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45351</v>
      </c>
      <c r="Q311">
        <f ca="1"/>
        <v>9.3070070091896024</v>
      </c>
      <c r="R311">
        <f ca="1"/>
        <v>1.1411211719563781</v>
      </c>
      <c r="S311">
        <f ca="1"/>
        <v>6.7791911792969728E-2</v>
      </c>
      <c r="T311">
        <f ca="1"/>
        <v>0.23654518138214234</v>
      </c>
      <c r="U311">
        <f ca="1"/>
        <v>0</v>
      </c>
      <c r="V311">
        <f ca="1"/>
        <v>27.885914511893425</v>
      </c>
      <c r="W311">
        <f ca="1"/>
        <v>25.510447720139542</v>
      </c>
      <c r="X311">
        <f ca="1"/>
        <v>0</v>
      </c>
      <c r="Y311">
        <f ca="1"/>
        <v>0.41363547738707734</v>
      </c>
      <c r="Z311">
        <f ca="1"/>
        <v>0</v>
      </c>
      <c r="AA311">
        <f ca="1"/>
        <v>0</v>
      </c>
      <c r="AB311">
        <f ca="1"/>
        <v>0.90010655412422835</v>
      </c>
      <c r="AD311" s="2">
        <f t="shared" ca="1" si="42"/>
        <v>45351</v>
      </c>
      <c r="AE311">
        <f t="shared" ca="1" si="43"/>
        <v>0</v>
      </c>
      <c r="AG311" s="63">
        <f t="shared" ca="1" si="47"/>
        <v>10.448128181145981</v>
      </c>
      <c r="AH311" s="63">
        <f t="shared" ca="1" si="48"/>
        <v>10.448128181145981</v>
      </c>
      <c r="AI311" s="3">
        <f t="shared" ca="1" si="49"/>
        <v>0</v>
      </c>
    </row>
    <row r="312" spans="7:35">
      <c r="G312" s="3">
        <f t="shared" si="44"/>
        <v>2</v>
      </c>
      <c r="H312" s="95">
        <f t="shared" si="46"/>
        <v>45292</v>
      </c>
      <c r="I312" s="119">
        <f>HLOOKUP($H$5,'Met Data'!$A$2:$F$368,G312,FALSE)</f>
        <v>17.639655172413701</v>
      </c>
      <c r="J312" s="119">
        <f ca="1">HLOOKUP($H$5,'Met Data'!$H$2:$M$368,G312,FALSE)*L312</f>
        <v>2.9862068965517201</v>
      </c>
      <c r="K312" s="96">
        <f>HLOOKUP($H$5,'Met Data'!$O$2:$T$368,G312,FALSE)</f>
        <v>4.7314305048111098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45352</v>
      </c>
      <c r="Q312">
        <f ca="1"/>
        <v>8.4057891441324024</v>
      </c>
      <c r="R312">
        <f ca="1"/>
        <v>1.2155717492549307</v>
      </c>
      <c r="S312">
        <f ca="1"/>
        <v>7.0511325709301076E-2</v>
      </c>
      <c r="T312">
        <f ca="1"/>
        <v>0.24384255848842978</v>
      </c>
      <c r="U312">
        <f ca="1"/>
        <v>0</v>
      </c>
      <c r="V312">
        <f ca="1"/>
        <v>29.101486261148356</v>
      </c>
      <c r="W312">
        <f ca="1"/>
        <v>26.622470764828311</v>
      </c>
      <c r="X312">
        <f ca="1"/>
        <v>0</v>
      </c>
      <c r="Y312">
        <f ca="1"/>
        <v>0.41492340558197688</v>
      </c>
      <c r="Z312">
        <f ca="1"/>
        <v>0</v>
      </c>
      <c r="AA312">
        <f ca="1"/>
        <v>0</v>
      </c>
      <c r="AB312">
        <f ca="1"/>
        <v>0.91347462771764087</v>
      </c>
      <c r="AD312" s="2">
        <f t="shared" ca="1" si="42"/>
        <v>45352</v>
      </c>
      <c r="AE312">
        <f t="shared" ca="1" si="43"/>
        <v>0</v>
      </c>
      <c r="AG312" s="63">
        <f t="shared" ca="1" si="47"/>
        <v>9.6213608933873331</v>
      </c>
      <c r="AH312" s="63">
        <f t="shared" ca="1" si="48"/>
        <v>9.6213608933873331</v>
      </c>
      <c r="AI312" s="3">
        <f t="shared" ca="1" si="49"/>
        <v>0</v>
      </c>
    </row>
    <row r="313" spans="7:35">
      <c r="G313" s="3">
        <f t="shared" si="44"/>
        <v>3</v>
      </c>
      <c r="H313" s="95">
        <f t="shared" si="46"/>
        <v>45293</v>
      </c>
      <c r="I313" s="119">
        <f>HLOOKUP($H$5,'Met Data'!$A$2:$F$368,G313,FALSE)</f>
        <v>18.013793103448201</v>
      </c>
      <c r="J313" s="119">
        <f ca="1">HLOOKUP($H$5,'Met Data'!$H$2:$M$368,G313,FALSE)*L313</f>
        <v>1.4517241379310299</v>
      </c>
      <c r="K313" s="96">
        <f>HLOOKUP($H$5,'Met Data'!$O$2:$T$368,G313,FALSE)</f>
        <v>4.7184733001505199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45353</v>
      </c>
      <c r="Q313">
        <f ca="1"/>
        <v>7.46935412051951</v>
      </c>
      <c r="R313">
        <f ca="1"/>
        <v>1.2634259242946904</v>
      </c>
      <c r="S313">
        <f ca="1"/>
        <v>7.5148233671981757E-2</v>
      </c>
      <c r="T313">
        <f ca="1"/>
        <v>0.25184266700981589</v>
      </c>
      <c r="U313">
        <f ca="1"/>
        <v>0</v>
      </c>
      <c r="V313">
        <f ca="1"/>
        <v>30.364912185443046</v>
      </c>
      <c r="W313">
        <f ca="1"/>
        <v>27.778271517794195</v>
      </c>
      <c r="X313">
        <f ca="1"/>
        <v>0</v>
      </c>
      <c r="Y313">
        <f ca="1"/>
        <v>0.43682882058430683</v>
      </c>
      <c r="Z313">
        <f ca="1"/>
        <v>0</v>
      </c>
      <c r="AA313">
        <f ca="1"/>
        <v>0</v>
      </c>
      <c r="AB313">
        <f ca="1"/>
        <v>0.92524901275345894</v>
      </c>
      <c r="AD313" s="2">
        <f t="shared" ca="1" si="42"/>
        <v>45353</v>
      </c>
      <c r="AE313">
        <f t="shared" ca="1" si="43"/>
        <v>0</v>
      </c>
      <c r="AG313" s="63">
        <f t="shared" ca="1" si="47"/>
        <v>8.7327800448142003</v>
      </c>
      <c r="AH313" s="63">
        <f t="shared" ca="1" si="48"/>
        <v>8.7327800448142003</v>
      </c>
      <c r="AI313" s="3">
        <f t="shared" ca="1" si="49"/>
        <v>0</v>
      </c>
    </row>
    <row r="314" spans="7:35">
      <c r="G314" s="3">
        <f t="shared" si="44"/>
        <v>4</v>
      </c>
      <c r="H314" s="95">
        <f t="shared" si="46"/>
        <v>45294</v>
      </c>
      <c r="I314" s="119">
        <f>HLOOKUP($H$5,'Met Data'!$A$2:$F$368,G314,FALSE)</f>
        <v>17.827586206896498</v>
      </c>
      <c r="J314" s="119">
        <f ca="1">HLOOKUP($H$5,'Met Data'!$H$2:$M$368,G314,FALSE)*L314</f>
        <v>1.27241379310344</v>
      </c>
      <c r="K314" s="96">
        <f>HLOOKUP($H$5,'Met Data'!$O$2:$T$368,G314,FALSE)</f>
        <v>4.5153833563593304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45354</v>
      </c>
      <c r="Q314">
        <f ca="1"/>
        <v>6.5694020251021179</v>
      </c>
      <c r="R314">
        <f ca="1"/>
        <v>1.2365582254663536</v>
      </c>
      <c r="S314">
        <f ca="1"/>
        <v>8.0803214596510742E-2</v>
      </c>
      <c r="T314">
        <f ca="1"/>
        <v>0.25580291545245054</v>
      </c>
      <c r="U314">
        <f ca="1"/>
        <v>0</v>
      </c>
      <c r="V314">
        <f ca="1"/>
        <v>31.6014704109094</v>
      </c>
      <c r="W314">
        <f ca="1"/>
        <v>28.909493301831933</v>
      </c>
      <c r="X314">
        <f ca="1"/>
        <v>0</v>
      </c>
      <c r="Y314">
        <f ca="1"/>
        <v>0.49049178014632705</v>
      </c>
      <c r="Z314">
        <f ca="1"/>
        <v>0</v>
      </c>
      <c r="AA314">
        <f ca="1"/>
        <v>0</v>
      </c>
      <c r="AB314">
        <f ca="1"/>
        <v>0.93502492588238184</v>
      </c>
      <c r="AD314" s="2">
        <f t="shared" ca="1" si="42"/>
        <v>45354</v>
      </c>
      <c r="AE314">
        <f t="shared" ca="1" si="43"/>
        <v>0</v>
      </c>
      <c r="AG314" s="63">
        <f t="shared" ca="1" si="47"/>
        <v>7.8059602505684715</v>
      </c>
      <c r="AH314" s="63">
        <f t="shared" ca="1" si="48"/>
        <v>7.8059602505684715</v>
      </c>
      <c r="AI314" s="3">
        <f t="shared" ca="1" si="49"/>
        <v>0</v>
      </c>
    </row>
    <row r="315" spans="7:35">
      <c r="G315" s="3">
        <f t="shared" si="44"/>
        <v>5</v>
      </c>
      <c r="H315" s="95">
        <f t="shared" si="46"/>
        <v>45295</v>
      </c>
      <c r="I315" s="119">
        <f>HLOOKUP($H$5,'Met Data'!$A$2:$F$368,G315,FALSE)</f>
        <v>18.068965517241299</v>
      </c>
      <c r="J315" s="119">
        <f ca="1">HLOOKUP($H$5,'Met Data'!$H$2:$M$368,G315,FALSE)*L315</f>
        <v>1.3206896551724101</v>
      </c>
      <c r="K315" s="96">
        <f>HLOOKUP($H$5,'Met Data'!$O$2:$T$368,G315,FALSE)</f>
        <v>4.6266971172714904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45355</v>
      </c>
      <c r="Q315">
        <f ca="1"/>
        <v>5.6349922317043717</v>
      </c>
      <c r="R315">
        <f ca="1"/>
        <v>1.2676737014921287</v>
      </c>
      <c r="S315">
        <f ca="1"/>
        <v>8.0222662226869801E-2</v>
      </c>
      <c r="T315">
        <f ca="1"/>
        <v>0.2530412458675122</v>
      </c>
      <c r="U315">
        <f ca="1"/>
        <v>0</v>
      </c>
      <c r="V315">
        <f ca="1"/>
        <v>32.869144112401528</v>
      </c>
      <c r="W315">
        <f ca="1"/>
        <v>30.069179984308068</v>
      </c>
      <c r="X315">
        <f ca="1"/>
        <v>0</v>
      </c>
      <c r="Y315">
        <f ca="1"/>
        <v>0.48693662601362769</v>
      </c>
      <c r="Z315">
        <f ca="1"/>
        <v>0</v>
      </c>
      <c r="AA315">
        <f ca="1"/>
        <v>0</v>
      </c>
      <c r="AB315">
        <f ca="1"/>
        <v>0.9435496471999677</v>
      </c>
      <c r="AD315" s="2">
        <f t="shared" ca="1" si="42"/>
        <v>45355</v>
      </c>
      <c r="AE315">
        <f t="shared" ca="1" si="43"/>
        <v>0</v>
      </c>
      <c r="AG315" s="63">
        <f t="shared" ca="1" si="47"/>
        <v>6.9026659331965003</v>
      </c>
      <c r="AH315" s="63">
        <f t="shared" ca="1" si="48"/>
        <v>6.9026659331965003</v>
      </c>
      <c r="AI315" s="3">
        <f t="shared" ca="1" si="49"/>
        <v>0</v>
      </c>
    </row>
    <row r="316" spans="7:35">
      <c r="G316" s="3">
        <f t="shared" si="44"/>
        <v>6</v>
      </c>
      <c r="H316" s="95">
        <f t="shared" si="46"/>
        <v>45296</v>
      </c>
      <c r="I316" s="119">
        <f>HLOOKUP($H$5,'Met Data'!$A$2:$F$368,G316,FALSE)</f>
        <v>17.658620689655098</v>
      </c>
      <c r="J316" s="119">
        <f ca="1">HLOOKUP($H$5,'Met Data'!$H$2:$M$368,G316,FALSE)*L316</f>
        <v>1.64137931034482</v>
      </c>
      <c r="K316" s="96">
        <f>HLOOKUP($H$5,'Met Data'!$O$2:$T$368,G316,FALSE)</f>
        <v>4.7524735832446101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45356</v>
      </c>
      <c r="Q316">
        <f ca="1"/>
        <v>4.6260331582754652</v>
      </c>
      <c r="R316">
        <f ca="1"/>
        <v>1.3489632976018839</v>
      </c>
      <c r="S316">
        <f ca="1"/>
        <v>8.1612292892963012E-2</v>
      </c>
      <c r="T316">
        <f ca="1"/>
        <v>0.25839193128001409</v>
      </c>
      <c r="U316">
        <f ca="1"/>
        <v>0</v>
      </c>
      <c r="V316">
        <f ca="1"/>
        <v>34.218107410003412</v>
      </c>
      <c r="W316">
        <f ca="1"/>
        <v>31.303231593595715</v>
      </c>
      <c r="X316">
        <f ca="1"/>
        <v>0</v>
      </c>
      <c r="Y316">
        <f ca="1"/>
        <v>0.4793794404226176</v>
      </c>
      <c r="Z316">
        <f ca="1"/>
        <v>0</v>
      </c>
      <c r="AA316">
        <f ca="1"/>
        <v>0</v>
      </c>
      <c r="AB316">
        <f ca="1"/>
        <v>0.9512355634076618</v>
      </c>
      <c r="AD316" s="2">
        <f t="shared" ca="1" si="42"/>
        <v>45356</v>
      </c>
      <c r="AE316">
        <f t="shared" ca="1" si="43"/>
        <v>0</v>
      </c>
      <c r="AG316" s="63">
        <f t="shared" ca="1" si="47"/>
        <v>5.9749964558773492</v>
      </c>
      <c r="AH316" s="63">
        <f t="shared" ca="1" si="48"/>
        <v>5.9749964558773492</v>
      </c>
      <c r="AI316" s="3">
        <f t="shared" ca="1" si="49"/>
        <v>0</v>
      </c>
    </row>
    <row r="317" spans="7:35">
      <c r="G317" s="3">
        <f t="shared" si="44"/>
        <v>7</v>
      </c>
      <c r="H317" s="95">
        <f t="shared" si="46"/>
        <v>45297</v>
      </c>
      <c r="I317" s="119">
        <f>HLOOKUP($H$5,'Met Data'!$A$2:$F$368,G317,FALSE)</f>
        <v>17.7431034482758</v>
      </c>
      <c r="J317" s="119">
        <f ca="1">HLOOKUP($H$5,'Met Data'!$H$2:$M$368,G317,FALSE)*L317</f>
        <v>1.8206896551724101</v>
      </c>
      <c r="K317" s="96">
        <f>HLOOKUP($H$5,'Met Data'!$O$2:$T$368,G317,FALSE)</f>
        <v>4.5675277776113097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45357</v>
      </c>
      <c r="Q317">
        <f ca="1"/>
        <v>3.6236887603172798</v>
      </c>
      <c r="R317">
        <f ca="1"/>
        <v>1.330626596460597</v>
      </c>
      <c r="S317">
        <f ca="1"/>
        <v>7.9368770676239819E-2</v>
      </c>
      <c r="T317">
        <f ca="1"/>
        <v>0.2489134278261719</v>
      </c>
      <c r="U317">
        <f ca="1"/>
        <v>0</v>
      </c>
      <c r="V317">
        <f ca="1"/>
        <v>35.548734006464009</v>
      </c>
      <c r="W317">
        <f ca="1"/>
        <v>32.520508517024481</v>
      </c>
      <c r="X317">
        <f ca="1"/>
        <v>0</v>
      </c>
      <c r="Y317">
        <f ca="1"/>
        <v>0.48359395451244358</v>
      </c>
      <c r="Z317">
        <f ca="1"/>
        <v>0</v>
      </c>
      <c r="AA317">
        <f ca="1"/>
        <v>0</v>
      </c>
      <c r="AB317">
        <f ca="1"/>
        <v>0.95765480191404218</v>
      </c>
      <c r="AD317" s="2">
        <f t="shared" ca="1" si="42"/>
        <v>45357</v>
      </c>
      <c r="AE317">
        <f t="shared" ca="1" si="43"/>
        <v>0</v>
      </c>
      <c r="AG317" s="63">
        <f t="shared" ca="1" si="47"/>
        <v>4.9543153567778768</v>
      </c>
      <c r="AH317" s="63">
        <f t="shared" ca="1" si="48"/>
        <v>4.9543153567778768</v>
      </c>
      <c r="AI317" s="3">
        <f t="shared" ca="1" si="49"/>
        <v>0</v>
      </c>
    </row>
    <row r="318" spans="7:35">
      <c r="G318" s="3">
        <f t="shared" si="44"/>
        <v>8</v>
      </c>
      <c r="H318" s="95">
        <f t="shared" si="46"/>
        <v>45298</v>
      </c>
      <c r="I318" s="119">
        <f>HLOOKUP($H$5,'Met Data'!$A$2:$F$368,G318,FALSE)</f>
        <v>18.181034482758601</v>
      </c>
      <c r="J318" s="119">
        <f ca="1">HLOOKUP($H$5,'Met Data'!$H$2:$M$368,G318,FALSE)*L318</f>
        <v>1.4896551724137901</v>
      </c>
      <c r="K318" s="96">
        <f>HLOOKUP($H$5,'Met Data'!$O$2:$T$368,G318,FALSE)</f>
        <v>4.0945523595888398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45358</v>
      </c>
      <c r="Q318">
        <f ca="1"/>
        <v>2.5383098180319665</v>
      </c>
      <c r="R318">
        <f ca="1"/>
        <v>1.4073949456376482</v>
      </c>
      <c r="S318">
        <f ca="1"/>
        <v>7.6342475504468155E-2</v>
      </c>
      <c r="T318">
        <f ca="1"/>
        <v>0.2456735278478667</v>
      </c>
      <c r="U318">
        <f ca="1"/>
        <v>0</v>
      </c>
      <c r="V318">
        <f ca="1"/>
        <v>36.956128952101658</v>
      </c>
      <c r="W318">
        <f ca="1"/>
        <v>33.8080142635893</v>
      </c>
      <c r="X318">
        <f ca="1"/>
        <v>0</v>
      </c>
      <c r="Y318">
        <f ca="1"/>
        <v>0.45320737781308401</v>
      </c>
      <c r="Z318">
        <f ca="1"/>
        <v>0</v>
      </c>
      <c r="AA318">
        <f ca="1"/>
        <v>0</v>
      </c>
      <c r="AB318">
        <f ca="1"/>
        <v>0.96340502275801609</v>
      </c>
      <c r="AD318" s="2">
        <f t="shared" ca="1" si="42"/>
        <v>45358</v>
      </c>
      <c r="AE318">
        <f t="shared" ca="1" si="43"/>
        <v>0</v>
      </c>
      <c r="AG318" s="63">
        <f t="shared" ca="1" si="47"/>
        <v>3.9457047636696148</v>
      </c>
      <c r="AH318" s="63">
        <f t="shared" ca="1" si="48"/>
        <v>3.9457047636696148</v>
      </c>
      <c r="AI318" s="3">
        <f t="shared" ca="1" si="49"/>
        <v>0</v>
      </c>
    </row>
    <row r="319" spans="7:35">
      <c r="G319" s="3">
        <f t="shared" si="44"/>
        <v>9</v>
      </c>
      <c r="H319" s="95">
        <f t="shared" si="46"/>
        <v>45299</v>
      </c>
      <c r="I319" s="119">
        <f>HLOOKUP($H$5,'Met Data'!$A$2:$F$368,G319,FALSE)</f>
        <v>18.393103448275799</v>
      </c>
      <c r="J319" s="119">
        <f ca="1">HLOOKUP($H$5,'Met Data'!$H$2:$M$368,G319,FALSE)*L319</f>
        <v>2.69655172413793</v>
      </c>
      <c r="K319" s="96">
        <f>HLOOKUP($H$5,'Met Data'!$O$2:$T$368,G319,FALSE)</f>
        <v>4.0360392602952304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45359</v>
      </c>
      <c r="Q319">
        <f ca="1"/>
        <v>1.3981286775876054</v>
      </c>
      <c r="R319">
        <f ca="1"/>
        <v>1.4751636619442863</v>
      </c>
      <c r="S319">
        <f ca="1"/>
        <v>8.0141172299477148E-2</v>
      </c>
      <c r="T319">
        <f ca="1"/>
        <v>0.2548413492004481</v>
      </c>
      <c r="U319">
        <f ca="1"/>
        <v>0</v>
      </c>
      <c r="V319">
        <f ca="1"/>
        <v>38.431292614045944</v>
      </c>
      <c r="W319">
        <f ca="1"/>
        <v>35.157515835812404</v>
      </c>
      <c r="X319">
        <f ca="1"/>
        <v>0</v>
      </c>
      <c r="Y319">
        <f ca="1"/>
        <v>0.46760919313441485</v>
      </c>
      <c r="Z319">
        <f ca="1"/>
        <v>0</v>
      </c>
      <c r="AA319">
        <f ca="1"/>
        <v>0</v>
      </c>
      <c r="AB319">
        <f ca="1"/>
        <v>0.96848506454890593</v>
      </c>
      <c r="AD319" s="2">
        <f t="shared" ca="1" si="42"/>
        <v>45359</v>
      </c>
      <c r="AE319">
        <f t="shared" ca="1" si="43"/>
        <v>0</v>
      </c>
      <c r="AG319" s="63">
        <f t="shared" ca="1" si="47"/>
        <v>2.8732923395318917</v>
      </c>
      <c r="AH319" s="63">
        <f t="shared" ca="1" si="48"/>
        <v>2.8732923395318917</v>
      </c>
      <c r="AI319" s="3">
        <f t="shared" ca="1" si="49"/>
        <v>0</v>
      </c>
    </row>
    <row r="320" spans="7:35">
      <c r="G320" s="3">
        <f t="shared" si="44"/>
        <v>10</v>
      </c>
      <c r="H320" s="95">
        <f t="shared" si="46"/>
        <v>45300</v>
      </c>
      <c r="I320" s="119">
        <f>HLOOKUP($H$5,'Met Data'!$A$2:$F$368,G320,FALSE)</f>
        <v>18.6103448275862</v>
      </c>
      <c r="J320" s="119">
        <f ca="1">HLOOKUP($H$5,'Met Data'!$H$2:$M$368,G320,FALSE)*L320</f>
        <v>3.0103448275861999</v>
      </c>
      <c r="K320" s="96">
        <f>HLOOKUP($H$5,'Met Data'!$O$2:$T$368,G320,FALSE)</f>
        <v>4.1608753956650997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45360</v>
      </c>
      <c r="Q320">
        <f ca="1"/>
        <v>0.23353808920567354</v>
      </c>
      <c r="R320">
        <f ca="1"/>
        <v>1.4852219468982639</v>
      </c>
      <c r="S320">
        <f ca="1"/>
        <v>7.5996501096494029E-2</v>
      </c>
      <c r="T320">
        <f ca="1"/>
        <v>0.24463485741983801</v>
      </c>
      <c r="U320">
        <f ca="1"/>
        <v>0</v>
      </c>
      <c r="V320">
        <f ca="1"/>
        <v>39.916514560944208</v>
      </c>
      <c r="W320">
        <f ca="1"/>
        <v>36.516218876123034</v>
      </c>
      <c r="X320">
        <f ca="1"/>
        <v>0</v>
      </c>
      <c r="Y320">
        <f ca="1"/>
        <v>0.45233164595820691</v>
      </c>
      <c r="Z320">
        <f ca="1"/>
        <v>0</v>
      </c>
      <c r="AA320">
        <f ca="1"/>
        <v>0</v>
      </c>
      <c r="AB320">
        <f ca="1"/>
        <v>0.97279370470597171</v>
      </c>
      <c r="AD320" s="2">
        <f t="shared" ca="1" si="42"/>
        <v>45360</v>
      </c>
      <c r="AE320">
        <f t="shared" ca="1" si="43"/>
        <v>0</v>
      </c>
      <c r="AG320" s="63">
        <f t="shared" ca="1" si="47"/>
        <v>1.7187600361039375</v>
      </c>
      <c r="AH320" s="63">
        <f t="shared" ca="1" si="48"/>
        <v>1.7187600361039375</v>
      </c>
      <c r="AI320" s="3">
        <f t="shared" ca="1" si="49"/>
        <v>0</v>
      </c>
    </row>
    <row r="321" spans="7:35">
      <c r="G321" s="3">
        <f t="shared" si="44"/>
        <v>11</v>
      </c>
      <c r="H321" s="95">
        <f t="shared" si="46"/>
        <v>45301</v>
      </c>
      <c r="I321" s="119">
        <f>HLOOKUP($H$5,'Met Data'!$A$2:$F$368,G321,FALSE)</f>
        <v>18.453448275862002</v>
      </c>
      <c r="J321" s="119">
        <f ca="1">HLOOKUP($H$5,'Met Data'!$H$2:$M$368,G321,FALSE)*L321</f>
        <v>1.2689655172413701</v>
      </c>
      <c r="K321" s="96">
        <f>HLOOKUP($H$5,'Met Data'!$O$2:$T$368,G321,FALSE)</f>
        <v>4.5179186785714496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45361</v>
      </c>
      <c r="Q321">
        <f ca="1"/>
        <v>-0.92023111017630166</v>
      </c>
      <c r="R321">
        <f ca="1"/>
        <v>1.5059541469828801</v>
      </c>
      <c r="S321">
        <f ca="1"/>
        <v>8.2920562266100006E-2</v>
      </c>
      <c r="T321">
        <f ca="1"/>
        <v>0.2692643853348049</v>
      </c>
      <c r="U321">
        <f ca="1"/>
        <v>0</v>
      </c>
      <c r="V321">
        <f ca="1"/>
        <v>41.422468707927088</v>
      </c>
      <c r="W321">
        <f ca="1"/>
        <v>37.893888040214783</v>
      </c>
      <c r="X321">
        <f ca="1"/>
        <v>0</v>
      </c>
      <c r="Y321">
        <f ca="1"/>
        <v>0.53511939162847755</v>
      </c>
      <c r="Z321">
        <f ca="1"/>
        <v>0</v>
      </c>
      <c r="AA321">
        <f ca="1"/>
        <v>0</v>
      </c>
      <c r="AB321">
        <f ca="1"/>
        <v>0.97648290567564311</v>
      </c>
      <c r="AD321" s="2">
        <f t="shared" ca="1" si="42"/>
        <v>45361</v>
      </c>
      <c r="AE321">
        <f t="shared" ca="1" si="43"/>
        <v>0</v>
      </c>
      <c r="AG321" s="63">
        <f t="shared" ca="1" si="47"/>
        <v>0.58572303680657845</v>
      </c>
      <c r="AH321" s="63">
        <f t="shared" ca="1" si="48"/>
        <v>0.58572303680657845</v>
      </c>
      <c r="AI321" s="3">
        <f t="shared" ca="1" si="49"/>
        <v>0</v>
      </c>
    </row>
    <row r="322" spans="7:35">
      <c r="G322" s="3">
        <f t="shared" si="44"/>
        <v>12</v>
      </c>
      <c r="H322" s="95">
        <f t="shared" si="46"/>
        <v>45302</v>
      </c>
      <c r="I322" s="119">
        <f>HLOOKUP($H$5,'Met Data'!$A$2:$F$368,G322,FALSE)</f>
        <v>18.186206896551699</v>
      </c>
      <c r="J322" s="119">
        <f ca="1">HLOOKUP($H$5,'Met Data'!$H$2:$M$368,G322,FALSE)*L322</f>
        <v>1.3413793103448199</v>
      </c>
      <c r="K322" s="96">
        <f>HLOOKUP($H$5,'Met Data'!$O$2:$T$368,G322,FALSE)</f>
        <v>4.5303746944186001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45362</v>
      </c>
      <c r="Q322">
        <f ca="1"/>
        <v>-2.1296628423084005</v>
      </c>
      <c r="R322">
        <f ca="1"/>
        <v>1.566928134455317</v>
      </c>
      <c r="S322">
        <f ca="1"/>
        <v>8.3754526173692057E-2</v>
      </c>
      <c r="T322">
        <f ca="1"/>
        <v>0.27374187614952633</v>
      </c>
      <c r="U322">
        <f ca="1"/>
        <v>0</v>
      </c>
      <c r="V322">
        <f ca="1"/>
        <v>42.989396842382405</v>
      </c>
      <c r="W322">
        <f ca="1"/>
        <v>39.327337111364642</v>
      </c>
      <c r="X322">
        <f ca="1"/>
        <v>0</v>
      </c>
      <c r="Y322">
        <f ca="1"/>
        <v>0.53743899496280079</v>
      </c>
      <c r="Z322">
        <f ca="1"/>
        <v>0</v>
      </c>
      <c r="AA322">
        <f ca="1"/>
        <v>0</v>
      </c>
      <c r="AB322">
        <f ca="1"/>
        <v>0.97972329409465142</v>
      </c>
      <c r="AD322" s="2">
        <f t="shared" ca="1" si="42"/>
        <v>45362</v>
      </c>
      <c r="AE322">
        <f t="shared" ca="1" si="43"/>
        <v>0</v>
      </c>
      <c r="AG322" s="63">
        <f t="shared" ca="1" si="47"/>
        <v>-0.56273470785308333</v>
      </c>
      <c r="AH322" s="63">
        <f t="shared" ca="1" si="48"/>
        <v>-0.56273470785308355</v>
      </c>
      <c r="AI322" s="3">
        <f t="shared" ca="1" si="49"/>
        <v>0</v>
      </c>
    </row>
    <row r="323" spans="7:35">
      <c r="G323" s="3">
        <f t="shared" si="44"/>
        <v>13</v>
      </c>
      <c r="H323" s="95">
        <f t="shared" si="46"/>
        <v>45303</v>
      </c>
      <c r="I323" s="119">
        <f>HLOOKUP($H$5,'Met Data'!$A$2:$F$368,G323,FALSE)</f>
        <v>18.314999999999898</v>
      </c>
      <c r="J323" s="119">
        <f ca="1">HLOOKUP($H$5,'Met Data'!$H$2:$M$368,G323,FALSE)*L323</f>
        <v>0.95</v>
      </c>
      <c r="K323" s="96">
        <f>HLOOKUP($H$5,'Met Data'!$O$2:$T$368,G323,FALSE)</f>
        <v>4.1021279144140701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45363</v>
      </c>
      <c r="Q323">
        <f ca="1"/>
        <v>-3.3512342695397175</v>
      </c>
      <c r="R323">
        <f ca="1"/>
        <v>1.5611325632117499</v>
      </c>
      <c r="S323">
        <f ca="1"/>
        <v>8.136491637877441E-2</v>
      </c>
      <c r="T323">
        <f ca="1"/>
        <v>0.25819621960165834</v>
      </c>
      <c r="U323">
        <f ca="1"/>
        <v>0</v>
      </c>
      <c r="V323">
        <f ca="1"/>
        <v>44.550529405594155</v>
      </c>
      <c r="W323">
        <f ca="1"/>
        <v>40.755484308080582</v>
      </c>
      <c r="X323">
        <f ca="1"/>
        <v>0</v>
      </c>
      <c r="Y323">
        <f ca="1"/>
        <v>0.51439148103811949</v>
      </c>
      <c r="Z323">
        <f ca="1"/>
        <v>0</v>
      </c>
      <c r="AA323">
        <f ca="1"/>
        <v>0</v>
      </c>
      <c r="AB323">
        <f ca="1"/>
        <v>0.98245144485307156</v>
      </c>
      <c r="AD323" s="2">
        <f t="shared" ca="1" si="42"/>
        <v>45363</v>
      </c>
      <c r="AE323">
        <f t="shared" ca="1" si="43"/>
        <v>0</v>
      </c>
      <c r="AG323" s="63">
        <f t="shared" ca="1" si="47"/>
        <v>-1.7901017063279678</v>
      </c>
      <c r="AH323" s="63">
        <f t="shared" ca="1" si="48"/>
        <v>-1.7901017063279676</v>
      </c>
      <c r="AI323" s="3">
        <f t="shared" ca="1" si="49"/>
        <v>0</v>
      </c>
    </row>
    <row r="324" spans="7:35">
      <c r="G324" s="3">
        <f t="shared" si="44"/>
        <v>14</v>
      </c>
      <c r="H324" s="95">
        <f t="shared" si="46"/>
        <v>45304</v>
      </c>
      <c r="I324" s="119">
        <f>HLOOKUP($H$5,'Met Data'!$A$2:$F$368,G324,FALSE)</f>
        <v>18.473333333333301</v>
      </c>
      <c r="J324" s="119">
        <f ca="1">HLOOKUP($H$5,'Met Data'!$H$2:$M$368,G324,FALSE)*L324</f>
        <v>3.7233333333333301</v>
      </c>
      <c r="K324" s="96">
        <f>HLOOKUP($H$5,'Met Data'!$O$2:$T$368,G324,FALSE)</f>
        <v>4.3613860913388498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45364</v>
      </c>
      <c r="Q324">
        <f ca="1"/>
        <v>-4.6176799235603472</v>
      </c>
      <c r="R324">
        <f ca="1"/>
        <v>1.5992133993503259</v>
      </c>
      <c r="S324">
        <f ca="1"/>
        <v>8.049788260390045E-2</v>
      </c>
      <c r="T324">
        <f ca="1"/>
        <v>0.2522698627257956</v>
      </c>
      <c r="U324">
        <f ca="1"/>
        <v>0</v>
      </c>
      <c r="V324">
        <f ca="1"/>
        <v>46.149742804944481</v>
      </c>
      <c r="W324">
        <f ca="1"/>
        <v>42.218468417856613</v>
      </c>
      <c r="X324">
        <f ca="1"/>
        <v>0</v>
      </c>
      <c r="Y324">
        <f ca="1"/>
        <v>0.49653872344369748</v>
      </c>
      <c r="Z324">
        <f ca="1"/>
        <v>0</v>
      </c>
      <c r="AA324">
        <f ca="1"/>
        <v>0</v>
      </c>
      <c r="AB324">
        <f ca="1"/>
        <v>0.98481888158151099</v>
      </c>
      <c r="AD324" s="2">
        <f t="shared" ca="1" si="42"/>
        <v>45364</v>
      </c>
      <c r="AE324">
        <f t="shared" ca="1" si="43"/>
        <v>0</v>
      </c>
      <c r="AG324" s="63">
        <f t="shared" ca="1" si="47"/>
        <v>-3.0184665242100213</v>
      </c>
      <c r="AH324" s="63">
        <f t="shared" ca="1" si="48"/>
        <v>-3.0184665242100213</v>
      </c>
      <c r="AI324" s="3">
        <f t="shared" ca="1" si="49"/>
        <v>0</v>
      </c>
    </row>
    <row r="325" spans="7:35">
      <c r="G325" s="3">
        <f t="shared" si="44"/>
        <v>15</v>
      </c>
      <c r="H325" s="95">
        <f t="shared" si="46"/>
        <v>45305</v>
      </c>
      <c r="I325" s="119">
        <f>HLOOKUP($H$5,'Met Data'!$A$2:$F$368,G325,FALSE)</f>
        <v>18.684999999999999</v>
      </c>
      <c r="J325" s="119">
        <f ca="1">HLOOKUP($H$5,'Met Data'!$H$2:$M$368,G325,FALSE)*L325</f>
        <v>2.2466666666666599</v>
      </c>
      <c r="K325" s="96">
        <f>HLOOKUP($H$5,'Met Data'!$O$2:$T$368,G325,FALSE)</f>
        <v>4.5029029229169799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45365</v>
      </c>
      <c r="Q325">
        <f ca="1"/>
        <v>-5.9012804627153148</v>
      </c>
      <c r="R325">
        <f ca="1"/>
        <v>1.6155482245599444</v>
      </c>
      <c r="S325">
        <f ca="1"/>
        <v>7.9781033460669448E-2</v>
      </c>
      <c r="T325">
        <f ca="1"/>
        <v>0.25216665194430765</v>
      </c>
      <c r="U325">
        <f ca="1"/>
        <v>0</v>
      </c>
      <c r="V325">
        <f ca="1"/>
        <v>47.765291029504425</v>
      </c>
      <c r="W325">
        <f ca="1"/>
        <v>43.696395867731823</v>
      </c>
      <c r="X325">
        <f ca="1"/>
        <v>0</v>
      </c>
      <c r="Y325">
        <f ca="1"/>
        <v>0.50550205032985052</v>
      </c>
      <c r="Z325">
        <f ca="1"/>
        <v>0</v>
      </c>
      <c r="AA325">
        <f ca="1"/>
        <v>0</v>
      </c>
      <c r="AB325">
        <f ca="1"/>
        <v>0.9868471605888377</v>
      </c>
      <c r="AD325" s="2">
        <f t="shared" ca="1" si="42"/>
        <v>45365</v>
      </c>
      <c r="AE325">
        <f t="shared" ca="1" si="43"/>
        <v>0</v>
      </c>
      <c r="AG325" s="63">
        <f t="shared" ca="1" si="47"/>
        <v>-4.2857322381553704</v>
      </c>
      <c r="AH325" s="63">
        <f t="shared" ca="1" si="48"/>
        <v>-4.2857322381553704</v>
      </c>
      <c r="AI325" s="3">
        <f t="shared" ca="1" si="49"/>
        <v>0</v>
      </c>
    </row>
    <row r="326" spans="7:35">
      <c r="G326" s="3">
        <f t="shared" si="44"/>
        <v>16</v>
      </c>
      <c r="H326" s="95">
        <f t="shared" si="46"/>
        <v>45306</v>
      </c>
      <c r="I326" s="119">
        <f>HLOOKUP($H$5,'Met Data'!$A$2:$F$368,G326,FALSE)</f>
        <v>18.661666666666601</v>
      </c>
      <c r="J326" s="119">
        <f ca="1">HLOOKUP($H$5,'Met Data'!$H$2:$M$368,G326,FALSE)*L326</f>
        <v>1.3333333333333299</v>
      </c>
      <c r="K326" s="96">
        <f>HLOOKUP($H$5,'Met Data'!$O$2:$T$368,G326,FALSE)</f>
        <v>4.6368762557636201</v>
      </c>
      <c r="L326">
        <f t="shared" ca="1" si="40"/>
        <v>1</v>
      </c>
      <c r="N326" t="b">
        <f t="shared" ca="1" si="45"/>
        <v>0</v>
      </c>
      <c r="O326" t="b">
        <f t="shared" ca="1" si="41"/>
        <v>0</v>
      </c>
      <c r="P326" s="2">
        <f ca="1"/>
        <v>45366</v>
      </c>
      <c r="Q326">
        <f ca="1"/>
        <v>-7.2348952876251902</v>
      </c>
      <c r="R326">
        <f ca="1"/>
        <v>1.6699768651235303</v>
      </c>
      <c r="S326">
        <f ca="1"/>
        <v>8.0123661501993126E-2</v>
      </c>
      <c r="T326">
        <f ca="1"/>
        <v>0.25623837871166177</v>
      </c>
      <c r="U326">
        <f ca="1"/>
        <v>0</v>
      </c>
      <c r="V326">
        <f ca="1"/>
        <v>49.435267894627955</v>
      </c>
      <c r="W326">
        <f ca="1"/>
        <v>45.224115444344832</v>
      </c>
      <c r="X326">
        <f ca="1"/>
        <v>0</v>
      </c>
      <c r="Y326">
        <f ca="1"/>
        <v>0.50949266237674684</v>
      </c>
      <c r="Z326">
        <f ca="1"/>
        <v>0</v>
      </c>
      <c r="AA326">
        <f ca="1"/>
        <v>0</v>
      </c>
      <c r="AB326">
        <f ca="1"/>
        <v>0.98862597971597344</v>
      </c>
      <c r="AD326" s="2">
        <f t="shared" ca="1" si="42"/>
        <v>45366</v>
      </c>
      <c r="AE326">
        <f t="shared" ca="1" si="43"/>
        <v>0</v>
      </c>
      <c r="AG326" s="63">
        <f t="shared" ca="1" si="47"/>
        <v>-5.5649184225016599</v>
      </c>
      <c r="AH326" s="63">
        <f t="shared" ca="1" si="48"/>
        <v>-5.5649184225016599</v>
      </c>
      <c r="AI326" s="3">
        <f t="shared" ca="1" si="49"/>
        <v>0</v>
      </c>
    </row>
    <row r="327" spans="7:35">
      <c r="G327" s="3">
        <f t="shared" si="44"/>
        <v>17</v>
      </c>
      <c r="H327" s="95">
        <f t="shared" si="46"/>
        <v>45307</v>
      </c>
      <c r="I327" s="119">
        <f>HLOOKUP($H$5,'Met Data'!$A$2:$F$368,G327,FALSE)</f>
        <v>18.636666666666599</v>
      </c>
      <c r="J327" s="119">
        <f ca="1">HLOOKUP($H$5,'Met Data'!$H$2:$M$368,G327,FALSE)*L327</f>
        <v>3.0133333333333301</v>
      </c>
      <c r="K327" s="96">
        <f>HLOOKUP($H$5,'Met Data'!$O$2:$T$368,G327,FALSE)</f>
        <v>4.4386060395545801</v>
      </c>
      <c r="L327">
        <f t="shared" ref="L327:L390" ca="1" si="50">IF(H327&lt;$B$32,$J$4,$J$5)</f>
        <v>1</v>
      </c>
      <c r="N327" t="b">
        <f t="shared" ca="1" si="45"/>
        <v>0</v>
      </c>
      <c r="O327" t="b">
        <f t="shared" ref="O327:O390" ca="1" si="51">AND(IF(P327&gt;($P$3-1),TRUE,FALSE),IF(P327&lt;($P$4+1),TRUE,FALSE))</f>
        <v>0</v>
      </c>
      <c r="P327" s="2">
        <f ca="1"/>
        <v>45367</v>
      </c>
      <c r="Q327">
        <f ca="1"/>
        <v>-8.6029063519817388</v>
      </c>
      <c r="R327">
        <f ca="1"/>
        <v>1.7022873240124099</v>
      </c>
      <c r="S327">
        <f ca="1"/>
        <v>7.9484498714347041E-2</v>
      </c>
      <c r="T327">
        <f ca="1"/>
        <v>0.25479176094151379</v>
      </c>
      <c r="U327">
        <f ca="1"/>
        <v>0</v>
      </c>
      <c r="V327">
        <f ca="1"/>
        <v>51.137555218640365</v>
      </c>
      <c r="W327">
        <f ca="1"/>
        <v>46.781393107422851</v>
      </c>
      <c r="X327">
        <f ca="1"/>
        <v>0</v>
      </c>
      <c r="Y327">
        <f ca="1"/>
        <v>0.50668401017405762</v>
      </c>
      <c r="Z327">
        <f ca="1"/>
        <v>0</v>
      </c>
      <c r="AA327">
        <f ca="1"/>
        <v>0</v>
      </c>
      <c r="AB327">
        <f ca="1"/>
        <v>0.99016371936643621</v>
      </c>
      <c r="AD327" s="2">
        <f t="shared" ref="AD327:AD390" ca="1" si="52">IFERROR(P327,$AD$5)</f>
        <v>45367</v>
      </c>
      <c r="AE327">
        <f t="shared" ref="AE327:AE390" ca="1" si="53">IFERROR(U327,0)</f>
        <v>0</v>
      </c>
      <c r="AG327" s="63">
        <f t="shared" ca="1" si="47"/>
        <v>-6.9006190279693289</v>
      </c>
      <c r="AH327" s="63">
        <f t="shared" ca="1" si="48"/>
        <v>-6.9006190279693289</v>
      </c>
      <c r="AI327" s="3">
        <f t="shared" ca="1" si="49"/>
        <v>0</v>
      </c>
    </row>
    <row r="328" spans="7:35">
      <c r="G328" s="3">
        <f t="shared" ref="G328:G391" si="54">H328-DATE(YEAR(H328),1,0)+1</f>
        <v>18</v>
      </c>
      <c r="H328" s="95">
        <f t="shared" si="46"/>
        <v>45308</v>
      </c>
      <c r="I328" s="119">
        <f>HLOOKUP($H$5,'Met Data'!$A$2:$F$368,G328,FALSE)</f>
        <v>18.4233333333333</v>
      </c>
      <c r="J328" s="119">
        <f ca="1">HLOOKUP($H$5,'Met Data'!$H$2:$M$368,G328,FALSE)*L328</f>
        <v>2.7833333333333301</v>
      </c>
      <c r="K328" s="96">
        <f>HLOOKUP($H$5,'Met Data'!$O$2:$T$368,G328,FALSE)</f>
        <v>4.10260332014568</v>
      </c>
      <c r="L328">
        <f t="shared" ca="1" si="50"/>
        <v>1</v>
      </c>
      <c r="N328" t="b">
        <f t="shared" ref="N328:N391" ca="1" si="55">IF(P328&lt;$P$4,TRUE,FALSE)</f>
        <v>0</v>
      </c>
      <c r="O328" t="b">
        <f t="shared" ca="1" si="51"/>
        <v>0</v>
      </c>
      <c r="P328" s="2">
        <f ca="1"/>
        <v>45368</v>
      </c>
      <c r="Q328">
        <f ca="1"/>
        <v>-10.00593160975448</v>
      </c>
      <c r="R328">
        <f ca="1"/>
        <v>1.7263452824362489</v>
      </c>
      <c r="S328">
        <f ca="1"/>
        <v>7.649001611100914E-2</v>
      </c>
      <c r="T328">
        <f ca="1"/>
        <v>0.24683000855249768</v>
      </c>
      <c r="U328">
        <f ca="1"/>
        <v>0</v>
      </c>
      <c r="V328">
        <f ca="1"/>
        <v>52.863900501076614</v>
      </c>
      <c r="W328">
        <f ca="1"/>
        <v>48.360679347281192</v>
      </c>
      <c r="X328">
        <f ca="1"/>
        <v>0</v>
      </c>
      <c r="Y328">
        <f ca="1"/>
        <v>0.48705820852044862</v>
      </c>
      <c r="Z328">
        <f ca="1"/>
        <v>0</v>
      </c>
      <c r="AA328">
        <f ca="1"/>
        <v>0</v>
      </c>
      <c r="AB328">
        <f ca="1"/>
        <v>0.99148770887047266</v>
      </c>
      <c r="AD328" s="2">
        <f t="shared" ca="1" si="52"/>
        <v>45368</v>
      </c>
      <c r="AE328">
        <f t="shared" ca="1" si="53"/>
        <v>0</v>
      </c>
      <c r="AG328" s="63">
        <f t="shared" ca="1" si="47"/>
        <v>-8.2795863273182313</v>
      </c>
      <c r="AH328" s="63">
        <f t="shared" ca="1" si="48"/>
        <v>-8.2795863273182313</v>
      </c>
      <c r="AI328" s="3">
        <f t="shared" ca="1" si="49"/>
        <v>0</v>
      </c>
    </row>
    <row r="329" spans="7:35">
      <c r="G329" s="3">
        <f t="shared" si="54"/>
        <v>19</v>
      </c>
      <c r="H329" s="95">
        <f t="shared" ref="H329:H392" si="56">H328+1</f>
        <v>45309</v>
      </c>
      <c r="I329" s="119">
        <f>HLOOKUP($H$5,'Met Data'!$A$2:$F$368,G329,FALSE)</f>
        <v>18.466666666666601</v>
      </c>
      <c r="J329" s="119">
        <f ca="1">HLOOKUP($H$5,'Met Data'!$H$2:$M$368,G329,FALSE)*L329</f>
        <v>2.1566666666666601</v>
      </c>
      <c r="K329" s="96">
        <f>HLOOKUP($H$5,'Met Data'!$O$2:$T$368,G329,FALSE)</f>
        <v>4.3976375931712202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45369</v>
      </c>
      <c r="Q329">
        <f ca="1"/>
        <v>-11.400004099764885</v>
      </c>
      <c r="R329">
        <f ca="1"/>
        <v>1.6965993111023536</v>
      </c>
      <c r="S329">
        <f ca="1"/>
        <v>7.0476655544798206E-2</v>
      </c>
      <c r="T329">
        <f ca="1"/>
        <v>0.23205016554715066</v>
      </c>
      <c r="U329">
        <f ca="1"/>
        <v>0</v>
      </c>
      <c r="V329">
        <f ca="1"/>
        <v>54.560499812178968</v>
      </c>
      <c r="W329">
        <f ca="1"/>
        <v>49.912753531882245</v>
      </c>
      <c r="X329">
        <f ca="1"/>
        <v>0</v>
      </c>
      <c r="Y329">
        <f ca="1"/>
        <v>0.46621302689807648</v>
      </c>
      <c r="Z329">
        <f ca="1"/>
        <v>0</v>
      </c>
      <c r="AA329">
        <f ca="1"/>
        <v>0</v>
      </c>
      <c r="AB329">
        <f ca="1"/>
        <v>0.99259667824791764</v>
      </c>
      <c r="AD329" s="2">
        <f t="shared" ca="1" si="52"/>
        <v>45369</v>
      </c>
      <c r="AE329">
        <f t="shared" ca="1" si="53"/>
        <v>0</v>
      </c>
      <c r="AG329" s="63">
        <f t="shared" ca="1" si="47"/>
        <v>-9.7034047886625316</v>
      </c>
      <c r="AH329" s="63">
        <f t="shared" ca="1" si="48"/>
        <v>-9.7034047886625316</v>
      </c>
      <c r="AI329" s="3">
        <f t="shared" ca="1" si="49"/>
        <v>0</v>
      </c>
    </row>
    <row r="330" spans="7:35">
      <c r="G330" s="3">
        <f t="shared" si="54"/>
        <v>20</v>
      </c>
      <c r="H330" s="95">
        <f t="shared" si="56"/>
        <v>45310</v>
      </c>
      <c r="I330" s="119">
        <f>HLOOKUP($H$5,'Met Data'!$A$2:$F$368,G330,FALSE)</f>
        <v>18.754999999999999</v>
      </c>
      <c r="J330" s="119">
        <f ca="1">HLOOKUP($H$5,'Met Data'!$H$2:$M$368,G330,FALSE)*L330</f>
        <v>2.2333333333333298</v>
      </c>
      <c r="K330" s="96">
        <f>HLOOKUP($H$5,'Met Data'!$O$2:$T$368,G330,FALSE)</f>
        <v>4.5811789756342201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45370</v>
      </c>
      <c r="Q330">
        <f ca="1"/>
        <v>-12.82254120415317</v>
      </c>
      <c r="R330">
        <f ca="1"/>
        <v>1.7345760272563879</v>
      </c>
      <c r="S330">
        <f ca="1"/>
        <v>7.3114296525083944E-2</v>
      </c>
      <c r="T330">
        <f ca="1"/>
        <v>0.23892462634301981</v>
      </c>
      <c r="U330">
        <f ca="1"/>
        <v>0</v>
      </c>
      <c r="V330">
        <f ca="1"/>
        <v>56.295075839435356</v>
      </c>
      <c r="W330">
        <f ca="1"/>
        <v>51.499569379039009</v>
      </c>
      <c r="X330">
        <f ca="1"/>
        <v>0</v>
      </c>
      <c r="Y330">
        <f ca="1"/>
        <v>0.48542333000102927</v>
      </c>
      <c r="Z330">
        <f ca="1"/>
        <v>0</v>
      </c>
      <c r="AA330">
        <f ca="1"/>
        <v>0</v>
      </c>
      <c r="AB330">
        <f ca="1"/>
        <v>0.99356605358694894</v>
      </c>
      <c r="AD330" s="2">
        <f t="shared" ca="1" si="52"/>
        <v>45370</v>
      </c>
      <c r="AE330">
        <f t="shared" ca="1" si="53"/>
        <v>0</v>
      </c>
      <c r="AG330" s="63">
        <f t="shared" ca="1" si="47"/>
        <v>-11.087965176896782</v>
      </c>
      <c r="AH330" s="63">
        <f t="shared" ca="1" si="48"/>
        <v>-11.087965176896782</v>
      </c>
      <c r="AI330" s="3">
        <f t="shared" ca="1" si="49"/>
        <v>0</v>
      </c>
    </row>
    <row r="331" spans="7:35">
      <c r="G331" s="3">
        <f t="shared" si="54"/>
        <v>21</v>
      </c>
      <c r="H331" s="95">
        <f t="shared" si="56"/>
        <v>45311</v>
      </c>
      <c r="I331" s="119">
        <f>HLOOKUP($H$5,'Met Data'!$A$2:$F$368,G331,FALSE)</f>
        <v>18.6933333333333</v>
      </c>
      <c r="J331" s="119">
        <f ca="1">HLOOKUP($H$5,'Met Data'!$H$2:$M$368,G331,FALSE)*L331</f>
        <v>1.02666666666666</v>
      </c>
      <c r="K331" s="96">
        <f>HLOOKUP($H$5,'Met Data'!$O$2:$T$368,G331,FALSE)</f>
        <v>4.23484882575071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45371</v>
      </c>
      <c r="Q331">
        <f ca="1"/>
        <v>-14.324433822017554</v>
      </c>
      <c r="R331">
        <f ca="1"/>
        <v>1.8042208082878517</v>
      </c>
      <c r="S331">
        <f ca="1"/>
        <v>6.8800517318202026E-2</v>
      </c>
      <c r="T331">
        <f ca="1"/>
        <v>0.23352767310526668</v>
      </c>
      <c r="U331">
        <f ca="1"/>
        <v>0</v>
      </c>
      <c r="V331">
        <f ca="1"/>
        <v>58.099296647723207</v>
      </c>
      <c r="W331">
        <f ca="1"/>
        <v>53.150097303657901</v>
      </c>
      <c r="X331">
        <f ca="1"/>
        <v>0</v>
      </c>
      <c r="Y331">
        <f ca="1"/>
        <v>0.45164899475285802</v>
      </c>
      <c r="Z331">
        <f ca="1"/>
        <v>0</v>
      </c>
      <c r="AA331">
        <f ca="1"/>
        <v>0</v>
      </c>
      <c r="AB331">
        <f ca="1"/>
        <v>0.99442686375070144</v>
      </c>
      <c r="AD331" s="2">
        <f t="shared" ca="1" si="52"/>
        <v>45371</v>
      </c>
      <c r="AE331">
        <f t="shared" ca="1" si="53"/>
        <v>0</v>
      </c>
      <c r="AG331" s="63">
        <f t="shared" ca="1" si="47"/>
        <v>-12.520213013729702</v>
      </c>
      <c r="AH331" s="63">
        <f t="shared" ca="1" si="48"/>
        <v>-12.520213013729702</v>
      </c>
      <c r="AI331" s="3">
        <f t="shared" ca="1" si="49"/>
        <v>0</v>
      </c>
    </row>
    <row r="332" spans="7:35">
      <c r="G332" s="3">
        <f t="shared" si="54"/>
        <v>22</v>
      </c>
      <c r="H332" s="95">
        <f t="shared" si="56"/>
        <v>45312</v>
      </c>
      <c r="I332" s="119">
        <f>HLOOKUP($H$5,'Met Data'!$A$2:$F$368,G332,FALSE)</f>
        <v>18.914999999999999</v>
      </c>
      <c r="J332" s="119">
        <f ca="1">HLOOKUP($H$5,'Met Data'!$H$2:$M$368,G332,FALSE)*L332</f>
        <v>8.4066666666666592</v>
      </c>
      <c r="K332" s="96">
        <f>HLOOKUP($H$5,'Met Data'!$O$2:$T$368,G332,FALSE)</f>
        <v>4.2358684276247196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45372</v>
      </c>
      <c r="Q332">
        <f ca="1"/>
        <v>-15.839754186715124</v>
      </c>
      <c r="R332">
        <f ca="1"/>
        <v>1.8180560528985978</v>
      </c>
      <c r="S332">
        <f ca="1"/>
        <v>6.8868631827937676E-2</v>
      </c>
      <c r="T332">
        <f ca="1"/>
        <v>0.23386705637308908</v>
      </c>
      <c r="U332">
        <f ca="1"/>
        <v>0</v>
      </c>
      <c r="V332">
        <f ca="1"/>
        <v>59.917352700621805</v>
      </c>
      <c r="W332">
        <f ca="1"/>
        <v>54.813281915013285</v>
      </c>
      <c r="X332">
        <f ca="1"/>
        <v>0</v>
      </c>
      <c r="Y332">
        <f ca="1"/>
        <v>0.45915719879035888</v>
      </c>
      <c r="Z332">
        <f ca="1"/>
        <v>0</v>
      </c>
      <c r="AA332">
        <f ca="1"/>
        <v>0</v>
      </c>
      <c r="AB332">
        <f ca="1"/>
        <v>0.99516706177714098</v>
      </c>
      <c r="AD332" s="2">
        <f t="shared" ca="1" si="52"/>
        <v>45372</v>
      </c>
      <c r="AE332">
        <f t="shared" ca="1" si="53"/>
        <v>0</v>
      </c>
      <c r="AG332" s="63">
        <f t="shared" ref="AG332:AG395" ca="1" si="57">Q331+S332+T332+U332</f>
        <v>-14.021698133816527</v>
      </c>
      <c r="AH332" s="63">
        <f t="shared" ref="AH332:AH395" ca="1" si="58">Q332+R332+X332</f>
        <v>-14.021698133816527</v>
      </c>
      <c r="AI332" s="3">
        <f t="shared" ref="AI332:AI395" ca="1" si="59">AH332-AG332</f>
        <v>0</v>
      </c>
    </row>
    <row r="333" spans="7:35">
      <c r="G333" s="3">
        <f t="shared" si="54"/>
        <v>23</v>
      </c>
      <c r="H333" s="95">
        <f t="shared" si="56"/>
        <v>45313</v>
      </c>
      <c r="I333" s="119">
        <f>HLOOKUP($H$5,'Met Data'!$A$2:$F$368,G333,FALSE)</f>
        <v>19.0133333333333</v>
      </c>
      <c r="J333" s="119">
        <f ca="1">HLOOKUP($H$5,'Met Data'!$H$2:$M$368,G333,FALSE)*L333</f>
        <v>3.7366666666666601</v>
      </c>
      <c r="K333" s="96">
        <f>HLOOKUP($H$5,'Met Data'!$O$2:$T$368,G333,FALSE)</f>
        <v>4.0376213451036698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45373</v>
      </c>
      <c r="Q333">
        <f ca="1"/>
        <v>-17.336558783695221</v>
      </c>
      <c r="R333">
        <f ca="1"/>
        <v>1.7955517093009234</v>
      </c>
      <c r="S333">
        <f ca="1"/>
        <v>6.8079807596433284E-2</v>
      </c>
      <c r="T333">
        <f ca="1"/>
        <v>0.23066730472439376</v>
      </c>
      <c r="U333">
        <f ca="1"/>
        <v>0</v>
      </c>
      <c r="V333">
        <f ca="1"/>
        <v>61.712904409922729</v>
      </c>
      <c r="W333">
        <f ca="1"/>
        <v>56.455879219447837</v>
      </c>
      <c r="X333">
        <f ca="1"/>
        <v>0</v>
      </c>
      <c r="Y333">
        <f ca="1"/>
        <v>0.46856026647905719</v>
      </c>
      <c r="Z333">
        <f ca="1"/>
        <v>0</v>
      </c>
      <c r="AA333">
        <f ca="1"/>
        <v>0</v>
      </c>
      <c r="AB333">
        <f ca="1"/>
        <v>0.9957930746437812</v>
      </c>
      <c r="AD333" s="2">
        <f t="shared" ca="1" si="52"/>
        <v>45373</v>
      </c>
      <c r="AE333">
        <f t="shared" ca="1" si="53"/>
        <v>0</v>
      </c>
      <c r="AG333" s="63">
        <f t="shared" ca="1" si="57"/>
        <v>-15.541007074394297</v>
      </c>
      <c r="AH333" s="63">
        <f t="shared" ca="1" si="58"/>
        <v>-15.541007074394297</v>
      </c>
      <c r="AI333" s="3">
        <f t="shared" ca="1" si="59"/>
        <v>0</v>
      </c>
    </row>
    <row r="334" spans="7:35">
      <c r="G334" s="3">
        <f t="shared" si="54"/>
        <v>24</v>
      </c>
      <c r="H334" s="95">
        <f t="shared" si="56"/>
        <v>45314</v>
      </c>
      <c r="I334" s="119">
        <f>HLOOKUP($H$5,'Met Data'!$A$2:$F$368,G334,FALSE)</f>
        <v>19.03</v>
      </c>
      <c r="J334" s="119">
        <f ca="1">HLOOKUP($H$5,'Met Data'!$H$2:$M$368,G334,FALSE)*L334</f>
        <v>2.4266666666666601</v>
      </c>
      <c r="K334" s="96">
        <f>HLOOKUP($H$5,'Met Data'!$O$2:$T$368,G334,FALSE)</f>
        <v>4.3725520099572401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45374</v>
      </c>
      <c r="Q334">
        <f ca="1"/>
        <v>-18.854600238167372</v>
      </c>
      <c r="R334">
        <f ca="1"/>
        <v>1.8087242806825401</v>
      </c>
      <c r="S334">
        <f ca="1"/>
        <v>6.5265966521513619E-2</v>
      </c>
      <c r="T334">
        <f ca="1"/>
        <v>0.22541685968887518</v>
      </c>
      <c r="U334">
        <f ca="1"/>
        <v>0</v>
      </c>
      <c r="V334">
        <f ca="1"/>
        <v>63.521628690605269</v>
      </c>
      <c r="W334">
        <f ca="1"/>
        <v>58.110526987331482</v>
      </c>
      <c r="X334">
        <f ca="1"/>
        <v>0</v>
      </c>
      <c r="Y334">
        <f ca="1"/>
        <v>0.45561702067701471</v>
      </c>
      <c r="Z334">
        <f ca="1"/>
        <v>0</v>
      </c>
      <c r="AA334">
        <f ca="1"/>
        <v>0</v>
      </c>
      <c r="AB334">
        <f ca="1"/>
        <v>0.99633492226514797</v>
      </c>
      <c r="AD334" s="2">
        <f t="shared" ca="1" si="52"/>
        <v>45374</v>
      </c>
      <c r="AE334">
        <f t="shared" ca="1" si="53"/>
        <v>0</v>
      </c>
      <c r="AG334" s="63">
        <f t="shared" ca="1" si="57"/>
        <v>-17.045875957484835</v>
      </c>
      <c r="AH334" s="63">
        <f t="shared" ca="1" si="58"/>
        <v>-17.045875957484832</v>
      </c>
      <c r="AI334" s="3">
        <f t="shared" ca="1" si="59"/>
        <v>0</v>
      </c>
    </row>
    <row r="335" spans="7:35">
      <c r="G335" s="3">
        <f t="shared" si="54"/>
        <v>25</v>
      </c>
      <c r="H335" s="95">
        <f t="shared" si="56"/>
        <v>45315</v>
      </c>
      <c r="I335" s="119">
        <f>HLOOKUP($H$5,'Met Data'!$A$2:$F$368,G335,FALSE)</f>
        <v>19.07</v>
      </c>
      <c r="J335" s="119">
        <f ca="1">HLOOKUP($H$5,'Met Data'!$H$2:$M$368,G335,FALSE)*L335</f>
        <v>3.4166666666666599</v>
      </c>
      <c r="K335" s="96">
        <f>HLOOKUP($H$5,'Met Data'!$O$2:$T$368,G335,FALSE)</f>
        <v>4.19340465226154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45375</v>
      </c>
      <c r="Q335">
        <f ca="1"/>
        <v>-20.404044951887663</v>
      </c>
      <c r="R335">
        <f ca="1"/>
        <v>1.8342432948472975</v>
      </c>
      <c r="S335">
        <f ca="1"/>
        <v>6.2914210867832665E-2</v>
      </c>
      <c r="T335">
        <f ca="1"/>
        <v>0.22188437025917504</v>
      </c>
      <c r="U335">
        <f ca="1"/>
        <v>0</v>
      </c>
      <c r="V335">
        <f ca="1"/>
        <v>65.355871985452566</v>
      </c>
      <c r="W335">
        <f ca="1"/>
        <v>59.788519927432539</v>
      </c>
      <c r="X335">
        <f ca="1"/>
        <v>0</v>
      </c>
      <c r="Y335">
        <f ca="1"/>
        <v>0.44269063824269206</v>
      </c>
      <c r="Z335">
        <f ca="1"/>
        <v>0</v>
      </c>
      <c r="AA335">
        <f ca="1"/>
        <v>0</v>
      </c>
      <c r="AB335">
        <f ca="1"/>
        <v>0.9968076334836693</v>
      </c>
      <c r="AD335" s="2">
        <f t="shared" ca="1" si="52"/>
        <v>45375</v>
      </c>
      <c r="AE335">
        <f t="shared" ca="1" si="53"/>
        <v>0</v>
      </c>
      <c r="AG335" s="63">
        <f t="shared" ca="1" si="57"/>
        <v>-18.569801657040365</v>
      </c>
      <c r="AH335" s="63">
        <f t="shared" ca="1" si="58"/>
        <v>-18.569801657040365</v>
      </c>
      <c r="AI335" s="3">
        <f t="shared" ca="1" si="59"/>
        <v>0</v>
      </c>
    </row>
    <row r="336" spans="7:35">
      <c r="G336" s="3">
        <f t="shared" si="54"/>
        <v>26</v>
      </c>
      <c r="H336" s="95">
        <f t="shared" si="56"/>
        <v>45316</v>
      </c>
      <c r="I336" s="119">
        <f>HLOOKUP($H$5,'Met Data'!$A$2:$F$368,G336,FALSE)</f>
        <v>19.3</v>
      </c>
      <c r="J336" s="119">
        <f ca="1">HLOOKUP($H$5,'Met Data'!$H$2:$M$368,G336,FALSE)*L336</f>
        <v>3.70333333333333</v>
      </c>
      <c r="K336" s="96">
        <f>HLOOKUP($H$5,'Met Data'!$O$2:$T$368,G336,FALSE)</f>
        <v>4.6119458181628401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45376</v>
      </c>
      <c r="Q336">
        <f ca="1"/>
        <v>-21.978766645320359</v>
      </c>
      <c r="R336">
        <f ca="1"/>
        <v>1.8690354089732324</v>
      </c>
      <c r="S336">
        <f ca="1"/>
        <v>6.5416490939021799E-2</v>
      </c>
      <c r="T336">
        <f ca="1"/>
        <v>0.22889722460151504</v>
      </c>
      <c r="U336">
        <f ca="1"/>
        <v>0</v>
      </c>
      <c r="V336">
        <f ca="1"/>
        <v>67.224907394425799</v>
      </c>
      <c r="W336">
        <f ca="1"/>
        <v>61.498341208974708</v>
      </c>
      <c r="X336">
        <f ca="1"/>
        <v>0</v>
      </c>
      <c r="Y336">
        <f ca="1"/>
        <v>0.46197012614860983</v>
      </c>
      <c r="Z336">
        <f ca="1"/>
        <v>0</v>
      </c>
      <c r="AA336">
        <f ca="1"/>
        <v>0</v>
      </c>
      <c r="AB336">
        <f ca="1"/>
        <v>0.99722209372166559</v>
      </c>
      <c r="AD336" s="2">
        <f t="shared" ca="1" si="52"/>
        <v>45376</v>
      </c>
      <c r="AE336">
        <f t="shared" ca="1" si="53"/>
        <v>0</v>
      </c>
      <c r="AG336" s="63">
        <f t="shared" ca="1" si="57"/>
        <v>-20.109731236347127</v>
      </c>
      <c r="AH336" s="63">
        <f t="shared" ca="1" si="58"/>
        <v>-20.109731236347127</v>
      </c>
      <c r="AI336" s="3">
        <f t="shared" ca="1" si="59"/>
        <v>0</v>
      </c>
    </row>
    <row r="337" spans="7:35">
      <c r="G337" s="3">
        <f t="shared" si="54"/>
        <v>27</v>
      </c>
      <c r="H337" s="95">
        <f t="shared" si="56"/>
        <v>45317</v>
      </c>
      <c r="I337" s="119">
        <f>HLOOKUP($H$5,'Met Data'!$A$2:$F$368,G337,FALSE)</f>
        <v>19.418333333333301</v>
      </c>
      <c r="J337" s="119">
        <f ca="1">HLOOKUP($H$5,'Met Data'!$H$2:$M$368,G337,FALSE)*L337</f>
        <v>1.2566666666666599</v>
      </c>
      <c r="K337" s="96">
        <f>HLOOKUP($H$5,'Met Data'!$O$2:$T$368,G337,FALSE)</f>
        <v>4.4486726941054897</v>
      </c>
      <c r="L337">
        <f t="shared" ca="1" si="50"/>
        <v>1</v>
      </c>
      <c r="N337" t="b">
        <f t="shared" ca="1" si="55"/>
        <v>0</v>
      </c>
      <c r="O337" t="b">
        <f t="shared" ca="1" si="51"/>
        <v>0</v>
      </c>
      <c r="P337" s="2">
        <f ca="1"/>
        <v>45377</v>
      </c>
      <c r="Q337">
        <f ca="1"/>
        <v>-23.607018104253761</v>
      </c>
      <c r="R337">
        <f ca="1"/>
        <v>1.912874988180377</v>
      </c>
      <c r="S337">
        <f ca="1"/>
        <v>6.1452742695569995E-2</v>
      </c>
      <c r="T337">
        <f ca="1"/>
        <v>0.22317078655140343</v>
      </c>
      <c r="U337">
        <f ca="1"/>
        <v>0</v>
      </c>
      <c r="V337">
        <f ca="1"/>
        <v>69.137782382606176</v>
      </c>
      <c r="W337">
        <f ca="1"/>
        <v>63.24826758705084</v>
      </c>
      <c r="X337">
        <f ca="1"/>
        <v>0</v>
      </c>
      <c r="Y337">
        <f ca="1"/>
        <v>0.4337491284329596</v>
      </c>
      <c r="Z337">
        <f ca="1"/>
        <v>0</v>
      </c>
      <c r="AA337">
        <f ca="1"/>
        <v>0</v>
      </c>
      <c r="AB337">
        <f ca="1"/>
        <v>0.99758687412904368</v>
      </c>
      <c r="AD337" s="2">
        <f t="shared" ca="1" si="52"/>
        <v>45377</v>
      </c>
      <c r="AE337">
        <f t="shared" ca="1" si="53"/>
        <v>0</v>
      </c>
      <c r="AG337" s="63">
        <f t="shared" ca="1" si="57"/>
        <v>-21.694143116073388</v>
      </c>
      <c r="AH337" s="63">
        <f t="shared" ca="1" si="58"/>
        <v>-21.694143116073384</v>
      </c>
      <c r="AI337" s="3">
        <f t="shared" ca="1" si="59"/>
        <v>0</v>
      </c>
    </row>
    <row r="338" spans="7:35">
      <c r="G338" s="3">
        <f t="shared" si="54"/>
        <v>28</v>
      </c>
      <c r="H338" s="95">
        <f t="shared" si="56"/>
        <v>45318</v>
      </c>
      <c r="I338" s="119">
        <f>HLOOKUP($H$5,'Met Data'!$A$2:$F$368,G338,FALSE)</f>
        <v>19.086666666666599</v>
      </c>
      <c r="J338" s="119">
        <f ca="1">HLOOKUP($H$5,'Met Data'!$H$2:$M$368,G338,FALSE)*L338</f>
        <v>2.65</v>
      </c>
      <c r="K338" s="96">
        <f>HLOOKUP($H$5,'Met Data'!$O$2:$T$368,G338,FALSE)</f>
        <v>4.6925683722845504</v>
      </c>
      <c r="L338">
        <f t="shared" ca="1" si="50"/>
        <v>1</v>
      </c>
      <c r="N338" t="b">
        <f t="shared" ca="1" si="55"/>
        <v>0</v>
      </c>
      <c r="O338" t="b">
        <f t="shared" ca="1" si="51"/>
        <v>0</v>
      </c>
      <c r="P338" s="2">
        <f ca="1"/>
        <v>45378</v>
      </c>
      <c r="Q338">
        <f ca="1"/>
        <v>-25.246143475241812</v>
      </c>
      <c r="R338">
        <f ca="1"/>
        <v>1.9224386869040444</v>
      </c>
      <c r="S338">
        <f ca="1"/>
        <v>6.082174826192599E-2</v>
      </c>
      <c r="T338">
        <f ca="1"/>
        <v>0.22249156765406583</v>
      </c>
      <c r="U338">
        <f ca="1"/>
        <v>0</v>
      </c>
      <c r="V338">
        <f ca="1"/>
        <v>71.06022106951022</v>
      </c>
      <c r="W338">
        <f ca="1"/>
        <v>65.006942978403785</v>
      </c>
      <c r="X338">
        <f ca="1"/>
        <v>0</v>
      </c>
      <c r="Y338">
        <f ca="1"/>
        <v>0.43537120961280401</v>
      </c>
      <c r="Z338">
        <f ca="1"/>
        <v>0</v>
      </c>
      <c r="AA338">
        <f ca="1"/>
        <v>0</v>
      </c>
      <c r="AB338">
        <f ca="1"/>
        <v>0.99790224780266756</v>
      </c>
      <c r="AD338" s="2">
        <f t="shared" ca="1" si="52"/>
        <v>45378</v>
      </c>
      <c r="AE338">
        <f t="shared" ca="1" si="53"/>
        <v>0</v>
      </c>
      <c r="AG338" s="63">
        <f t="shared" ca="1" si="57"/>
        <v>-23.323704788337768</v>
      </c>
      <c r="AH338" s="63">
        <f t="shared" ca="1" si="58"/>
        <v>-23.323704788337768</v>
      </c>
      <c r="AI338" s="3">
        <f t="shared" ca="1" si="59"/>
        <v>0</v>
      </c>
    </row>
    <row r="339" spans="7:35">
      <c r="G339" s="3">
        <f t="shared" si="54"/>
        <v>29</v>
      </c>
      <c r="H339" s="95">
        <f t="shared" si="56"/>
        <v>45319</v>
      </c>
      <c r="I339" s="119">
        <f>HLOOKUP($H$5,'Met Data'!$A$2:$F$368,G339,FALSE)</f>
        <v>19.248333333333299</v>
      </c>
      <c r="J339" s="119">
        <f ca="1">HLOOKUP($H$5,'Met Data'!$H$2:$M$368,G339,FALSE)*L339</f>
        <v>1.81</v>
      </c>
      <c r="K339" s="96">
        <f>HLOOKUP($H$5,'Met Data'!$O$2:$T$368,G339,FALSE)</f>
        <v>4.8021312602016</v>
      </c>
      <c r="L339">
        <f t="shared" ca="1" si="50"/>
        <v>1</v>
      </c>
      <c r="N339" t="b">
        <f t="shared" ca="1" si="55"/>
        <v>0</v>
      </c>
      <c r="O339" t="b">
        <f t="shared" ca="1" si="51"/>
        <v>0</v>
      </c>
      <c r="P339" s="2">
        <f ca="1"/>
        <v>45379</v>
      </c>
      <c r="Q339">
        <f ca="1"/>
        <v>-26.927738685791436</v>
      </c>
      <c r="R339">
        <f ca="1"/>
        <v>1.9722700415315444</v>
      </c>
      <c r="S339">
        <f ca="1"/>
        <v>6.226077725611745E-2</v>
      </c>
      <c r="T339">
        <f ca="1"/>
        <v>0.2284140537258042</v>
      </c>
      <c r="U339">
        <f ca="1"/>
        <v>0</v>
      </c>
      <c r="V339">
        <f ca="1"/>
        <v>73.032491111041764</v>
      </c>
      <c r="W339">
        <f ca="1"/>
        <v>66.811204831212279</v>
      </c>
      <c r="X339">
        <f ca="1"/>
        <v>0</v>
      </c>
      <c r="Y339">
        <f ca="1"/>
        <v>0.44400356080012526</v>
      </c>
      <c r="Z339">
        <f ca="1"/>
        <v>0</v>
      </c>
      <c r="AA339">
        <f ca="1"/>
        <v>0</v>
      </c>
      <c r="AB339">
        <f ca="1"/>
        <v>0.99818061424596816</v>
      </c>
      <c r="AD339" s="2">
        <f t="shared" ca="1" si="52"/>
        <v>45379</v>
      </c>
      <c r="AE339">
        <f t="shared" ca="1" si="53"/>
        <v>0</v>
      </c>
      <c r="AG339" s="63">
        <f t="shared" ca="1" si="57"/>
        <v>-24.955468644259891</v>
      </c>
      <c r="AH339" s="63">
        <f t="shared" ca="1" si="58"/>
        <v>-24.955468644259891</v>
      </c>
      <c r="AI339" s="3">
        <f t="shared" ca="1" si="59"/>
        <v>0</v>
      </c>
    </row>
    <row r="340" spans="7:35">
      <c r="G340" s="3">
        <f t="shared" si="54"/>
        <v>30</v>
      </c>
      <c r="H340" s="95">
        <f t="shared" si="56"/>
        <v>45320</v>
      </c>
      <c r="I340" s="119">
        <f>HLOOKUP($H$5,'Met Data'!$A$2:$F$368,G340,FALSE)</f>
        <v>19.486666666666601</v>
      </c>
      <c r="J340" s="119">
        <f ca="1">HLOOKUP($H$5,'Met Data'!$H$2:$M$368,G340,FALSE)*L340</f>
        <v>2.1066666666666598</v>
      </c>
      <c r="K340" s="96">
        <f>HLOOKUP($H$5,'Met Data'!$O$2:$T$368,G340,FALSE)</f>
        <v>4.81456570354226</v>
      </c>
      <c r="L340">
        <f t="shared" ca="1" si="50"/>
        <v>1</v>
      </c>
      <c r="N340" t="b">
        <f t="shared" ca="1" si="55"/>
        <v>0</v>
      </c>
      <c r="O340" t="b">
        <f t="shared" ca="1" si="51"/>
        <v>0</v>
      </c>
      <c r="P340" s="2">
        <f ca="1"/>
        <v>45380</v>
      </c>
      <c r="Q340">
        <f ca="1"/>
        <v>-28.608387138524826</v>
      </c>
      <c r="R340">
        <f ca="1"/>
        <v>1.956596870036293</v>
      </c>
      <c r="S340">
        <f ca="1"/>
        <v>5.7625001167856738E-2</v>
      </c>
      <c r="T340">
        <f ca="1"/>
        <v>0.21832341613504758</v>
      </c>
      <c r="U340">
        <f ca="1"/>
        <v>0</v>
      </c>
      <c r="V340">
        <f ca="1"/>
        <v>74.989087981078058</v>
      </c>
      <c r="W340">
        <f ca="1"/>
        <v>68.60112863454178</v>
      </c>
      <c r="X340">
        <f ca="1"/>
        <v>0</v>
      </c>
      <c r="Y340">
        <f ca="1"/>
        <v>0.42092006453200015</v>
      </c>
      <c r="Z340">
        <f ca="1"/>
        <v>0</v>
      </c>
      <c r="AA340">
        <f ca="1"/>
        <v>0</v>
      </c>
      <c r="AB340">
        <f ca="1"/>
        <v>0.99841841481246374</v>
      </c>
      <c r="AD340" s="2">
        <f t="shared" ca="1" si="52"/>
        <v>45380</v>
      </c>
      <c r="AE340">
        <f t="shared" ca="1" si="53"/>
        <v>0</v>
      </c>
      <c r="AG340" s="63">
        <f t="shared" ca="1" si="57"/>
        <v>-26.651790268488533</v>
      </c>
      <c r="AH340" s="63">
        <f t="shared" ca="1" si="58"/>
        <v>-26.651790268488533</v>
      </c>
      <c r="AI340" s="3">
        <f t="shared" ca="1" si="59"/>
        <v>0</v>
      </c>
    </row>
    <row r="341" spans="7:35">
      <c r="G341" s="3">
        <f t="shared" si="54"/>
        <v>31</v>
      </c>
      <c r="H341" s="95">
        <f t="shared" si="56"/>
        <v>45321</v>
      </c>
      <c r="I341" s="119">
        <f>HLOOKUP($H$5,'Met Data'!$A$2:$F$368,G341,FALSE)</f>
        <v>19.725000000000001</v>
      </c>
      <c r="J341" s="119">
        <f ca="1">HLOOKUP($H$5,'Met Data'!$H$2:$M$368,G341,FALSE)*L341</f>
        <v>3.1033333333333299</v>
      </c>
      <c r="K341" s="96">
        <f>HLOOKUP($H$5,'Met Data'!$O$2:$T$368,G341,FALSE)</f>
        <v>4.4640725934925003</v>
      </c>
      <c r="L341">
        <f t="shared" ca="1" si="50"/>
        <v>1</v>
      </c>
      <c r="N341" t="b">
        <f t="shared" ca="1" si="55"/>
        <v>0</v>
      </c>
      <c r="O341" t="b">
        <f t="shared" ca="1" si="51"/>
        <v>0</v>
      </c>
      <c r="P341" s="2">
        <f ca="1"/>
        <v>45381</v>
      </c>
      <c r="Q341">
        <f ca="1"/>
        <v>-30.2685887782186</v>
      </c>
      <c r="R341">
        <f ca="1"/>
        <v>1.9364581558112803</v>
      </c>
      <c r="S341">
        <f ca="1"/>
        <v>5.7943193979063778E-2</v>
      </c>
      <c r="T341">
        <f ca="1"/>
        <v>0.21831332213844123</v>
      </c>
      <c r="U341">
        <f ca="1"/>
        <v>0</v>
      </c>
      <c r="V341">
        <f ca="1"/>
        <v>76.925546136889338</v>
      </c>
      <c r="W341">
        <f ca="1"/>
        <v>70.372629243746914</v>
      </c>
      <c r="X341">
        <f ca="1"/>
        <v>0</v>
      </c>
      <c r="Y341">
        <f ca="1"/>
        <v>0.4338592513273361</v>
      </c>
      <c r="Z341">
        <f ca="1"/>
        <v>0</v>
      </c>
      <c r="AA341">
        <f ca="1"/>
        <v>0</v>
      </c>
      <c r="AB341">
        <f ca="1"/>
        <v>0.99862177907811089</v>
      </c>
      <c r="AD341" s="2">
        <f t="shared" ca="1" si="52"/>
        <v>45381</v>
      </c>
      <c r="AE341">
        <f t="shared" ca="1" si="53"/>
        <v>0</v>
      </c>
      <c r="AG341" s="63">
        <f t="shared" ca="1" si="57"/>
        <v>-28.33213062240732</v>
      </c>
      <c r="AH341" s="63">
        <f t="shared" ca="1" si="58"/>
        <v>-28.33213062240732</v>
      </c>
      <c r="AI341" s="3">
        <f t="shared" ca="1" si="59"/>
        <v>0</v>
      </c>
    </row>
    <row r="342" spans="7:35">
      <c r="G342" s="3">
        <f t="shared" si="54"/>
        <v>32</v>
      </c>
      <c r="H342" s="95">
        <f t="shared" si="56"/>
        <v>45322</v>
      </c>
      <c r="I342" s="119">
        <f>HLOOKUP($H$5,'Met Data'!$A$2:$F$368,G342,FALSE)</f>
        <v>19.670000000000002</v>
      </c>
      <c r="J342" s="119">
        <f ca="1">HLOOKUP($H$5,'Met Data'!$H$2:$M$368,G342,FALSE)*L342</f>
        <v>2.7466666666666599</v>
      </c>
      <c r="K342" s="96">
        <f>HLOOKUP($H$5,'Met Data'!$O$2:$T$368,G342,FALSE)</f>
        <v>4.1799437739427896</v>
      </c>
      <c r="L342">
        <f t="shared" ca="1" si="50"/>
        <v>1</v>
      </c>
      <c r="N342" t="b">
        <f t="shared" ca="1" si="55"/>
        <v>0</v>
      </c>
      <c r="O342" t="b">
        <f t="shared" ca="1" si="51"/>
        <v>0</v>
      </c>
      <c r="P342" s="2">
        <f ca="1"/>
        <v>45382</v>
      </c>
      <c r="Q342">
        <f ca="1"/>
        <v>-31.90427257152934</v>
      </c>
      <c r="R342">
        <f ca="1"/>
        <v>1.900969735426969</v>
      </c>
      <c r="S342">
        <f ca="1"/>
        <v>5.4822959607255584E-2</v>
      </c>
      <c r="T342">
        <f ca="1"/>
        <v>0.21046298250897194</v>
      </c>
      <c r="U342">
        <f ca="1"/>
        <v>0</v>
      </c>
      <c r="V342">
        <f ca="1"/>
        <v>78.826515872316307</v>
      </c>
      <c r="W342">
        <f ca="1"/>
        <v>72.111664520230107</v>
      </c>
      <c r="X342">
        <f ca="1"/>
        <v>0</v>
      </c>
      <c r="Y342">
        <f ca="1"/>
        <v>0.42312171668089615</v>
      </c>
      <c r="Z342">
        <f ca="1"/>
        <v>0</v>
      </c>
      <c r="AA342">
        <f ca="1"/>
        <v>0</v>
      </c>
      <c r="AB342">
        <f ca="1"/>
        <v>0.99879496364022469</v>
      </c>
      <c r="AD342" s="2">
        <f t="shared" ca="1" si="52"/>
        <v>45382</v>
      </c>
      <c r="AE342">
        <f t="shared" ca="1" si="53"/>
        <v>0</v>
      </c>
      <c r="AG342" s="63">
        <f t="shared" ca="1" si="57"/>
        <v>-30.003302836102371</v>
      </c>
      <c r="AH342" s="63">
        <f t="shared" ca="1" si="58"/>
        <v>-30.003302836102371</v>
      </c>
      <c r="AI342" s="3">
        <f t="shared" ca="1" si="59"/>
        <v>0</v>
      </c>
    </row>
    <row r="343" spans="7:35">
      <c r="G343" s="3">
        <f t="shared" si="54"/>
        <v>33</v>
      </c>
      <c r="H343" s="95">
        <f t="shared" si="56"/>
        <v>45323</v>
      </c>
      <c r="I343" s="119">
        <f>HLOOKUP($H$5,'Met Data'!$A$2:$F$368,G343,FALSE)</f>
        <v>19.770689655172401</v>
      </c>
      <c r="J343" s="119">
        <f ca="1">HLOOKUP($H$5,'Met Data'!$H$2:$M$368,G343,FALSE)*L343</f>
        <v>1.1103448275862</v>
      </c>
      <c r="K343" s="96">
        <f>HLOOKUP($H$5,'Met Data'!$O$2:$T$368,G343,FALSE)</f>
        <v>4.5867414057587403</v>
      </c>
      <c r="L343">
        <f t="shared" ca="1" si="50"/>
        <v>1</v>
      </c>
      <c r="N343" t="b">
        <f t="shared" ca="1" si="55"/>
        <v>0</v>
      </c>
      <c r="O343" t="b">
        <f t="shared" ca="1" si="51"/>
        <v>0</v>
      </c>
      <c r="P343" s="2">
        <f ca="1"/>
        <v>45383</v>
      </c>
      <c r="Q343">
        <f ca="1"/>
        <v>-33.52973924770194</v>
      </c>
      <c r="R343">
        <f ca="1"/>
        <v>1.8959845816588512</v>
      </c>
      <c r="S343">
        <f ca="1"/>
        <v>5.6367858973002782E-2</v>
      </c>
      <c r="T343">
        <f ca="1"/>
        <v>0.21415004651325162</v>
      </c>
      <c r="U343">
        <f ca="1"/>
        <v>0</v>
      </c>
      <c r="V343">
        <f ca="1"/>
        <v>80.722500453975158</v>
      </c>
      <c r="W343">
        <f ca="1"/>
        <v>73.846139304192093</v>
      </c>
      <c r="X343">
        <f ca="1"/>
        <v>0</v>
      </c>
      <c r="Y343">
        <f ca="1"/>
        <v>0.44231776769269437</v>
      </c>
      <c r="Z343">
        <f ca="1"/>
        <v>0</v>
      </c>
      <c r="AA343">
        <f ca="1"/>
        <v>0</v>
      </c>
      <c r="AB343">
        <f ca="1"/>
        <v>0.99894528823859463</v>
      </c>
      <c r="AD343" s="2">
        <f t="shared" ca="1" si="52"/>
        <v>45383</v>
      </c>
      <c r="AE343">
        <f t="shared" ca="1" si="53"/>
        <v>0</v>
      </c>
      <c r="AG343" s="63">
        <f t="shared" ca="1" si="57"/>
        <v>-31.633754666043085</v>
      </c>
      <c r="AH343" s="63">
        <f t="shared" ca="1" si="58"/>
        <v>-31.633754666043089</v>
      </c>
      <c r="AI343" s="3">
        <f t="shared" ca="1" si="59"/>
        <v>0</v>
      </c>
    </row>
    <row r="344" spans="7:35">
      <c r="G344" s="3">
        <f t="shared" si="54"/>
        <v>34</v>
      </c>
      <c r="H344" s="95">
        <f t="shared" si="56"/>
        <v>45324</v>
      </c>
      <c r="I344" s="119">
        <f>HLOOKUP($H$5,'Met Data'!$A$2:$F$368,G344,FALSE)</f>
        <v>19.548275862068898</v>
      </c>
      <c r="J344" s="119">
        <f ca="1">HLOOKUP($H$5,'Met Data'!$H$2:$M$368,G344,FALSE)*L344</f>
        <v>4.0620689655172404</v>
      </c>
      <c r="K344" s="96">
        <f>HLOOKUP($H$5,'Met Data'!$O$2:$T$368,G344,FALSE)</f>
        <v>4.65070177511826</v>
      </c>
      <c r="L344">
        <f t="shared" ca="1" si="50"/>
        <v>1</v>
      </c>
      <c r="N344" t="b">
        <f t="shared" ca="1" si="55"/>
        <v>0</v>
      </c>
      <c r="O344" t="b">
        <f t="shared" ca="1" si="51"/>
        <v>0</v>
      </c>
      <c r="P344" s="2">
        <f ca="1"/>
        <v>45384</v>
      </c>
      <c r="Q344">
        <f ca="1"/>
        <v>-35.183442950941625</v>
      </c>
      <c r="R344">
        <f ca="1"/>
        <v>1.930004978403133</v>
      </c>
      <c r="S344">
        <f ca="1"/>
        <v>5.7351827803548971E-2</v>
      </c>
      <c r="T344">
        <f ca="1"/>
        <v>0.21894944735989536</v>
      </c>
      <c r="U344">
        <f ca="1"/>
        <v>0</v>
      </c>
      <c r="V344">
        <f ca="1"/>
        <v>82.652505432378291</v>
      </c>
      <c r="W344">
        <f ca="1"/>
        <v>75.611736451101621</v>
      </c>
      <c r="X344">
        <f ca="1"/>
        <v>0</v>
      </c>
      <c r="Y344">
        <f ca="1"/>
        <v>0.45003581073423299</v>
      </c>
      <c r="Z344">
        <f ca="1"/>
        <v>0</v>
      </c>
      <c r="AA344">
        <f ca="1"/>
        <v>0</v>
      </c>
      <c r="AB344">
        <f ca="1"/>
        <v>0.99907853069310981</v>
      </c>
      <c r="AD344" s="2">
        <f t="shared" ca="1" si="52"/>
        <v>45384</v>
      </c>
      <c r="AE344">
        <f t="shared" ca="1" si="53"/>
        <v>0</v>
      </c>
      <c r="AG344" s="63">
        <f t="shared" ca="1" si="57"/>
        <v>-33.253437972538492</v>
      </c>
      <c r="AH344" s="63">
        <f t="shared" ca="1" si="58"/>
        <v>-33.253437972538492</v>
      </c>
      <c r="AI344" s="3">
        <f t="shared" ca="1" si="59"/>
        <v>0</v>
      </c>
    </row>
    <row r="345" spans="7:35">
      <c r="G345" s="3">
        <f t="shared" si="54"/>
        <v>35</v>
      </c>
      <c r="H345" s="95">
        <f t="shared" si="56"/>
        <v>45325</v>
      </c>
      <c r="I345" s="119">
        <f>HLOOKUP($H$5,'Met Data'!$A$2:$F$368,G345,FALSE)</f>
        <v>19.325862068965499</v>
      </c>
      <c r="J345" s="119">
        <f ca="1">HLOOKUP($H$5,'Met Data'!$H$2:$M$368,G345,FALSE)*L345</f>
        <v>1.00344827586206</v>
      </c>
      <c r="K345" s="96">
        <f>HLOOKUP($H$5,'Met Data'!$O$2:$T$368,G345,FALSE)</f>
        <v>4.2568283320677196</v>
      </c>
      <c r="L345">
        <f t="shared" ca="1" si="50"/>
        <v>1</v>
      </c>
      <c r="N345" t="b">
        <f t="shared" ca="1" si="55"/>
        <v>0</v>
      </c>
      <c r="O345" t="b">
        <f t="shared" ca="1" si="51"/>
        <v>0</v>
      </c>
      <c r="P345" s="2">
        <f ca="1"/>
        <v>45385</v>
      </c>
      <c r="Q345">
        <f ca="1"/>
        <v>-36.793288867378486</v>
      </c>
      <c r="R345">
        <f ca="1"/>
        <v>1.8699683040854325</v>
      </c>
      <c r="S345">
        <f ca="1"/>
        <v>5.2944421166394307E-2</v>
      </c>
      <c r="T345">
        <f ca="1"/>
        <v>0.20717796648218093</v>
      </c>
      <c r="U345">
        <f ca="1"/>
        <v>0</v>
      </c>
      <c r="V345">
        <f ca="1"/>
        <v>84.522473736463724</v>
      </c>
      <c r="W345">
        <f ca="1"/>
        <v>77.322411158913113</v>
      </c>
      <c r="X345">
        <f ca="1"/>
        <v>0</v>
      </c>
      <c r="Y345">
        <f ca="1"/>
        <v>0.43183366449804755</v>
      </c>
      <c r="Z345">
        <f ca="1"/>
        <v>0</v>
      </c>
      <c r="AA345">
        <f ca="1"/>
        <v>0</v>
      </c>
      <c r="AB345">
        <f ca="1"/>
        <v>0.99919119657423616</v>
      </c>
      <c r="AD345" s="2">
        <f t="shared" ca="1" si="52"/>
        <v>45385</v>
      </c>
      <c r="AE345">
        <f t="shared" ca="1" si="53"/>
        <v>0</v>
      </c>
      <c r="AG345" s="63">
        <f t="shared" ca="1" si="57"/>
        <v>-34.923320563293053</v>
      </c>
      <c r="AH345" s="63">
        <f t="shared" ca="1" si="58"/>
        <v>-34.923320563293053</v>
      </c>
      <c r="AI345" s="3">
        <f t="shared" ca="1" si="59"/>
        <v>0</v>
      </c>
    </row>
    <row r="346" spans="7:35">
      <c r="G346" s="3">
        <f t="shared" si="54"/>
        <v>36</v>
      </c>
      <c r="H346" s="95">
        <f t="shared" si="56"/>
        <v>45326</v>
      </c>
      <c r="I346" s="119">
        <f>HLOOKUP($H$5,'Met Data'!$A$2:$F$368,G346,FALSE)</f>
        <v>18.712068965517201</v>
      </c>
      <c r="J346" s="119">
        <f ca="1">HLOOKUP($H$5,'Met Data'!$H$2:$M$368,G346,FALSE)*L346</f>
        <v>4.7586206896551699</v>
      </c>
      <c r="K346" s="96">
        <f>HLOOKUP($H$5,'Met Data'!$O$2:$T$368,G346,FALSE)</f>
        <v>3.6726350990735899</v>
      </c>
      <c r="L346">
        <f t="shared" ca="1" si="50"/>
        <v>1</v>
      </c>
      <c r="N346" t="b">
        <f t="shared" ca="1" si="55"/>
        <v>0</v>
      </c>
      <c r="O346" t="b">
        <f t="shared" ca="1" si="51"/>
        <v>0</v>
      </c>
      <c r="P346" s="2">
        <f ca="1"/>
        <v>45386</v>
      </c>
      <c r="Q346">
        <f ca="1"/>
        <v>-38.411591957542463</v>
      </c>
      <c r="R346">
        <f ca="1"/>
        <v>1.873065130813103</v>
      </c>
      <c r="S346">
        <f ca="1"/>
        <v>5.0903591496727074E-2</v>
      </c>
      <c r="T346">
        <f ca="1"/>
        <v>0.20385844915239945</v>
      </c>
      <c r="U346">
        <f ca="1"/>
        <v>0</v>
      </c>
      <c r="V346">
        <f ca="1"/>
        <v>86.395538867276827</v>
      </c>
      <c r="W346">
        <f ca="1"/>
        <v>79.035918889693988</v>
      </c>
      <c r="X346">
        <f ca="1"/>
        <v>0</v>
      </c>
      <c r="Y346">
        <f ca="1"/>
        <v>0.4198162699681724</v>
      </c>
      <c r="Z346">
        <f ca="1"/>
        <v>0</v>
      </c>
      <c r="AA346">
        <f ca="1"/>
        <v>0</v>
      </c>
      <c r="AB346">
        <f ca="1"/>
        <v>0.99929001483170421</v>
      </c>
      <c r="AD346" s="2">
        <f t="shared" ca="1" si="52"/>
        <v>45386</v>
      </c>
      <c r="AE346">
        <f t="shared" ca="1" si="53"/>
        <v>0</v>
      </c>
      <c r="AG346" s="63">
        <f t="shared" ca="1" si="57"/>
        <v>-36.53852682672936</v>
      </c>
      <c r="AH346" s="63">
        <f t="shared" ca="1" si="58"/>
        <v>-36.53852682672936</v>
      </c>
      <c r="AI346" s="3">
        <f t="shared" ca="1" si="59"/>
        <v>0</v>
      </c>
    </row>
    <row r="347" spans="7:35">
      <c r="G347" s="3">
        <f t="shared" si="54"/>
        <v>37</v>
      </c>
      <c r="H347" s="95">
        <f t="shared" si="56"/>
        <v>45327</v>
      </c>
      <c r="I347" s="119">
        <f>HLOOKUP($H$5,'Met Data'!$A$2:$F$368,G347,FALSE)</f>
        <v>19.178333333333299</v>
      </c>
      <c r="J347" s="119">
        <f ca="1">HLOOKUP($H$5,'Met Data'!$H$2:$M$368,G347,FALSE)*L347</f>
        <v>2.2833333333333301</v>
      </c>
      <c r="K347" s="96">
        <f>HLOOKUP($H$5,'Met Data'!$O$2:$T$368,G347,FALSE)</f>
        <v>4.0355922642947899</v>
      </c>
      <c r="L347">
        <f t="shared" ca="1" si="50"/>
        <v>1</v>
      </c>
      <c r="N347" t="b">
        <f t="shared" ca="1" si="55"/>
        <v>0</v>
      </c>
      <c r="O347" t="b">
        <f t="shared" ca="1" si="51"/>
        <v>0</v>
      </c>
      <c r="P347" s="2">
        <f ca="1"/>
        <v>45387</v>
      </c>
      <c r="Q347">
        <f ca="1"/>
        <v>-40.028828248828312</v>
      </c>
      <c r="R347">
        <f ca="1"/>
        <v>1.8775846328494481</v>
      </c>
      <c r="S347">
        <f ca="1"/>
        <v>5.2260724164822747E-2</v>
      </c>
      <c r="T347">
        <f ca="1"/>
        <v>0.20808761739877771</v>
      </c>
      <c r="U347">
        <f ca="1"/>
        <v>0</v>
      </c>
      <c r="V347">
        <f ca="1"/>
        <v>88.273123500126275</v>
      </c>
      <c r="W347">
        <f ca="1"/>
        <v>80.753561127893306</v>
      </c>
      <c r="X347">
        <f ca="1"/>
        <v>0</v>
      </c>
      <c r="Y347">
        <f ca="1"/>
        <v>0.43535176539073966</v>
      </c>
      <c r="Z347">
        <f ca="1"/>
        <v>0</v>
      </c>
      <c r="AA347">
        <f ca="1"/>
        <v>0</v>
      </c>
      <c r="AB347">
        <f ca="1"/>
        <v>0.99937682717367271</v>
      </c>
      <c r="AD347" s="2">
        <f t="shared" ca="1" si="52"/>
        <v>45387</v>
      </c>
      <c r="AE347">
        <f t="shared" ca="1" si="53"/>
        <v>0</v>
      </c>
      <c r="AG347" s="63">
        <f t="shared" ca="1" si="57"/>
        <v>-38.151243615978863</v>
      </c>
      <c r="AH347" s="63">
        <f t="shared" ca="1" si="58"/>
        <v>-38.151243615978863</v>
      </c>
      <c r="AI347" s="3">
        <f t="shared" ca="1" si="59"/>
        <v>0</v>
      </c>
    </row>
    <row r="348" spans="7:35">
      <c r="G348" s="3">
        <f t="shared" si="54"/>
        <v>38</v>
      </c>
      <c r="H348" s="95">
        <f t="shared" si="56"/>
        <v>45328</v>
      </c>
      <c r="I348" s="119">
        <f>HLOOKUP($H$5,'Met Data'!$A$2:$F$368,G348,FALSE)</f>
        <v>19.063333333333301</v>
      </c>
      <c r="J348" s="119">
        <f ca="1">HLOOKUP($H$5,'Met Data'!$H$2:$M$368,G348,FALSE)*L348</f>
        <v>0.35</v>
      </c>
      <c r="K348" s="96">
        <f>HLOOKUP($H$5,'Met Data'!$O$2:$T$368,G348,FALSE)</f>
        <v>4.5836031413853302</v>
      </c>
      <c r="L348">
        <f t="shared" ca="1" si="50"/>
        <v>1</v>
      </c>
      <c r="N348" t="b">
        <f t="shared" ca="1" si="55"/>
        <v>0</v>
      </c>
      <c r="O348" t="b">
        <f t="shared" ca="1" si="51"/>
        <v>0</v>
      </c>
      <c r="P348" s="2">
        <f ca="1"/>
        <v>45388</v>
      </c>
      <c r="Q348">
        <f ca="1"/>
        <v>-41.642504572417671</v>
      </c>
      <c r="R348">
        <f ca="1"/>
        <v>1.872291998269219</v>
      </c>
      <c r="S348">
        <f ca="1"/>
        <v>5.1440345061871895E-2</v>
      </c>
      <c r="T348">
        <f ca="1"/>
        <v>0.20717532961798638</v>
      </c>
      <c r="U348">
        <f ca="1"/>
        <v>0</v>
      </c>
      <c r="V348">
        <f ca="1"/>
        <v>90.145415498395494</v>
      </c>
      <c r="W348">
        <f ca="1"/>
        <v>82.466361585569217</v>
      </c>
      <c r="X348">
        <f ca="1"/>
        <v>0</v>
      </c>
      <c r="Y348">
        <f ca="1"/>
        <v>0.43445867451972647</v>
      </c>
      <c r="Z348">
        <f ca="1"/>
        <v>0</v>
      </c>
      <c r="AA348">
        <f ca="1"/>
        <v>0</v>
      </c>
      <c r="AB348">
        <f ca="1"/>
        <v>0.99945277236190067</v>
      </c>
      <c r="AD348" s="2">
        <f t="shared" ca="1" si="52"/>
        <v>45388</v>
      </c>
      <c r="AE348">
        <f t="shared" ca="1" si="53"/>
        <v>0</v>
      </c>
      <c r="AG348" s="63">
        <f t="shared" ca="1" si="57"/>
        <v>-39.770212574148452</v>
      </c>
      <c r="AH348" s="63">
        <f t="shared" ca="1" si="58"/>
        <v>-39.770212574148452</v>
      </c>
      <c r="AI348" s="3">
        <f t="shared" ca="1" si="59"/>
        <v>0</v>
      </c>
    </row>
    <row r="349" spans="7:35">
      <c r="G349" s="3">
        <f t="shared" si="54"/>
        <v>39</v>
      </c>
      <c r="H349" s="95">
        <f t="shared" si="56"/>
        <v>45329</v>
      </c>
      <c r="I349" s="119">
        <f>HLOOKUP($H$5,'Met Data'!$A$2:$F$368,G349,FALSE)</f>
        <v>19.164999999999999</v>
      </c>
      <c r="J349" s="119">
        <f ca="1">HLOOKUP($H$5,'Met Data'!$H$2:$M$368,G349,FALSE)*L349</f>
        <v>0.80666666666666598</v>
      </c>
      <c r="K349" s="96">
        <f>HLOOKUP($H$5,'Met Data'!$O$2:$T$368,G349,FALSE)</f>
        <v>4.2844164584952198</v>
      </c>
      <c r="L349">
        <f t="shared" ca="1" si="50"/>
        <v>1</v>
      </c>
      <c r="N349" t="b">
        <f t="shared" ca="1" si="55"/>
        <v>0</v>
      </c>
      <c r="O349" t="b">
        <f t="shared" ca="1" si="51"/>
        <v>0</v>
      </c>
      <c r="P349" s="2">
        <f ca="1"/>
        <v>45389</v>
      </c>
      <c r="Q349">
        <f ca="1"/>
        <v>-43.214319284146427</v>
      </c>
      <c r="R349">
        <f ca="1"/>
        <v>1.8296398115035828</v>
      </c>
      <c r="S349">
        <f ca="1"/>
        <v>5.1454525960204833E-2</v>
      </c>
      <c r="T349">
        <f ca="1"/>
        <v>0.20637057381462245</v>
      </c>
      <c r="U349">
        <f ca="1"/>
        <v>0</v>
      </c>
      <c r="V349">
        <f ca="1"/>
        <v>91.975055309899076</v>
      </c>
      <c r="W349">
        <f ca="1"/>
        <v>84.140143190907679</v>
      </c>
      <c r="X349">
        <f ca="1"/>
        <v>0</v>
      </c>
      <c r="Y349">
        <f ca="1"/>
        <v>0.44729943721396803</v>
      </c>
      <c r="Z349">
        <f ca="1"/>
        <v>0</v>
      </c>
      <c r="AA349">
        <f ca="1"/>
        <v>0</v>
      </c>
      <c r="AB349">
        <f ca="1"/>
        <v>0.99951804543575096</v>
      </c>
      <c r="AD349" s="2">
        <f t="shared" ca="1" si="52"/>
        <v>45389</v>
      </c>
      <c r="AE349">
        <f t="shared" ca="1" si="53"/>
        <v>0</v>
      </c>
      <c r="AG349" s="63">
        <f t="shared" ca="1" si="57"/>
        <v>-41.384679472642844</v>
      </c>
      <c r="AH349" s="63">
        <f t="shared" ca="1" si="58"/>
        <v>-41.384679472642844</v>
      </c>
      <c r="AI349" s="3">
        <f t="shared" ca="1" si="59"/>
        <v>0</v>
      </c>
    </row>
    <row r="350" spans="7:35">
      <c r="G350" s="3">
        <f t="shared" si="54"/>
        <v>40</v>
      </c>
      <c r="H350" s="95">
        <f t="shared" si="56"/>
        <v>45330</v>
      </c>
      <c r="I350" s="119">
        <f>HLOOKUP($H$5,'Met Data'!$A$2:$F$368,G350,FALSE)</f>
        <v>19.145</v>
      </c>
      <c r="J350" s="119">
        <f ca="1">HLOOKUP($H$5,'Met Data'!$H$2:$M$368,G350,FALSE)*L350</f>
        <v>2.1066666666666598</v>
      </c>
      <c r="K350" s="96">
        <f>HLOOKUP($H$5,'Met Data'!$O$2:$T$368,G350,FALSE)</f>
        <v>4.0819751344129296</v>
      </c>
      <c r="L350">
        <f t="shared" ca="1" si="50"/>
        <v>1</v>
      </c>
      <c r="N350" t="b">
        <f t="shared" ca="1" si="55"/>
        <v>0</v>
      </c>
      <c r="O350" t="b">
        <f t="shared" ca="1" si="51"/>
        <v>0</v>
      </c>
      <c r="P350" s="2">
        <f ca="1"/>
        <v>45390</v>
      </c>
      <c r="Q350">
        <f ca="1"/>
        <v>-44.726501330140806</v>
      </c>
      <c r="R350">
        <f ca="1"/>
        <v>1.7794917191269093</v>
      </c>
      <c r="S350">
        <f ca="1"/>
        <v>5.4484466297219925E-2</v>
      </c>
      <c r="T350">
        <f ca="1"/>
        <v>0.21282520683530981</v>
      </c>
      <c r="U350">
        <f ca="1"/>
        <v>0</v>
      </c>
      <c r="V350">
        <f ca="1"/>
        <v>93.754547029025986</v>
      </c>
      <c r="W350">
        <f ca="1"/>
        <v>85.768048578405256</v>
      </c>
      <c r="X350">
        <f ca="1"/>
        <v>0</v>
      </c>
      <c r="Y350">
        <f ca="1"/>
        <v>0.48904228049258769</v>
      </c>
      <c r="Z350">
        <f ca="1"/>
        <v>0</v>
      </c>
      <c r="AA350">
        <f ca="1"/>
        <v>0</v>
      </c>
      <c r="AB350">
        <f ca="1"/>
        <v>0.9995741016404398</v>
      </c>
      <c r="AD350" s="2">
        <f t="shared" ca="1" si="52"/>
        <v>45390</v>
      </c>
      <c r="AE350">
        <f t="shared" ca="1" si="53"/>
        <v>0</v>
      </c>
      <c r="AG350" s="63">
        <f t="shared" ca="1" si="57"/>
        <v>-42.947009611013897</v>
      </c>
      <c r="AH350" s="63">
        <f t="shared" ca="1" si="58"/>
        <v>-42.947009611013897</v>
      </c>
      <c r="AI350" s="3">
        <f t="shared" ca="1" si="59"/>
        <v>0</v>
      </c>
    </row>
    <row r="351" spans="7:35">
      <c r="G351" s="3">
        <f t="shared" si="54"/>
        <v>41</v>
      </c>
      <c r="H351" s="95">
        <f t="shared" si="56"/>
        <v>45331</v>
      </c>
      <c r="I351" s="119">
        <f>HLOOKUP($H$5,'Met Data'!$A$2:$F$368,G351,FALSE)</f>
        <v>19.28</v>
      </c>
      <c r="J351" s="119">
        <f ca="1">HLOOKUP($H$5,'Met Data'!$H$2:$M$368,G351,FALSE)*L351</f>
        <v>1.1200000000000001</v>
      </c>
      <c r="K351" s="96">
        <f>HLOOKUP($H$5,'Met Data'!$O$2:$T$368,G351,FALSE)</f>
        <v>4.260490854165</v>
      </c>
      <c r="L351">
        <f t="shared" ca="1" si="50"/>
        <v>1</v>
      </c>
      <c r="N351" t="b">
        <f t="shared" ca="1" si="55"/>
        <v>0</v>
      </c>
      <c r="O351" t="b">
        <f t="shared" ca="1" si="51"/>
        <v>0</v>
      </c>
      <c r="P351" s="2">
        <f ca="1"/>
        <v>45391</v>
      </c>
      <c r="Q351">
        <f ca="1"/>
        <v>-46.220723283064835</v>
      </c>
      <c r="R351">
        <f ca="1"/>
        <v>1.7610760940554826</v>
      </c>
      <c r="S351">
        <f ca="1"/>
        <v>5.4078666109228735E-2</v>
      </c>
      <c r="T351">
        <f ca="1"/>
        <v>0.21277547502222643</v>
      </c>
      <c r="U351">
        <f ca="1"/>
        <v>0</v>
      </c>
      <c r="V351">
        <f ca="1"/>
        <v>95.515623123081468</v>
      </c>
      <c r="W351">
        <f ca="1"/>
        <v>87.37910707926342</v>
      </c>
      <c r="X351">
        <f ca="1"/>
        <v>0</v>
      </c>
      <c r="Y351">
        <f ca="1"/>
        <v>0.49463485236960997</v>
      </c>
      <c r="Z351">
        <f ca="1"/>
        <v>0</v>
      </c>
      <c r="AA351">
        <f ca="1"/>
        <v>0</v>
      </c>
      <c r="AB351">
        <f ca="1"/>
        <v>0.99962323421855614</v>
      </c>
      <c r="AD351" s="2">
        <f t="shared" ca="1" si="52"/>
        <v>45391</v>
      </c>
      <c r="AE351">
        <f t="shared" ca="1" si="53"/>
        <v>0</v>
      </c>
      <c r="AG351" s="63">
        <f t="shared" ca="1" si="57"/>
        <v>-44.459647189009353</v>
      </c>
      <c r="AH351" s="63">
        <f t="shared" ca="1" si="58"/>
        <v>-44.459647189009353</v>
      </c>
      <c r="AI351" s="3">
        <f t="shared" ca="1" si="59"/>
        <v>0</v>
      </c>
    </row>
    <row r="352" spans="7:35">
      <c r="G352" s="3">
        <f t="shared" si="54"/>
        <v>42</v>
      </c>
      <c r="H352" s="95">
        <f t="shared" si="56"/>
        <v>45332</v>
      </c>
      <c r="I352" s="119">
        <f>HLOOKUP($H$5,'Met Data'!$A$2:$F$368,G352,FALSE)</f>
        <v>19.6533333333333</v>
      </c>
      <c r="J352" s="119">
        <f ca="1">HLOOKUP($H$5,'Met Data'!$H$2:$M$368,G352,FALSE)*L352</f>
        <v>1.4866666666666599</v>
      </c>
      <c r="K352" s="96">
        <f>HLOOKUP($H$5,'Met Data'!$O$2:$T$368,G352,FALSE)</f>
        <v>3.7833097987788902</v>
      </c>
      <c r="L352">
        <f t="shared" ca="1" si="50"/>
        <v>1</v>
      </c>
      <c r="N352" t="b">
        <f t="shared" ca="1" si="55"/>
        <v>0</v>
      </c>
      <c r="O352" t="b">
        <f t="shared" ca="1" si="51"/>
        <v>0</v>
      </c>
      <c r="P352" s="2">
        <f ca="1"/>
        <v>45392</v>
      </c>
      <c r="Q352">
        <f ca="1"/>
        <v>-47.670480011334867</v>
      </c>
      <c r="R352">
        <f ca="1"/>
        <v>1.7119125714525012</v>
      </c>
      <c r="S352">
        <f ca="1"/>
        <v>5.2865741835342206E-2</v>
      </c>
      <c r="T352">
        <f ca="1"/>
        <v>0.20929010134713125</v>
      </c>
      <c r="U352">
        <f ca="1"/>
        <v>0</v>
      </c>
      <c r="V352">
        <f ca="1"/>
        <v>97.227535694533969</v>
      </c>
      <c r="W352">
        <f ca="1"/>
        <v>88.945190061295889</v>
      </c>
      <c r="X352">
        <f ca="1"/>
        <v>0</v>
      </c>
      <c r="Y352">
        <f ca="1"/>
        <v>0.49893757764951324</v>
      </c>
      <c r="Z352">
        <f ca="1"/>
        <v>0</v>
      </c>
      <c r="AA352">
        <f ca="1"/>
        <v>0</v>
      </c>
      <c r="AB352">
        <f ca="1"/>
        <v>0.99966565252125705</v>
      </c>
      <c r="AD352" s="2">
        <f t="shared" ca="1" si="52"/>
        <v>45392</v>
      </c>
      <c r="AE352">
        <f t="shared" ca="1" si="53"/>
        <v>0</v>
      </c>
      <c r="AG352" s="63">
        <f t="shared" ca="1" si="57"/>
        <v>-45.958567439882366</v>
      </c>
      <c r="AH352" s="63">
        <f t="shared" ca="1" si="58"/>
        <v>-45.958567439882366</v>
      </c>
      <c r="AI352" s="3">
        <f t="shared" ca="1" si="59"/>
        <v>0</v>
      </c>
    </row>
    <row r="353" spans="7:35">
      <c r="G353" s="3">
        <f t="shared" si="54"/>
        <v>43</v>
      </c>
      <c r="H353" s="95">
        <f t="shared" si="56"/>
        <v>45333</v>
      </c>
      <c r="I353" s="119">
        <f>HLOOKUP($H$5,'Met Data'!$A$2:$F$368,G353,FALSE)</f>
        <v>19.843333333333302</v>
      </c>
      <c r="J353" s="119">
        <f ca="1">HLOOKUP($H$5,'Met Data'!$H$2:$M$368,G353,FALSE)*L353</f>
        <v>2.3199999999999998</v>
      </c>
      <c r="K353" s="96">
        <f>HLOOKUP($H$5,'Met Data'!$O$2:$T$368,G353,FALSE)</f>
        <v>3.6396000191553801</v>
      </c>
      <c r="L353">
        <f t="shared" ca="1" si="50"/>
        <v>1</v>
      </c>
      <c r="N353" t="b">
        <f t="shared" ca="1" si="55"/>
        <v>0</v>
      </c>
      <c r="O353" t="b">
        <f t="shared" ca="1" si="51"/>
        <v>0</v>
      </c>
      <c r="P353" s="2">
        <f ca="1"/>
        <v>45393</v>
      </c>
      <c r="Q353">
        <f ca="1"/>
        <v>-49.115700728451785</v>
      </c>
      <c r="R353">
        <f ca="1"/>
        <v>1.7160057045114883</v>
      </c>
      <c r="S353">
        <f ca="1"/>
        <v>5.2518116504698398E-2</v>
      </c>
      <c r="T353">
        <f ca="1"/>
        <v>0.21826687088986702</v>
      </c>
      <c r="U353">
        <f ca="1"/>
        <v>0</v>
      </c>
      <c r="V353">
        <f ca="1"/>
        <v>98.943541399045458</v>
      </c>
      <c r="W353">
        <f ca="1"/>
        <v>90.515017502089748</v>
      </c>
      <c r="X353">
        <f ca="1"/>
        <v>0</v>
      </c>
      <c r="Y353">
        <f ca="1"/>
        <v>0.52725390454546983</v>
      </c>
      <c r="Z353">
        <f ca="1"/>
        <v>0</v>
      </c>
      <c r="AA353">
        <f ca="1"/>
        <v>0</v>
      </c>
      <c r="AB353">
        <f ca="1"/>
        <v>0.99970349082252108</v>
      </c>
      <c r="AD353" s="2">
        <f t="shared" ca="1" si="52"/>
        <v>45393</v>
      </c>
      <c r="AE353">
        <f t="shared" ca="1" si="53"/>
        <v>0</v>
      </c>
      <c r="AG353" s="63">
        <f t="shared" ca="1" si="57"/>
        <v>-47.399695023940296</v>
      </c>
      <c r="AH353" s="63">
        <f t="shared" ca="1" si="58"/>
        <v>-47.399695023940296</v>
      </c>
      <c r="AI353" s="3">
        <f t="shared" ca="1" si="59"/>
        <v>0</v>
      </c>
    </row>
    <row r="354" spans="7:35">
      <c r="G354" s="3">
        <f t="shared" si="54"/>
        <v>44</v>
      </c>
      <c r="H354" s="95">
        <f t="shared" si="56"/>
        <v>45334</v>
      </c>
      <c r="I354" s="119">
        <f>HLOOKUP($H$5,'Met Data'!$A$2:$F$368,G354,FALSE)</f>
        <v>19.767241379310299</v>
      </c>
      <c r="J354" s="119">
        <f ca="1">HLOOKUP($H$5,'Met Data'!$H$2:$M$368,G354,FALSE)*L354</f>
        <v>2.6066666666666598</v>
      </c>
      <c r="K354" s="96">
        <f>HLOOKUP($H$5,'Met Data'!$O$2:$T$368,G354,FALSE)</f>
        <v>3.70262305339519</v>
      </c>
      <c r="L354">
        <f t="shared" ca="1" si="50"/>
        <v>1</v>
      </c>
      <c r="N354" t="b">
        <f t="shared" ca="1" si="55"/>
        <v>0</v>
      </c>
      <c r="O354" t="b">
        <f t="shared" ca="1" si="51"/>
        <v>0</v>
      </c>
      <c r="P354" s="2">
        <f ca="1"/>
        <v>45394</v>
      </c>
      <c r="Q354">
        <f ca="1"/>
        <v>-50.591592747759442</v>
      </c>
      <c r="R354">
        <f ca="1"/>
        <v>1.751071854717182</v>
      </c>
      <c r="S354">
        <f ca="1"/>
        <v>5.2760670660134679E-2</v>
      </c>
      <c r="T354">
        <f ca="1"/>
        <v>0.2224191647493878</v>
      </c>
      <c r="U354">
        <f ca="1"/>
        <v>0</v>
      </c>
      <c r="V354">
        <f ca="1"/>
        <v>100.69461325376264</v>
      </c>
      <c r="W354">
        <f ca="1"/>
        <v>92.116923976590272</v>
      </c>
      <c r="X354">
        <f ca="1"/>
        <v>0</v>
      </c>
      <c r="Y354">
        <f ca="1"/>
        <v>0.5258864463742291</v>
      </c>
      <c r="Z354">
        <f ca="1"/>
        <v>0</v>
      </c>
      <c r="AA354">
        <f ca="1"/>
        <v>0</v>
      </c>
      <c r="AB354">
        <f ca="1"/>
        <v>0.99973781737342104</v>
      </c>
      <c r="AD354" s="2">
        <f t="shared" ca="1" si="52"/>
        <v>45394</v>
      </c>
      <c r="AE354">
        <f t="shared" ca="1" si="53"/>
        <v>0</v>
      </c>
      <c r="AG354" s="63">
        <f t="shared" ca="1" si="57"/>
        <v>-48.84052089304226</v>
      </c>
      <c r="AH354" s="63">
        <f t="shared" ca="1" si="58"/>
        <v>-48.84052089304226</v>
      </c>
      <c r="AI354" s="3">
        <f t="shared" ca="1" si="59"/>
        <v>0</v>
      </c>
    </row>
    <row r="355" spans="7:35">
      <c r="G355" s="3">
        <f t="shared" si="54"/>
        <v>45</v>
      </c>
      <c r="H355" s="95">
        <f t="shared" si="56"/>
        <v>45335</v>
      </c>
      <c r="I355" s="119">
        <f>HLOOKUP($H$5,'Met Data'!$A$2:$F$368,G355,FALSE)</f>
        <v>19.5672413793103</v>
      </c>
      <c r="J355" s="119">
        <f ca="1">HLOOKUP($H$5,'Met Data'!$H$2:$M$368,G355,FALSE)*L355</f>
        <v>0.59</v>
      </c>
      <c r="K355" s="96">
        <f>HLOOKUP($H$5,'Met Data'!$O$2:$T$368,G355,FALSE)</f>
        <v>4.0784584132757997</v>
      </c>
      <c r="L355">
        <f t="shared" ca="1" si="50"/>
        <v>1</v>
      </c>
      <c r="N355" t="b">
        <f t="shared" ca="1" si="55"/>
        <v>0</v>
      </c>
      <c r="O355" t="b">
        <f t="shared" ca="1" si="51"/>
        <v>0</v>
      </c>
      <c r="P355" s="2">
        <f ca="1"/>
        <v>45395</v>
      </c>
      <c r="Q355">
        <f ca="1"/>
        <v>-52.011707880452022</v>
      </c>
      <c r="R355">
        <f ca="1"/>
        <v>1.6936394550674976</v>
      </c>
      <c r="S355">
        <f ca="1"/>
        <v>5.099681796361466E-2</v>
      </c>
      <c r="T355">
        <f ca="1"/>
        <v>0.22252750441130167</v>
      </c>
      <c r="U355">
        <f ca="1"/>
        <v>0</v>
      </c>
      <c r="V355">
        <f ca="1"/>
        <v>102.38825270883014</v>
      </c>
      <c r="W355">
        <f ca="1"/>
        <v>93.6662904410409</v>
      </c>
      <c r="X355">
        <f ca="1"/>
        <v>0</v>
      </c>
      <c r="Y355">
        <f ca="1"/>
        <v>0.54481178436367095</v>
      </c>
      <c r="Z355">
        <f ca="1"/>
        <v>0</v>
      </c>
      <c r="AA355">
        <f ca="1"/>
        <v>0</v>
      </c>
      <c r="AB355">
        <f ca="1"/>
        <v>0.99976736128295252</v>
      </c>
      <c r="AD355" s="2">
        <f t="shared" ca="1" si="52"/>
        <v>45395</v>
      </c>
      <c r="AE355">
        <f t="shared" ca="1" si="53"/>
        <v>0</v>
      </c>
      <c r="AG355" s="63">
        <f t="shared" ca="1" si="57"/>
        <v>-50.318068425384524</v>
      </c>
      <c r="AH355" s="63">
        <f t="shared" ca="1" si="58"/>
        <v>-50.318068425384524</v>
      </c>
      <c r="AI355" s="3">
        <f t="shared" ca="1" si="59"/>
        <v>0</v>
      </c>
    </row>
    <row r="356" spans="7:35">
      <c r="G356" s="3">
        <f t="shared" si="54"/>
        <v>46</v>
      </c>
      <c r="H356" s="95">
        <f t="shared" si="56"/>
        <v>45336</v>
      </c>
      <c r="I356" s="119">
        <f>HLOOKUP($H$5,'Met Data'!$A$2:$F$368,G356,FALSE)</f>
        <v>19.5910714285714</v>
      </c>
      <c r="J356" s="119">
        <f ca="1">HLOOKUP($H$5,'Met Data'!$H$2:$M$368,G356,FALSE)*L356</f>
        <v>1.8724137931034399</v>
      </c>
      <c r="K356" s="96">
        <f>HLOOKUP($H$5,'Met Data'!$O$2:$T$368,G356,FALSE)</f>
        <v>4.0775156504528702</v>
      </c>
      <c r="L356">
        <f t="shared" ca="1" si="50"/>
        <v>1</v>
      </c>
      <c r="N356" t="b">
        <f t="shared" ca="1" si="55"/>
        <v>0</v>
      </c>
      <c r="O356" t="b">
        <f t="shared" ca="1" si="51"/>
        <v>0</v>
      </c>
      <c r="P356" s="2">
        <f ca="1"/>
        <v>45396</v>
      </c>
      <c r="Q356">
        <f ca="1"/>
        <v>-53.39521647555091</v>
      </c>
      <c r="R356">
        <f ca="1"/>
        <v>1.6551406876779993</v>
      </c>
      <c r="S356">
        <f ca="1"/>
        <v>4.9705028850151933E-2</v>
      </c>
      <c r="T356">
        <f ca="1"/>
        <v>0.22192706372895665</v>
      </c>
      <c r="U356">
        <f ca="1"/>
        <v>0</v>
      </c>
      <c r="V356">
        <f ca="1"/>
        <v>104.04339339650814</v>
      </c>
      <c r="W356">
        <f ca="1"/>
        <v>95.180437662731521</v>
      </c>
      <c r="X356">
        <f ca="1"/>
        <v>0</v>
      </c>
      <c r="Y356">
        <f ca="1"/>
        <v>0.55405514057645255</v>
      </c>
      <c r="Z356">
        <f ca="1"/>
        <v>0</v>
      </c>
      <c r="AA356">
        <f ca="1"/>
        <v>0</v>
      </c>
      <c r="AB356">
        <f ca="1"/>
        <v>0.99979314141141884</v>
      </c>
      <c r="AD356" s="2">
        <f t="shared" ca="1" si="52"/>
        <v>45396</v>
      </c>
      <c r="AE356">
        <f t="shared" ca="1" si="53"/>
        <v>0</v>
      </c>
      <c r="AG356" s="63">
        <f t="shared" ca="1" si="57"/>
        <v>-51.740075787872911</v>
      </c>
      <c r="AH356" s="63">
        <f t="shared" ca="1" si="58"/>
        <v>-51.740075787872911</v>
      </c>
      <c r="AI356" s="3">
        <f t="shared" ca="1" si="59"/>
        <v>0</v>
      </c>
    </row>
    <row r="357" spans="7:35">
      <c r="G357" s="3">
        <f t="shared" si="54"/>
        <v>47</v>
      </c>
      <c r="H357" s="95">
        <f t="shared" si="56"/>
        <v>45337</v>
      </c>
      <c r="I357" s="119">
        <f>HLOOKUP($H$5,'Met Data'!$A$2:$F$368,G357,FALSE)</f>
        <v>19.355357142857098</v>
      </c>
      <c r="J357" s="119">
        <f ca="1">HLOOKUP($H$5,'Met Data'!$H$2:$M$368,G357,FALSE)*L357</f>
        <v>2.8206896551724099</v>
      </c>
      <c r="K357" s="96">
        <f>HLOOKUP($H$5,'Met Data'!$O$2:$T$368,G357,FALSE)</f>
        <v>4.1796467400508099</v>
      </c>
      <c r="L357">
        <f t="shared" ca="1" si="50"/>
        <v>1</v>
      </c>
      <c r="N357" t="b">
        <f t="shared" ca="1" si="55"/>
        <v>0</v>
      </c>
      <c r="O357" t="b">
        <f t="shared" ca="1" si="51"/>
        <v>0</v>
      </c>
      <c r="P357" s="2">
        <f ca="1"/>
        <v>45397</v>
      </c>
      <c r="Q357">
        <f ca="1"/>
        <v>-54.83070666391319</v>
      </c>
      <c r="R357">
        <f ca="1"/>
        <v>1.7256391744585926</v>
      </c>
      <c r="S357">
        <f ca="1"/>
        <v>5.0766157290276226E-2</v>
      </c>
      <c r="T357">
        <f ca="1"/>
        <v>0.23938282880603606</v>
      </c>
      <c r="U357">
        <f ca="1"/>
        <v>0</v>
      </c>
      <c r="V357">
        <f ca="1"/>
        <v>105.76903257096673</v>
      </c>
      <c r="W357">
        <f ca="1"/>
        <v>96.759077944551052</v>
      </c>
      <c r="X357">
        <f ca="1"/>
        <v>0</v>
      </c>
      <c r="Y357">
        <f ca="1"/>
        <v>0.58042164350535796</v>
      </c>
      <c r="Z357">
        <f ca="1"/>
        <v>0</v>
      </c>
      <c r="AA357">
        <f ca="1"/>
        <v>0</v>
      </c>
      <c r="AB357">
        <f ca="1"/>
        <v>0.99981711838710285</v>
      </c>
      <c r="AD357" s="2">
        <f t="shared" ca="1" si="52"/>
        <v>45397</v>
      </c>
      <c r="AE357">
        <f t="shared" ca="1" si="53"/>
        <v>0</v>
      </c>
      <c r="AG357" s="63">
        <f t="shared" ca="1" si="57"/>
        <v>-53.105067489454598</v>
      </c>
      <c r="AH357" s="63">
        <f t="shared" ca="1" si="58"/>
        <v>-53.105067489454598</v>
      </c>
      <c r="AI357" s="3">
        <f t="shared" ca="1" si="59"/>
        <v>0</v>
      </c>
    </row>
    <row r="358" spans="7:35">
      <c r="G358" s="3">
        <f t="shared" si="54"/>
        <v>48</v>
      </c>
      <c r="H358" s="95">
        <f t="shared" si="56"/>
        <v>45338</v>
      </c>
      <c r="I358" s="119">
        <f>HLOOKUP($H$5,'Met Data'!$A$2:$F$368,G358,FALSE)</f>
        <v>19.258928571428498</v>
      </c>
      <c r="J358" s="119">
        <f ca="1">HLOOKUP($H$5,'Met Data'!$H$2:$M$368,G358,FALSE)*L358</f>
        <v>1.80344827586206</v>
      </c>
      <c r="K358" s="96">
        <f>HLOOKUP($H$5,'Met Data'!$O$2:$T$368,G358,FALSE)</f>
        <v>3.8490703816040499</v>
      </c>
      <c r="L358">
        <f t="shared" ca="1" si="50"/>
        <v>1</v>
      </c>
      <c r="N358" t="b">
        <f t="shared" ca="1" si="55"/>
        <v>0</v>
      </c>
      <c r="O358" t="b">
        <f t="shared" ca="1" si="51"/>
        <v>0</v>
      </c>
      <c r="P358" s="2">
        <f ca="1"/>
        <v>45398</v>
      </c>
      <c r="Q358">
        <f ca="1"/>
        <v>-56.217132100010971</v>
      </c>
      <c r="R358">
        <f ca="1"/>
        <v>1.673706343307515</v>
      </c>
      <c r="S358">
        <f ca="1"/>
        <v>4.9221917556957706E-2</v>
      </c>
      <c r="T358">
        <f ca="1"/>
        <v>0.23805898965278097</v>
      </c>
      <c r="U358">
        <f ca="1"/>
        <v>0</v>
      </c>
      <c r="V358">
        <f ca="1"/>
        <v>107.44273891427424</v>
      </c>
      <c r="W358">
        <f ca="1"/>
        <v>98.290209303058276</v>
      </c>
      <c r="X358">
        <f ca="1"/>
        <v>0</v>
      </c>
      <c r="Y358">
        <f ca="1"/>
        <v>0.59153466469545479</v>
      </c>
      <c r="Z358">
        <f ca="1"/>
        <v>0</v>
      </c>
      <c r="AA358">
        <f ca="1"/>
        <v>0</v>
      </c>
      <c r="AB358">
        <f ca="1"/>
        <v>0.99983784872647541</v>
      </c>
      <c r="AD358" s="2">
        <f t="shared" ca="1" si="52"/>
        <v>45398</v>
      </c>
      <c r="AE358">
        <f t="shared" ca="1" si="53"/>
        <v>0</v>
      </c>
      <c r="AG358" s="63">
        <f t="shared" ca="1" si="57"/>
        <v>-54.543425756703456</v>
      </c>
      <c r="AH358" s="63">
        <f t="shared" ca="1" si="58"/>
        <v>-54.543425756703456</v>
      </c>
      <c r="AI358" s="3">
        <f t="shared" ca="1" si="59"/>
        <v>0</v>
      </c>
    </row>
    <row r="359" spans="7:35">
      <c r="G359" s="3">
        <f t="shared" si="54"/>
        <v>49</v>
      </c>
      <c r="H359" s="95">
        <f t="shared" si="56"/>
        <v>45339</v>
      </c>
      <c r="I359" s="119">
        <f>HLOOKUP($H$5,'Met Data'!$A$2:$F$368,G359,FALSE)</f>
        <v>19.284482758620602</v>
      </c>
      <c r="J359" s="119">
        <f ca="1">HLOOKUP($H$5,'Met Data'!$H$2:$M$368,G359,FALSE)*L359</f>
        <v>4.5</v>
      </c>
      <c r="K359" s="96">
        <f>HLOOKUP($H$5,'Met Data'!$O$2:$T$368,G359,FALSE)</f>
        <v>3.7481412243719401</v>
      </c>
      <c r="L359">
        <f t="shared" ca="1" si="50"/>
        <v>1</v>
      </c>
      <c r="N359" t="b">
        <f t="shared" ca="1" si="55"/>
        <v>0</v>
      </c>
      <c r="O359" t="b">
        <f t="shared" ca="1" si="51"/>
        <v>0</v>
      </c>
      <c r="P359" s="2">
        <f ca="1"/>
        <v>45399</v>
      </c>
      <c r="Q359">
        <f ca="1"/>
        <v>-57.58949832780722</v>
      </c>
      <c r="R359">
        <f ca="1"/>
        <v>1.6633152818542243</v>
      </c>
      <c r="S359">
        <f ca="1"/>
        <v>4.8601250302436227E-2</v>
      </c>
      <c r="T359">
        <f ca="1"/>
        <v>0.24234780375553747</v>
      </c>
      <c r="U359">
        <f ca="1"/>
        <v>0</v>
      </c>
      <c r="V359">
        <f ca="1"/>
        <v>109.10605419612847</v>
      </c>
      <c r="W359">
        <f ca="1"/>
        <v>99.811834764606402</v>
      </c>
      <c r="X359">
        <f ca="1"/>
        <v>0</v>
      </c>
      <c r="Y359">
        <f ca="1"/>
        <v>0.60413011049967613</v>
      </c>
      <c r="Z359">
        <f ca="1"/>
        <v>0</v>
      </c>
      <c r="AA359">
        <f ca="1"/>
        <v>0</v>
      </c>
      <c r="AB359">
        <f ca="1"/>
        <v>0.99985625098205966</v>
      </c>
      <c r="AD359" s="2">
        <f t="shared" ca="1" si="52"/>
        <v>45399</v>
      </c>
      <c r="AE359">
        <f t="shared" ca="1" si="53"/>
        <v>0</v>
      </c>
      <c r="AG359" s="63">
        <f t="shared" ca="1" si="57"/>
        <v>-55.926183045952996</v>
      </c>
      <c r="AH359" s="63">
        <f t="shared" ca="1" si="58"/>
        <v>-55.926183045952996</v>
      </c>
      <c r="AI359" s="3">
        <f t="shared" ca="1" si="59"/>
        <v>0</v>
      </c>
    </row>
    <row r="360" spans="7:35">
      <c r="G360" s="3">
        <f t="shared" si="54"/>
        <v>50</v>
      </c>
      <c r="H360" s="95">
        <f t="shared" si="56"/>
        <v>45340</v>
      </c>
      <c r="I360" s="119">
        <f>HLOOKUP($H$5,'Met Data'!$A$2:$F$368,G360,FALSE)</f>
        <v>19.415517241379298</v>
      </c>
      <c r="J360" s="119">
        <f ca="1">HLOOKUP($H$5,'Met Data'!$H$2:$M$368,G360,FALSE)*L360</f>
        <v>1.4</v>
      </c>
      <c r="K360" s="96">
        <f>HLOOKUP($H$5,'Met Data'!$O$2:$T$368,G360,FALSE)</f>
        <v>3.8682529987421499</v>
      </c>
      <c r="L360">
        <f t="shared" ca="1" si="50"/>
        <v>1</v>
      </c>
      <c r="N360" t="b">
        <f t="shared" ca="1" si="55"/>
        <v>0</v>
      </c>
      <c r="O360" t="b">
        <f t="shared" ca="1" si="51"/>
        <v>0</v>
      </c>
      <c r="P360" s="2">
        <f ca="1"/>
        <v>45400</v>
      </c>
      <c r="Q360">
        <f ca="1"/>
        <v>-58.917590513607031</v>
      </c>
      <c r="R360">
        <f ca="1"/>
        <v>1.6139080970233124</v>
      </c>
      <c r="S360">
        <f ca="1"/>
        <v>4.7194378851967755E-2</v>
      </c>
      <c r="T360">
        <f ca="1"/>
        <v>0.23862153237152897</v>
      </c>
      <c r="U360">
        <f ca="1"/>
        <v>0</v>
      </c>
      <c r="V360">
        <f ca="1"/>
        <v>110.71996229315178</v>
      </c>
      <c r="W360">
        <f ca="1"/>
        <v>101.28826180151293</v>
      </c>
      <c r="X360">
        <f ca="1"/>
        <v>0</v>
      </c>
      <c r="Y360">
        <f ca="1"/>
        <v>0.60650064281078409</v>
      </c>
      <c r="Z360">
        <f ca="1"/>
        <v>0</v>
      </c>
      <c r="AA360">
        <f ca="1"/>
        <v>0</v>
      </c>
      <c r="AB360">
        <f ca="1"/>
        <v>0.99987222960894706</v>
      </c>
      <c r="AD360" s="2">
        <f t="shared" ca="1" si="52"/>
        <v>45400</v>
      </c>
      <c r="AE360">
        <f t="shared" ca="1" si="53"/>
        <v>0</v>
      </c>
      <c r="AG360" s="63">
        <f t="shared" ca="1" si="57"/>
        <v>-57.303682416583719</v>
      </c>
      <c r="AH360" s="63">
        <f t="shared" ca="1" si="58"/>
        <v>-57.303682416583719</v>
      </c>
      <c r="AI360" s="3">
        <f t="shared" ca="1" si="59"/>
        <v>0</v>
      </c>
    </row>
    <row r="361" spans="7:35">
      <c r="G361" s="3">
        <f t="shared" si="54"/>
        <v>51</v>
      </c>
      <c r="H361" s="95">
        <f t="shared" si="56"/>
        <v>45341</v>
      </c>
      <c r="I361" s="119">
        <f>HLOOKUP($H$5,'Met Data'!$A$2:$F$368,G361,FALSE)</f>
        <v>19.4189655172413</v>
      </c>
      <c r="J361" s="119">
        <f ca="1">HLOOKUP($H$5,'Met Data'!$H$2:$M$368,G361,FALSE)*L361</f>
        <v>1.4655172413793101</v>
      </c>
      <c r="K361" s="96">
        <f>HLOOKUP($H$5,'Met Data'!$O$2:$T$368,G361,FALSE)</f>
        <v>3.6105345286952</v>
      </c>
      <c r="L361">
        <f t="shared" ca="1" si="50"/>
        <v>1</v>
      </c>
      <c r="N361" t="b">
        <f t="shared" ca="1" si="55"/>
        <v>0</v>
      </c>
      <c r="O361" t="b">
        <f t="shared" ca="1" si="51"/>
        <v>0</v>
      </c>
      <c r="P361" s="2">
        <f ca="1"/>
        <v>45401</v>
      </c>
      <c r="Q361">
        <f ca="1"/>
        <v>-60.264666493947715</v>
      </c>
      <c r="R361">
        <f ca="1"/>
        <v>1.633723357422582</v>
      </c>
      <c r="S361">
        <f ca="1"/>
        <v>4.7253567426256637E-2</v>
      </c>
      <c r="T361">
        <f ca="1"/>
        <v>0.23939380965564236</v>
      </c>
      <c r="U361">
        <f ca="1"/>
        <v>0</v>
      </c>
      <c r="V361">
        <f ca="1"/>
        <v>112.35368565057436</v>
      </c>
      <c r="W361">
        <f ca="1"/>
        <v>102.7828161321921</v>
      </c>
      <c r="X361">
        <f ca="1"/>
        <v>0</v>
      </c>
      <c r="Y361">
        <f ca="1"/>
        <v>0.59562839613959284</v>
      </c>
      <c r="Z361">
        <f ca="1"/>
        <v>0</v>
      </c>
      <c r="AA361">
        <f ca="1"/>
        <v>0</v>
      </c>
      <c r="AB361">
        <f ca="1"/>
        <v>0.99988671569785004</v>
      </c>
      <c r="AD361" s="2">
        <f t="shared" ca="1" si="52"/>
        <v>45401</v>
      </c>
      <c r="AE361">
        <f t="shared" ca="1" si="53"/>
        <v>0</v>
      </c>
      <c r="AG361" s="63">
        <f t="shared" ca="1" si="57"/>
        <v>-58.630943136525126</v>
      </c>
      <c r="AH361" s="63">
        <f t="shared" ca="1" si="58"/>
        <v>-58.630943136525133</v>
      </c>
      <c r="AI361" s="3">
        <f t="shared" ca="1" si="59"/>
        <v>0</v>
      </c>
    </row>
    <row r="362" spans="7:35">
      <c r="G362" s="3">
        <f t="shared" si="54"/>
        <v>52</v>
      </c>
      <c r="H362" s="95">
        <f t="shared" si="56"/>
        <v>45342</v>
      </c>
      <c r="I362" s="119">
        <f>HLOOKUP($H$5,'Met Data'!$A$2:$F$368,G362,FALSE)</f>
        <v>19.5068965517241</v>
      </c>
      <c r="J362" s="119">
        <f ca="1">HLOOKUP($H$5,'Met Data'!$H$2:$M$368,G362,FALSE)*L362</f>
        <v>3.8517241379310301</v>
      </c>
      <c r="K362" s="96">
        <f>HLOOKUP($H$5,'Met Data'!$O$2:$T$368,G362,FALSE)</f>
        <v>3.6240453059598501</v>
      </c>
      <c r="L362">
        <f t="shared" ca="1" si="50"/>
        <v>1</v>
      </c>
      <c r="N362" t="b">
        <f t="shared" ca="1" si="55"/>
        <v>0</v>
      </c>
      <c r="O362" t="b">
        <f t="shared" ca="1" si="51"/>
        <v>0</v>
      </c>
      <c r="P362" s="2">
        <f ca="1"/>
        <v>45402</v>
      </c>
      <c r="Q362">
        <f ca="1"/>
        <v>-61.567262146518324</v>
      </c>
      <c r="R362">
        <f ca="1"/>
        <v>1.5952780062326894</v>
      </c>
      <c r="S362">
        <f ca="1"/>
        <v>4.6126628849725293E-2</v>
      </c>
      <c r="T362">
        <f ca="1"/>
        <v>0.24655572481235447</v>
      </c>
      <c r="U362">
        <f ca="1"/>
        <v>0</v>
      </c>
      <c r="V362">
        <f ca="1"/>
        <v>113.94896365680705</v>
      </c>
      <c r="W362">
        <f ca="1"/>
        <v>104.24220008604199</v>
      </c>
      <c r="X362">
        <f ca="1"/>
        <v>0</v>
      </c>
      <c r="Y362">
        <f ca="1"/>
        <v>0.62681531154386849</v>
      </c>
      <c r="Z362">
        <f ca="1"/>
        <v>0</v>
      </c>
      <c r="AA362">
        <f ca="1"/>
        <v>0</v>
      </c>
      <c r="AB362">
        <f ca="1"/>
        <v>0.99989938757554253</v>
      </c>
      <c r="AD362" s="2">
        <f t="shared" ca="1" si="52"/>
        <v>45402</v>
      </c>
      <c r="AE362">
        <f t="shared" ca="1" si="53"/>
        <v>0</v>
      </c>
      <c r="AG362" s="63">
        <f t="shared" ca="1" si="57"/>
        <v>-59.971984140285635</v>
      </c>
      <c r="AH362" s="63">
        <f t="shared" ca="1" si="58"/>
        <v>-59.971984140285635</v>
      </c>
      <c r="AI362" s="3">
        <f t="shared" ca="1" si="59"/>
        <v>0</v>
      </c>
    </row>
    <row r="363" spans="7:35">
      <c r="G363" s="3">
        <f t="shared" si="54"/>
        <v>53</v>
      </c>
      <c r="H363" s="95">
        <f t="shared" si="56"/>
        <v>45343</v>
      </c>
      <c r="I363" s="119">
        <f>HLOOKUP($H$5,'Met Data'!$A$2:$F$368,G363,FALSE)</f>
        <v>19.441666666666599</v>
      </c>
      <c r="J363" s="119">
        <f ca="1">HLOOKUP($H$5,'Met Data'!$H$2:$M$368,G363,FALSE)*L363</f>
        <v>3</v>
      </c>
      <c r="K363" s="96">
        <f>HLOOKUP($H$5,'Met Data'!$O$2:$T$368,G363,FALSE)</f>
        <v>3.73403385362748</v>
      </c>
      <c r="L363">
        <f t="shared" ca="1" si="50"/>
        <v>1</v>
      </c>
      <c r="N363" t="b">
        <f t="shared" ca="1" si="55"/>
        <v>0</v>
      </c>
      <c r="O363" t="b">
        <f t="shared" ca="1" si="51"/>
        <v>0</v>
      </c>
      <c r="P363" s="2">
        <f ca="1"/>
        <v>45403</v>
      </c>
      <c r="Q363">
        <f ca="1"/>
        <v>-62.751367885194298</v>
      </c>
      <c r="R363">
        <f ca="1"/>
        <v>1.4669378535721336</v>
      </c>
      <c r="S363">
        <f ca="1"/>
        <v>4.3249455090021982E-2</v>
      </c>
      <c r="T363">
        <f ca="1"/>
        <v>0.23958265980614024</v>
      </c>
      <c r="U363">
        <f ca="1"/>
        <v>0</v>
      </c>
      <c r="V363">
        <f ca="1"/>
        <v>115.41590151037919</v>
      </c>
      <c r="W363">
        <f ca="1"/>
        <v>105.58417656690246</v>
      </c>
      <c r="X363">
        <f ca="1"/>
        <v>0</v>
      </c>
      <c r="Y363">
        <f ca="1"/>
        <v>0.65102698780172474</v>
      </c>
      <c r="Z363">
        <f ca="1"/>
        <v>0</v>
      </c>
      <c r="AA363">
        <f ca="1"/>
        <v>0</v>
      </c>
      <c r="AB363">
        <f ca="1"/>
        <v>0.99990988136584746</v>
      </c>
      <c r="AD363" s="2">
        <f t="shared" ca="1" si="52"/>
        <v>45403</v>
      </c>
      <c r="AE363">
        <f t="shared" ca="1" si="53"/>
        <v>0</v>
      </c>
      <c r="AG363" s="63">
        <f t="shared" ca="1" si="57"/>
        <v>-61.284430031622165</v>
      </c>
      <c r="AH363" s="63">
        <f t="shared" ca="1" si="58"/>
        <v>-61.284430031622165</v>
      </c>
      <c r="AI363" s="3">
        <f t="shared" ca="1" si="59"/>
        <v>0</v>
      </c>
    </row>
    <row r="364" spans="7:35">
      <c r="G364" s="3">
        <f t="shared" si="54"/>
        <v>54</v>
      </c>
      <c r="H364" s="95">
        <f t="shared" si="56"/>
        <v>45344</v>
      </c>
      <c r="I364" s="119">
        <f>HLOOKUP($H$5,'Met Data'!$A$2:$F$368,G364,FALSE)</f>
        <v>19.231666666666602</v>
      </c>
      <c r="J364" s="119">
        <f ca="1">HLOOKUP($H$5,'Met Data'!$H$2:$M$368,G364,FALSE)*L364</f>
        <v>1.5333333333333301</v>
      </c>
      <c r="K364" s="96">
        <f>HLOOKUP($H$5,'Met Data'!$O$2:$T$368,G364,FALSE)</f>
        <v>3.6261565374234999</v>
      </c>
      <c r="L364">
        <f t="shared" ca="1" si="50"/>
        <v>1</v>
      </c>
      <c r="N364" t="b">
        <f t="shared" ca="1" si="55"/>
        <v>0</v>
      </c>
      <c r="O364" t="b">
        <f t="shared" ca="1" si="51"/>
        <v>0</v>
      </c>
      <c r="P364" s="2">
        <f ca="1"/>
        <v>45404</v>
      </c>
      <c r="Q364">
        <f ca="1"/>
        <v>-63.940797826949563</v>
      </c>
      <c r="R364">
        <f ca="1"/>
        <v>1.4754059958307266</v>
      </c>
      <c r="S364">
        <f ca="1"/>
        <v>4.3124722776806124E-2</v>
      </c>
      <c r="T364">
        <f ca="1"/>
        <v>0.24285133129865974</v>
      </c>
      <c r="U364">
        <f ca="1"/>
        <v>0</v>
      </c>
      <c r="V364">
        <f ca="1"/>
        <v>116.89130750620991</v>
      </c>
      <c r="W364">
        <f ca="1"/>
        <v>106.93389982975499</v>
      </c>
      <c r="X364">
        <f ca="1"/>
        <v>0</v>
      </c>
      <c r="Y364">
        <f ca="1"/>
        <v>0.65164039127755935</v>
      </c>
      <c r="Z364">
        <f ca="1"/>
        <v>0</v>
      </c>
      <c r="AA364">
        <f ca="1"/>
        <v>0</v>
      </c>
      <c r="AB364">
        <f ca="1"/>
        <v>0.99991942215316387</v>
      </c>
      <c r="AD364" s="2">
        <f t="shared" ca="1" si="52"/>
        <v>45404</v>
      </c>
      <c r="AE364">
        <f t="shared" ca="1" si="53"/>
        <v>0</v>
      </c>
      <c r="AG364" s="63">
        <f t="shared" ca="1" si="57"/>
        <v>-62.465391831118829</v>
      </c>
      <c r="AH364" s="63">
        <f t="shared" ca="1" si="58"/>
        <v>-62.465391831118836</v>
      </c>
      <c r="AI364" s="3">
        <f t="shared" ca="1" si="59"/>
        <v>0</v>
      </c>
    </row>
    <row r="365" spans="7:35">
      <c r="G365" s="3">
        <f t="shared" si="54"/>
        <v>55</v>
      </c>
      <c r="H365" s="95">
        <f t="shared" si="56"/>
        <v>45345</v>
      </c>
      <c r="I365" s="119">
        <f>HLOOKUP($H$5,'Met Data'!$A$2:$F$368,G365,FALSE)</f>
        <v>19.22</v>
      </c>
      <c r="J365" s="119">
        <f ca="1">HLOOKUP($H$5,'Met Data'!$H$2:$M$368,G365,FALSE)*L365</f>
        <v>3.06</v>
      </c>
      <c r="K365" s="96">
        <f>HLOOKUP($H$5,'Met Data'!$O$2:$T$368,G365,FALSE)</f>
        <v>3.6095974227769201</v>
      </c>
      <c r="L365">
        <f t="shared" ca="1" si="50"/>
        <v>1</v>
      </c>
      <c r="N365" t="b">
        <f t="shared" ca="1" si="55"/>
        <v>0</v>
      </c>
      <c r="O365" t="b">
        <f t="shared" ca="1" si="51"/>
        <v>0</v>
      </c>
      <c r="P365" s="2">
        <f ca="1"/>
        <v>45405</v>
      </c>
      <c r="Q365">
        <f ca="1"/>
        <v>-65.078736887978351</v>
      </c>
      <c r="R365">
        <f ca="1"/>
        <v>1.4317084411881495</v>
      </c>
      <c r="S365">
        <f ca="1"/>
        <v>4.2000258894248077E-2</v>
      </c>
      <c r="T365">
        <f ca="1"/>
        <v>0.25176912126510587</v>
      </c>
      <c r="U365">
        <f ca="1"/>
        <v>0</v>
      </c>
      <c r="V365">
        <f ca="1"/>
        <v>118.32301594739806</v>
      </c>
      <c r="W365">
        <f ca="1"/>
        <v>108.24364792224932</v>
      </c>
      <c r="X365">
        <f ca="1"/>
        <v>0</v>
      </c>
      <c r="Y365">
        <f ca="1"/>
        <v>0.69051319302948289</v>
      </c>
      <c r="Z365">
        <f ca="1"/>
        <v>0</v>
      </c>
      <c r="AA365">
        <f ca="1"/>
        <v>0</v>
      </c>
      <c r="AB365">
        <f ca="1"/>
        <v>0.99992779729657622</v>
      </c>
      <c r="AD365" s="2">
        <f t="shared" ca="1" si="52"/>
        <v>45405</v>
      </c>
      <c r="AE365">
        <f t="shared" ca="1" si="53"/>
        <v>0</v>
      </c>
      <c r="AG365" s="63">
        <f t="shared" ca="1" si="57"/>
        <v>-63.647028446790209</v>
      </c>
      <c r="AH365" s="63">
        <f t="shared" ca="1" si="58"/>
        <v>-63.647028446790202</v>
      </c>
      <c r="AI365" s="3">
        <f t="shared" ca="1" si="59"/>
        <v>0</v>
      </c>
    </row>
    <row r="366" spans="7:35">
      <c r="G366" s="3">
        <f t="shared" si="54"/>
        <v>56</v>
      </c>
      <c r="H366" s="95">
        <f t="shared" si="56"/>
        <v>45346</v>
      </c>
      <c r="I366" s="119">
        <f>HLOOKUP($H$5,'Met Data'!$A$2:$F$368,G366,FALSE)</f>
        <v>18.793333333333301</v>
      </c>
      <c r="J366" s="119">
        <f ca="1">HLOOKUP($H$5,'Met Data'!$H$2:$M$368,G366,FALSE)*L366</f>
        <v>1.73</v>
      </c>
      <c r="K366" s="96">
        <f>HLOOKUP($H$5,'Met Data'!$O$2:$T$368,G366,FALSE)</f>
        <v>3.9865323105658801</v>
      </c>
      <c r="L366">
        <f t="shared" ca="1" si="50"/>
        <v>1</v>
      </c>
      <c r="N366" t="b">
        <f t="shared" ca="1" si="55"/>
        <v>0</v>
      </c>
      <c r="O366" t="b">
        <f t="shared" ca="1" si="51"/>
        <v>0</v>
      </c>
      <c r="P366" s="2">
        <f ca="1"/>
        <v>45406</v>
      </c>
      <c r="Q366">
        <f ca="1"/>
        <v>-66.206615824054992</v>
      </c>
      <c r="R366">
        <f ca="1"/>
        <v>1.457490808043147</v>
      </c>
      <c r="S366">
        <f ca="1"/>
        <v>4.2244062814589256E-2</v>
      </c>
      <c r="T366">
        <f ca="1"/>
        <v>0.28736780915191812</v>
      </c>
      <c r="U366">
        <f ca="1"/>
        <v>0</v>
      </c>
      <c r="V366">
        <f ca="1"/>
        <v>119.78050675544121</v>
      </c>
      <c r="W366">
        <f ca="1"/>
        <v>109.57698210590362</v>
      </c>
      <c r="X366">
        <f ca="1"/>
        <v>0</v>
      </c>
      <c r="Y366">
        <f ca="1"/>
        <v>0.77286663983604309</v>
      </c>
      <c r="Z366">
        <f ca="1"/>
        <v>0</v>
      </c>
      <c r="AA366">
        <f ca="1"/>
        <v>0</v>
      </c>
      <c r="AB366">
        <f ca="1"/>
        <v>0.99993551108091072</v>
      </c>
      <c r="AD366" s="2">
        <f t="shared" ca="1" si="52"/>
        <v>45406</v>
      </c>
      <c r="AE366">
        <f t="shared" ca="1" si="53"/>
        <v>0</v>
      </c>
      <c r="AG366" s="63">
        <f t="shared" ca="1" si="57"/>
        <v>-64.749125016011845</v>
      </c>
      <c r="AH366" s="63">
        <f t="shared" ca="1" si="58"/>
        <v>-64.749125016011845</v>
      </c>
      <c r="AI366" s="3">
        <f t="shared" ca="1" si="59"/>
        <v>0</v>
      </c>
    </row>
    <row r="367" spans="7:35">
      <c r="G367" s="3">
        <f t="shared" si="54"/>
        <v>57</v>
      </c>
      <c r="H367" s="95">
        <f t="shared" si="56"/>
        <v>45347</v>
      </c>
      <c r="I367" s="119">
        <f>HLOOKUP($H$5,'Met Data'!$A$2:$F$368,G367,FALSE)</f>
        <v>18.3</v>
      </c>
      <c r="J367" s="119">
        <f ca="1">HLOOKUP($H$5,'Met Data'!$H$2:$M$368,G367,FALSE)*L367</f>
        <v>1.1766666666666601</v>
      </c>
      <c r="K367" s="96">
        <f>HLOOKUP($H$5,'Met Data'!$O$2:$T$368,G367,FALSE)</f>
        <v>3.88204927928038</v>
      </c>
      <c r="L367">
        <f t="shared" ca="1" si="50"/>
        <v>1</v>
      </c>
      <c r="N367" t="b">
        <f t="shared" ca="1" si="55"/>
        <v>0</v>
      </c>
      <c r="O367" t="b">
        <f t="shared" ca="1" si="51"/>
        <v>0</v>
      </c>
      <c r="P367" s="2">
        <f ca="1"/>
        <v>45407</v>
      </c>
      <c r="Q367">
        <f ca="1"/>
        <v>-67.336986558147998</v>
      </c>
      <c r="R367">
        <f ca="1"/>
        <v>1.4731045634168112</v>
      </c>
      <c r="S367">
        <f ca="1"/>
        <v>4.2313460699563876E-2</v>
      </c>
      <c r="T367">
        <f ca="1"/>
        <v>0.30042036862423832</v>
      </c>
      <c r="U367">
        <f ca="1"/>
        <v>0</v>
      </c>
      <c r="V367">
        <f ca="1"/>
        <v>121.25361131885802</v>
      </c>
      <c r="W367">
        <f ca="1"/>
        <v>110.92459998428862</v>
      </c>
      <c r="X367">
        <f ca="1"/>
        <v>0</v>
      </c>
      <c r="Y367">
        <f ca="1"/>
        <v>0.79251212024188855</v>
      </c>
      <c r="Z367">
        <f ca="1"/>
        <v>0</v>
      </c>
      <c r="AA367">
        <f ca="1"/>
        <v>0</v>
      </c>
      <c r="AB367">
        <f ca="1"/>
        <v>0.99994255043783609</v>
      </c>
      <c r="AD367" s="2">
        <f t="shared" ca="1" si="52"/>
        <v>45407</v>
      </c>
      <c r="AE367">
        <f t="shared" ca="1" si="53"/>
        <v>0</v>
      </c>
      <c r="AG367" s="63">
        <f t="shared" ca="1" si="57"/>
        <v>-65.863881994731187</v>
      </c>
      <c r="AH367" s="63">
        <f t="shared" ca="1" si="58"/>
        <v>-65.863881994731187</v>
      </c>
      <c r="AI367" s="3">
        <f t="shared" ca="1" si="59"/>
        <v>0</v>
      </c>
    </row>
    <row r="368" spans="7:35">
      <c r="G368" s="3">
        <f t="shared" si="54"/>
        <v>58</v>
      </c>
      <c r="H368" s="95">
        <f t="shared" si="56"/>
        <v>45348</v>
      </c>
      <c r="I368" s="119">
        <f>HLOOKUP($H$5,'Met Data'!$A$2:$F$368,G368,FALSE)</f>
        <v>18.41</v>
      </c>
      <c r="J368" s="119">
        <f ca="1">HLOOKUP($H$5,'Met Data'!$H$2:$M$368,G368,FALSE)*L368</f>
        <v>2.0233333333333299</v>
      </c>
      <c r="K368" s="96">
        <f>HLOOKUP($H$5,'Met Data'!$O$2:$T$368,G368,FALSE)</f>
        <v>4.05937925457948</v>
      </c>
      <c r="L368">
        <f t="shared" ca="1" si="50"/>
        <v>1</v>
      </c>
      <c r="N368" t="b">
        <f t="shared" ca="1" si="55"/>
        <v>0</v>
      </c>
      <c r="O368" t="b">
        <f t="shared" ca="1" si="51"/>
        <v>0</v>
      </c>
      <c r="P368" s="2">
        <f ca="1"/>
        <v>45408</v>
      </c>
      <c r="Q368">
        <f ca="1"/>
        <v>-68.489897524181274</v>
      </c>
      <c r="R368">
        <f ca="1"/>
        <v>1.5116057221444521</v>
      </c>
      <c r="S368">
        <f ca="1"/>
        <v>4.2873165036484195E-2</v>
      </c>
      <c r="T368">
        <f ca="1"/>
        <v>0.31582159107468832</v>
      </c>
      <c r="U368">
        <f ca="1"/>
        <v>0</v>
      </c>
      <c r="V368">
        <f ca="1"/>
        <v>122.76521704100247</v>
      </c>
      <c r="W368">
        <f ca="1"/>
        <v>112.30743929306523</v>
      </c>
      <c r="X368">
        <f ca="1"/>
        <v>0</v>
      </c>
      <c r="Y368">
        <f ca="1"/>
        <v>0.80580857309156217</v>
      </c>
      <c r="Z368">
        <f ca="1"/>
        <v>0</v>
      </c>
      <c r="AA368">
        <f ca="1"/>
        <v>0</v>
      </c>
      <c r="AB368">
        <f ca="1"/>
        <v>0.99994905559888203</v>
      </c>
      <c r="AD368" s="2">
        <f t="shared" ca="1" si="52"/>
        <v>45408</v>
      </c>
      <c r="AE368">
        <f t="shared" ca="1" si="53"/>
        <v>0</v>
      </c>
      <c r="AG368" s="63">
        <f t="shared" ca="1" si="57"/>
        <v>-66.978291802036821</v>
      </c>
      <c r="AH368" s="63">
        <f t="shared" ca="1" si="58"/>
        <v>-66.978291802036821</v>
      </c>
      <c r="AI368" s="3">
        <f t="shared" ca="1" si="59"/>
        <v>0</v>
      </c>
    </row>
    <row r="369" spans="7:35">
      <c r="G369" s="3">
        <f t="shared" si="54"/>
        <v>59</v>
      </c>
      <c r="H369" s="95">
        <f t="shared" si="56"/>
        <v>45349</v>
      </c>
      <c r="I369" s="119">
        <f>HLOOKUP($H$5,'Met Data'!$A$2:$F$368,G369,FALSE)</f>
        <v>18.516666666666602</v>
      </c>
      <c r="J369" s="119">
        <f ca="1">HLOOKUP($H$5,'Met Data'!$H$2:$M$368,G369,FALSE)*L369</f>
        <v>1.5499999999999901</v>
      </c>
      <c r="K369" s="96">
        <f>HLOOKUP($H$5,'Met Data'!$O$2:$T$368,G369,FALSE)</f>
        <v>3.8269283002116601</v>
      </c>
      <c r="L369">
        <f t="shared" ca="1" si="50"/>
        <v>1</v>
      </c>
      <c r="N369" t="b">
        <f t="shared" ca="1" si="55"/>
        <v>0</v>
      </c>
      <c r="O369" t="b">
        <f t="shared" ca="1" si="51"/>
        <v>0</v>
      </c>
      <c r="P369" s="2">
        <f ca="1"/>
        <v>45409</v>
      </c>
      <c r="Q369">
        <f ca="1"/>
        <v>-69.636892023280936</v>
      </c>
      <c r="R369">
        <f ca="1"/>
        <v>1.5256611846810131</v>
      </c>
      <c r="S369">
        <f ca="1"/>
        <v>4.2972100280493919E-2</v>
      </c>
      <c r="T369">
        <f ca="1"/>
        <v>0.33569458530085766</v>
      </c>
      <c r="U369">
        <f ca="1"/>
        <v>0</v>
      </c>
      <c r="V369">
        <f ca="1"/>
        <v>124.29087822568349</v>
      </c>
      <c r="W369">
        <f ca="1"/>
        <v>113.70313674719934</v>
      </c>
      <c r="X369">
        <f ca="1"/>
        <v>0</v>
      </c>
      <c r="Y369">
        <f ca="1"/>
        <v>0.83738961813913071</v>
      </c>
      <c r="Z369">
        <f ca="1"/>
        <v>0</v>
      </c>
      <c r="AA369">
        <f ca="1"/>
        <v>0</v>
      </c>
      <c r="AB369">
        <f ca="1"/>
        <v>0.99995495268923773</v>
      </c>
      <c r="AD369" s="2">
        <f t="shared" ca="1" si="52"/>
        <v>45409</v>
      </c>
      <c r="AE369">
        <f t="shared" ca="1" si="53"/>
        <v>0</v>
      </c>
      <c r="AG369" s="63">
        <f t="shared" ca="1" si="57"/>
        <v>-68.111230838599923</v>
      </c>
      <c r="AH369" s="63">
        <f t="shared" ca="1" si="58"/>
        <v>-68.111230838599923</v>
      </c>
      <c r="AI369" s="3">
        <f t="shared" ca="1" si="59"/>
        <v>0</v>
      </c>
    </row>
    <row r="370" spans="7:35">
      <c r="G370" s="3">
        <f t="shared" si="54"/>
        <v>60</v>
      </c>
      <c r="H370" s="95">
        <f t="shared" si="56"/>
        <v>45350</v>
      </c>
      <c r="I370" s="119">
        <f>HLOOKUP($H$5,'Met Data'!$A$2:$F$368,G370,FALSE)</f>
        <v>18.253571428571401</v>
      </c>
      <c r="J370" s="119">
        <f ca="1">HLOOKUP($H$5,'Met Data'!$H$2:$M$368,G370,FALSE)*L370</f>
        <v>3.4793103448275802</v>
      </c>
      <c r="K370" s="96">
        <f>HLOOKUP($H$5,'Met Data'!$O$2:$T$368,G370,FALSE)</f>
        <v>3.4828962462929298</v>
      </c>
      <c r="L370">
        <f t="shared" ca="1" si="50"/>
        <v>1</v>
      </c>
      <c r="N370" t="b">
        <f t="shared" ca="1" si="55"/>
        <v>0</v>
      </c>
      <c r="O370" t="b">
        <f t="shared" ca="1" si="51"/>
        <v>0</v>
      </c>
      <c r="P370" s="2">
        <f ca="1"/>
        <v>45410</v>
      </c>
      <c r="Q370">
        <f ca="1"/>
        <v>-70.652171234161443</v>
      </c>
      <c r="R370">
        <f ca="1"/>
        <v>1.3755224377662501</v>
      </c>
      <c r="S370">
        <f ca="1"/>
        <v>3.976687883710639E-2</v>
      </c>
      <c r="T370">
        <f ca="1"/>
        <v>0.32047634804863639</v>
      </c>
      <c r="U370">
        <f ca="1"/>
        <v>0</v>
      </c>
      <c r="V370">
        <f ca="1"/>
        <v>125.66640066344974</v>
      </c>
      <c r="W370">
        <f ca="1"/>
        <v>114.96148505137809</v>
      </c>
      <c r="X370">
        <f ca="1"/>
        <v>0</v>
      </c>
      <c r="Y370">
        <f ca="1"/>
        <v>0.85948145362222661</v>
      </c>
      <c r="Z370">
        <f ca="1"/>
        <v>0</v>
      </c>
      <c r="AA370">
        <f ca="1"/>
        <v>0</v>
      </c>
      <c r="AB370">
        <f ca="1"/>
        <v>0.99995974656328268</v>
      </c>
      <c r="AD370" s="2">
        <f t="shared" ca="1" si="52"/>
        <v>45410</v>
      </c>
      <c r="AE370">
        <f t="shared" ca="1" si="53"/>
        <v>0</v>
      </c>
      <c r="AG370" s="63">
        <f t="shared" ca="1" si="57"/>
        <v>-69.276648796395179</v>
      </c>
      <c r="AH370" s="63">
        <f t="shared" ca="1" si="58"/>
        <v>-69.276648796395193</v>
      </c>
      <c r="AI370" s="3">
        <f t="shared" ca="1" si="59"/>
        <v>0</v>
      </c>
    </row>
    <row r="371" spans="7:35">
      <c r="G371" s="3">
        <f t="shared" si="54"/>
        <v>61</v>
      </c>
      <c r="H371" s="95">
        <f t="shared" si="56"/>
        <v>45351</v>
      </c>
      <c r="I371" s="119">
        <f>HLOOKUP($H$5,'Met Data'!$A$2:$F$368,G371,FALSE)</f>
        <v>18.313793103448202</v>
      </c>
      <c r="J371" s="119">
        <f ca="1">HLOOKUP($H$5,'Met Data'!$H$2:$M$368,G371,FALSE)*L371</f>
        <v>4.1758620689655102</v>
      </c>
      <c r="K371" s="96">
        <f>HLOOKUP($H$5,'Met Data'!$O$2:$T$368,G371,FALSE)</f>
        <v>3.6905226687271502</v>
      </c>
      <c r="L371">
        <f t="shared" ca="1" si="50"/>
        <v>1</v>
      </c>
      <c r="N371" t="b">
        <f t="shared" ca="1" si="55"/>
        <v>0</v>
      </c>
      <c r="O371" t="b">
        <f t="shared" ca="1" si="51"/>
        <v>0</v>
      </c>
      <c r="P371" s="2">
        <f ca="1"/>
        <v>45411</v>
      </c>
      <c r="Q371">
        <f ca="1"/>
        <v>-71.584420546612961</v>
      </c>
      <c r="R371">
        <f ca="1"/>
        <v>1.3006947458436144</v>
      </c>
      <c r="S371">
        <f ca="1"/>
        <v>3.8142977362761954E-2</v>
      </c>
      <c r="T371">
        <f ca="1"/>
        <v>0.33030245602932812</v>
      </c>
      <c r="U371">
        <f ca="1"/>
        <v>0</v>
      </c>
      <c r="V371">
        <f ca="1"/>
        <v>126.96709540929335</v>
      </c>
      <c r="W371">
        <f ca="1"/>
        <v>116.15137987442762</v>
      </c>
      <c r="X371">
        <f ca="1"/>
        <v>0</v>
      </c>
      <c r="Y371">
        <f ca="1"/>
        <v>0.909578778156649</v>
      </c>
      <c r="Z371">
        <f ca="1"/>
        <v>0</v>
      </c>
      <c r="AA371">
        <f ca="1"/>
        <v>0</v>
      </c>
      <c r="AB371">
        <f ca="1"/>
        <v>0.99996386357722522</v>
      </c>
      <c r="AD371" s="2">
        <f t="shared" ca="1" si="52"/>
        <v>45411</v>
      </c>
      <c r="AE371">
        <f t="shared" ca="1" si="53"/>
        <v>0</v>
      </c>
      <c r="AG371" s="63">
        <f t="shared" ca="1" si="57"/>
        <v>-70.283725800769346</v>
      </c>
      <c r="AH371" s="63">
        <f t="shared" ca="1" si="58"/>
        <v>-70.283725800769346</v>
      </c>
      <c r="AI371" s="3">
        <f t="shared" ca="1" si="59"/>
        <v>0</v>
      </c>
    </row>
    <row r="372" spans="7:35">
      <c r="G372" s="3">
        <f t="shared" si="54"/>
        <v>62</v>
      </c>
      <c r="H372" s="95">
        <f t="shared" si="56"/>
        <v>45352</v>
      </c>
      <c r="I372" s="119">
        <f>HLOOKUP($H$5,'Met Data'!$A$2:$F$368,G372,FALSE)</f>
        <v>18.701724137930999</v>
      </c>
      <c r="J372" s="119">
        <f ca="1">HLOOKUP($H$5,'Met Data'!$H$2:$M$368,G372,FALSE)*L372</f>
        <v>2.4379310344827498</v>
      </c>
      <c r="K372" s="96">
        <f>HLOOKUP($H$5,'Met Data'!$O$2:$T$368,G372,FALSE)</f>
        <v>3.7650592582328399</v>
      </c>
      <c r="L372">
        <f t="shared" ca="1" si="50"/>
        <v>1</v>
      </c>
      <c r="N372" t="b">
        <f t="shared" ca="1" si="55"/>
        <v>0</v>
      </c>
      <c r="O372" t="b">
        <f t="shared" ca="1" si="51"/>
        <v>0</v>
      </c>
      <c r="P372" s="2">
        <f ca="1"/>
        <v>45412</v>
      </c>
      <c r="Q372">
        <f ca="1"/>
        <v>-72.495983334931921</v>
      </c>
      <c r="R372">
        <f ca="1"/>
        <v>1.2913168679166205</v>
      </c>
      <c r="S372">
        <f ca="1"/>
        <v>3.7788431076826612E-2</v>
      </c>
      <c r="T372">
        <f ca="1"/>
        <v>0.34196564852082406</v>
      </c>
      <c r="U372">
        <f ca="1"/>
        <v>0</v>
      </c>
      <c r="V372">
        <f ca="1"/>
        <v>128.25841227720997</v>
      </c>
      <c r="W372">
        <f ca="1"/>
        <v>117.33269567581802</v>
      </c>
      <c r="X372">
        <f ca="1"/>
        <v>0</v>
      </c>
      <c r="Y372">
        <f ca="1"/>
        <v>0.93270416340604811</v>
      </c>
      <c r="Z372">
        <f ca="1"/>
        <v>0</v>
      </c>
      <c r="AA372">
        <f ca="1"/>
        <v>0</v>
      </c>
      <c r="AB372">
        <f ca="1"/>
        <v>0.99996758408990838</v>
      </c>
      <c r="AD372" s="2">
        <f t="shared" ca="1" si="52"/>
        <v>45412</v>
      </c>
      <c r="AE372">
        <f t="shared" ca="1" si="53"/>
        <v>0</v>
      </c>
      <c r="AG372" s="63">
        <f t="shared" ca="1" si="57"/>
        <v>-71.204666467015315</v>
      </c>
      <c r="AH372" s="63">
        <f t="shared" ca="1" si="58"/>
        <v>-71.204666467015301</v>
      </c>
      <c r="AI372" s="3">
        <f t="shared" ca="1" si="59"/>
        <v>0</v>
      </c>
    </row>
    <row r="373" spans="7:35">
      <c r="G373" s="3">
        <f t="shared" si="54"/>
        <v>63</v>
      </c>
      <c r="H373" s="95">
        <f t="shared" si="56"/>
        <v>45353</v>
      </c>
      <c r="I373" s="119">
        <f>HLOOKUP($H$5,'Met Data'!$A$2:$F$368,G373,FALSE)</f>
        <v>18.759999999999899</v>
      </c>
      <c r="J373" s="119">
        <f ca="1">HLOOKUP($H$5,'Met Data'!$H$2:$M$368,G373,FALSE)*L373</f>
        <v>3.53666666666666</v>
      </c>
      <c r="K373" s="96">
        <f>HLOOKUP($H$5,'Met Data'!$O$2:$T$368,G373,FALSE)</f>
        <v>3.6493457095997699</v>
      </c>
      <c r="L373">
        <f t="shared" ca="1" si="50"/>
        <v>1</v>
      </c>
      <c r="N373" t="b">
        <f t="shared" ca="1" si="55"/>
        <v>0</v>
      </c>
      <c r="O373" t="b">
        <f t="shared" ca="1" si="51"/>
        <v>0</v>
      </c>
      <c r="P373" s="2">
        <f ca="1"/>
        <v>45413</v>
      </c>
      <c r="Q373">
        <f ca="1"/>
        <v>-73.366645430678034</v>
      </c>
      <c r="R373">
        <f ca="1"/>
        <v>1.2587188819336461</v>
      </c>
      <c r="S373">
        <f ca="1"/>
        <v>3.7003936197169907E-2</v>
      </c>
      <c r="T373">
        <f ca="1"/>
        <v>0.35105284999037378</v>
      </c>
      <c r="U373">
        <f ca="1"/>
        <v>0</v>
      </c>
      <c r="V373">
        <f ca="1"/>
        <v>129.51713115914362</v>
      </c>
      <c r="W373">
        <f ca="1"/>
        <v>118.48419035669805</v>
      </c>
      <c r="X373">
        <f ca="1"/>
        <v>0</v>
      </c>
      <c r="Y373">
        <f ca="1"/>
        <v>1</v>
      </c>
      <c r="Z373">
        <f ca="1"/>
        <v>0.98705387811924794</v>
      </c>
      <c r="AA373">
        <f ca="1"/>
        <v>0</v>
      </c>
      <c r="AB373">
        <f ca="1"/>
        <v>0.99997088738103612</v>
      </c>
      <c r="AD373" s="2">
        <f t="shared" ca="1" si="52"/>
        <v>45413</v>
      </c>
      <c r="AE373">
        <f t="shared" ca="1" si="53"/>
        <v>0</v>
      </c>
      <c r="AG373" s="63">
        <f t="shared" ca="1" si="57"/>
        <v>-72.107926548744388</v>
      </c>
      <c r="AH373" s="63">
        <f t="shared" ca="1" si="58"/>
        <v>-72.107926548744388</v>
      </c>
      <c r="AI373" s="3">
        <f t="shared" ca="1" si="59"/>
        <v>0</v>
      </c>
    </row>
    <row r="374" spans="7:35">
      <c r="G374" s="3">
        <f t="shared" si="54"/>
        <v>64</v>
      </c>
      <c r="H374" s="95">
        <f t="shared" si="56"/>
        <v>45354</v>
      </c>
      <c r="I374" s="119">
        <f>HLOOKUP($H$5,'Met Data'!$A$2:$F$368,G374,FALSE)</f>
        <v>18.0322580645161</v>
      </c>
      <c r="J374" s="119">
        <f ca="1">HLOOKUP($H$5,'Met Data'!$H$2:$M$368,G374,FALSE)*L374</f>
        <v>5.3612903225806399</v>
      </c>
      <c r="K374" s="96">
        <f>HLOOKUP($H$5,'Met Data'!$O$2:$T$368,G374,FALSE)</f>
        <v>3.6858306163975501</v>
      </c>
      <c r="L374">
        <f t="shared" ca="1" si="50"/>
        <v>1</v>
      </c>
      <c r="N374" t="b">
        <f t="shared" ca="1" si="55"/>
        <v>0</v>
      </c>
      <c r="O374" t="b">
        <f t="shared" ca="1" si="51"/>
        <v>0</v>
      </c>
      <c r="P374" s="2">
        <f ca="1"/>
        <v>45414</v>
      </c>
      <c r="Q374">
        <f ca="1"/>
        <v>-74.207938320595488</v>
      </c>
      <c r="R374">
        <f ca="1"/>
        <v>1.2252957119125938</v>
      </c>
      <c r="S374">
        <f ca="1"/>
        <v>3.6215812018989268E-2</v>
      </c>
      <c r="T374">
        <f ca="1"/>
        <v>0.34778700997614287</v>
      </c>
      <c r="U374">
        <f ca="1"/>
        <v>0</v>
      </c>
      <c r="V374">
        <f ca="1"/>
        <v>130.74242687105621</v>
      </c>
      <c r="W374">
        <f ca="1"/>
        <v>119.60510902648477</v>
      </c>
      <c r="X374">
        <f ca="1"/>
        <v>0</v>
      </c>
      <c r="Y374">
        <f ca="1"/>
        <v>1</v>
      </c>
      <c r="Z374">
        <f ca="1"/>
        <v>0.7250966362746567</v>
      </c>
      <c r="AA374">
        <f ca="1"/>
        <v>0</v>
      </c>
      <c r="AB374">
        <f ca="1"/>
        <v>0.99997382079340025</v>
      </c>
      <c r="AD374" s="2">
        <f t="shared" ca="1" si="52"/>
        <v>45414</v>
      </c>
      <c r="AE374">
        <f t="shared" ca="1" si="53"/>
        <v>0</v>
      </c>
      <c r="AG374" s="63">
        <f t="shared" ca="1" si="57"/>
        <v>-72.982642608682895</v>
      </c>
      <c r="AH374" s="63">
        <f t="shared" ca="1" si="58"/>
        <v>-72.982642608682895</v>
      </c>
      <c r="AI374" s="3">
        <f t="shared" ca="1" si="59"/>
        <v>0</v>
      </c>
    </row>
    <row r="375" spans="7:35">
      <c r="G375" s="3">
        <f t="shared" si="54"/>
        <v>65</v>
      </c>
      <c r="H375" s="95">
        <f t="shared" si="56"/>
        <v>45355</v>
      </c>
      <c r="I375" s="119">
        <f>HLOOKUP($H$5,'Met Data'!$A$2:$F$368,G375,FALSE)</f>
        <v>17.95</v>
      </c>
      <c r="J375" s="119">
        <f ca="1">HLOOKUP($H$5,'Met Data'!$H$2:$M$368,G375,FALSE)*L375</f>
        <v>2.5580645161290301</v>
      </c>
      <c r="K375" s="96">
        <f>HLOOKUP($H$5,'Met Data'!$O$2:$T$368,G375,FALSE)</f>
        <v>3.6617176102227802</v>
      </c>
      <c r="L375">
        <f t="shared" ca="1" si="50"/>
        <v>1</v>
      </c>
      <c r="N375" t="b">
        <f t="shared" ca="1" si="55"/>
        <v>0</v>
      </c>
      <c r="O375" t="b">
        <f t="shared" ca="1" si="51"/>
        <v>0</v>
      </c>
      <c r="P375" s="2">
        <f ca="1"/>
        <v>45415</v>
      </c>
      <c r="Q375">
        <f ca="1"/>
        <v>-75.003896561729121</v>
      </c>
      <c r="R375">
        <f ca="1"/>
        <v>1.1706955866922044</v>
      </c>
      <c r="S375">
        <f ca="1"/>
        <v>3.5044609322852693E-2</v>
      </c>
      <c r="T375">
        <f ca="1"/>
        <v>0.33969273623571883</v>
      </c>
      <c r="U375">
        <f ca="1"/>
        <v>0</v>
      </c>
      <c r="V375">
        <f ca="1"/>
        <v>131.91312245774841</v>
      </c>
      <c r="W375">
        <f ca="1"/>
        <v>120.67607869282911</v>
      </c>
      <c r="X375">
        <f ca="1"/>
        <v>0</v>
      </c>
      <c r="Y375">
        <f ca="1"/>
        <v>1</v>
      </c>
      <c r="Z375">
        <f ca="1"/>
        <v>0.39071867477540678</v>
      </c>
      <c r="AA375">
        <f ca="1"/>
        <v>0</v>
      </c>
      <c r="AB375">
        <f ca="1"/>
        <v>0.99997638357352603</v>
      </c>
      <c r="AD375" s="2">
        <f t="shared" ca="1" si="52"/>
        <v>45415</v>
      </c>
      <c r="AE375">
        <f t="shared" ca="1" si="53"/>
        <v>0</v>
      </c>
      <c r="AG375" s="63">
        <f t="shared" ca="1" si="57"/>
        <v>-73.833200975036917</v>
      </c>
      <c r="AH375" s="63">
        <f t="shared" ca="1" si="58"/>
        <v>-73.833200975036917</v>
      </c>
      <c r="AI375" s="3">
        <f t="shared" ca="1" si="59"/>
        <v>0</v>
      </c>
    </row>
    <row r="376" spans="7:35">
      <c r="G376" s="3">
        <f t="shared" si="54"/>
        <v>66</v>
      </c>
      <c r="H376" s="95">
        <f t="shared" si="56"/>
        <v>45356</v>
      </c>
      <c r="I376" s="119">
        <f>HLOOKUP($H$5,'Met Data'!$A$2:$F$368,G376,FALSE)</f>
        <v>18.361290322580601</v>
      </c>
      <c r="J376" s="119">
        <f ca="1">HLOOKUP($H$5,'Met Data'!$H$2:$M$368,G376,FALSE)*L376</f>
        <v>2.3129032258064499</v>
      </c>
      <c r="K376" s="96">
        <f>HLOOKUP($H$5,'Met Data'!$O$2:$T$368,G376,FALSE)</f>
        <v>3.8548213926682098</v>
      </c>
      <c r="L376">
        <f t="shared" ca="1" si="50"/>
        <v>1</v>
      </c>
      <c r="N376" t="b">
        <f t="shared" ca="1" si="55"/>
        <v>0</v>
      </c>
      <c r="O376" t="b">
        <f t="shared" ca="1" si="51"/>
        <v>0</v>
      </c>
      <c r="P376" s="2">
        <f ca="1"/>
        <v>45416</v>
      </c>
      <c r="Q376">
        <f ca="1"/>
        <v>-75.790754157897169</v>
      </c>
      <c r="R376">
        <f ca="1"/>
        <v>1.1638183061187419</v>
      </c>
      <c r="S376">
        <f ca="1"/>
        <v>3.4770911803880367E-2</v>
      </c>
      <c r="T376">
        <f ca="1"/>
        <v>0.34218979814681644</v>
      </c>
      <c r="U376">
        <f ca="1"/>
        <v>0</v>
      </c>
      <c r="V376">
        <f ca="1"/>
        <v>133.07694076386716</v>
      </c>
      <c r="W376">
        <f ca="1"/>
        <v>121.74075692101923</v>
      </c>
      <c r="X376">
        <f ca="1"/>
        <v>0</v>
      </c>
      <c r="Y376">
        <f ca="1"/>
        <v>1</v>
      </c>
      <c r="Z376">
        <f ca="1"/>
        <v>1.2734649378683613</v>
      </c>
      <c r="AA376">
        <f ca="1"/>
        <v>0</v>
      </c>
      <c r="AB376">
        <f ca="1"/>
        <v>0.99997871649682701</v>
      </c>
      <c r="AD376" s="2">
        <f t="shared" ca="1" si="52"/>
        <v>45416</v>
      </c>
      <c r="AE376">
        <f t="shared" ca="1" si="53"/>
        <v>0</v>
      </c>
      <c r="AG376" s="63">
        <f t="shared" ca="1" si="57"/>
        <v>-74.626935851778427</v>
      </c>
      <c r="AH376" s="63">
        <f t="shared" ca="1" si="58"/>
        <v>-74.626935851778427</v>
      </c>
      <c r="AI376" s="3">
        <f t="shared" ca="1" si="59"/>
        <v>0</v>
      </c>
    </row>
    <row r="377" spans="7:35">
      <c r="G377" s="3">
        <f t="shared" si="54"/>
        <v>67</v>
      </c>
      <c r="H377" s="95">
        <f t="shared" si="56"/>
        <v>45357</v>
      </c>
      <c r="I377" s="119">
        <f>HLOOKUP($H$5,'Met Data'!$A$2:$F$368,G377,FALSE)</f>
        <v>17.7903225806451</v>
      </c>
      <c r="J377" s="119">
        <f ca="1">HLOOKUP($H$5,'Met Data'!$H$2:$M$368,G377,FALSE)*L377</f>
        <v>2.88709677419354</v>
      </c>
      <c r="K377" s="96">
        <f>HLOOKUP($H$5,'Met Data'!$O$2:$T$368,G377,FALSE)</f>
        <v>3.4909393601542198</v>
      </c>
      <c r="L377">
        <f t="shared" ca="1" si="50"/>
        <v>1</v>
      </c>
      <c r="N377" t="b">
        <f t="shared" ca="1" si="55"/>
        <v>0</v>
      </c>
      <c r="O377" t="b">
        <f t="shared" ca="1" si="51"/>
        <v>0</v>
      </c>
      <c r="P377" s="2">
        <f ca="1"/>
        <v>45417</v>
      </c>
      <c r="Q377">
        <f ca="1"/>
        <v>-76.575095462059053</v>
      </c>
      <c r="R377">
        <f ca="1"/>
        <v>1.1660090740859061</v>
      </c>
      <c r="S377">
        <f ca="1"/>
        <v>3.4679214698952521E-2</v>
      </c>
      <c r="T377">
        <f ca="1"/>
        <v>0.34698855522507238</v>
      </c>
      <c r="U377">
        <f ca="1"/>
        <v>0</v>
      </c>
      <c r="V377">
        <f ca="1"/>
        <v>134.24294983795306</v>
      </c>
      <c r="W377">
        <f ca="1"/>
        <v>122.80743929620151</v>
      </c>
      <c r="X377">
        <f ca="1"/>
        <v>0</v>
      </c>
      <c r="Y377">
        <f ca="1"/>
        <v>1</v>
      </c>
      <c r="Z377">
        <f ca="1"/>
        <v>1.6606067766300825</v>
      </c>
      <c r="AA377">
        <f ca="1"/>
        <v>0</v>
      </c>
      <c r="AB377">
        <f ca="1"/>
        <v>0.99998085508316947</v>
      </c>
      <c r="AD377" s="2">
        <f t="shared" ca="1" si="52"/>
        <v>45417</v>
      </c>
      <c r="AE377">
        <f t="shared" ca="1" si="53"/>
        <v>0</v>
      </c>
      <c r="AG377" s="63">
        <f t="shared" ca="1" si="57"/>
        <v>-75.409086387973147</v>
      </c>
      <c r="AH377" s="63">
        <f t="shared" ca="1" si="58"/>
        <v>-75.409086387973147</v>
      </c>
      <c r="AI377" s="3">
        <f t="shared" ca="1" si="59"/>
        <v>0</v>
      </c>
    </row>
    <row r="378" spans="7:35">
      <c r="G378" s="3">
        <f t="shared" si="54"/>
        <v>68</v>
      </c>
      <c r="H378" s="95">
        <f t="shared" si="56"/>
        <v>45358</v>
      </c>
      <c r="I378" s="119">
        <f>HLOOKUP($H$5,'Met Data'!$A$2:$F$368,G378,FALSE)</f>
        <v>18.141379310344799</v>
      </c>
      <c r="J378" s="119">
        <f ca="1">HLOOKUP($H$5,'Met Data'!$H$2:$M$368,G378,FALSE)*L378</f>
        <v>1.0379310344827499</v>
      </c>
      <c r="K378" s="96">
        <f>HLOOKUP($H$5,'Met Data'!$O$2:$T$368,G378,FALSE)</f>
        <v>3.8084649299222599</v>
      </c>
      <c r="L378">
        <f t="shared" ca="1" si="50"/>
        <v>1</v>
      </c>
      <c r="N378" t="b">
        <f t="shared" ca="1" si="55"/>
        <v>0</v>
      </c>
      <c r="O378" t="b">
        <f t="shared" ca="1" si="51"/>
        <v>0</v>
      </c>
      <c r="P378" s="2">
        <f ca="1"/>
        <v>45418</v>
      </c>
      <c r="Q378">
        <f ca="1"/>
        <v>-77.311110674885526</v>
      </c>
      <c r="R378">
        <f ca="1"/>
        <v>1.1070917191555623</v>
      </c>
      <c r="S378">
        <f ca="1"/>
        <v>3.3450907850717471E-2</v>
      </c>
      <c r="T378">
        <f ca="1"/>
        <v>0.3376255984783687</v>
      </c>
      <c r="U378">
        <f ca="1"/>
        <v>0</v>
      </c>
      <c r="V378">
        <f ca="1"/>
        <v>135.35004155710863</v>
      </c>
      <c r="W378">
        <f ca="1"/>
        <v>123.82022320224382</v>
      </c>
      <c r="X378">
        <f ca="1"/>
        <v>0</v>
      </c>
      <c r="Y378">
        <f ca="1"/>
        <v>0.99927573171967776</v>
      </c>
      <c r="Z378">
        <f ca="1"/>
        <v>0</v>
      </c>
      <c r="AA378">
        <f ca="1"/>
        <v>0</v>
      </c>
      <c r="AB378">
        <f ca="1"/>
        <v>0.99998271508656811</v>
      </c>
      <c r="AD378" s="2">
        <f t="shared" ca="1" si="52"/>
        <v>45418</v>
      </c>
      <c r="AE378">
        <f t="shared" ca="1" si="53"/>
        <v>0</v>
      </c>
      <c r="AG378" s="63">
        <f t="shared" ca="1" si="57"/>
        <v>-76.204018955729964</v>
      </c>
      <c r="AH378" s="63">
        <f t="shared" ca="1" si="58"/>
        <v>-76.204018955729964</v>
      </c>
      <c r="AI378" s="3">
        <f t="shared" ca="1" si="59"/>
        <v>0</v>
      </c>
    </row>
    <row r="379" spans="7:35">
      <c r="G379" s="3">
        <f t="shared" si="54"/>
        <v>69</v>
      </c>
      <c r="H379" s="95">
        <f t="shared" si="56"/>
        <v>45359</v>
      </c>
      <c r="I379" s="119">
        <f>HLOOKUP($H$5,'Met Data'!$A$2:$F$368,G379,FALSE)</f>
        <v>18.3816666666666</v>
      </c>
      <c r="J379" s="119">
        <f ca="1">HLOOKUP($H$5,'Met Data'!$H$2:$M$368,G379,FALSE)*L379</f>
        <v>3.2766666666666602</v>
      </c>
      <c r="K379" s="96">
        <f>HLOOKUP($H$5,'Met Data'!$O$2:$T$368,G379,FALSE)</f>
        <v>3.6161533155938699</v>
      </c>
      <c r="L379">
        <f t="shared" ca="1" si="50"/>
        <v>1</v>
      </c>
      <c r="N379" t="b">
        <f t="shared" ca="1" si="55"/>
        <v>0</v>
      </c>
      <c r="O379" t="b">
        <f t="shared" ca="1" si="51"/>
        <v>0</v>
      </c>
      <c r="P379" s="2">
        <f ca="1"/>
        <v>45419</v>
      </c>
      <c r="Q379">
        <f ca="1"/>
        <v>-78.00554994209017</v>
      </c>
      <c r="R379">
        <f ca="1"/>
        <v>1.0568740629275908</v>
      </c>
      <c r="S379">
        <f ca="1"/>
        <v>3.2399796649208668E-2</v>
      </c>
      <c r="T379">
        <f ca="1"/>
        <v>0.33003499907373512</v>
      </c>
      <c r="U379">
        <f ca="1"/>
        <v>0</v>
      </c>
      <c r="V379">
        <f ca="1"/>
        <v>136.40691562003622</v>
      </c>
      <c r="W379">
        <f ca="1"/>
        <v>124.78706725240349</v>
      </c>
      <c r="X379">
        <f ca="1"/>
        <v>0</v>
      </c>
      <c r="Y379">
        <f ca="1"/>
        <v>1</v>
      </c>
      <c r="Z379">
        <f ca="1"/>
        <v>1.5175733971961805</v>
      </c>
      <c r="AA379">
        <f ca="1"/>
        <v>0</v>
      </c>
      <c r="AB379">
        <f ca="1"/>
        <v>0.99998434688174176</v>
      </c>
      <c r="AD379" s="2">
        <f t="shared" ca="1" si="52"/>
        <v>45419</v>
      </c>
      <c r="AE379">
        <f t="shared" ca="1" si="53"/>
        <v>0</v>
      </c>
      <c r="AG379" s="63">
        <f t="shared" ca="1" si="57"/>
        <v>-76.948675879162593</v>
      </c>
      <c r="AH379" s="63">
        <f t="shared" ca="1" si="58"/>
        <v>-76.948675879162579</v>
      </c>
      <c r="AI379" s="3">
        <f t="shared" ca="1" si="59"/>
        <v>0</v>
      </c>
    </row>
    <row r="380" spans="7:35">
      <c r="G380" s="3">
        <f t="shared" si="54"/>
        <v>70</v>
      </c>
      <c r="H380" s="95">
        <f t="shared" si="56"/>
        <v>45360</v>
      </c>
      <c r="I380" s="119">
        <f>HLOOKUP($H$5,'Met Data'!$A$2:$F$368,G380,FALSE)</f>
        <v>18.100000000000001</v>
      </c>
      <c r="J380" s="119">
        <f ca="1">HLOOKUP($H$5,'Met Data'!$H$2:$M$368,G380,FALSE)*L380</f>
        <v>1.75</v>
      </c>
      <c r="K380" s="96">
        <f>HLOOKUP($H$5,'Met Data'!$O$2:$T$368,G380,FALSE)</f>
        <v>3.9222011256035199</v>
      </c>
      <c r="L380">
        <f t="shared" ca="1" si="50"/>
        <v>1</v>
      </c>
      <c r="N380" t="b">
        <f t="shared" ca="1" si="55"/>
        <v>0</v>
      </c>
      <c r="O380" t="b">
        <f t="shared" ca="1" si="51"/>
        <v>0</v>
      </c>
      <c r="P380" s="2">
        <f ca="1"/>
        <v>45420</v>
      </c>
      <c r="Q380">
        <f ca="1"/>
        <v>-78.645933697484452</v>
      </c>
      <c r="R380">
        <f ca="1"/>
        <v>0.98967845514499686</v>
      </c>
      <c r="S380">
        <f ca="1"/>
        <v>3.105841234323492E-2</v>
      </c>
      <c r="T380">
        <f ca="1"/>
        <v>0.31823628740746873</v>
      </c>
      <c r="U380">
        <f ca="1"/>
        <v>0</v>
      </c>
      <c r="V380">
        <f ca="1"/>
        <v>137.39659407518121</v>
      </c>
      <c r="W380">
        <f ca="1"/>
        <v>125.6924397650732</v>
      </c>
      <c r="X380">
        <f ca="1"/>
        <v>0</v>
      </c>
      <c r="Y380">
        <f ca="1"/>
        <v>1</v>
      </c>
      <c r="Z380">
        <f ca="1"/>
        <v>0.59397336932762101</v>
      </c>
      <c r="AA380">
        <f ca="1"/>
        <v>0</v>
      </c>
      <c r="AB380">
        <f ca="1"/>
        <v>0.9999857562677017</v>
      </c>
      <c r="AD380" s="2">
        <f t="shared" ca="1" si="52"/>
        <v>45420</v>
      </c>
      <c r="AE380">
        <f t="shared" ca="1" si="53"/>
        <v>0</v>
      </c>
      <c r="AG380" s="63">
        <f t="shared" ca="1" si="57"/>
        <v>-77.656255242339455</v>
      </c>
      <c r="AH380" s="63">
        <f t="shared" ca="1" si="58"/>
        <v>-77.656255242339455</v>
      </c>
      <c r="AI380" s="3">
        <f t="shared" ca="1" si="59"/>
        <v>0</v>
      </c>
    </row>
    <row r="381" spans="7:35">
      <c r="G381" s="3">
        <f t="shared" si="54"/>
        <v>71</v>
      </c>
      <c r="H381" s="95">
        <f t="shared" si="56"/>
        <v>45361</v>
      </c>
      <c r="I381" s="119">
        <f>HLOOKUP($H$5,'Met Data'!$A$2:$F$368,G381,FALSE)</f>
        <v>17.931666666666601</v>
      </c>
      <c r="J381" s="119">
        <f ca="1">HLOOKUP($H$5,'Met Data'!$H$2:$M$368,G381,FALSE)*L381</f>
        <v>6.9499999999999904</v>
      </c>
      <c r="K381" s="96">
        <f>HLOOKUP($H$5,'Met Data'!$O$2:$T$368,G381,FALSE)</f>
        <v>3.4661109817168501</v>
      </c>
      <c r="L381">
        <f t="shared" ca="1" si="50"/>
        <v>1</v>
      </c>
      <c r="N381" t="b">
        <f t="shared" ca="1" si="55"/>
        <v>0</v>
      </c>
      <c r="O381" t="b">
        <f t="shared" ca="1" si="51"/>
        <v>0</v>
      </c>
      <c r="P381" s="2">
        <f ca="1"/>
        <v>45421</v>
      </c>
      <c r="Q381">
        <f ca="1"/>
        <v>-79.282628984029259</v>
      </c>
      <c r="R381">
        <f ca="1"/>
        <v>0.98953256083808583</v>
      </c>
      <c r="S381">
        <f ca="1"/>
        <v>3.0925183190538164E-2</v>
      </c>
      <c r="T381">
        <f ca="1"/>
        <v>0.32191209110274677</v>
      </c>
      <c r="U381">
        <f ca="1"/>
        <v>0</v>
      </c>
      <c r="V381">
        <f ca="1"/>
        <v>138.3861266360193</v>
      </c>
      <c r="W381">
        <f ca="1"/>
        <v>126.59767881146952</v>
      </c>
      <c r="X381">
        <f ca="1"/>
        <v>0</v>
      </c>
      <c r="Y381">
        <f ca="1"/>
        <v>1</v>
      </c>
      <c r="Z381">
        <f ca="1"/>
        <v>1.5077961298284706</v>
      </c>
      <c r="AA381">
        <f ca="1"/>
        <v>0</v>
      </c>
      <c r="AB381">
        <f ca="1"/>
        <v>0.99998705831794998</v>
      </c>
      <c r="AD381" s="2">
        <f t="shared" ca="1" si="52"/>
        <v>45421</v>
      </c>
      <c r="AE381">
        <f t="shared" ca="1" si="53"/>
        <v>0</v>
      </c>
      <c r="AG381" s="63">
        <f t="shared" ca="1" si="57"/>
        <v>-78.293096423191173</v>
      </c>
      <c r="AH381" s="63">
        <f t="shared" ca="1" si="58"/>
        <v>-78.293096423191173</v>
      </c>
      <c r="AI381" s="3">
        <f t="shared" ca="1" si="59"/>
        <v>0</v>
      </c>
    </row>
    <row r="382" spans="7:35">
      <c r="G382" s="3">
        <f t="shared" si="54"/>
        <v>72</v>
      </c>
      <c r="H382" s="95">
        <f t="shared" si="56"/>
        <v>45362</v>
      </c>
      <c r="I382" s="119">
        <f>HLOOKUP($H$5,'Met Data'!$A$2:$F$368,G382,FALSE)</f>
        <v>18.11</v>
      </c>
      <c r="J382" s="119">
        <f ca="1">HLOOKUP($H$5,'Met Data'!$H$2:$M$368,G382,FALSE)*L382</f>
        <v>3.0533333333333301</v>
      </c>
      <c r="K382" s="96">
        <f>HLOOKUP($H$5,'Met Data'!$O$2:$T$368,G382,FALSE)</f>
        <v>3.54178935257598</v>
      </c>
      <c r="L382">
        <f t="shared" ca="1" si="50"/>
        <v>1</v>
      </c>
      <c r="N382" t="b">
        <f t="shared" ca="1" si="55"/>
        <v>0</v>
      </c>
      <c r="O382" t="b">
        <f t="shared" ca="1" si="51"/>
        <v>0</v>
      </c>
      <c r="P382" s="2">
        <f ca="1"/>
        <v>45422</v>
      </c>
      <c r="Q382">
        <f ca="1"/>
        <v>-79.928046712646378</v>
      </c>
      <c r="R382">
        <f ca="1"/>
        <v>1.0065699312541483</v>
      </c>
      <c r="S382">
        <f ca="1"/>
        <v>3.1117203563296059E-2</v>
      </c>
      <c r="T382">
        <f ca="1"/>
        <v>0.33003499907373512</v>
      </c>
      <c r="U382">
        <f ca="1"/>
        <v>0</v>
      </c>
      <c r="V382">
        <f ca="1"/>
        <v>139.39269656727345</v>
      </c>
      <c r="W382">
        <f ca="1"/>
        <v>127.51850389672792</v>
      </c>
      <c r="X382">
        <f ca="1"/>
        <v>0</v>
      </c>
      <c r="Y382">
        <f ca="1"/>
        <v>1</v>
      </c>
      <c r="Z382">
        <f ca="1"/>
        <v>0.59917358401661147</v>
      </c>
      <c r="AA382">
        <f ca="1"/>
        <v>0</v>
      </c>
      <c r="AB382">
        <f ca="1"/>
        <v>0.99998828009192398</v>
      </c>
      <c r="AD382" s="2">
        <f t="shared" ca="1" si="52"/>
        <v>45422</v>
      </c>
      <c r="AE382">
        <f t="shared" ca="1" si="53"/>
        <v>0</v>
      </c>
      <c r="AG382" s="63">
        <f t="shared" ca="1" si="57"/>
        <v>-78.921476781392229</v>
      </c>
      <c r="AH382" s="63">
        <f t="shared" ca="1" si="58"/>
        <v>-78.921476781392229</v>
      </c>
      <c r="AI382" s="3">
        <f t="shared" ca="1" si="59"/>
        <v>0</v>
      </c>
    </row>
    <row r="383" spans="7:35">
      <c r="G383" s="3">
        <f t="shared" si="54"/>
        <v>73</v>
      </c>
      <c r="H383" s="95">
        <f t="shared" si="56"/>
        <v>45363</v>
      </c>
      <c r="I383" s="119">
        <f>HLOOKUP($H$5,'Met Data'!$A$2:$F$368,G383,FALSE)</f>
        <v>17.7392857142857</v>
      </c>
      <c r="J383" s="119">
        <f ca="1">HLOOKUP($H$5,'Met Data'!$H$2:$M$368,G383,FALSE)*L383</f>
        <v>1.6892857142857101</v>
      </c>
      <c r="K383" s="96">
        <f>HLOOKUP($H$5,'Met Data'!$O$2:$T$368,G383,FALSE)</f>
        <v>3.3591305391228099</v>
      </c>
      <c r="L383">
        <f t="shared" ca="1" si="50"/>
        <v>1</v>
      </c>
      <c r="N383" t="b">
        <f t="shared" ca="1" si="55"/>
        <v>0</v>
      </c>
      <c r="O383" t="b">
        <f t="shared" ca="1" si="51"/>
        <v>0</v>
      </c>
      <c r="P383" s="2">
        <f ca="1"/>
        <v>45423</v>
      </c>
      <c r="Q383">
        <f ca="1"/>
        <v>-80.583224310239629</v>
      </c>
      <c r="R383">
        <f ca="1"/>
        <v>1.0258708014076774</v>
      </c>
      <c r="S383">
        <f ca="1"/>
        <v>3.1376884992562637E-2</v>
      </c>
      <c r="T383">
        <f ca="1"/>
        <v>0.33931631882185215</v>
      </c>
      <c r="U383">
        <f ca="1"/>
        <v>0</v>
      </c>
      <c r="V383">
        <f ca="1"/>
        <v>140.41856736868112</v>
      </c>
      <c r="W383">
        <f ca="1"/>
        <v>128.45698570394163</v>
      </c>
      <c r="X383">
        <f ca="1"/>
        <v>0</v>
      </c>
      <c r="Y383">
        <f ca="1"/>
        <v>1</v>
      </c>
      <c r="Z383">
        <f ca="1"/>
        <v>1.9788298361560877</v>
      </c>
      <c r="AA383">
        <f ca="1"/>
        <v>0</v>
      </c>
      <c r="AB383">
        <f ca="1"/>
        <v>0.99998942583509076</v>
      </c>
      <c r="AD383" s="2">
        <f t="shared" ca="1" si="52"/>
        <v>45423</v>
      </c>
      <c r="AE383">
        <f t="shared" ca="1" si="53"/>
        <v>0</v>
      </c>
      <c r="AG383" s="63">
        <f t="shared" ca="1" si="57"/>
        <v>-79.557353508831952</v>
      </c>
      <c r="AH383" s="63">
        <f t="shared" ca="1" si="58"/>
        <v>-79.557353508831952</v>
      </c>
      <c r="AI383" s="3">
        <f t="shared" ca="1" si="59"/>
        <v>0</v>
      </c>
    </row>
    <row r="384" spans="7:35">
      <c r="G384" s="3">
        <f t="shared" si="54"/>
        <v>74</v>
      </c>
      <c r="H384" s="95">
        <f t="shared" si="56"/>
        <v>45364</v>
      </c>
      <c r="I384" s="119">
        <f>HLOOKUP($H$5,'Met Data'!$A$2:$F$368,G384,FALSE)</f>
        <v>17.7431034482758</v>
      </c>
      <c r="J384" s="119">
        <f ca="1">HLOOKUP($H$5,'Met Data'!$H$2:$M$368,G384,FALSE)*L384</f>
        <v>1.84</v>
      </c>
      <c r="K384" s="96">
        <f>HLOOKUP($H$5,'Met Data'!$O$2:$T$368,G384,FALSE)</f>
        <v>3.37236322021164</v>
      </c>
      <c r="L384">
        <f t="shared" ca="1" si="50"/>
        <v>1</v>
      </c>
      <c r="N384" t="b">
        <f t="shared" ca="1" si="55"/>
        <v>0</v>
      </c>
      <c r="O384" t="b">
        <f t="shared" ca="1" si="51"/>
        <v>0</v>
      </c>
      <c r="P384" s="2">
        <f ca="1"/>
        <v>45424</v>
      </c>
      <c r="Q384">
        <f ca="1"/>
        <v>-81.21370318454106</v>
      </c>
      <c r="R384">
        <f ca="1"/>
        <v>0.99826364913857901</v>
      </c>
      <c r="S384">
        <f ca="1"/>
        <v>3.0768444610973944E-2</v>
      </c>
      <c r="T384">
        <f ca="1"/>
        <v>0.33701633022618044</v>
      </c>
      <c r="U384">
        <f ca="1"/>
        <v>0</v>
      </c>
      <c r="V384">
        <f ca="1"/>
        <v>141.4168310178197</v>
      </c>
      <c r="W384">
        <f ca="1"/>
        <v>129.37021207926469</v>
      </c>
      <c r="X384">
        <f ca="1"/>
        <v>0</v>
      </c>
      <c r="Y384">
        <f ca="1"/>
        <v>1</v>
      </c>
      <c r="Z384">
        <f ca="1"/>
        <v>1.6257506441505356</v>
      </c>
      <c r="AA384">
        <f ca="1"/>
        <v>0</v>
      </c>
      <c r="AB384">
        <f ca="1"/>
        <v>0.99999045084990035</v>
      </c>
      <c r="AD384" s="2">
        <f t="shared" ca="1" si="52"/>
        <v>45424</v>
      </c>
      <c r="AE384">
        <f t="shared" ca="1" si="53"/>
        <v>0</v>
      </c>
      <c r="AG384" s="63">
        <f t="shared" ca="1" si="57"/>
        <v>-80.215439535402481</v>
      </c>
      <c r="AH384" s="63">
        <f t="shared" ca="1" si="58"/>
        <v>-80.215439535402481</v>
      </c>
      <c r="AI384" s="3">
        <f t="shared" ca="1" si="59"/>
        <v>0</v>
      </c>
    </row>
    <row r="385" spans="7:35">
      <c r="G385" s="3">
        <f t="shared" si="54"/>
        <v>75</v>
      </c>
      <c r="H385" s="95">
        <f t="shared" si="56"/>
        <v>45365</v>
      </c>
      <c r="I385" s="119">
        <f>HLOOKUP($H$5,'Met Data'!$A$2:$F$368,G385,FALSE)</f>
        <v>17.582758620689599</v>
      </c>
      <c r="J385" s="119">
        <f ca="1">HLOOKUP($H$5,'Met Data'!$H$2:$M$368,G385,FALSE)*L385</f>
        <v>3.1862068965517198</v>
      </c>
      <c r="K385" s="96">
        <f>HLOOKUP($H$5,'Met Data'!$O$2:$T$368,G385,FALSE)</f>
        <v>3.1968269295082399</v>
      </c>
      <c r="L385">
        <f t="shared" ca="1" si="50"/>
        <v>1</v>
      </c>
      <c r="N385" t="b">
        <f t="shared" ca="1" si="55"/>
        <v>0</v>
      </c>
      <c r="O385" t="b">
        <f t="shared" ca="1" si="51"/>
        <v>0</v>
      </c>
      <c r="P385" s="2">
        <f ca="1"/>
        <v>45425</v>
      </c>
      <c r="Q385">
        <f ca="1"/>
        <v>-81.800080796435367</v>
      </c>
      <c r="R385">
        <f ca="1"/>
        <v>0.94356928129775497</v>
      </c>
      <c r="S385">
        <f ca="1"/>
        <v>2.9657242199967015E-2</v>
      </c>
      <c r="T385">
        <f ca="1"/>
        <v>0.32753442720349046</v>
      </c>
      <c r="U385">
        <f ca="1"/>
        <v>0</v>
      </c>
      <c r="V385">
        <f ca="1"/>
        <v>142.36040029911746</v>
      </c>
      <c r="W385">
        <f ca="1"/>
        <v>130.23340323660005</v>
      </c>
      <c r="X385">
        <f ca="1"/>
        <v>0</v>
      </c>
      <c r="Y385">
        <f ca="1"/>
        <v>1</v>
      </c>
      <c r="Z385">
        <f ca="1"/>
        <v>1.2119786820522194</v>
      </c>
      <c r="AA385">
        <f ca="1"/>
        <v>0</v>
      </c>
      <c r="AB385">
        <f ca="1"/>
        <v>0.99999134360655906</v>
      </c>
      <c r="AD385" s="2">
        <f t="shared" ca="1" si="52"/>
        <v>45425</v>
      </c>
      <c r="AE385">
        <f t="shared" ca="1" si="53"/>
        <v>0</v>
      </c>
      <c r="AG385" s="63">
        <f t="shared" ca="1" si="57"/>
        <v>-80.856511515137612</v>
      </c>
      <c r="AH385" s="63">
        <f t="shared" ca="1" si="58"/>
        <v>-80.856511515137612</v>
      </c>
      <c r="AI385" s="3">
        <f t="shared" ca="1" si="59"/>
        <v>0</v>
      </c>
    </row>
    <row r="386" spans="7:35">
      <c r="G386" s="3">
        <f t="shared" si="54"/>
        <v>76</v>
      </c>
      <c r="H386" s="95">
        <f t="shared" si="56"/>
        <v>45366</v>
      </c>
      <c r="I386" s="119">
        <f>HLOOKUP($H$5,'Met Data'!$A$2:$F$368,G386,FALSE)</f>
        <v>17.724137931034399</v>
      </c>
      <c r="J386" s="119">
        <f ca="1">HLOOKUP($H$5,'Met Data'!$H$2:$M$368,G386,FALSE)*L386</f>
        <v>2.9633333333333298</v>
      </c>
      <c r="K386" s="96">
        <f>HLOOKUP($H$5,'Met Data'!$O$2:$T$368,G386,FALSE)</f>
        <v>3.15313078143424</v>
      </c>
      <c r="L386">
        <f t="shared" ca="1" si="50"/>
        <v>1</v>
      </c>
      <c r="N386" t="b">
        <f t="shared" ca="1" si="55"/>
        <v>0</v>
      </c>
      <c r="O386" t="b">
        <f t="shared" ca="1" si="51"/>
        <v>0</v>
      </c>
      <c r="P386" s="2">
        <f ca="1"/>
        <v>45426</v>
      </c>
      <c r="Q386">
        <f ca="1"/>
        <v>-82.363419093062817</v>
      </c>
      <c r="R386">
        <f ca="1"/>
        <v>0.91762472362884751</v>
      </c>
      <c r="S386">
        <f ca="1"/>
        <v>2.9085112194000118E-2</v>
      </c>
      <c r="T386">
        <f ca="1"/>
        <v>0.325201314807398</v>
      </c>
      <c r="U386">
        <f ca="1"/>
        <v>0</v>
      </c>
      <c r="V386">
        <f ca="1"/>
        <v>143.27802502274631</v>
      </c>
      <c r="W386">
        <f ca="1"/>
        <v>131.07285992821608</v>
      </c>
      <c r="X386">
        <f ca="1"/>
        <v>0</v>
      </c>
      <c r="Y386">
        <f ca="1"/>
        <v>1</v>
      </c>
      <c r="Z386">
        <f ca="1"/>
        <v>2.336981287492307</v>
      </c>
      <c r="AA386">
        <f ca="1"/>
        <v>0</v>
      </c>
      <c r="AB386">
        <f ca="1"/>
        <v>0.99999214546260617</v>
      </c>
      <c r="AD386" s="2">
        <f t="shared" ca="1" si="52"/>
        <v>45426</v>
      </c>
      <c r="AE386">
        <f t="shared" ca="1" si="53"/>
        <v>0</v>
      </c>
      <c r="AG386" s="63">
        <f t="shared" ca="1" si="57"/>
        <v>-81.445794369433969</v>
      </c>
      <c r="AH386" s="63">
        <f t="shared" ca="1" si="58"/>
        <v>-81.445794369433969</v>
      </c>
      <c r="AI386" s="3">
        <f t="shared" ca="1" si="59"/>
        <v>0</v>
      </c>
    </row>
    <row r="387" spans="7:35">
      <c r="G387" s="3">
        <f t="shared" si="54"/>
        <v>77</v>
      </c>
      <c r="H387" s="95">
        <f t="shared" si="56"/>
        <v>45367</v>
      </c>
      <c r="I387" s="119">
        <f>HLOOKUP($H$5,'Met Data'!$A$2:$F$368,G387,FALSE)</f>
        <v>17.698333333333299</v>
      </c>
      <c r="J387" s="119">
        <f ca="1">HLOOKUP($H$5,'Met Data'!$H$2:$M$368,G387,FALSE)*L387</f>
        <v>2.61666666666666</v>
      </c>
      <c r="K387" s="96">
        <f>HLOOKUP($H$5,'Met Data'!$O$2:$T$368,G387,FALSE)</f>
        <v>3.4068572568745799</v>
      </c>
      <c r="L387">
        <f t="shared" ca="1" si="50"/>
        <v>1</v>
      </c>
      <c r="N387" t="b">
        <f t="shared" ca="1" si="55"/>
        <v>0</v>
      </c>
      <c r="O387" t="b">
        <f t="shared" ca="1" si="51"/>
        <v>0</v>
      </c>
      <c r="P387" s="2">
        <f ca="1"/>
        <v>45427</v>
      </c>
      <c r="Q387">
        <f ca="1"/>
        <v>-82.911269467963521</v>
      </c>
      <c r="R387">
        <f ca="1"/>
        <v>0.90208123828540465</v>
      </c>
      <c r="S387">
        <f ca="1"/>
        <v>2.8708665531068434E-2</v>
      </c>
      <c r="T387">
        <f ca="1"/>
        <v>0.32552219785362968</v>
      </c>
      <c r="U387">
        <f ca="1"/>
        <v>0</v>
      </c>
      <c r="V387">
        <f ca="1"/>
        <v>144.18010626103171</v>
      </c>
      <c r="W387">
        <f ca="1"/>
        <v>131.89809720916602</v>
      </c>
      <c r="X387">
        <f ca="1"/>
        <v>0</v>
      </c>
      <c r="Y387">
        <f ca="1"/>
        <v>1</v>
      </c>
      <c r="Z387">
        <f ca="1"/>
        <v>2.3412689420328903</v>
      </c>
      <c r="AA387">
        <f ca="1"/>
        <v>0</v>
      </c>
      <c r="AB387">
        <f ca="1"/>
        <v>0.99999287397214542</v>
      </c>
      <c r="AD387" s="2">
        <f t="shared" ca="1" si="52"/>
        <v>45427</v>
      </c>
      <c r="AE387">
        <f t="shared" ca="1" si="53"/>
        <v>0</v>
      </c>
      <c r="AG387" s="63">
        <f t="shared" ca="1" si="57"/>
        <v>-82.009188229678116</v>
      </c>
      <c r="AH387" s="63">
        <f t="shared" ca="1" si="58"/>
        <v>-82.009188229678116</v>
      </c>
      <c r="AI387" s="3">
        <f t="shared" ca="1" si="59"/>
        <v>0</v>
      </c>
    </row>
    <row r="388" spans="7:35">
      <c r="G388" s="3">
        <f t="shared" si="54"/>
        <v>78</v>
      </c>
      <c r="H388" s="95">
        <f t="shared" si="56"/>
        <v>45368</v>
      </c>
      <c r="I388" s="119">
        <f>HLOOKUP($H$5,'Met Data'!$A$2:$F$368,G388,FALSE)</f>
        <v>17.62</v>
      </c>
      <c r="J388" s="119">
        <f ca="1">HLOOKUP($H$5,'Met Data'!$H$2:$M$368,G388,FALSE)*L388</f>
        <v>1.69</v>
      </c>
      <c r="K388" s="96">
        <f>HLOOKUP($H$5,'Met Data'!$O$2:$T$368,G388,FALSE)</f>
        <v>3.17632774581707</v>
      </c>
      <c r="L388">
        <f t="shared" ca="1" si="50"/>
        <v>1</v>
      </c>
      <c r="N388" t="b">
        <f t="shared" ca="1" si="55"/>
        <v>0</v>
      </c>
      <c r="O388" t="b">
        <f t="shared" ca="1" si="51"/>
        <v>0</v>
      </c>
      <c r="P388" s="2">
        <f ca="1"/>
        <v>45428</v>
      </c>
      <c r="Q388">
        <f ca="1"/>
        <v>-83.41297409339974</v>
      </c>
      <c r="R388">
        <f ca="1"/>
        <v>0.8434735273235674</v>
      </c>
      <c r="S388">
        <f ca="1"/>
        <v>2.7541499133189262E-2</v>
      </c>
      <c r="T388">
        <f ca="1"/>
        <v>0.31422740275416272</v>
      </c>
      <c r="U388">
        <f ca="1"/>
        <v>0</v>
      </c>
      <c r="V388">
        <f ca="1"/>
        <v>145.02357978835528</v>
      </c>
      <c r="W388">
        <f ca="1"/>
        <v>132.66971928786577</v>
      </c>
      <c r="X388">
        <f ca="1"/>
        <v>0</v>
      </c>
      <c r="Y388">
        <f ca="1"/>
        <v>1</v>
      </c>
      <c r="Z388">
        <f ca="1"/>
        <v>2.1851901968618677</v>
      </c>
      <c r="AA388">
        <f ca="1"/>
        <v>0</v>
      </c>
      <c r="AB388">
        <f ca="1"/>
        <v>0.99999350482483917</v>
      </c>
      <c r="AD388" s="2">
        <f t="shared" ca="1" si="52"/>
        <v>45428</v>
      </c>
      <c r="AE388">
        <f t="shared" ca="1" si="53"/>
        <v>0</v>
      </c>
      <c r="AG388" s="63">
        <f t="shared" ca="1" si="57"/>
        <v>-82.569500566076172</v>
      </c>
      <c r="AH388" s="63">
        <f t="shared" ca="1" si="58"/>
        <v>-82.569500566076172</v>
      </c>
      <c r="AI388" s="3">
        <f t="shared" ca="1" si="59"/>
        <v>0</v>
      </c>
    </row>
    <row r="389" spans="7:35">
      <c r="G389" s="3">
        <f t="shared" si="54"/>
        <v>79</v>
      </c>
      <c r="H389" s="95">
        <f t="shared" si="56"/>
        <v>45369</v>
      </c>
      <c r="I389" s="119">
        <f>HLOOKUP($H$5,'Met Data'!$A$2:$F$368,G389,FALSE)</f>
        <v>17.170000000000002</v>
      </c>
      <c r="J389" s="119">
        <f ca="1">HLOOKUP($H$5,'Met Data'!$H$2:$M$368,G389,FALSE)*L389</f>
        <v>1.5166666666666599</v>
      </c>
      <c r="K389" s="96">
        <f>HLOOKUP($H$5,'Met Data'!$O$2:$T$368,G389,FALSE)</f>
        <v>3.38121466442426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si="54"/>
        <v>80</v>
      </c>
      <c r="H390" s="95">
        <f t="shared" si="56"/>
        <v>45370</v>
      </c>
      <c r="I390" s="119">
        <f>HLOOKUP($H$5,'Met Data'!$A$2:$F$368,G390,FALSE)</f>
        <v>17.223333333333301</v>
      </c>
      <c r="J390" s="119">
        <f ca="1">HLOOKUP($H$5,'Met Data'!$H$2:$M$368,G390,FALSE)*L390</f>
        <v>3.56451612903225</v>
      </c>
      <c r="K390" s="96">
        <f>HLOOKUP($H$5,'Met Data'!$O$2:$T$368,G390,FALSE)</f>
        <v>3.2035769560803802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si="54"/>
        <v>81</v>
      </c>
      <c r="H391" s="95">
        <f t="shared" si="56"/>
        <v>45371</v>
      </c>
      <c r="I391" s="119">
        <f>HLOOKUP($H$5,'Met Data'!$A$2:$F$368,G391,FALSE)</f>
        <v>17.498333333333299</v>
      </c>
      <c r="J391" s="119">
        <f ca="1">HLOOKUP($H$5,'Met Data'!$H$2:$M$368,G391,FALSE)*L391</f>
        <v>0.80645161290322498</v>
      </c>
      <c r="K391" s="96">
        <f>HLOOKUP($H$5,'Met Data'!$O$2:$T$368,G391,FALSE)</f>
        <v>3.31927458571925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si="64">H392-DATE(YEAR(H392),1,0)+1</f>
        <v>82</v>
      </c>
      <c r="H392" s="95">
        <f t="shared" si="56"/>
        <v>45372</v>
      </c>
      <c r="I392" s="119">
        <f>HLOOKUP($H$5,'Met Data'!$A$2:$F$368,G392,FALSE)</f>
        <v>17.390322580645101</v>
      </c>
      <c r="J392" s="119">
        <f ca="1">HLOOKUP($H$5,'Met Data'!$H$2:$M$368,G392,FALSE)*L392</f>
        <v>2.8516129032258002</v>
      </c>
      <c r="K392" s="96">
        <f>HLOOKUP($H$5,'Met Data'!$O$2:$T$368,G392,FALSE)</f>
        <v>3.3284502448926401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si="64"/>
        <v>83</v>
      </c>
      <c r="H393" s="95">
        <f t="shared" ref="H393:H456" si="66">H392+1</f>
        <v>45373</v>
      </c>
      <c r="I393" s="119">
        <f>HLOOKUP($H$5,'Met Data'!$A$2:$F$368,G393,FALSE)</f>
        <v>17.053333333333299</v>
      </c>
      <c r="J393" s="119">
        <f ca="1">HLOOKUP($H$5,'Met Data'!$H$2:$M$368,G393,FALSE)*L393</f>
        <v>2.9933333333333301</v>
      </c>
      <c r="K393" s="96">
        <f>HLOOKUP($H$5,'Met Data'!$O$2:$T$368,G393,FALSE)</f>
        <v>3.1676733133647299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si="64"/>
        <v>84</v>
      </c>
      <c r="H394" s="95">
        <f t="shared" si="66"/>
        <v>45374</v>
      </c>
      <c r="I394" s="119">
        <f>HLOOKUP($H$5,'Met Data'!$A$2:$F$368,G394,FALSE)</f>
        <v>16.973333333333301</v>
      </c>
      <c r="J394" s="119">
        <f ca="1">HLOOKUP($H$5,'Met Data'!$H$2:$M$368,G394,FALSE)*L394</f>
        <v>1.83666666666666</v>
      </c>
      <c r="K394" s="96">
        <f>HLOOKUP($H$5,'Met Data'!$O$2:$T$368,G394,FALSE)</f>
        <v>3.1307694102164598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si="64"/>
        <v>85</v>
      </c>
      <c r="H395" s="95">
        <f t="shared" si="66"/>
        <v>45375</v>
      </c>
      <c r="I395" s="119">
        <f>HLOOKUP($H$5,'Met Data'!$A$2:$F$368,G395,FALSE)</f>
        <v>16.984999999999999</v>
      </c>
      <c r="J395" s="119">
        <f ca="1">HLOOKUP($H$5,'Met Data'!$H$2:$M$368,G395,FALSE)*L395</f>
        <v>1.7666666666666599</v>
      </c>
      <c r="K395" s="96">
        <f>HLOOKUP($H$5,'Met Data'!$O$2:$T$368,G395,FALSE)</f>
        <v>2.9971927749729499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si="64"/>
        <v>86</v>
      </c>
      <c r="H396" s="95">
        <f t="shared" si="66"/>
        <v>45376</v>
      </c>
      <c r="I396" s="119">
        <f>HLOOKUP($H$5,'Met Data'!$A$2:$F$368,G396,FALSE)</f>
        <v>17.064516129032199</v>
      </c>
      <c r="J396" s="119">
        <f ca="1">HLOOKUP($H$5,'Met Data'!$H$2:$M$368,G396,FALSE)*L396</f>
        <v>3.4354838709677402</v>
      </c>
      <c r="K396" s="96">
        <f>HLOOKUP($H$5,'Met Data'!$O$2:$T$368,G396,FALSE)</f>
        <v>3.1405308327099699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si="64"/>
        <v>87</v>
      </c>
      <c r="H397" s="95">
        <f t="shared" si="66"/>
        <v>45377</v>
      </c>
      <c r="I397" s="119">
        <f>HLOOKUP($H$5,'Met Data'!$A$2:$F$368,G397,FALSE)</f>
        <v>17.208064516128999</v>
      </c>
      <c r="J397" s="119">
        <f ca="1">HLOOKUP($H$5,'Met Data'!$H$2:$M$368,G397,FALSE)*L397</f>
        <v>0.97419354838709604</v>
      </c>
      <c r="K397" s="96">
        <f>HLOOKUP($H$5,'Met Data'!$O$2:$T$368,G397,FALSE)</f>
        <v>3.1295018555019598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si="64"/>
        <v>88</v>
      </c>
      <c r="H398" s="95">
        <f t="shared" si="66"/>
        <v>45378</v>
      </c>
      <c r="I398" s="119">
        <f>HLOOKUP($H$5,'Met Data'!$A$2:$F$368,G398,FALSE)</f>
        <v>17.141666666666602</v>
      </c>
      <c r="J398" s="119">
        <f ca="1">HLOOKUP($H$5,'Met Data'!$H$2:$M$368,G398,FALSE)*L398</f>
        <v>2.43225806451612</v>
      </c>
      <c r="K398" s="96">
        <f>HLOOKUP($H$5,'Met Data'!$O$2:$T$368,G398,FALSE)</f>
        <v>2.6600638405747499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si="64"/>
        <v>89</v>
      </c>
      <c r="H399" s="95">
        <f t="shared" si="66"/>
        <v>45379</v>
      </c>
      <c r="I399" s="119">
        <f>HLOOKUP($H$5,'Met Data'!$A$2:$F$368,G399,FALSE)</f>
        <v>17.338333333333299</v>
      </c>
      <c r="J399" s="119">
        <f ca="1">HLOOKUP($H$5,'Met Data'!$H$2:$M$368,G399,FALSE)*L399</f>
        <v>2.8193548387096699</v>
      </c>
      <c r="K399" s="96">
        <f>HLOOKUP($H$5,'Met Data'!$O$2:$T$368,G399,FALSE)</f>
        <v>2.7816184084358899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si="64"/>
        <v>90</v>
      </c>
      <c r="H400" s="95">
        <f t="shared" si="66"/>
        <v>45380</v>
      </c>
      <c r="I400" s="119">
        <f>HLOOKUP($H$5,'Met Data'!$A$2:$F$368,G400,FALSE)</f>
        <v>17.136206896551698</v>
      </c>
      <c r="J400" s="119">
        <f ca="1">HLOOKUP($H$5,'Met Data'!$H$2:$M$368,G400,FALSE)*L400</f>
        <v>1.15333333333333</v>
      </c>
      <c r="K400" s="96">
        <f>HLOOKUP($H$5,'Met Data'!$O$2:$T$368,G400,FALSE)</f>
        <v>3.16549451986696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si="64"/>
        <v>91</v>
      </c>
      <c r="H401" s="95">
        <f t="shared" si="66"/>
        <v>45381</v>
      </c>
      <c r="I401" s="119">
        <f>HLOOKUP($H$5,'Met Data'!$A$2:$F$368,G401,FALSE)</f>
        <v>16.922413793103399</v>
      </c>
      <c r="J401" s="119">
        <f ca="1">HLOOKUP($H$5,'Met Data'!$H$2:$M$368,G401,FALSE)*L401</f>
        <v>2.9733333333333301</v>
      </c>
      <c r="K401" s="96">
        <f>HLOOKUP($H$5,'Met Data'!$O$2:$T$368,G401,FALSE)</f>
        <v>2.84233525233393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si="64"/>
        <v>92</v>
      </c>
      <c r="H402" s="95">
        <f t="shared" si="66"/>
        <v>45382</v>
      </c>
      <c r="I402" s="119">
        <f>HLOOKUP($H$5,'Met Data'!$A$2:$F$368,G402,FALSE)</f>
        <v>16.63</v>
      </c>
      <c r="J402" s="119">
        <f ca="1">HLOOKUP($H$5,'Met Data'!$H$2:$M$368,G402,FALSE)*L402</f>
        <v>1.76451612903225</v>
      </c>
      <c r="K402" s="96">
        <f>HLOOKUP($H$5,'Met Data'!$O$2:$T$368,G402,FALSE)</f>
        <v>2.8748972399291501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si="64"/>
        <v>93</v>
      </c>
      <c r="H403" s="95">
        <f t="shared" si="66"/>
        <v>45383</v>
      </c>
      <c r="I403" s="119">
        <f>HLOOKUP($H$5,'Met Data'!$A$2:$F$368,G403,FALSE)</f>
        <v>16.5379310344827</v>
      </c>
      <c r="J403" s="119">
        <f ca="1">HLOOKUP($H$5,'Met Data'!$H$2:$M$368,G403,FALSE)*L403</f>
        <v>3.32258064516129</v>
      </c>
      <c r="K403" s="96">
        <f>HLOOKUP($H$5,'Met Data'!$O$2:$T$368,G403,FALSE)</f>
        <v>2.5469261916112398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si="64"/>
        <v>94</v>
      </c>
      <c r="H404" s="95">
        <f t="shared" si="66"/>
        <v>45384</v>
      </c>
      <c r="I404" s="119">
        <f>HLOOKUP($H$5,'Met Data'!$A$2:$F$368,G404,FALSE)</f>
        <v>16.693103448275799</v>
      </c>
      <c r="J404" s="119">
        <f ca="1">HLOOKUP($H$5,'Met Data'!$H$2:$M$368,G404,FALSE)*L404</f>
        <v>2.8064516129032202</v>
      </c>
      <c r="K404" s="96">
        <f>HLOOKUP($H$5,'Met Data'!$O$2:$T$368,G404,FALSE)</f>
        <v>2.8493466745517901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si="64"/>
        <v>95</v>
      </c>
      <c r="H405" s="95">
        <f t="shared" si="66"/>
        <v>45385</v>
      </c>
      <c r="I405" s="119">
        <f>HLOOKUP($H$5,'Met Data'!$A$2:$F$368,G405,FALSE)</f>
        <v>16.29</v>
      </c>
      <c r="J405" s="119">
        <f ca="1">HLOOKUP($H$5,'Met Data'!$H$2:$M$368,G405,FALSE)*L405</f>
        <v>1.4483870967741901</v>
      </c>
      <c r="K405" s="96">
        <f>HLOOKUP($H$5,'Met Data'!$O$2:$T$368,G405,FALSE)</f>
        <v>3.04847392107171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si="64"/>
        <v>96</v>
      </c>
      <c r="H406" s="95">
        <f t="shared" si="66"/>
        <v>45386</v>
      </c>
      <c r="I406" s="119">
        <f>HLOOKUP($H$5,'Met Data'!$A$2:$F$368,G406,FALSE)</f>
        <v>16.28</v>
      </c>
      <c r="J406" s="119">
        <f ca="1">HLOOKUP($H$5,'Met Data'!$H$2:$M$368,G406,FALSE)*L406</f>
        <v>1.6838709677419299</v>
      </c>
      <c r="K406" s="96">
        <f>HLOOKUP($H$5,'Met Data'!$O$2:$T$368,G406,FALSE)</f>
        <v>2.9631357104845102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si="64"/>
        <v>97</v>
      </c>
      <c r="H407" s="95">
        <f t="shared" si="66"/>
        <v>45387</v>
      </c>
      <c r="I407" s="119">
        <f>HLOOKUP($H$5,'Met Data'!$A$2:$F$368,G407,FALSE)</f>
        <v>16.288333333333298</v>
      </c>
      <c r="J407" s="119">
        <f ca="1">HLOOKUP($H$5,'Met Data'!$H$2:$M$368,G407,FALSE)*L407</f>
        <v>3.1066666666666598</v>
      </c>
      <c r="K407" s="96">
        <f>HLOOKUP($H$5,'Met Data'!$O$2:$T$368,G407,FALSE)</f>
        <v>2.8364094228266699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si="64"/>
        <v>98</v>
      </c>
      <c r="H408" s="95">
        <f t="shared" si="66"/>
        <v>45388</v>
      </c>
      <c r="I408" s="119">
        <f>HLOOKUP($H$5,'Met Data'!$A$2:$F$368,G408,FALSE)</f>
        <v>16.247502601456802</v>
      </c>
      <c r="J408" s="119">
        <f ca="1">HLOOKUP($H$5,'Met Data'!$H$2:$M$368,G408,FALSE)*L408</f>
        <v>2.3033333333333301</v>
      </c>
      <c r="K408" s="96">
        <f>HLOOKUP($H$5,'Met Data'!$O$2:$T$368,G408,FALSE)</f>
        <v>2.7733248568186499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si="64"/>
        <v>99</v>
      </c>
      <c r="H409" s="95">
        <f t="shared" si="66"/>
        <v>45389</v>
      </c>
      <c r="I409" s="119">
        <f>HLOOKUP($H$5,'Met Data'!$A$2:$F$368,G409,FALSE)</f>
        <v>15.9919354838709</v>
      </c>
      <c r="J409" s="119">
        <f ca="1">HLOOKUP($H$5,'Met Data'!$H$2:$M$368,G409,FALSE)*L409</f>
        <v>3.04</v>
      </c>
      <c r="K409" s="96">
        <f>HLOOKUP($H$5,'Met Data'!$O$2:$T$368,G409,FALSE)</f>
        <v>2.4928303491288801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si="64"/>
        <v>100</v>
      </c>
      <c r="H410" s="95">
        <f t="shared" si="66"/>
        <v>45390</v>
      </c>
      <c r="I410" s="119">
        <f>HLOOKUP($H$5,'Met Data'!$A$2:$F$368,G410,FALSE)</f>
        <v>15.7</v>
      </c>
      <c r="J410" s="119">
        <f ca="1">HLOOKUP($H$5,'Met Data'!$H$2:$M$368,G410,FALSE)*L410</f>
        <v>4.67</v>
      </c>
      <c r="K410" s="96">
        <f>HLOOKUP($H$5,'Met Data'!$O$2:$T$368,G410,FALSE)</f>
        <v>2.4645244256425198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si="64"/>
        <v>101</v>
      </c>
      <c r="H411" s="95">
        <f t="shared" si="66"/>
        <v>45391</v>
      </c>
      <c r="I411" s="119">
        <f>HLOOKUP($H$5,'Met Data'!$A$2:$F$368,G411,FALSE)</f>
        <v>15.6066666666666</v>
      </c>
      <c r="J411" s="119">
        <f ca="1">HLOOKUP($H$5,'Met Data'!$H$2:$M$368,G411,FALSE)*L411</f>
        <v>2.9099999999999899</v>
      </c>
      <c r="K411" s="96">
        <f>HLOOKUP($H$5,'Met Data'!$O$2:$T$368,G411,FALSE)</f>
        <v>2.6085032852196299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si="64"/>
        <v>102</v>
      </c>
      <c r="H412" s="95">
        <f t="shared" si="66"/>
        <v>45392</v>
      </c>
      <c r="I412" s="119">
        <f>HLOOKUP($H$5,'Met Data'!$A$2:$F$368,G412,FALSE)</f>
        <v>15.335000000000001</v>
      </c>
      <c r="J412" s="119">
        <f ca="1">HLOOKUP($H$5,'Met Data'!$H$2:$M$368,G412,FALSE)*L412</f>
        <v>2.68333333333333</v>
      </c>
      <c r="K412" s="96">
        <f>HLOOKUP($H$5,'Met Data'!$O$2:$T$368,G412,FALSE)</f>
        <v>2.45140037536581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si="64"/>
        <v>103</v>
      </c>
      <c r="H413" s="95">
        <f t="shared" si="66"/>
        <v>45393</v>
      </c>
      <c r="I413" s="119">
        <f>HLOOKUP($H$5,'Met Data'!$A$2:$F$368,G413,FALSE)</f>
        <v>15.3916666666666</v>
      </c>
      <c r="J413" s="119">
        <f ca="1">HLOOKUP($H$5,'Met Data'!$H$2:$M$368,G413,FALSE)*L413</f>
        <v>4.07</v>
      </c>
      <c r="K413" s="96">
        <f>HLOOKUP($H$5,'Met Data'!$O$2:$T$368,G413,FALSE)</f>
        <v>2.54129590695179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si="64"/>
        <v>104</v>
      </c>
      <c r="H414" s="95">
        <f t="shared" si="66"/>
        <v>45394</v>
      </c>
      <c r="I414" s="119">
        <f>HLOOKUP($H$5,'Met Data'!$A$2:$F$368,G414,FALSE)</f>
        <v>15.6451612903225</v>
      </c>
      <c r="J414" s="119">
        <f ca="1">HLOOKUP($H$5,'Met Data'!$H$2:$M$368,G414,FALSE)*L414</f>
        <v>2.43333333333333</v>
      </c>
      <c r="K414" s="96">
        <f>HLOOKUP($H$5,'Met Data'!$O$2:$T$368,G414,FALSE)</f>
        <v>2.5074868670786801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si="64"/>
        <v>105</v>
      </c>
      <c r="H415" s="95">
        <f t="shared" si="66"/>
        <v>45395</v>
      </c>
      <c r="I415" s="119">
        <f>HLOOKUP($H$5,'Met Data'!$A$2:$F$368,G415,FALSE)</f>
        <v>15.3435483870967</v>
      </c>
      <c r="J415" s="119">
        <f ca="1">HLOOKUP($H$5,'Met Data'!$H$2:$M$368,G415,FALSE)*L415</f>
        <v>3.5533333333333301</v>
      </c>
      <c r="K415" s="96">
        <f>HLOOKUP($H$5,'Met Data'!$O$2:$T$368,G415,FALSE)</f>
        <v>2.53164431510397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si="64"/>
        <v>106</v>
      </c>
      <c r="H416" s="95">
        <f t="shared" si="66"/>
        <v>45396</v>
      </c>
      <c r="I416" s="119">
        <f>HLOOKUP($H$5,'Met Data'!$A$2:$F$368,G416,FALSE)</f>
        <v>15.1612903225806</v>
      </c>
      <c r="J416" s="119">
        <f ca="1">HLOOKUP($H$5,'Met Data'!$H$2:$M$368,G416,FALSE)*L416</f>
        <v>2.7451612903225802</v>
      </c>
      <c r="K416" s="96">
        <f>HLOOKUP($H$5,'Met Data'!$O$2:$T$368,G416,FALSE)</f>
        <v>2.2462315590791202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si="64"/>
        <v>107</v>
      </c>
      <c r="H417" s="95">
        <f t="shared" si="66"/>
        <v>45397</v>
      </c>
      <c r="I417" s="119">
        <f>HLOOKUP($H$5,'Met Data'!$A$2:$F$368,G417,FALSE)</f>
        <v>15.658064516129</v>
      </c>
      <c r="J417" s="119">
        <f ca="1">HLOOKUP($H$5,'Met Data'!$H$2:$M$368,G417,FALSE)*L417</f>
        <v>3.7677419354838699</v>
      </c>
      <c r="K417" s="96">
        <f>HLOOKUP($H$5,'Met Data'!$O$2:$T$368,G417,FALSE)</f>
        <v>2.3441419540899799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si="64"/>
        <v>108</v>
      </c>
      <c r="H418" s="95">
        <f t="shared" si="66"/>
        <v>45398</v>
      </c>
      <c r="I418" s="119">
        <f>HLOOKUP($H$5,'Met Data'!$A$2:$F$368,G418,FALSE)</f>
        <v>15.408064516129</v>
      </c>
      <c r="J418" s="119">
        <f ca="1">HLOOKUP($H$5,'Met Data'!$H$2:$M$368,G418,FALSE)*L418</f>
        <v>2.6870967741935399</v>
      </c>
      <c r="K418" s="96">
        <f>HLOOKUP($H$5,'Met Data'!$O$2:$T$368,G418,FALSE)</f>
        <v>2.0871356285448601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si="64"/>
        <v>109</v>
      </c>
      <c r="H419" s="95">
        <f t="shared" si="66"/>
        <v>45399</v>
      </c>
      <c r="I419" s="119">
        <f>HLOOKUP($H$5,'Met Data'!$A$2:$F$368,G419,FALSE)</f>
        <v>15.420967741935399</v>
      </c>
      <c r="J419" s="119">
        <f ca="1">HLOOKUP($H$5,'Met Data'!$H$2:$M$368,G419,FALSE)*L419</f>
        <v>2.8516129032258002</v>
      </c>
      <c r="K419" s="96">
        <f>HLOOKUP($H$5,'Met Data'!$O$2:$T$368,G419,FALSE)</f>
        <v>2.1715863377271001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si="64"/>
        <v>110</v>
      </c>
      <c r="H420" s="95">
        <f t="shared" si="66"/>
        <v>45400</v>
      </c>
      <c r="I420" s="119">
        <f>HLOOKUP($H$5,'Met Data'!$A$2:$F$368,G420,FALSE)</f>
        <v>15.193548387096699</v>
      </c>
      <c r="J420" s="119">
        <f ca="1">HLOOKUP($H$5,'Met Data'!$H$2:$M$368,G420,FALSE)*L420</f>
        <v>2.4258064516129001</v>
      </c>
      <c r="K420" s="96">
        <f>HLOOKUP($H$5,'Met Data'!$O$2:$T$368,G420,FALSE)</f>
        <v>2.2979139363353802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si="64"/>
        <v>111</v>
      </c>
      <c r="H421" s="95">
        <f t="shared" si="66"/>
        <v>45401</v>
      </c>
      <c r="I421" s="119">
        <f>HLOOKUP($H$5,'Met Data'!$A$2:$F$368,G421,FALSE)</f>
        <v>15.4096774193548</v>
      </c>
      <c r="J421" s="119">
        <f ca="1">HLOOKUP($H$5,'Met Data'!$H$2:$M$368,G421,FALSE)*L421</f>
        <v>1.7322580645161201</v>
      </c>
      <c r="K421" s="96">
        <f>HLOOKUP($H$5,'Met Data'!$O$2:$T$368,G421,FALSE)</f>
        <v>2.3194627801487999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si="64"/>
        <v>112</v>
      </c>
      <c r="H422" s="95">
        <f t="shared" si="66"/>
        <v>45402</v>
      </c>
      <c r="I422" s="119">
        <f>HLOOKUP($H$5,'Met Data'!$A$2:$F$368,G422,FALSE)</f>
        <v>15.261666666666599</v>
      </c>
      <c r="J422" s="119">
        <f ca="1">HLOOKUP($H$5,'Met Data'!$H$2:$M$368,G422,FALSE)*L422</f>
        <v>4.0161290322580596</v>
      </c>
      <c r="K422" s="96">
        <f>HLOOKUP($H$5,'Met Data'!$O$2:$T$368,G422,FALSE)</f>
        <v>2.3321304827068001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si="64"/>
        <v>113</v>
      </c>
      <c r="H423" s="95">
        <f t="shared" si="66"/>
        <v>45403</v>
      </c>
      <c r="I423" s="119">
        <f>HLOOKUP($H$5,'Met Data'!$A$2:$F$368,G423,FALSE)</f>
        <v>14.5283333333333</v>
      </c>
      <c r="J423" s="119">
        <f ca="1">HLOOKUP($H$5,'Met Data'!$H$2:$M$368,G423,FALSE)*L423</f>
        <v>3.5258064516129002</v>
      </c>
      <c r="K423" s="96">
        <f>HLOOKUP($H$5,'Met Data'!$O$2:$T$368,G423,FALSE)</f>
        <v>2.2184505421646001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si="64"/>
        <v>114</v>
      </c>
      <c r="H424" s="95">
        <f t="shared" si="66"/>
        <v>45404</v>
      </c>
      <c r="I424" s="119">
        <f>HLOOKUP($H$5,'Met Data'!$A$2:$F$368,G424,FALSE)</f>
        <v>14.68</v>
      </c>
      <c r="J424" s="119">
        <f ca="1">HLOOKUP($H$5,'Met Data'!$H$2:$M$368,G424,FALSE)*L424</f>
        <v>2.28709677419354</v>
      </c>
      <c r="K424" s="96">
        <f>HLOOKUP($H$5,'Met Data'!$O$2:$T$368,G424,FALSE)</f>
        <v>2.2540363688604601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si="64"/>
        <v>115</v>
      </c>
      <c r="H425" s="95">
        <f t="shared" si="66"/>
        <v>45405</v>
      </c>
      <c r="I425" s="119">
        <f>HLOOKUP($H$5,'Met Data'!$A$2:$F$368,G425,FALSE)</f>
        <v>14.4933333333333</v>
      </c>
      <c r="J425" s="119">
        <f ca="1">HLOOKUP($H$5,'Met Data'!$H$2:$M$368,G425,FALSE)*L425</f>
        <v>4.3387096774193497</v>
      </c>
      <c r="K425" s="96">
        <f>HLOOKUP($H$5,'Met Data'!$O$2:$T$368,G425,FALSE)</f>
        <v>2.2396347152399998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si="64"/>
        <v>116</v>
      </c>
      <c r="H426" s="95">
        <f t="shared" si="66"/>
        <v>45406</v>
      </c>
      <c r="I426" s="119">
        <f>HLOOKUP($H$5,'Met Data'!$A$2:$F$368,G426,FALSE)</f>
        <v>14.7733333333333</v>
      </c>
      <c r="J426" s="119">
        <f ca="1">HLOOKUP($H$5,'Met Data'!$H$2:$M$368,G426,FALSE)*L426</f>
        <v>6.4580645161290304</v>
      </c>
      <c r="K426" s="96">
        <f>HLOOKUP($H$5,'Met Data'!$O$2:$T$368,G426,FALSE)</f>
        <v>2.0110185254269899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si="64"/>
        <v>117</v>
      </c>
      <c r="H427" s="95">
        <f t="shared" si="66"/>
        <v>45407</v>
      </c>
      <c r="I427" s="119">
        <f>HLOOKUP($H$5,'Met Data'!$A$2:$F$368,G427,FALSE)</f>
        <v>14.998333333333299</v>
      </c>
      <c r="J427" s="119">
        <f ca="1">HLOOKUP($H$5,'Met Data'!$H$2:$M$368,G427,FALSE)*L427</f>
        <v>3.1903225806451601</v>
      </c>
      <c r="K427" s="96">
        <f>HLOOKUP($H$5,'Met Data'!$O$2:$T$368,G427,FALSE)</f>
        <v>2.1294944258891699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si="64"/>
        <v>118</v>
      </c>
      <c r="H428" s="95">
        <f t="shared" si="66"/>
        <v>45408</v>
      </c>
      <c r="I428" s="119">
        <f>HLOOKUP($H$5,'Met Data'!$A$2:$F$368,G428,FALSE)</f>
        <v>15.395</v>
      </c>
      <c r="J428" s="119">
        <f ca="1">HLOOKUP($H$5,'Met Data'!$H$2:$M$368,G428,FALSE)*L428</f>
        <v>2.8516129032258002</v>
      </c>
      <c r="K428" s="96">
        <f>HLOOKUP($H$5,'Met Data'!$O$2:$T$368,G428,FALSE)</f>
        <v>2.1336270025185899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si="64"/>
        <v>119</v>
      </c>
      <c r="H429" s="95">
        <f t="shared" si="66"/>
        <v>45409</v>
      </c>
      <c r="I429" s="119">
        <f>HLOOKUP($H$5,'Met Data'!$A$2:$F$368,G429,FALSE)</f>
        <v>15.641379310344799</v>
      </c>
      <c r="J429" s="119">
        <f ca="1">HLOOKUP($H$5,'Met Data'!$H$2:$M$368,G429,FALSE)*L429</f>
        <v>3.74193548387096</v>
      </c>
      <c r="K429" s="96">
        <f>HLOOKUP($H$5,'Met Data'!$O$2:$T$368,G429,FALSE)</f>
        <v>2.0365768668725401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si="64"/>
        <v>120</v>
      </c>
      <c r="H430" s="95">
        <f t="shared" si="66"/>
        <v>45410</v>
      </c>
      <c r="I430" s="119">
        <f>HLOOKUP($H$5,'Met Data'!$A$2:$F$368,G430,FALSE)</f>
        <v>14.7327586206896</v>
      </c>
      <c r="J430" s="119">
        <f ca="1">HLOOKUP($H$5,'Met Data'!$H$2:$M$368,G430,FALSE)*L430</f>
        <v>3.3129032258064499</v>
      </c>
      <c r="K430" s="96">
        <f>HLOOKUP($H$5,'Met Data'!$O$2:$T$368,G430,FALSE)</f>
        <v>2.1199579861729001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si="64"/>
        <v>121</v>
      </c>
      <c r="H431" s="95">
        <f t="shared" si="66"/>
        <v>45411</v>
      </c>
      <c r="I431" s="119">
        <f>HLOOKUP($H$5,'Met Data'!$A$2:$F$368,G431,FALSE)</f>
        <v>14.332758620689599</v>
      </c>
      <c r="J431" s="119">
        <f ca="1">HLOOKUP($H$5,'Met Data'!$H$2:$M$368,G431,FALSE)*L431</f>
        <v>4.4322580645161196</v>
      </c>
      <c r="K431" s="96">
        <f>HLOOKUP($H$5,'Met Data'!$O$2:$T$368,G431,FALSE)</f>
        <v>1.7270113091402699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si="64"/>
        <v>122</v>
      </c>
      <c r="H432" s="95">
        <f t="shared" si="66"/>
        <v>45412</v>
      </c>
      <c r="I432" s="119">
        <f>HLOOKUP($H$5,'Met Data'!$A$2:$F$368,G432,FALSE)</f>
        <v>14.3982758620689</v>
      </c>
      <c r="J432" s="119">
        <f ca="1">HLOOKUP($H$5,'Met Data'!$H$2:$M$368,G432,FALSE)*L432</f>
        <v>3.1838709677419299</v>
      </c>
      <c r="K432" s="96">
        <f>HLOOKUP($H$5,'Met Data'!$O$2:$T$368,G432,FALSE)</f>
        <v>1.93510583623638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si="64"/>
        <v>123</v>
      </c>
      <c r="H433" s="95">
        <f t="shared" si="66"/>
        <v>45413</v>
      </c>
      <c r="I433" s="119">
        <f>HLOOKUP($H$5,'Met Data'!$A$2:$F$368,G433,FALSE)</f>
        <v>14.296666666666599</v>
      </c>
      <c r="J433" s="119">
        <f ca="1">HLOOKUP($H$5,'Met Data'!$H$2:$M$368,G433,FALSE)*L433</f>
        <v>6.4709677419354801</v>
      </c>
      <c r="K433" s="96">
        <f>HLOOKUP($H$5,'Met Data'!$O$2:$T$368,G433,FALSE)</f>
        <v>1.84994231207221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si="64"/>
        <v>124</v>
      </c>
      <c r="H434" s="95">
        <f t="shared" si="66"/>
        <v>45414</v>
      </c>
      <c r="I434" s="119">
        <f>HLOOKUP($H$5,'Met Data'!$A$2:$F$368,G434,FALSE)</f>
        <v>14.1866666666666</v>
      </c>
      <c r="J434" s="119">
        <f ca="1">HLOOKUP($H$5,'Met Data'!$H$2:$M$368,G434,FALSE)*L434</f>
        <v>2.59032258064516</v>
      </c>
      <c r="K434" s="96">
        <f>HLOOKUP($H$5,'Met Data'!$O$2:$T$368,G434,FALSE)</f>
        <v>1.8652259443704999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si="64"/>
        <v>125</v>
      </c>
      <c r="H435" s="95">
        <f t="shared" si="66"/>
        <v>45415</v>
      </c>
      <c r="I435" s="119">
        <f>HLOOKUP($H$5,'Met Data'!$A$2:$F$368,G435,FALSE)</f>
        <v>13.9112903225806</v>
      </c>
      <c r="J435" s="119">
        <f ca="1">HLOOKUP($H$5,'Met Data'!$H$2:$M$368,G435,FALSE)*L435</f>
        <v>2.2741935483870899</v>
      </c>
      <c r="K435" s="96">
        <f>HLOOKUP($H$5,'Met Data'!$O$2:$T$368,G435,FALSE)</f>
        <v>1.88347487361168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si="64"/>
        <v>126</v>
      </c>
      <c r="H436" s="95">
        <f t="shared" si="66"/>
        <v>45416</v>
      </c>
      <c r="I436" s="119">
        <f>HLOOKUP($H$5,'Met Data'!$A$2:$F$368,G436,FALSE)</f>
        <v>13.9966666666666</v>
      </c>
      <c r="J436" s="119">
        <f ca="1">HLOOKUP($H$5,'Met Data'!$H$2:$M$368,G436,FALSE)*L436</f>
        <v>3.2548387096774101</v>
      </c>
      <c r="K436" s="96">
        <f>HLOOKUP($H$5,'Met Data'!$O$2:$T$368,G436,FALSE)</f>
        <v>1.9813737718090501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si="64"/>
        <v>127</v>
      </c>
      <c r="H437" s="95">
        <f t="shared" si="66"/>
        <v>45417</v>
      </c>
      <c r="I437" s="119">
        <f>HLOOKUP($H$5,'Met Data'!$A$2:$F$368,G437,FALSE)</f>
        <v>14.1596774193548</v>
      </c>
      <c r="J437" s="119">
        <f ca="1">HLOOKUP($H$5,'Met Data'!$H$2:$M$368,G437,FALSE)*L437</f>
        <v>3.4483870967741899</v>
      </c>
      <c r="K437" s="96">
        <f>HLOOKUP($H$5,'Met Data'!$O$2:$T$368,G437,FALSE)</f>
        <v>1.78778032014411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si="64"/>
        <v>128</v>
      </c>
      <c r="H438" s="95">
        <f t="shared" si="66"/>
        <v>45418</v>
      </c>
      <c r="I438" s="119">
        <f>HLOOKUP($H$5,'Met Data'!$A$2:$F$368,G438,FALSE)</f>
        <v>13.8403225806451</v>
      </c>
      <c r="J438" s="119">
        <f ca="1">HLOOKUP($H$5,'Met Data'!$H$2:$M$368,G438,FALSE)*L438</f>
        <v>1.8387096774193501</v>
      </c>
      <c r="K438" s="96">
        <f>HLOOKUP($H$5,'Met Data'!$O$2:$T$368,G438,FALSE)</f>
        <v>1.87782016455675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si="64"/>
        <v>129</v>
      </c>
      <c r="H439" s="95">
        <f t="shared" si="66"/>
        <v>45419</v>
      </c>
      <c r="I439" s="119">
        <f>HLOOKUP($H$5,'Met Data'!$A$2:$F$368,G439,FALSE)</f>
        <v>13.5774193548387</v>
      </c>
      <c r="J439" s="119">
        <f ca="1">HLOOKUP($H$5,'Met Data'!$H$2:$M$368,G439,FALSE)*L439</f>
        <v>3.4064516129032198</v>
      </c>
      <c r="K439" s="96">
        <f>HLOOKUP($H$5,'Met Data'!$O$2:$T$368,G439,FALSE)</f>
        <v>1.84976774954056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si="64"/>
        <v>130</v>
      </c>
      <c r="H440" s="95">
        <f t="shared" si="66"/>
        <v>45420</v>
      </c>
      <c r="I440" s="119">
        <f>HLOOKUP($H$5,'Met Data'!$A$2:$F$368,G440,FALSE)</f>
        <v>13.1612903225806</v>
      </c>
      <c r="J440" s="119">
        <f ca="1">HLOOKUP($H$5,'Met Data'!$H$2:$M$368,G440,FALSE)*L440</f>
        <v>2.3258064516129</v>
      </c>
      <c r="K440" s="96">
        <f>HLOOKUP($H$5,'Met Data'!$O$2:$T$368,G440,FALSE)</f>
        <v>1.7318330822852801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si="64"/>
        <v>131</v>
      </c>
      <c r="H441" s="95">
        <f t="shared" si="66"/>
        <v>45421</v>
      </c>
      <c r="I441" s="119">
        <f>HLOOKUP($H$5,'Met Data'!$A$2:$F$368,G441,FALSE)</f>
        <v>13.291935483870899</v>
      </c>
      <c r="J441" s="119">
        <f ca="1">HLOOKUP($H$5,'Met Data'!$H$2:$M$368,G441,FALSE)*L441</f>
        <v>3.1733333333333298</v>
      </c>
      <c r="K441" s="96">
        <f>HLOOKUP($H$5,'Met Data'!$O$2:$T$368,G441,FALSE)</f>
        <v>1.6655372035048599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si="64"/>
        <v>132</v>
      </c>
      <c r="H442" s="95">
        <f t="shared" si="66"/>
        <v>45422</v>
      </c>
      <c r="I442" s="119">
        <f>HLOOKUP($H$5,'Met Data'!$A$2:$F$368,G442,FALSE)</f>
        <v>13.5774193548387</v>
      </c>
      <c r="J442" s="119">
        <f ca="1">HLOOKUP($H$5,'Met Data'!$H$2:$M$368,G442,FALSE)*L442</f>
        <v>2.4225806451612901</v>
      </c>
      <c r="K442" s="96">
        <f>HLOOKUP($H$5,'Met Data'!$O$2:$T$368,G442,FALSE)</f>
        <v>1.82340706114468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si="64"/>
        <v>133</v>
      </c>
      <c r="H443" s="95">
        <f t="shared" si="66"/>
        <v>45423</v>
      </c>
      <c r="I443" s="119">
        <f>HLOOKUP($H$5,'Met Data'!$A$2:$F$368,G443,FALSE)</f>
        <v>13.898387096774099</v>
      </c>
      <c r="J443" s="119">
        <f ca="1">HLOOKUP($H$5,'Met Data'!$H$2:$M$368,G443,FALSE)*L443</f>
        <v>3.56129032258064</v>
      </c>
      <c r="K443" s="96">
        <f>HLOOKUP($H$5,'Met Data'!$O$2:$T$368,G443,FALSE)</f>
        <v>1.58246048642455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si="64"/>
        <v>134</v>
      </c>
      <c r="H444" s="95">
        <f t="shared" si="66"/>
        <v>45424</v>
      </c>
      <c r="I444" s="119">
        <f>HLOOKUP($H$5,'Met Data'!$A$2:$F$368,G444,FALSE)</f>
        <v>13.8193548387096</v>
      </c>
      <c r="J444" s="119">
        <f ca="1">HLOOKUP($H$5,'Met Data'!$H$2:$M$368,G444,FALSE)*L444</f>
        <v>3.2677419354838699</v>
      </c>
      <c r="K444" s="96">
        <f>HLOOKUP($H$5,'Met Data'!$O$2:$T$368,G444,FALSE)</f>
        <v>1.6419912913333301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si="64"/>
        <v>135</v>
      </c>
      <c r="H445" s="95">
        <f t="shared" si="66"/>
        <v>45425</v>
      </c>
      <c r="I445" s="119">
        <f>HLOOKUP($H$5,'Met Data'!$A$2:$F$368,G445,FALSE)</f>
        <v>13.49</v>
      </c>
      <c r="J445" s="119">
        <f ca="1">HLOOKUP($H$5,'Met Data'!$H$2:$M$368,G445,FALSE)*L445</f>
        <v>2.96129032258064</v>
      </c>
      <c r="K445" s="96">
        <f>HLOOKUP($H$5,'Met Data'!$O$2:$T$368,G445,FALSE)</f>
        <v>1.7493116405284199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si="64"/>
        <v>136</v>
      </c>
      <c r="H446" s="95">
        <f t="shared" si="66"/>
        <v>45426</v>
      </c>
      <c r="I446" s="119">
        <f>HLOOKUP($H$5,'Met Data'!$A$2:$F$368,G446,FALSE)</f>
        <v>13.408064516129</v>
      </c>
      <c r="J446" s="119">
        <f ca="1">HLOOKUP($H$5,'Met Data'!$H$2:$M$368,G446,FALSE)*L446</f>
        <v>3.9032258064516099</v>
      </c>
      <c r="K446" s="96">
        <f>HLOOKUP($H$5,'Met Data'!$O$2:$T$368,G446,FALSE)</f>
        <v>1.5662445189592999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si="64"/>
        <v>137</v>
      </c>
      <c r="H447" s="95">
        <f t="shared" si="66"/>
        <v>45427</v>
      </c>
      <c r="I447" s="119">
        <f>HLOOKUP($H$5,'Met Data'!$A$2:$F$368,G447,FALSE)</f>
        <v>13.4193548387096</v>
      </c>
      <c r="J447" s="119">
        <f ca="1">HLOOKUP($H$5,'Met Data'!$H$2:$M$368,G447,FALSE)*L447</f>
        <v>4.1322580645161198</v>
      </c>
      <c r="K447" s="96">
        <f>HLOOKUP($H$5,'Met Data'!$O$2:$T$368,G447,FALSE)</f>
        <v>1.7909891224832299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si="64"/>
        <v>138</v>
      </c>
      <c r="H448" s="95">
        <f t="shared" si="66"/>
        <v>45428</v>
      </c>
      <c r="I448" s="119">
        <f>HLOOKUP($H$5,'Met Data'!$A$2:$F$368,G448,FALSE)</f>
        <v>13.0177419354838</v>
      </c>
      <c r="J448" s="119">
        <f ca="1">HLOOKUP($H$5,'Met Data'!$H$2:$M$368,G448,FALSE)*L448</f>
        <v>3.8645161290322498</v>
      </c>
      <c r="K448" s="96">
        <f>HLOOKUP($H$5,'Met Data'!$O$2:$T$368,G448,FALSE)</f>
        <v>1.67932593217038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si="64"/>
        <v>139</v>
      </c>
      <c r="H449" s="95">
        <f t="shared" si="66"/>
        <v>45429</v>
      </c>
      <c r="I449" s="119">
        <f>HLOOKUP($H$5,'Met Data'!$A$2:$F$368,G449,FALSE)</f>
        <v>12.8774193548387</v>
      </c>
      <c r="J449" s="119">
        <f ca="1">HLOOKUP($H$5,'Met Data'!$H$2:$M$368,G449,FALSE)*L449</f>
        <v>3.7967741935483801</v>
      </c>
      <c r="K449" s="96">
        <f>HLOOKUP($H$5,'Met Data'!$O$2:$T$368,G449,FALSE)</f>
        <v>1.7647102566828801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si="64"/>
        <v>140</v>
      </c>
      <c r="H450" s="95">
        <f t="shared" si="66"/>
        <v>45430</v>
      </c>
      <c r="I450" s="119">
        <f>HLOOKUP($H$5,'Met Data'!$A$2:$F$368,G450,FALSE)</f>
        <v>13.3629032258064</v>
      </c>
      <c r="J450" s="119">
        <f ca="1">HLOOKUP($H$5,'Met Data'!$H$2:$M$368,G450,FALSE)*L450</f>
        <v>1.4774193548387</v>
      </c>
      <c r="K450" s="96">
        <f>HLOOKUP($H$5,'Met Data'!$O$2:$T$368,G450,FALSE)</f>
        <v>1.8502469543140301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si="64"/>
        <v>141</v>
      </c>
      <c r="H451" s="95">
        <f t="shared" si="66"/>
        <v>45431</v>
      </c>
      <c r="I451" s="119">
        <f>HLOOKUP($H$5,'Met Data'!$A$2:$F$368,G451,FALSE)</f>
        <v>13.314516129032199</v>
      </c>
      <c r="J451" s="119">
        <f ca="1">HLOOKUP($H$5,'Met Data'!$H$2:$M$368,G451,FALSE)*L451</f>
        <v>5.2193548387096698</v>
      </c>
      <c r="K451" s="96">
        <f>HLOOKUP($H$5,'Met Data'!$O$2:$T$368,G451,FALSE)</f>
        <v>1.4599096570605601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si="64"/>
        <v>142</v>
      </c>
      <c r="H452" s="95">
        <f t="shared" si="66"/>
        <v>45432</v>
      </c>
      <c r="I452" s="119">
        <f>HLOOKUP($H$5,'Met Data'!$A$2:$F$368,G452,FALSE)</f>
        <v>13.598387096774101</v>
      </c>
      <c r="J452" s="119">
        <f ca="1">HLOOKUP($H$5,'Met Data'!$H$2:$M$368,G452,FALSE)*L452</f>
        <v>5.1451612903225801</v>
      </c>
      <c r="K452" s="96">
        <f>HLOOKUP($H$5,'Met Data'!$O$2:$T$368,G452,FALSE)</f>
        <v>1.48780958137737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si="64"/>
        <v>143</v>
      </c>
      <c r="H453" s="95">
        <f t="shared" si="66"/>
        <v>45433</v>
      </c>
      <c r="I453" s="119">
        <f>HLOOKUP($H$5,'Met Data'!$A$2:$F$368,G453,FALSE)</f>
        <v>13.074193548387001</v>
      </c>
      <c r="J453" s="119">
        <f ca="1">HLOOKUP($H$5,'Met Data'!$H$2:$M$368,G453,FALSE)*L453</f>
        <v>4.73548387096774</v>
      </c>
      <c r="K453" s="96">
        <f>HLOOKUP($H$5,'Met Data'!$O$2:$T$368,G453,FALSE)</f>
        <v>1.4103441752322401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si="64"/>
        <v>144</v>
      </c>
      <c r="H454" s="95">
        <f t="shared" si="66"/>
        <v>45434</v>
      </c>
      <c r="I454" s="119">
        <f>HLOOKUP($H$5,'Met Data'!$A$2:$F$368,G454,FALSE)</f>
        <v>12.8338709677419</v>
      </c>
      <c r="J454" s="119">
        <f ca="1">HLOOKUP($H$5,'Met Data'!$H$2:$M$368,G454,FALSE)*L454</f>
        <v>7.7677419354838699</v>
      </c>
      <c r="K454" s="96">
        <f>HLOOKUP($H$5,'Met Data'!$O$2:$T$368,G454,FALSE)</f>
        <v>1.40773401519768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si="64"/>
        <v>145</v>
      </c>
      <c r="H455" s="95">
        <f t="shared" si="66"/>
        <v>45435</v>
      </c>
      <c r="I455" s="119">
        <f>HLOOKUP($H$5,'Met Data'!$A$2:$F$368,G455,FALSE)</f>
        <v>12.761290322580599</v>
      </c>
      <c r="J455" s="119">
        <f ca="1">HLOOKUP($H$5,'Met Data'!$H$2:$M$368,G455,FALSE)*L455</f>
        <v>5.3612903225806399</v>
      </c>
      <c r="K455" s="96">
        <f>HLOOKUP($H$5,'Met Data'!$O$2:$T$368,G455,FALSE)</f>
        <v>1.5324788885576901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si="74">H456-DATE(YEAR(H456),1,0)+1</f>
        <v>146</v>
      </c>
      <c r="H456" s="95">
        <f t="shared" si="66"/>
        <v>45436</v>
      </c>
      <c r="I456" s="119">
        <f>HLOOKUP($H$5,'Met Data'!$A$2:$F$368,G456,FALSE)</f>
        <v>13.04</v>
      </c>
      <c r="J456" s="119">
        <f ca="1">HLOOKUP($H$5,'Met Data'!$H$2:$M$368,G456,FALSE)*L456</f>
        <v>5.8233333333333297</v>
      </c>
      <c r="K456" s="96">
        <f>HLOOKUP($H$5,'Met Data'!$O$2:$T$368,G456,FALSE)</f>
        <v>1.3513771562845001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si="74"/>
        <v>147</v>
      </c>
      <c r="H457" s="95">
        <f t="shared" ref="H457:H520" si="76">H456+1</f>
        <v>45437</v>
      </c>
      <c r="I457" s="119">
        <f>HLOOKUP($H$5,'Met Data'!$A$2:$F$368,G457,FALSE)</f>
        <v>13.44</v>
      </c>
      <c r="J457" s="119">
        <f ca="1">HLOOKUP($H$5,'Met Data'!$H$2:$M$368,G457,FALSE)*L457</f>
        <v>6.9099999999999904</v>
      </c>
      <c r="K457" s="96">
        <f>HLOOKUP($H$5,'Met Data'!$O$2:$T$368,G457,FALSE)</f>
        <v>1.45255211799902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si="74"/>
        <v>148</v>
      </c>
      <c r="H458" s="95">
        <f t="shared" si="76"/>
        <v>45438</v>
      </c>
      <c r="I458" s="119">
        <f>HLOOKUP($H$5,'Met Data'!$A$2:$F$368,G458,FALSE)</f>
        <v>12.8183333333333</v>
      </c>
      <c r="J458" s="119">
        <f ca="1">HLOOKUP($H$5,'Met Data'!$H$2:$M$368,G458,FALSE)*L458</f>
        <v>4.4066666666666601</v>
      </c>
      <c r="K458" s="96">
        <f>HLOOKUP($H$5,'Met Data'!$O$2:$T$368,G458,FALSE)</f>
        <v>1.5797115913466899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si="74"/>
        <v>149</v>
      </c>
      <c r="H459" s="95">
        <f t="shared" si="76"/>
        <v>45439</v>
      </c>
      <c r="I459" s="119">
        <f>HLOOKUP($H$5,'Met Data'!$A$2:$F$368,G459,FALSE)</f>
        <v>12.088333333333299</v>
      </c>
      <c r="J459" s="119">
        <f ca="1">HLOOKUP($H$5,'Met Data'!$H$2:$M$368,G459,FALSE)*L459</f>
        <v>3.84666666666666</v>
      </c>
      <c r="K459" s="96">
        <f>HLOOKUP($H$5,'Met Data'!$O$2:$T$368,G459,FALSE)</f>
        <v>1.52168431166894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si="74"/>
        <v>150</v>
      </c>
      <c r="H460" s="95">
        <f t="shared" si="76"/>
        <v>45440</v>
      </c>
      <c r="I460" s="119">
        <f>HLOOKUP($H$5,'Met Data'!$A$2:$F$368,G460,FALSE)</f>
        <v>11.7193548387096</v>
      </c>
      <c r="J460" s="119">
        <f ca="1">HLOOKUP($H$5,'Met Data'!$H$2:$M$368,G460,FALSE)*L460</f>
        <v>4.8161290322580603</v>
      </c>
      <c r="K460" s="96">
        <f>HLOOKUP($H$5,'Met Data'!$O$2:$T$368,G460,FALSE)</f>
        <v>1.3043403353641301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si="74"/>
        <v>151</v>
      </c>
      <c r="H461" s="95">
        <f t="shared" si="76"/>
        <v>45441</v>
      </c>
      <c r="I461" s="119">
        <f>HLOOKUP($H$5,'Met Data'!$A$2:$F$368,G461,FALSE)</f>
        <v>12.024193548387</v>
      </c>
      <c r="J461" s="119">
        <f ca="1">HLOOKUP($H$5,'Met Data'!$H$2:$M$368,G461,FALSE)*L461</f>
        <v>5.4032258064516103</v>
      </c>
      <c r="K461" s="96">
        <f>HLOOKUP($H$5,'Met Data'!$O$2:$T$368,G461,FALSE)</f>
        <v>1.3290261075951599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si="74"/>
        <v>152</v>
      </c>
      <c r="H462" s="95">
        <f t="shared" si="76"/>
        <v>45442</v>
      </c>
      <c r="I462" s="119">
        <f>HLOOKUP($H$5,'Met Data'!$A$2:$F$368,G462,FALSE)</f>
        <v>11.7258064516129</v>
      </c>
      <c r="J462" s="119">
        <f ca="1">HLOOKUP($H$5,'Met Data'!$H$2:$M$368,G462,FALSE)*L462</f>
        <v>5.6354838709677404</v>
      </c>
      <c r="K462" s="96">
        <f>HLOOKUP($H$5,'Met Data'!$O$2:$T$368,G462,FALSE)</f>
        <v>1.39784343044145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si="74"/>
        <v>153</v>
      </c>
      <c r="H463" s="95">
        <f t="shared" si="76"/>
        <v>45443</v>
      </c>
      <c r="I463" s="119">
        <f>HLOOKUP($H$5,'Met Data'!$A$2:$F$368,G463,FALSE)</f>
        <v>11.7564516129032</v>
      </c>
      <c r="J463" s="119">
        <f ca="1">HLOOKUP($H$5,'Met Data'!$H$2:$M$368,G463,FALSE)*L463</f>
        <v>4.3451612903225802</v>
      </c>
      <c r="K463" s="96">
        <f>HLOOKUP($H$5,'Met Data'!$O$2:$T$368,G463,FALSE)</f>
        <v>1.4712646827298701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si="74"/>
        <v>154</v>
      </c>
      <c r="H464" s="95">
        <f t="shared" si="76"/>
        <v>45444</v>
      </c>
      <c r="I464" s="119">
        <f>HLOOKUP($H$5,'Met Data'!$A$2:$F$368,G464,FALSE)</f>
        <v>11.6033333333333</v>
      </c>
      <c r="J464" s="119">
        <f ca="1">HLOOKUP($H$5,'Met Data'!$H$2:$M$368,G464,FALSE)*L464</f>
        <v>5.12</v>
      </c>
      <c r="K464" s="96">
        <f>HLOOKUP($H$5,'Met Data'!$O$2:$T$368,G464,FALSE)</f>
        <v>1.30717057222476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si="74"/>
        <v>155</v>
      </c>
      <c r="H465" s="95">
        <f t="shared" si="76"/>
        <v>45445</v>
      </c>
      <c r="I465" s="119">
        <f>HLOOKUP($H$5,'Met Data'!$A$2:$F$368,G465,FALSE)</f>
        <v>11.056666666666599</v>
      </c>
      <c r="J465" s="119">
        <f ca="1">HLOOKUP($H$5,'Met Data'!$H$2:$M$368,G465,FALSE)*L465</f>
        <v>2.78666666666666</v>
      </c>
      <c r="K465" s="96">
        <f>HLOOKUP($H$5,'Met Data'!$O$2:$T$368,G465,FALSE)</f>
        <v>1.4941006859236099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si="74"/>
        <v>156</v>
      </c>
      <c r="H466" s="95">
        <f t="shared" si="76"/>
        <v>45446</v>
      </c>
      <c r="I466" s="119">
        <f>HLOOKUP($H$5,'Met Data'!$A$2:$F$368,G466,FALSE)</f>
        <v>11.1733333333333</v>
      </c>
      <c r="J466" s="119">
        <f ca="1">HLOOKUP($H$5,'Met Data'!$H$2:$M$368,G466,FALSE)*L466</f>
        <v>4.3899999999999997</v>
      </c>
      <c r="K466" s="96">
        <f>HLOOKUP($H$5,'Met Data'!$O$2:$T$368,G466,FALSE)</f>
        <v>1.35454855749501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si="74"/>
        <v>157</v>
      </c>
      <c r="H467" s="95">
        <f t="shared" si="76"/>
        <v>45447</v>
      </c>
      <c r="I467" s="119">
        <f>HLOOKUP($H$5,'Met Data'!$A$2:$F$368,G467,FALSE)</f>
        <v>11.3016666666666</v>
      </c>
      <c r="J467" s="119">
        <f ca="1">HLOOKUP($H$5,'Met Data'!$H$2:$M$368,G467,FALSE)*L467</f>
        <v>3.3633333333333302</v>
      </c>
      <c r="K467" s="96">
        <f>HLOOKUP($H$5,'Met Data'!$O$2:$T$368,G467,FALSE)</f>
        <v>1.3233452483653401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si="74"/>
        <v>158</v>
      </c>
      <c r="H468" s="95">
        <f t="shared" si="76"/>
        <v>45448</v>
      </c>
      <c r="I468" s="119">
        <f>HLOOKUP($H$5,'Met Data'!$A$2:$F$368,G468,FALSE)</f>
        <v>11.2416666666666</v>
      </c>
      <c r="J468" s="119">
        <f ca="1">HLOOKUP($H$5,'Met Data'!$H$2:$M$368,G468,FALSE)*L468</f>
        <v>3.4666666666666601</v>
      </c>
      <c r="K468" s="96">
        <f>HLOOKUP($H$5,'Met Data'!$O$2:$T$368,G468,FALSE)</f>
        <v>1.31169017597242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si="74"/>
        <v>159</v>
      </c>
      <c r="H469" s="95">
        <f t="shared" si="76"/>
        <v>45449</v>
      </c>
      <c r="I469" s="119">
        <f>HLOOKUP($H$5,'Met Data'!$A$2:$F$368,G469,FALSE)</f>
        <v>11.3533333333333</v>
      </c>
      <c r="J469" s="119">
        <f ca="1">HLOOKUP($H$5,'Met Data'!$H$2:$M$368,G469,FALSE)*L469</f>
        <v>3.12333333333333</v>
      </c>
      <c r="K469" s="96">
        <f>HLOOKUP($H$5,'Met Data'!$O$2:$T$368,G469,FALSE)</f>
        <v>1.3774495437093499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si="74"/>
        <v>160</v>
      </c>
      <c r="H470" s="95">
        <f t="shared" si="76"/>
        <v>45450</v>
      </c>
      <c r="I470" s="119">
        <f>HLOOKUP($H$5,'Met Data'!$A$2:$F$368,G470,FALSE)</f>
        <v>11.6383333333333</v>
      </c>
      <c r="J470" s="119">
        <f ca="1">HLOOKUP($H$5,'Met Data'!$H$2:$M$368,G470,FALSE)*L470</f>
        <v>2.8</v>
      </c>
      <c r="K470" s="96">
        <f>HLOOKUP($H$5,'Met Data'!$O$2:$T$368,G470,FALSE)</f>
        <v>1.37514607405536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si="74"/>
        <v>161</v>
      </c>
      <c r="H471" s="95">
        <f t="shared" si="76"/>
        <v>45451</v>
      </c>
      <c r="I471" s="119">
        <f>HLOOKUP($H$5,'Met Data'!$A$2:$F$368,G471,FALSE)</f>
        <v>12.033333333333299</v>
      </c>
      <c r="J471" s="119">
        <f ca="1">HLOOKUP($H$5,'Met Data'!$H$2:$M$368,G471,FALSE)*L471</f>
        <v>5.1033333333333299</v>
      </c>
      <c r="K471" s="96">
        <f>HLOOKUP($H$5,'Met Data'!$O$2:$T$368,G471,FALSE)</f>
        <v>1.2907055368786999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si="74"/>
        <v>162</v>
      </c>
      <c r="H472" s="95">
        <f t="shared" si="76"/>
        <v>45452</v>
      </c>
      <c r="I472" s="119">
        <f>HLOOKUP($H$5,'Met Data'!$A$2:$F$368,G472,FALSE)</f>
        <v>12.0483333333333</v>
      </c>
      <c r="J472" s="119">
        <f ca="1">HLOOKUP($H$5,'Met Data'!$H$2:$M$368,G472,FALSE)*L472</f>
        <v>7.0566666666666604</v>
      </c>
      <c r="K472" s="96">
        <f>HLOOKUP($H$5,'Met Data'!$O$2:$T$368,G472,FALSE)</f>
        <v>1.1704038738008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si="74"/>
        <v>163</v>
      </c>
      <c r="H473" s="95">
        <f t="shared" si="76"/>
        <v>45453</v>
      </c>
      <c r="I473" s="119">
        <f>HLOOKUP($H$5,'Met Data'!$A$2:$F$368,G473,FALSE)</f>
        <v>12.105</v>
      </c>
      <c r="J473" s="119">
        <f ca="1">HLOOKUP($H$5,'Met Data'!$H$2:$M$368,G473,FALSE)*L473</f>
        <v>4.8199999999999896</v>
      </c>
      <c r="K473" s="96">
        <f>HLOOKUP($H$5,'Met Data'!$O$2:$T$368,G473,FALSE)</f>
        <v>1.2848931912011301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si="74"/>
        <v>164</v>
      </c>
      <c r="H474" s="95">
        <f t="shared" si="76"/>
        <v>45454</v>
      </c>
      <c r="I474" s="119">
        <f>HLOOKUP($H$5,'Met Data'!$A$2:$F$368,G474,FALSE)</f>
        <v>11.93</v>
      </c>
      <c r="J474" s="119">
        <f ca="1">HLOOKUP($H$5,'Met Data'!$H$2:$M$368,G474,FALSE)*L474</f>
        <v>4.05</v>
      </c>
      <c r="K474" s="96">
        <f>HLOOKUP($H$5,'Met Data'!$O$2:$T$368,G474,FALSE)</f>
        <v>1.2113320799843399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si="74"/>
        <v>165</v>
      </c>
      <c r="H475" s="95">
        <f t="shared" si="76"/>
        <v>45455</v>
      </c>
      <c r="I475" s="119">
        <f>HLOOKUP($H$5,'Met Data'!$A$2:$F$368,G475,FALSE)</f>
        <v>11.734999999999999</v>
      </c>
      <c r="J475" s="119">
        <f ca="1">HLOOKUP($H$5,'Met Data'!$H$2:$M$368,G475,FALSE)*L475</f>
        <v>3.5866666666666598</v>
      </c>
      <c r="K475" s="96">
        <f>HLOOKUP($H$5,'Met Data'!$O$2:$T$368,G475,FALSE)</f>
        <v>1.4600871377923801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si="74"/>
        <v>166</v>
      </c>
      <c r="H476" s="95">
        <f t="shared" si="76"/>
        <v>45456</v>
      </c>
      <c r="I476" s="119">
        <f>HLOOKUP($H$5,'Met Data'!$A$2:$F$368,G476,FALSE)</f>
        <v>11.1666666666666</v>
      </c>
      <c r="J476" s="119">
        <f ca="1">HLOOKUP($H$5,'Met Data'!$H$2:$M$368,G476,FALSE)*L476</f>
        <v>3.2966666666666602</v>
      </c>
      <c r="K476" s="96">
        <f>HLOOKUP($H$5,'Met Data'!$O$2:$T$368,G476,FALSE)</f>
        <v>1.34458805503312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si="74"/>
        <v>167</v>
      </c>
      <c r="H477" s="95">
        <f t="shared" si="76"/>
        <v>45457</v>
      </c>
      <c r="I477" s="119">
        <f>HLOOKUP($H$5,'Met Data'!$A$2:$F$368,G477,FALSE)</f>
        <v>11.2283333333333</v>
      </c>
      <c r="J477" s="119">
        <f ca="1">HLOOKUP($H$5,'Met Data'!$H$2:$M$368,G477,FALSE)*L477</f>
        <v>6.4733333333333301</v>
      </c>
      <c r="K477" s="96">
        <f>HLOOKUP($H$5,'Met Data'!$O$2:$T$368,G477,FALSE)</f>
        <v>1.38085812732775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si="74"/>
        <v>168</v>
      </c>
      <c r="H478" s="95">
        <f t="shared" si="76"/>
        <v>45458</v>
      </c>
      <c r="I478" s="119">
        <f>HLOOKUP($H$5,'Met Data'!$A$2:$F$368,G478,FALSE)</f>
        <v>10.6586206896551</v>
      </c>
      <c r="J478" s="119">
        <f ca="1">HLOOKUP($H$5,'Met Data'!$H$2:$M$368,G478,FALSE)*L478</f>
        <v>4.2733333333333299</v>
      </c>
      <c r="K478" s="96">
        <f>HLOOKUP($H$5,'Met Data'!$O$2:$T$368,G478,FALSE)</f>
        <v>1.38162675040215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si="74"/>
        <v>169</v>
      </c>
      <c r="H479" s="95">
        <f t="shared" si="76"/>
        <v>45459</v>
      </c>
      <c r="I479" s="119">
        <f>HLOOKUP($H$5,'Met Data'!$A$2:$F$368,G479,FALSE)</f>
        <v>10.7310344827586</v>
      </c>
      <c r="J479" s="119">
        <f ca="1">HLOOKUP($H$5,'Met Data'!$H$2:$M$368,G479,FALSE)*L479</f>
        <v>4.5699999999999896</v>
      </c>
      <c r="K479" s="96">
        <f>HLOOKUP($H$5,'Met Data'!$O$2:$T$368,G479,FALSE)</f>
        <v>1.17648432087559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si="74"/>
        <v>170</v>
      </c>
      <c r="H480" s="95">
        <f t="shared" si="76"/>
        <v>45460</v>
      </c>
      <c r="I480" s="119">
        <f>HLOOKUP($H$5,'Met Data'!$A$2:$F$368,G480,FALSE)</f>
        <v>11.2603448275862</v>
      </c>
      <c r="J480" s="119">
        <f ca="1">HLOOKUP($H$5,'Met Data'!$H$2:$M$368,G480,FALSE)*L480</f>
        <v>4.72</v>
      </c>
      <c r="K480" s="96">
        <f>HLOOKUP($H$5,'Met Data'!$O$2:$T$368,G480,FALSE)</f>
        <v>1.1014836099696199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si="74"/>
        <v>171</v>
      </c>
      <c r="H481" s="95">
        <f t="shared" si="76"/>
        <v>45461</v>
      </c>
      <c r="I481" s="119">
        <f>HLOOKUP($H$5,'Met Data'!$A$2:$F$368,G481,FALSE)</f>
        <v>10.906896551724101</v>
      </c>
      <c r="J481" s="119">
        <f ca="1">HLOOKUP($H$5,'Met Data'!$H$2:$M$368,G481,FALSE)*L481</f>
        <v>4.07</v>
      </c>
      <c r="K481" s="96">
        <f>HLOOKUP($H$5,'Met Data'!$O$2:$T$368,G481,FALSE)</f>
        <v>1.1347149368896201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si="74"/>
        <v>172</v>
      </c>
      <c r="H482" s="95">
        <f t="shared" si="76"/>
        <v>45462</v>
      </c>
      <c r="I482" s="119">
        <f>HLOOKUP($H$5,'Met Data'!$A$2:$F$368,G482,FALSE)</f>
        <v>11.072413793103401</v>
      </c>
      <c r="J482" s="119">
        <f ca="1">HLOOKUP($H$5,'Met Data'!$H$2:$M$368,G482,FALSE)*L482</f>
        <v>5.89333333333333</v>
      </c>
      <c r="K482" s="96">
        <f>HLOOKUP($H$5,'Met Data'!$O$2:$T$368,G482,FALSE)</f>
        <v>1.25671546368113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si="74"/>
        <v>173</v>
      </c>
      <c r="H483" s="95">
        <f t="shared" si="76"/>
        <v>45463</v>
      </c>
      <c r="I483" s="119">
        <f>HLOOKUP($H$5,'Met Data'!$A$2:$F$368,G483,FALSE)</f>
        <v>11.1844827586206</v>
      </c>
      <c r="J483" s="119">
        <f ca="1">HLOOKUP($H$5,'Met Data'!$H$2:$M$368,G483,FALSE)*L483</f>
        <v>2.27</v>
      </c>
      <c r="K483" s="96">
        <f>HLOOKUP($H$5,'Met Data'!$O$2:$T$368,G483,FALSE)</f>
        <v>1.3590610231009399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si="74"/>
        <v>174</v>
      </c>
      <c r="H484" s="95">
        <f t="shared" si="76"/>
        <v>45464</v>
      </c>
      <c r="I484" s="119">
        <f>HLOOKUP($H$5,'Met Data'!$A$2:$F$368,G484,FALSE)</f>
        <v>10.84</v>
      </c>
      <c r="J484" s="119">
        <f ca="1">HLOOKUP($H$5,'Met Data'!$H$2:$M$368,G484,FALSE)*L484</f>
        <v>2.2633333333333301</v>
      </c>
      <c r="K484" s="96">
        <f>HLOOKUP($H$5,'Met Data'!$O$2:$T$368,G484,FALSE)</f>
        <v>1.3770648366319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si="74"/>
        <v>175</v>
      </c>
      <c r="H485" s="95">
        <f t="shared" si="76"/>
        <v>45465</v>
      </c>
      <c r="I485" s="119">
        <f>HLOOKUP($H$5,'Met Data'!$A$2:$F$368,G485,FALSE)</f>
        <v>10.578333333333299</v>
      </c>
      <c r="J485" s="119">
        <f ca="1">HLOOKUP($H$5,'Met Data'!$H$2:$M$368,G485,FALSE)*L485</f>
        <v>4.8499999999999996</v>
      </c>
      <c r="K485" s="96">
        <f>HLOOKUP($H$5,'Met Data'!$O$2:$T$368,G485,FALSE)</f>
        <v>1.14995789296724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si="74"/>
        <v>176</v>
      </c>
      <c r="H486" s="95">
        <f t="shared" si="76"/>
        <v>45466</v>
      </c>
      <c r="I486" s="119">
        <f>HLOOKUP($H$5,'Met Data'!$A$2:$F$368,G486,FALSE)</f>
        <v>10.6928571428571</v>
      </c>
      <c r="J486" s="119">
        <f ca="1">HLOOKUP($H$5,'Met Data'!$H$2:$M$368,G486,FALSE)*L486</f>
        <v>6.4607142857142801</v>
      </c>
      <c r="K486" s="96">
        <f>HLOOKUP($H$5,'Met Data'!$O$2:$T$368,G486,FALSE)</f>
        <v>1.1771575957217399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si="74"/>
        <v>177</v>
      </c>
      <c r="H487" s="95">
        <f t="shared" si="76"/>
        <v>45467</v>
      </c>
      <c r="I487" s="119">
        <f>HLOOKUP($H$5,'Met Data'!$A$2:$F$368,G487,FALSE)</f>
        <v>10.8642857142857</v>
      </c>
      <c r="J487" s="119">
        <f ca="1">HLOOKUP($H$5,'Met Data'!$H$2:$M$368,G487,FALSE)*L487</f>
        <v>8.7785714285714196</v>
      </c>
      <c r="K487" s="96">
        <f>HLOOKUP($H$5,'Met Data'!$O$2:$T$368,G487,FALSE)</f>
        <v>1.3519764431878101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si="74"/>
        <v>178</v>
      </c>
      <c r="H488" s="95">
        <f t="shared" si="76"/>
        <v>45468</v>
      </c>
      <c r="I488" s="119">
        <f>HLOOKUP($H$5,'Met Data'!$A$2:$F$368,G488,FALSE)</f>
        <v>10.492857142857099</v>
      </c>
      <c r="J488" s="119">
        <f ca="1">HLOOKUP($H$5,'Met Data'!$H$2:$M$368,G488,FALSE)*L488</f>
        <v>3.8</v>
      </c>
      <c r="K488" s="96">
        <f>HLOOKUP($H$5,'Met Data'!$O$2:$T$368,G488,FALSE)</f>
        <v>1.34392263247945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si="74"/>
        <v>179</v>
      </c>
      <c r="H489" s="95">
        <f t="shared" si="76"/>
        <v>45469</v>
      </c>
      <c r="I489" s="119">
        <f>HLOOKUP($H$5,'Met Data'!$A$2:$F$368,G489,FALSE)</f>
        <v>10.592857142857101</v>
      </c>
      <c r="J489" s="119">
        <f ca="1">HLOOKUP($H$5,'Met Data'!$H$2:$M$368,G489,FALSE)*L489</f>
        <v>2.81785714285714</v>
      </c>
      <c r="K489" s="96">
        <f>HLOOKUP($H$5,'Met Data'!$O$2:$T$368,G489,FALSE)</f>
        <v>1.47912334327964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si="74"/>
        <v>180</v>
      </c>
      <c r="H490" s="95">
        <f t="shared" si="76"/>
        <v>45470</v>
      </c>
      <c r="I490" s="119">
        <f>HLOOKUP($H$5,'Met Data'!$A$2:$F$368,G490,FALSE)</f>
        <v>10.465517241379301</v>
      </c>
      <c r="J490" s="119">
        <f ca="1">HLOOKUP($H$5,'Met Data'!$H$2:$M$368,G490,FALSE)*L490</f>
        <v>5.6517241379310299</v>
      </c>
      <c r="K490" s="96">
        <f>HLOOKUP($H$5,'Met Data'!$O$2:$T$368,G490,FALSE)</f>
        <v>1.2990420850019999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si="74"/>
        <v>181</v>
      </c>
      <c r="H491" s="95">
        <f t="shared" si="76"/>
        <v>45471</v>
      </c>
      <c r="I491" s="119">
        <f>HLOOKUP($H$5,'Met Data'!$A$2:$F$368,G491,FALSE)</f>
        <v>10.572413793103401</v>
      </c>
      <c r="J491" s="119">
        <f ca="1">HLOOKUP($H$5,'Met Data'!$H$2:$M$368,G491,FALSE)*L491</f>
        <v>5.2517241379310304</v>
      </c>
      <c r="K491" s="96">
        <f>HLOOKUP($H$5,'Met Data'!$O$2:$T$368,G491,FALSE)</f>
        <v>1.2839514040086699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si="74"/>
        <v>182</v>
      </c>
      <c r="H492" s="95">
        <f t="shared" si="76"/>
        <v>45472</v>
      </c>
      <c r="I492" s="119">
        <f>HLOOKUP($H$5,'Met Data'!$A$2:$F$368,G492,FALSE)</f>
        <v>10.655357142857101</v>
      </c>
      <c r="J492" s="119">
        <f ca="1">HLOOKUP($H$5,'Met Data'!$H$2:$M$368,G492,FALSE)*L492</f>
        <v>7.4689655172413696</v>
      </c>
      <c r="K492" s="96">
        <f>HLOOKUP($H$5,'Met Data'!$O$2:$T$368,G492,FALSE)</f>
        <v>1.3058632096396601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si="74"/>
        <v>183</v>
      </c>
      <c r="H493" s="95">
        <f t="shared" si="76"/>
        <v>45473</v>
      </c>
      <c r="I493" s="119">
        <f>HLOOKUP($H$5,'Met Data'!$A$2:$F$368,G493,FALSE)</f>
        <v>10.0517857142857</v>
      </c>
      <c r="J493" s="119">
        <f ca="1">HLOOKUP($H$5,'Met Data'!$H$2:$M$368,G493,FALSE)*L493</f>
        <v>3.5392857142857101</v>
      </c>
      <c r="K493" s="96">
        <f>HLOOKUP($H$5,'Met Data'!$O$2:$T$368,G493,FALSE)</f>
        <v>1.4482050520096601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si="74"/>
        <v>184</v>
      </c>
      <c r="H494" s="95">
        <f t="shared" si="76"/>
        <v>45474</v>
      </c>
      <c r="I494" s="119">
        <f>HLOOKUP($H$5,'Met Data'!$A$2:$F$368,G494,FALSE)</f>
        <v>9.5678571428571395</v>
      </c>
      <c r="J494" s="119">
        <f ca="1">HLOOKUP($H$5,'Met Data'!$H$2:$M$368,G494,FALSE)*L494</f>
        <v>4.33928571428571</v>
      </c>
      <c r="K494" s="96">
        <f>HLOOKUP($H$5,'Met Data'!$O$2:$T$368,G494,FALSE)</f>
        <v>1.3964370426983801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si="74"/>
        <v>185</v>
      </c>
      <c r="H495" s="95">
        <f t="shared" si="76"/>
        <v>45475</v>
      </c>
      <c r="I495" s="119">
        <f>HLOOKUP($H$5,'Met Data'!$A$2:$F$368,G495,FALSE)</f>
        <v>9.7035714285714292</v>
      </c>
      <c r="J495" s="119">
        <f ca="1">HLOOKUP($H$5,'Met Data'!$H$2:$M$368,G495,FALSE)*L495</f>
        <v>3.2666666666666599</v>
      </c>
      <c r="K495" s="96">
        <f>HLOOKUP($H$5,'Met Data'!$O$2:$T$368,G495,FALSE)</f>
        <v>1.2730824905906899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si="74"/>
        <v>186</v>
      </c>
      <c r="H496" s="97">
        <f t="shared" si="76"/>
        <v>45476</v>
      </c>
      <c r="I496" s="121">
        <f>HLOOKUP($H$5,'Met Data'!$A$2:$F$368,G496,FALSE)</f>
        <v>10.1785714285714</v>
      </c>
      <c r="J496" s="119">
        <f ca="1">HLOOKUP($H$5,'Met Data'!$H$2:$M$368,G496,FALSE)*L496</f>
        <v>5.2555555555555502</v>
      </c>
      <c r="K496" s="98">
        <f>HLOOKUP($H$5,'Met Data'!$O$2:$T$368,G496,FALSE)</f>
        <v>1.2896889465411501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si="80">H497-DATE(YEAR(H497),1,0)+1</f>
        <v>187</v>
      </c>
      <c r="H497" s="97">
        <f t="shared" si="76"/>
        <v>45477</v>
      </c>
      <c r="I497" s="121">
        <f>HLOOKUP($H$5,'Met Data'!$A$2:$F$368,G497,FALSE)</f>
        <v>10.675000000000001</v>
      </c>
      <c r="J497" s="119">
        <f ca="1">HLOOKUP($H$5,'Met Data'!$H$2:$M$368,G497,FALSE)*L497</f>
        <v>2.9892857142857099</v>
      </c>
      <c r="K497" s="98">
        <f>HLOOKUP($H$5,'Met Data'!$O$2:$T$368,G497,FALSE)</f>
        <v>1.4660191910043801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si="80"/>
        <v>188</v>
      </c>
      <c r="H498" s="97">
        <f t="shared" si="76"/>
        <v>45478</v>
      </c>
      <c r="I498" s="121">
        <f>HLOOKUP($H$5,'Met Data'!$A$2:$F$368,G498,FALSE)</f>
        <v>10.6303571428571</v>
      </c>
      <c r="J498" s="119">
        <f ca="1">HLOOKUP($H$5,'Met Data'!$H$2:$M$368,G498,FALSE)*L498</f>
        <v>4.4413793103448196</v>
      </c>
      <c r="K498" s="98">
        <f>HLOOKUP($H$5,'Met Data'!$O$2:$T$368,G498,FALSE)</f>
        <v>1.3068901655768601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si="80"/>
        <v>189</v>
      </c>
      <c r="H499" s="97">
        <f t="shared" si="76"/>
        <v>45479</v>
      </c>
      <c r="I499" s="121">
        <f>HLOOKUP($H$5,'Met Data'!$A$2:$F$368,G499,FALSE)</f>
        <v>10.5714285714285</v>
      </c>
      <c r="J499" s="119">
        <f ca="1">HLOOKUP($H$5,'Met Data'!$H$2:$M$368,G499,FALSE)*L499</f>
        <v>2.8758620689655099</v>
      </c>
      <c r="K499" s="98">
        <f>HLOOKUP($H$5,'Met Data'!$O$2:$T$368,G499,FALSE)</f>
        <v>1.41669004164846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si="80"/>
        <v>190</v>
      </c>
      <c r="H500" s="97">
        <f t="shared" si="76"/>
        <v>45480</v>
      </c>
      <c r="I500" s="121">
        <f>HLOOKUP($H$5,'Met Data'!$A$2:$F$368,G500,FALSE)</f>
        <v>10.2685185185185</v>
      </c>
      <c r="J500" s="119">
        <f ca="1">HLOOKUP($H$5,'Met Data'!$H$2:$M$368,G500,FALSE)*L500</f>
        <v>3.7892857142857101</v>
      </c>
      <c r="K500" s="98">
        <f>HLOOKUP($H$5,'Met Data'!$O$2:$T$368,G500,FALSE)</f>
        <v>1.3370081337281099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si="80"/>
        <v>191</v>
      </c>
      <c r="H501" s="97">
        <f t="shared" si="76"/>
        <v>45481</v>
      </c>
      <c r="I501" s="121">
        <f>HLOOKUP($H$5,'Met Data'!$A$2:$F$368,G501,FALSE)</f>
        <v>10.4166666666666</v>
      </c>
      <c r="J501" s="119">
        <f ca="1">HLOOKUP($H$5,'Met Data'!$H$2:$M$368,G501,FALSE)*L501</f>
        <v>4.8428571428571399</v>
      </c>
      <c r="K501" s="98">
        <f>HLOOKUP($H$5,'Met Data'!$O$2:$T$368,G501,FALSE)</f>
        <v>1.6936819221313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si="80"/>
        <v>192</v>
      </c>
      <c r="H502" s="97">
        <f t="shared" si="76"/>
        <v>45482</v>
      </c>
      <c r="I502" s="121">
        <f>HLOOKUP($H$5,'Met Data'!$A$2:$F$368,G502,FALSE)</f>
        <v>9.7703703703703706</v>
      </c>
      <c r="J502" s="119">
        <f ca="1">HLOOKUP($H$5,'Met Data'!$H$2:$M$368,G502,FALSE)*L502</f>
        <v>2.27857142857142</v>
      </c>
      <c r="K502" s="98">
        <f>HLOOKUP($H$5,'Met Data'!$O$2:$T$368,G502,FALSE)</f>
        <v>1.4303197134636301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si="80"/>
        <v>193</v>
      </c>
      <c r="H503" s="97">
        <f t="shared" si="76"/>
        <v>45483</v>
      </c>
      <c r="I503" s="121">
        <f>HLOOKUP($H$5,'Met Data'!$A$2:$F$368,G503,FALSE)</f>
        <v>9.4057692307692307</v>
      </c>
      <c r="J503" s="119">
        <f ca="1">HLOOKUP($H$5,'Met Data'!$H$2:$M$368,G503,FALSE)*L503</f>
        <v>4.05</v>
      </c>
      <c r="K503" s="98">
        <f>HLOOKUP($H$5,'Met Data'!$O$2:$T$368,G503,FALSE)</f>
        <v>1.34234874078288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si="80"/>
        <v>194</v>
      </c>
      <c r="H504" s="97">
        <f t="shared" si="76"/>
        <v>45484</v>
      </c>
      <c r="I504" s="121">
        <f>HLOOKUP($H$5,'Met Data'!$A$2:$F$368,G504,FALSE)</f>
        <v>9.7037037037037006</v>
      </c>
      <c r="J504" s="119">
        <f ca="1">HLOOKUP($H$5,'Met Data'!$H$2:$M$368,G504,FALSE)*L504</f>
        <v>7.2038461538461496</v>
      </c>
      <c r="K504" s="98">
        <f>HLOOKUP($H$5,'Met Data'!$O$2:$T$368,G504,FALSE)</f>
        <v>1.4005767318328199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si="80"/>
        <v>195</v>
      </c>
      <c r="H505" s="97">
        <f t="shared" si="76"/>
        <v>45485</v>
      </c>
      <c r="I505" s="121">
        <f>HLOOKUP($H$5,'Met Data'!$A$2:$F$368,G505,FALSE)</f>
        <v>9.875</v>
      </c>
      <c r="J505" s="119">
        <f ca="1">HLOOKUP($H$5,'Met Data'!$H$2:$M$368,G505,FALSE)*L505</f>
        <v>2.7366666666666601</v>
      </c>
      <c r="K505" s="98">
        <f>HLOOKUP($H$5,'Met Data'!$O$2:$T$368,G505,FALSE)</f>
        <v>1.5241946960031101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si="80"/>
        <v>196</v>
      </c>
      <c r="H506" s="97">
        <f t="shared" si="76"/>
        <v>45486</v>
      </c>
      <c r="I506" s="121">
        <f>HLOOKUP($H$5,'Met Data'!$A$2:$F$368,G506,FALSE)</f>
        <v>9.4732142857142794</v>
      </c>
      <c r="J506" s="119">
        <f ca="1">HLOOKUP($H$5,'Met Data'!$H$2:$M$368,G506,FALSE)*L506</f>
        <v>4.4607142857142801</v>
      </c>
      <c r="K506" s="98">
        <f>HLOOKUP($H$5,'Met Data'!$O$2:$T$368,G506,FALSE)</f>
        <v>1.1833728950226901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si="80"/>
        <v>197</v>
      </c>
      <c r="H507" s="97">
        <f t="shared" si="76"/>
        <v>45487</v>
      </c>
      <c r="I507" s="121">
        <f>HLOOKUP($H$5,'Met Data'!$A$2:$F$368,G507,FALSE)</f>
        <v>10.3732142857142</v>
      </c>
      <c r="J507" s="119">
        <f ca="1">HLOOKUP($H$5,'Met Data'!$H$2:$M$368,G507,FALSE)*L507</f>
        <v>6.4071428571428504</v>
      </c>
      <c r="K507" s="98">
        <f>HLOOKUP($H$5,'Met Data'!$O$2:$T$368,G507,FALSE)</f>
        <v>1.32556972588678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si="80"/>
        <v>198</v>
      </c>
      <c r="H508" s="97">
        <f t="shared" si="76"/>
        <v>45488</v>
      </c>
      <c r="I508" s="121">
        <f>HLOOKUP($H$5,'Met Data'!$A$2:$F$368,G508,FALSE)</f>
        <v>10.9428571428571</v>
      </c>
      <c r="J508" s="119">
        <f ca="1">HLOOKUP($H$5,'Met Data'!$H$2:$M$368,G508,FALSE)*L508</f>
        <v>5.1392857142857098</v>
      </c>
      <c r="K508" s="98">
        <f>HLOOKUP($H$5,'Met Data'!$O$2:$T$368,G508,FALSE)</f>
        <v>1.2285245260717499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si="80"/>
        <v>199</v>
      </c>
      <c r="H509" s="97">
        <f t="shared" si="76"/>
        <v>45489</v>
      </c>
      <c r="I509" s="121">
        <f>HLOOKUP($H$5,'Met Data'!$A$2:$F$368,G509,FALSE)</f>
        <v>10.689655172413699</v>
      </c>
      <c r="J509" s="119">
        <f ca="1">HLOOKUP($H$5,'Met Data'!$H$2:$M$368,G509,FALSE)*L509</f>
        <v>7.5433333333333303</v>
      </c>
      <c r="K509" s="98">
        <f>HLOOKUP($H$5,'Met Data'!$O$2:$T$368,G509,FALSE)</f>
        <v>1.11837858032715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si="80"/>
        <v>200</v>
      </c>
      <c r="H510" s="97">
        <f t="shared" si="76"/>
        <v>45490</v>
      </c>
      <c r="I510" s="121">
        <f>HLOOKUP($H$5,'Met Data'!$A$2:$F$368,G510,FALSE)</f>
        <v>10.322413793103401</v>
      </c>
      <c r="J510" s="119">
        <f ca="1">HLOOKUP($H$5,'Met Data'!$H$2:$M$368,G510,FALSE)*L510</f>
        <v>7.7933333333333303</v>
      </c>
      <c r="K510" s="98">
        <f>HLOOKUP($H$5,'Met Data'!$O$2:$T$368,G510,FALSE)</f>
        <v>1.2757644672773201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si="80"/>
        <v>201</v>
      </c>
      <c r="H511" s="97">
        <f t="shared" si="76"/>
        <v>45491</v>
      </c>
      <c r="I511" s="121">
        <f>HLOOKUP($H$5,'Met Data'!$A$2:$F$368,G511,FALSE)</f>
        <v>10.189655172413699</v>
      </c>
      <c r="J511" s="119">
        <f ca="1">HLOOKUP($H$5,'Met Data'!$H$2:$M$368,G511,FALSE)*L511</f>
        <v>4.3533333333333299</v>
      </c>
      <c r="K511" s="98">
        <f>HLOOKUP($H$5,'Met Data'!$O$2:$T$368,G511,FALSE)</f>
        <v>1.3903947480338801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si="80"/>
        <v>202</v>
      </c>
      <c r="H512" s="97">
        <f t="shared" si="76"/>
        <v>45492</v>
      </c>
      <c r="I512" s="121">
        <f>HLOOKUP($H$5,'Met Data'!$A$2:$F$368,G512,FALSE)</f>
        <v>10.668333333333299</v>
      </c>
      <c r="J512" s="119">
        <f ca="1">HLOOKUP($H$5,'Met Data'!$H$2:$M$368,G512,FALSE)*L512</f>
        <v>2.8833333333333302</v>
      </c>
      <c r="K512" s="98">
        <f>HLOOKUP($H$5,'Met Data'!$O$2:$T$368,G512,FALSE)</f>
        <v>1.4312964730661999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si="80"/>
        <v>203</v>
      </c>
      <c r="H513" s="97">
        <f t="shared" si="76"/>
        <v>45493</v>
      </c>
      <c r="I513" s="121">
        <f>HLOOKUP($H$5,'Met Data'!$A$2:$F$368,G513,FALSE)</f>
        <v>10.181666666666599</v>
      </c>
      <c r="J513" s="119">
        <f ca="1">HLOOKUP($H$5,'Met Data'!$H$2:$M$368,G513,FALSE)*L513</f>
        <v>4.64333333333333</v>
      </c>
      <c r="K513" s="98">
        <f>HLOOKUP($H$5,'Met Data'!$O$2:$T$368,G513,FALSE)</f>
        <v>1.23251722447282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si="80"/>
        <v>204</v>
      </c>
      <c r="H514" s="97">
        <f t="shared" si="76"/>
        <v>45494</v>
      </c>
      <c r="I514" s="121">
        <f>HLOOKUP($H$5,'Met Data'!$A$2:$F$368,G514,FALSE)</f>
        <v>10.761666666666599</v>
      </c>
      <c r="J514" s="119">
        <f ca="1">HLOOKUP($H$5,'Met Data'!$H$2:$M$368,G514,FALSE)*L514</f>
        <v>5.7333333333333298</v>
      </c>
      <c r="K514" s="98">
        <f>HLOOKUP($H$5,'Met Data'!$O$2:$T$368,G514,FALSE)</f>
        <v>1.55725377410155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si="80"/>
        <v>205</v>
      </c>
      <c r="H515" s="97">
        <f t="shared" si="76"/>
        <v>45495</v>
      </c>
      <c r="I515" s="121">
        <f>HLOOKUP($H$5,'Met Data'!$A$2:$F$368,G515,FALSE)</f>
        <v>10.623333333333299</v>
      </c>
      <c r="J515" s="119">
        <f ca="1">HLOOKUP($H$5,'Met Data'!$H$2:$M$368,G515,FALSE)*L515</f>
        <v>7.9733333333333301</v>
      </c>
      <c r="K515" s="98">
        <f>HLOOKUP($H$5,'Met Data'!$O$2:$T$368,G515,FALSE)</f>
        <v>1.24522053814258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si="80"/>
        <v>206</v>
      </c>
      <c r="H516" s="97">
        <f t="shared" si="76"/>
        <v>45496</v>
      </c>
      <c r="I516" s="121">
        <f>HLOOKUP($H$5,'Met Data'!$A$2:$F$368,G516,FALSE)</f>
        <v>10.654999999999999</v>
      </c>
      <c r="J516" s="119">
        <f ca="1">HLOOKUP($H$5,'Met Data'!$H$2:$M$368,G516,FALSE)*L516</f>
        <v>4.2566666666666597</v>
      </c>
      <c r="K516" s="98">
        <f>HLOOKUP($H$5,'Met Data'!$O$2:$T$368,G516,FALSE)</f>
        <v>1.3859271813606999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si="80"/>
        <v>207</v>
      </c>
      <c r="H517" s="97">
        <f t="shared" si="76"/>
        <v>45497</v>
      </c>
      <c r="I517" s="121">
        <f>HLOOKUP($H$5,'Met Data'!$A$2:$F$368,G517,FALSE)</f>
        <v>10.085000000000001</v>
      </c>
      <c r="J517" s="119">
        <f ca="1">HLOOKUP($H$5,'Met Data'!$H$2:$M$368,G517,FALSE)*L517</f>
        <v>4.9833333333333298</v>
      </c>
      <c r="K517" s="98">
        <f>HLOOKUP($H$5,'Met Data'!$O$2:$T$368,G517,FALSE)</f>
        <v>1.45895733681155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si="80"/>
        <v>208</v>
      </c>
      <c r="H518" s="97">
        <f t="shared" si="76"/>
        <v>45498</v>
      </c>
      <c r="I518" s="121">
        <f>HLOOKUP($H$5,'Met Data'!$A$2:$F$368,G518,FALSE)</f>
        <v>9.99</v>
      </c>
      <c r="J518" s="119">
        <f ca="1">HLOOKUP($H$5,'Met Data'!$H$2:$M$368,G518,FALSE)*L518</f>
        <v>3.5266666666666602</v>
      </c>
      <c r="K518" s="98">
        <f>HLOOKUP($H$5,'Met Data'!$O$2:$T$368,G518,FALSE)</f>
        <v>1.3793054622795899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si="80"/>
        <v>209</v>
      </c>
      <c r="H519" s="97">
        <f t="shared" si="76"/>
        <v>45499</v>
      </c>
      <c r="I519" s="121">
        <f>HLOOKUP($H$5,'Met Data'!$A$2:$F$368,G519,FALSE)</f>
        <v>10.4116666666666</v>
      </c>
      <c r="J519" s="119">
        <f ca="1">HLOOKUP($H$5,'Met Data'!$H$2:$M$368,G519,FALSE)*L519</f>
        <v>5.38</v>
      </c>
      <c r="K519" s="98">
        <f>HLOOKUP($H$5,'Met Data'!$O$2:$T$368,G519,FALSE)</f>
        <v>1.53088528913385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si="80"/>
        <v>210</v>
      </c>
      <c r="H520" s="97">
        <f t="shared" si="76"/>
        <v>45500</v>
      </c>
      <c r="I520" s="121">
        <f>HLOOKUP($H$5,'Met Data'!$A$2:$F$368,G520,FALSE)</f>
        <v>10.494999999999999</v>
      </c>
      <c r="J520" s="119">
        <f ca="1">HLOOKUP($H$5,'Met Data'!$H$2:$M$368,G520,FALSE)*L520</f>
        <v>3.6033333333333299</v>
      </c>
      <c r="K520" s="98">
        <f>HLOOKUP($H$5,'Met Data'!$O$2:$T$368,G520,FALSE)</f>
        <v>1.5836053821317999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si="80"/>
        <v>211</v>
      </c>
      <c r="H521" s="97">
        <f t="shared" ref="H521:H584" si="89">H520+1</f>
        <v>45501</v>
      </c>
      <c r="I521" s="121">
        <f>HLOOKUP($H$5,'Met Data'!$A$2:$F$368,G521,FALSE)</f>
        <v>10.685</v>
      </c>
      <c r="J521" s="119">
        <f ca="1">HLOOKUP($H$5,'Met Data'!$H$2:$M$368,G521,FALSE)*L521</f>
        <v>5.83</v>
      </c>
      <c r="K521" s="98">
        <f>HLOOKUP($H$5,'Met Data'!$O$2:$T$368,G521,FALSE)</f>
        <v>1.6019548518300599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si="80"/>
        <v>212</v>
      </c>
      <c r="H522" s="97">
        <f t="shared" si="89"/>
        <v>45502</v>
      </c>
      <c r="I522" s="121">
        <f>HLOOKUP($H$5,'Met Data'!$A$2:$F$368,G522,FALSE)</f>
        <v>10.678333333333301</v>
      </c>
      <c r="J522" s="119">
        <f ca="1">HLOOKUP($H$5,'Met Data'!$H$2:$M$368,G522,FALSE)*L522</f>
        <v>2.98</v>
      </c>
      <c r="K522" s="98">
        <f>HLOOKUP($H$5,'Met Data'!$O$2:$T$368,G522,FALSE)</f>
        <v>1.6077513956073599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si="80"/>
        <v>213</v>
      </c>
      <c r="H523" s="97">
        <f t="shared" si="89"/>
        <v>45503</v>
      </c>
      <c r="I523" s="121">
        <f>HLOOKUP($H$5,'Met Data'!$A$2:$F$368,G523,FALSE)</f>
        <v>10.767241379310301</v>
      </c>
      <c r="J523" s="119">
        <f ca="1">HLOOKUP($H$5,'Met Data'!$H$2:$M$368,G523,FALSE)*L523</f>
        <v>4.4285714285714199</v>
      </c>
      <c r="K523" s="98">
        <f>HLOOKUP($H$5,'Met Data'!$O$2:$T$368,G523,FALSE)</f>
        <v>1.4764466109261301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si="80"/>
        <v>214</v>
      </c>
      <c r="H524" s="97">
        <f t="shared" si="89"/>
        <v>45504</v>
      </c>
      <c r="I524" s="121">
        <f>HLOOKUP($H$5,'Met Data'!$A$2:$F$368,G524,FALSE)</f>
        <v>10.815</v>
      </c>
      <c r="J524" s="119">
        <f ca="1">HLOOKUP($H$5,'Met Data'!$H$2:$M$368,G524,FALSE)*L524</f>
        <v>3.8533333333333299</v>
      </c>
      <c r="K524" s="98">
        <f>HLOOKUP($H$5,'Met Data'!$O$2:$T$368,G524,FALSE)</f>
        <v>1.4161434812322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si="80"/>
        <v>215</v>
      </c>
      <c r="H525" s="97">
        <f t="shared" si="89"/>
        <v>45505</v>
      </c>
      <c r="I525" s="121">
        <f>HLOOKUP($H$5,'Met Data'!$A$2:$F$368,G525,FALSE)</f>
        <v>11.156666666666601</v>
      </c>
      <c r="J525" s="119">
        <f ca="1">HLOOKUP($H$5,'Met Data'!$H$2:$M$368,G525,FALSE)*L525</f>
        <v>5.7666666666666604</v>
      </c>
      <c r="K525" s="98">
        <f>HLOOKUP($H$5,'Met Data'!$O$2:$T$368,G525,FALSE)</f>
        <v>1.4216364054283901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si="80"/>
        <v>216</v>
      </c>
      <c r="H526" s="97">
        <f t="shared" si="89"/>
        <v>45506</v>
      </c>
      <c r="I526" s="121">
        <f>HLOOKUP($H$5,'Met Data'!$A$2:$F$368,G526,FALSE)</f>
        <v>11.0879310344827</v>
      </c>
      <c r="J526" s="119">
        <f ca="1">HLOOKUP($H$5,'Met Data'!$H$2:$M$368,G526,FALSE)*L526</f>
        <v>3.2896551724137901</v>
      </c>
      <c r="K526" s="98">
        <f>HLOOKUP($H$5,'Met Data'!$O$2:$T$368,G526,FALSE)</f>
        <v>1.4857250646951901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si="80"/>
        <v>217</v>
      </c>
      <c r="H527" s="97">
        <f t="shared" si="89"/>
        <v>45507</v>
      </c>
      <c r="I527" s="121">
        <f>HLOOKUP($H$5,'Met Data'!$A$2:$F$368,G527,FALSE)</f>
        <v>10.9965517241379</v>
      </c>
      <c r="J527" s="119">
        <f ca="1">HLOOKUP($H$5,'Met Data'!$H$2:$M$368,G527,FALSE)*L527</f>
        <v>5.08275862068965</v>
      </c>
      <c r="K527" s="98">
        <f>HLOOKUP($H$5,'Met Data'!$O$2:$T$368,G527,FALSE)</f>
        <v>1.4618721174640501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si="80"/>
        <v>218</v>
      </c>
      <c r="H528" s="97">
        <f t="shared" si="89"/>
        <v>45508</v>
      </c>
      <c r="I528" s="121">
        <f>HLOOKUP($H$5,'Met Data'!$A$2:$F$368,G528,FALSE)</f>
        <v>10.706395995550601</v>
      </c>
      <c r="J528" s="119">
        <f ca="1">HLOOKUP($H$5,'Met Data'!$H$2:$M$368,G528,FALSE)*L528</f>
        <v>4.8827586206896498</v>
      </c>
      <c r="K528" s="98">
        <f>HLOOKUP($H$5,'Met Data'!$O$2:$T$368,G528,FALSE)</f>
        <v>1.3278392687764899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si="80"/>
        <v>219</v>
      </c>
      <c r="H529" s="97">
        <f t="shared" si="89"/>
        <v>45509</v>
      </c>
      <c r="I529" s="121">
        <f>HLOOKUP($H$5,'Met Data'!$A$2:$F$368,G529,FALSE)</f>
        <v>10.6327586206896</v>
      </c>
      <c r="J529" s="119">
        <f ca="1">HLOOKUP($H$5,'Met Data'!$H$2:$M$368,G529,FALSE)*L529</f>
        <v>4.1724137931034404</v>
      </c>
      <c r="K529" s="98">
        <f>HLOOKUP($H$5,'Met Data'!$O$2:$T$368,G529,FALSE)</f>
        <v>1.47551454127292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si="80"/>
        <v>220</v>
      </c>
      <c r="H530" s="97">
        <f t="shared" si="89"/>
        <v>45510</v>
      </c>
      <c r="I530" s="121">
        <f>HLOOKUP($H$5,'Met Data'!$A$2:$F$368,G530,FALSE)</f>
        <v>10.7362068965517</v>
      </c>
      <c r="J530" s="119">
        <f ca="1">HLOOKUP($H$5,'Met Data'!$H$2:$M$368,G530,FALSE)*L530</f>
        <v>3.27241379310344</v>
      </c>
      <c r="K530" s="98">
        <f>HLOOKUP($H$5,'Met Data'!$O$2:$T$368,G530,FALSE)</f>
        <v>1.4915207810797499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si="80"/>
        <v>221</v>
      </c>
      <c r="H531" s="97">
        <f t="shared" si="89"/>
        <v>45511</v>
      </c>
      <c r="I531" s="121">
        <f>HLOOKUP($H$5,'Met Data'!$A$2:$F$368,G531,FALSE)</f>
        <v>10.733333333333301</v>
      </c>
      <c r="J531" s="119">
        <f ca="1">HLOOKUP($H$5,'Met Data'!$H$2:$M$368,G531,FALSE)*L531</f>
        <v>2.4066666666666601</v>
      </c>
      <c r="K531" s="98">
        <f>HLOOKUP($H$5,'Met Data'!$O$2:$T$368,G531,FALSE)</f>
        <v>1.7881547154649999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si="80"/>
        <v>222</v>
      </c>
      <c r="H532" s="97">
        <f t="shared" si="89"/>
        <v>45512</v>
      </c>
      <c r="I532" s="121">
        <f>HLOOKUP($H$5,'Met Data'!$A$2:$F$368,G532,FALSE)</f>
        <v>10.86</v>
      </c>
      <c r="J532" s="119">
        <f ca="1">HLOOKUP($H$5,'Met Data'!$H$2:$M$368,G532,FALSE)*L532</f>
        <v>4.66</v>
      </c>
      <c r="K532" s="98">
        <f>HLOOKUP($H$5,'Met Data'!$O$2:$T$368,G532,FALSE)</f>
        <v>1.7221488940763401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si="80"/>
        <v>223</v>
      </c>
      <c r="H533" s="97">
        <f t="shared" si="89"/>
        <v>45513</v>
      </c>
      <c r="I533" s="121">
        <f>HLOOKUP($H$5,'Met Data'!$A$2:$F$368,G533,FALSE)</f>
        <v>10.6416666666666</v>
      </c>
      <c r="J533" s="119">
        <f ca="1">HLOOKUP($H$5,'Met Data'!$H$2:$M$368,G533,FALSE)*L533</f>
        <v>4.53666666666666</v>
      </c>
      <c r="K533" s="98">
        <f>HLOOKUP($H$5,'Met Data'!$O$2:$T$368,G533,FALSE)</f>
        <v>1.78798041526371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si="80"/>
        <v>224</v>
      </c>
      <c r="H534" s="97">
        <f t="shared" si="89"/>
        <v>45514</v>
      </c>
      <c r="I534" s="121">
        <f>HLOOKUP($H$5,'Met Data'!$A$2:$F$368,G534,FALSE)</f>
        <v>10.8983333333333</v>
      </c>
      <c r="J534" s="119">
        <f ca="1">HLOOKUP($H$5,'Met Data'!$H$2:$M$368,G534,FALSE)*L534</f>
        <v>5.7266666666666604</v>
      </c>
      <c r="K534" s="98">
        <f>HLOOKUP($H$5,'Met Data'!$O$2:$T$368,G534,FALSE)</f>
        <v>1.78444613895236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si="80"/>
        <v>225</v>
      </c>
      <c r="H535" s="97">
        <f t="shared" si="89"/>
        <v>45515</v>
      </c>
      <c r="I535" s="121">
        <f>HLOOKUP($H$5,'Met Data'!$A$2:$F$368,G535,FALSE)</f>
        <v>10.62</v>
      </c>
      <c r="J535" s="119">
        <f ca="1">HLOOKUP($H$5,'Met Data'!$H$2:$M$368,G535,FALSE)*L535</f>
        <v>3.95333333333333</v>
      </c>
      <c r="K535" s="98">
        <f>HLOOKUP($H$5,'Met Data'!$O$2:$T$368,G535,FALSE)</f>
        <v>1.79702295751458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si="80"/>
        <v>226</v>
      </c>
      <c r="H536" s="97">
        <f t="shared" si="89"/>
        <v>45516</v>
      </c>
      <c r="I536" s="121">
        <f>HLOOKUP($H$5,'Met Data'!$A$2:$F$368,G536,FALSE)</f>
        <v>10.851666666666601</v>
      </c>
      <c r="J536" s="119">
        <f ca="1">HLOOKUP($H$5,'Met Data'!$H$2:$M$368,G536,FALSE)*L536</f>
        <v>4.43</v>
      </c>
      <c r="K536" s="98">
        <f>HLOOKUP($H$5,'Met Data'!$O$2:$T$368,G536,FALSE)</f>
        <v>1.75622712343688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si="80"/>
        <v>227</v>
      </c>
      <c r="H537" s="97">
        <f t="shared" si="89"/>
        <v>45517</v>
      </c>
      <c r="I537" s="121">
        <f>HLOOKUP($H$5,'Met Data'!$A$2:$F$368,G537,FALSE)</f>
        <v>10.715517241379301</v>
      </c>
      <c r="J537" s="119">
        <f ca="1">HLOOKUP($H$5,'Met Data'!$H$2:$M$368,G537,FALSE)*L537</f>
        <v>5.1034482758620596</v>
      </c>
      <c r="K537" s="98">
        <f>HLOOKUP($H$5,'Met Data'!$O$2:$T$368,G537,FALSE)</f>
        <v>1.8143744354657301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si="80"/>
        <v>228</v>
      </c>
      <c r="H538" s="97">
        <f t="shared" si="89"/>
        <v>45518</v>
      </c>
      <c r="I538" s="121">
        <f>HLOOKUP($H$5,'Met Data'!$A$2:$F$368,G538,FALSE)</f>
        <v>10.171666666666599</v>
      </c>
      <c r="J538" s="119">
        <f ca="1">HLOOKUP($H$5,'Met Data'!$H$2:$M$368,G538,FALSE)*L538</f>
        <v>5.0933333333333302</v>
      </c>
      <c r="K538" s="98">
        <f>HLOOKUP($H$5,'Met Data'!$O$2:$T$368,G538,FALSE)</f>
        <v>1.7504322855227901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si="80"/>
        <v>229</v>
      </c>
      <c r="H539" s="97">
        <f t="shared" si="89"/>
        <v>45519</v>
      </c>
      <c r="I539" s="121">
        <f>HLOOKUP($H$5,'Met Data'!$A$2:$F$368,G539,FALSE)</f>
        <v>10.203333333333299</v>
      </c>
      <c r="J539" s="119">
        <f ca="1">HLOOKUP($H$5,'Met Data'!$H$2:$M$368,G539,FALSE)*L539</f>
        <v>4.3433333333333302</v>
      </c>
      <c r="K539" s="98">
        <f>HLOOKUP($H$5,'Met Data'!$O$2:$T$368,G539,FALSE)</f>
        <v>1.72694084936311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si="80"/>
        <v>230</v>
      </c>
      <c r="H540" s="97">
        <f t="shared" si="89"/>
        <v>45520</v>
      </c>
      <c r="I540" s="121">
        <f>HLOOKUP($H$5,'Met Data'!$A$2:$F$368,G540,FALSE)</f>
        <v>10.0833333333333</v>
      </c>
      <c r="J540" s="119">
        <f ca="1">HLOOKUP($H$5,'Met Data'!$H$2:$M$368,G540,FALSE)*L540</f>
        <v>5.3333333333333304</v>
      </c>
      <c r="K540" s="98">
        <f>HLOOKUP($H$5,'Met Data'!$O$2:$T$368,G540,FALSE)</f>
        <v>1.9911176675537099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si="80"/>
        <v>231</v>
      </c>
      <c r="H541" s="97">
        <f t="shared" si="89"/>
        <v>45521</v>
      </c>
      <c r="I541" s="121">
        <f>HLOOKUP($H$5,'Met Data'!$A$2:$F$368,G541,FALSE)</f>
        <v>10.0833333333333</v>
      </c>
      <c r="J541" s="119">
        <f ca="1">HLOOKUP($H$5,'Met Data'!$H$2:$M$368,G541,FALSE)*L541</f>
        <v>3.9433333333333298</v>
      </c>
      <c r="K541" s="98">
        <f>HLOOKUP($H$5,'Met Data'!$O$2:$T$368,G541,FALSE)</f>
        <v>1.888960132222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si="80"/>
        <v>232</v>
      </c>
      <c r="H542" s="97">
        <f t="shared" si="89"/>
        <v>45522</v>
      </c>
      <c r="I542" s="121">
        <f>HLOOKUP($H$5,'Met Data'!$A$2:$F$368,G542,FALSE)</f>
        <v>10.1383333333333</v>
      </c>
      <c r="J542" s="119">
        <f ca="1">HLOOKUP($H$5,'Met Data'!$H$2:$M$368,G542,FALSE)*L542</f>
        <v>3.5733333333333301</v>
      </c>
      <c r="K542" s="98">
        <f>HLOOKUP($H$5,'Met Data'!$O$2:$T$368,G542,FALSE)</f>
        <v>1.8335933724759199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si="80"/>
        <v>233</v>
      </c>
      <c r="H543" s="97">
        <f t="shared" si="89"/>
        <v>45523</v>
      </c>
      <c r="I543" s="121">
        <f>HLOOKUP($H$5,'Met Data'!$A$2:$F$368,G543,FALSE)</f>
        <v>10.421666666666599</v>
      </c>
      <c r="J543" s="119">
        <f ca="1">HLOOKUP($H$5,'Met Data'!$H$2:$M$368,G543,FALSE)*L543</f>
        <v>4.8033333333333301</v>
      </c>
      <c r="K543" s="98">
        <f>HLOOKUP($H$5,'Met Data'!$O$2:$T$368,G543,FALSE)</f>
        <v>1.7788236818437999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si="80"/>
        <v>234</v>
      </c>
      <c r="H544" s="97">
        <f t="shared" si="89"/>
        <v>45524</v>
      </c>
      <c r="I544" s="121">
        <f>HLOOKUP($H$5,'Met Data'!$A$2:$F$368,G544,FALSE)</f>
        <v>10.703333333333299</v>
      </c>
      <c r="J544" s="119">
        <f ca="1">HLOOKUP($H$5,'Met Data'!$H$2:$M$368,G544,FALSE)*L544</f>
        <v>3.9833333333333298</v>
      </c>
      <c r="K544" s="98">
        <f>HLOOKUP($H$5,'Met Data'!$O$2:$T$368,G544,FALSE)</f>
        <v>1.7879198703522201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si="80"/>
        <v>235</v>
      </c>
      <c r="H545" s="97">
        <f t="shared" si="89"/>
        <v>45525</v>
      </c>
      <c r="I545" s="121">
        <f>HLOOKUP($H$5,'Met Data'!$A$2:$F$368,G545,FALSE)</f>
        <v>10.8266666666666</v>
      </c>
      <c r="J545" s="119">
        <f ca="1">HLOOKUP($H$5,'Met Data'!$H$2:$M$368,G545,FALSE)*L545</f>
        <v>3.93</v>
      </c>
      <c r="K545" s="98">
        <f>HLOOKUP($H$5,'Met Data'!$O$2:$T$368,G545,FALSE)</f>
        <v>1.8884109943012299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si="80"/>
        <v>236</v>
      </c>
      <c r="H546" s="97">
        <f t="shared" si="89"/>
        <v>45526</v>
      </c>
      <c r="I546" s="121">
        <f>HLOOKUP($H$5,'Met Data'!$A$2:$F$368,G546,FALSE)</f>
        <v>11.0766666666666</v>
      </c>
      <c r="J546" s="119">
        <f ca="1">HLOOKUP($H$5,'Met Data'!$H$2:$M$368,G546,FALSE)*L546</f>
        <v>3.45</v>
      </c>
      <c r="K546" s="98">
        <f>HLOOKUP($H$5,'Met Data'!$O$2:$T$368,G546,FALSE)</f>
        <v>2.20927169374758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si="80"/>
        <v>237</v>
      </c>
      <c r="H547" s="97">
        <f t="shared" si="89"/>
        <v>45527</v>
      </c>
      <c r="I547" s="121">
        <f>HLOOKUP($H$5,'Met Data'!$A$2:$F$368,G547,FALSE)</f>
        <v>11.088333333333299</v>
      </c>
      <c r="J547" s="119">
        <f ca="1">HLOOKUP($H$5,'Met Data'!$H$2:$M$368,G547,FALSE)*L547</f>
        <v>3.2366666666666601</v>
      </c>
      <c r="K547" s="98">
        <f>HLOOKUP($H$5,'Met Data'!$O$2:$T$368,G547,FALSE)</f>
        <v>1.9660073359530601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si="80"/>
        <v>238</v>
      </c>
      <c r="H548" s="97">
        <f t="shared" si="89"/>
        <v>45528</v>
      </c>
      <c r="I548" s="121">
        <f>HLOOKUP($H$5,'Met Data'!$A$2:$F$368,G548,FALSE)</f>
        <v>11.283333333333299</v>
      </c>
      <c r="J548" s="119">
        <f ca="1">HLOOKUP($H$5,'Met Data'!$H$2:$M$368,G548,FALSE)*L548</f>
        <v>7.0266666666666602</v>
      </c>
      <c r="K548" s="98">
        <f>HLOOKUP($H$5,'Met Data'!$O$2:$T$368,G548,FALSE)</f>
        <v>1.72961358813406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si="80"/>
        <v>239</v>
      </c>
      <c r="H549" s="97">
        <f t="shared" si="89"/>
        <v>45529</v>
      </c>
      <c r="I549" s="121">
        <f>HLOOKUP($H$5,'Met Data'!$A$2:$F$368,G549,FALSE)</f>
        <v>11.1383333333333</v>
      </c>
      <c r="J549" s="119">
        <f ca="1">HLOOKUP($H$5,'Met Data'!$H$2:$M$368,G549,FALSE)*L549</f>
        <v>4.5666666666666602</v>
      </c>
      <c r="K549" s="98">
        <f>HLOOKUP($H$5,'Met Data'!$O$2:$T$368,G549,FALSE)</f>
        <v>2.0311984249146202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si="80"/>
        <v>240</v>
      </c>
      <c r="H550" s="97">
        <f t="shared" si="89"/>
        <v>45530</v>
      </c>
      <c r="I550" s="121">
        <f>HLOOKUP($H$5,'Met Data'!$A$2:$F$368,G550,FALSE)</f>
        <v>11.1133333333333</v>
      </c>
      <c r="J550" s="119">
        <f ca="1">HLOOKUP($H$5,'Met Data'!$H$2:$M$368,G550,FALSE)*L550</f>
        <v>2.8866666666666601</v>
      </c>
      <c r="K550" s="98">
        <f>HLOOKUP($H$5,'Met Data'!$O$2:$T$368,G550,FALSE)</f>
        <v>2.0005217214048798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si="80"/>
        <v>241</v>
      </c>
      <c r="H551" s="97">
        <f t="shared" si="89"/>
        <v>45531</v>
      </c>
      <c r="I551" s="121">
        <f>HLOOKUP($H$5,'Met Data'!$A$2:$F$368,G551,FALSE)</f>
        <v>10.7724137931034</v>
      </c>
      <c r="J551" s="119">
        <f ca="1">HLOOKUP($H$5,'Met Data'!$H$2:$M$368,G551,FALSE)*L551</f>
        <v>2.4862068965517201</v>
      </c>
      <c r="K551" s="98">
        <f>HLOOKUP($H$5,'Met Data'!$O$2:$T$368,G551,FALSE)</f>
        <v>2.19808146037672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si="80"/>
        <v>242</v>
      </c>
      <c r="H552" s="97">
        <f t="shared" si="89"/>
        <v>45532</v>
      </c>
      <c r="I552" s="121">
        <f>HLOOKUP($H$5,'Met Data'!$A$2:$F$368,G552,FALSE)</f>
        <v>10.753448275862</v>
      </c>
      <c r="J552" s="119">
        <f ca="1">HLOOKUP($H$5,'Met Data'!$H$2:$M$368,G552,FALSE)*L552</f>
        <v>2.4068965517241301</v>
      </c>
      <c r="K552" s="98">
        <f>HLOOKUP($H$5,'Met Data'!$O$2:$T$368,G552,FALSE)</f>
        <v>2.1823268558862501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si="80"/>
        <v>243</v>
      </c>
      <c r="H553" s="97">
        <f t="shared" si="89"/>
        <v>45533</v>
      </c>
      <c r="I553" s="121">
        <f>HLOOKUP($H$5,'Met Data'!$A$2:$F$368,G553,FALSE)</f>
        <v>10.891379310344799</v>
      </c>
      <c r="J553" s="119">
        <f ca="1">HLOOKUP($H$5,'Met Data'!$H$2:$M$368,G553,FALSE)*L553</f>
        <v>2.9931034482758601</v>
      </c>
      <c r="K553" s="98">
        <f>HLOOKUP($H$5,'Met Data'!$O$2:$T$368,G553,FALSE)</f>
        <v>1.8307871864441201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si="80"/>
        <v>244</v>
      </c>
      <c r="H554" s="97">
        <f t="shared" si="89"/>
        <v>45534</v>
      </c>
      <c r="I554" s="121">
        <f>HLOOKUP($H$5,'Met Data'!$A$2:$F$368,G554,FALSE)</f>
        <v>10.953448275862</v>
      </c>
      <c r="J554" s="119">
        <f ca="1">HLOOKUP($H$5,'Met Data'!$H$2:$M$368,G554,FALSE)*L554</f>
        <v>4.8862068965517196</v>
      </c>
      <c r="K554" s="98">
        <f>HLOOKUP($H$5,'Met Data'!$O$2:$T$368,G554,FALSE)</f>
        <v>2.1498109306225701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si="80"/>
        <v>245</v>
      </c>
      <c r="H555" s="97">
        <f t="shared" si="89"/>
        <v>45535</v>
      </c>
      <c r="I555" s="121">
        <f>HLOOKUP($H$5,'Met Data'!$A$2:$F$368,G555,FALSE)</f>
        <v>10.803333333333301</v>
      </c>
      <c r="J555" s="119">
        <f ca="1">HLOOKUP($H$5,'Met Data'!$H$2:$M$368,G555,FALSE)*L555</f>
        <v>3.05</v>
      </c>
      <c r="K555" s="98">
        <f>HLOOKUP($H$5,'Met Data'!$O$2:$T$368,G555,FALSE)</f>
        <v>2.1147026396135802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si="80"/>
        <v>246</v>
      </c>
      <c r="H556" s="97">
        <f t="shared" si="89"/>
        <v>45536</v>
      </c>
      <c r="I556" s="121">
        <f>HLOOKUP($H$5,'Met Data'!$A$2:$F$368,G556,FALSE)</f>
        <v>10.862068965517199</v>
      </c>
      <c r="J556" s="119">
        <f ca="1">HLOOKUP($H$5,'Met Data'!$H$2:$M$368,G556,FALSE)*L556</f>
        <v>2.8035714285714199</v>
      </c>
      <c r="K556" s="98">
        <f>HLOOKUP($H$5,'Met Data'!$O$2:$T$368,G556,FALSE)</f>
        <v>2.04836351360946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si="80"/>
        <v>247</v>
      </c>
      <c r="H557" s="97">
        <f t="shared" si="89"/>
        <v>45537</v>
      </c>
      <c r="I557" s="121">
        <f>HLOOKUP($H$5,'Met Data'!$A$2:$F$368,G557,FALSE)</f>
        <v>11.4379310344827</v>
      </c>
      <c r="J557" s="119">
        <f ca="1">HLOOKUP($H$5,'Met Data'!$H$2:$M$368,G557,FALSE)*L557</f>
        <v>2.2964285714285699</v>
      </c>
      <c r="K557" s="98">
        <f>HLOOKUP($H$5,'Met Data'!$O$2:$T$368,G557,FALSE)</f>
        <v>2.1933906940536101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si="80"/>
        <v>248</v>
      </c>
      <c r="H558" s="97">
        <f t="shared" si="89"/>
        <v>45538</v>
      </c>
      <c r="I558" s="121">
        <f>HLOOKUP($H$5,'Met Data'!$A$2:$F$368,G558,FALSE)</f>
        <v>11.5448275862068</v>
      </c>
      <c r="J558" s="119">
        <f ca="1">HLOOKUP($H$5,'Met Data'!$H$2:$M$368,G558,FALSE)*L558</f>
        <v>3.6892857142857101</v>
      </c>
      <c r="K558" s="98">
        <f>HLOOKUP($H$5,'Met Data'!$O$2:$T$368,G558,FALSE)</f>
        <v>2.0025541274337399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si="80"/>
        <v>249</v>
      </c>
      <c r="H559" s="97">
        <f t="shared" si="89"/>
        <v>45539</v>
      </c>
      <c r="I559" s="121">
        <f>HLOOKUP($H$5,'Met Data'!$A$2:$F$368,G559,FALSE)</f>
        <v>11.734482758620601</v>
      </c>
      <c r="J559" s="119">
        <f ca="1">HLOOKUP($H$5,'Met Data'!$H$2:$M$368,G559,FALSE)*L559</f>
        <v>5.6892857142857096</v>
      </c>
      <c r="K559" s="98">
        <f>HLOOKUP($H$5,'Met Data'!$O$2:$T$368,G559,FALSE)</f>
        <v>2.0261980789565999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si="80"/>
        <v>250</v>
      </c>
      <c r="H560" s="97">
        <f t="shared" si="89"/>
        <v>45540</v>
      </c>
      <c r="I560" s="121">
        <f>HLOOKUP($H$5,'Met Data'!$A$2:$F$368,G560,FALSE)</f>
        <v>11.682758620689601</v>
      </c>
      <c r="J560" s="119">
        <f ca="1">HLOOKUP($H$5,'Met Data'!$H$2:$M$368,G560,FALSE)*L560</f>
        <v>3.97586206896551</v>
      </c>
      <c r="K560" s="98">
        <f>HLOOKUP($H$5,'Met Data'!$O$2:$T$368,G560,FALSE)</f>
        <v>2.26836536246158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si="90">H561-DATE(YEAR(H561),1,0)+1</f>
        <v>251</v>
      </c>
      <c r="H561" s="97">
        <f t="shared" si="89"/>
        <v>45541</v>
      </c>
      <c r="I561" s="121">
        <f>HLOOKUP($H$5,'Met Data'!$A$2:$F$368,G561,FALSE)</f>
        <v>11.389655172413701</v>
      </c>
      <c r="J561" s="119">
        <f ca="1">HLOOKUP($H$5,'Met Data'!$H$2:$M$368,G561,FALSE)*L561</f>
        <v>2.6793103448275799</v>
      </c>
      <c r="K561" s="98">
        <f>HLOOKUP($H$5,'Met Data'!$O$2:$T$368,G561,FALSE)</f>
        <v>2.1403968231495001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si="90"/>
        <v>252</v>
      </c>
      <c r="H562" s="97">
        <f t="shared" si="89"/>
        <v>45542</v>
      </c>
      <c r="I562" s="121">
        <f>HLOOKUP($H$5,'Met Data'!$A$2:$F$368,G562,FALSE)</f>
        <v>11.834482758620601</v>
      </c>
      <c r="J562" s="119">
        <f ca="1">HLOOKUP($H$5,'Met Data'!$H$2:$M$368,G562,FALSE)*L562</f>
        <v>4.4310344827586201</v>
      </c>
      <c r="K562" s="98">
        <f>HLOOKUP($H$5,'Met Data'!$O$2:$T$368,G562,FALSE)</f>
        <v>2.4179314095726698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si="90"/>
        <v>253</v>
      </c>
      <c r="H563" s="97">
        <f t="shared" si="89"/>
        <v>45543</v>
      </c>
      <c r="I563" s="121">
        <f>HLOOKUP($H$5,'Met Data'!$A$2:$F$368,G563,FALSE)</f>
        <v>11.465</v>
      </c>
      <c r="J563" s="119">
        <f ca="1">HLOOKUP($H$5,'Met Data'!$H$2:$M$368,G563,FALSE)*L563</f>
        <v>3.6827586206896501</v>
      </c>
      <c r="K563" s="98">
        <f>HLOOKUP($H$5,'Met Data'!$O$2:$T$368,G563,FALSE)</f>
        <v>2.2362909221430498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si="90"/>
        <v>254</v>
      </c>
      <c r="H564" s="97">
        <f t="shared" si="89"/>
        <v>45544</v>
      </c>
      <c r="I564" s="121">
        <f>HLOOKUP($H$5,'Met Data'!$A$2:$F$368,G564,FALSE)</f>
        <v>11.62</v>
      </c>
      <c r="J564" s="119">
        <f ca="1">HLOOKUP($H$5,'Met Data'!$H$2:$M$368,G564,FALSE)*L564</f>
        <v>1.66333333333333</v>
      </c>
      <c r="K564" s="98">
        <f>HLOOKUP($H$5,'Met Data'!$O$2:$T$368,G564,FALSE)</f>
        <v>2.5120136328346701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si="90"/>
        <v>255</v>
      </c>
      <c r="H565" s="97">
        <f t="shared" si="89"/>
        <v>45545</v>
      </c>
      <c r="I565" s="121">
        <f>HLOOKUP($H$5,'Met Data'!$A$2:$F$368,G565,FALSE)</f>
        <v>11.7633333333333</v>
      </c>
      <c r="J565" s="119">
        <f ca="1">HLOOKUP($H$5,'Met Data'!$H$2:$M$368,G565,FALSE)*L565</f>
        <v>3.2833333333333301</v>
      </c>
      <c r="K565" s="98">
        <f>HLOOKUP($H$5,'Met Data'!$O$2:$T$368,G565,FALSE)</f>
        <v>2.3151045080086101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si="90"/>
        <v>256</v>
      </c>
      <c r="H566" s="97">
        <f t="shared" si="89"/>
        <v>45546</v>
      </c>
      <c r="I566" s="121">
        <f>HLOOKUP($H$5,'Met Data'!$A$2:$F$368,G566,FALSE)</f>
        <v>12.158333333333299</v>
      </c>
      <c r="J566" s="119">
        <f ca="1">HLOOKUP($H$5,'Met Data'!$H$2:$M$368,G566,FALSE)*L566</f>
        <v>3.8833333333333302</v>
      </c>
      <c r="K566" s="98">
        <f>HLOOKUP($H$5,'Met Data'!$O$2:$T$368,G566,FALSE)</f>
        <v>2.3727724062230302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si="90"/>
        <v>257</v>
      </c>
      <c r="H567" s="97">
        <f t="shared" si="89"/>
        <v>45547</v>
      </c>
      <c r="I567" s="121">
        <f>HLOOKUP($H$5,'Met Data'!$A$2:$F$368,G567,FALSE)</f>
        <v>11.908333333333299</v>
      </c>
      <c r="J567" s="119">
        <f ca="1">HLOOKUP($H$5,'Met Data'!$H$2:$M$368,G567,FALSE)*L567</f>
        <v>5.26</v>
      </c>
      <c r="K567" s="98">
        <f>HLOOKUP($H$5,'Met Data'!$O$2:$T$368,G567,FALSE)</f>
        <v>2.4036248389024699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si="90"/>
        <v>258</v>
      </c>
      <c r="H568" s="97">
        <f t="shared" si="89"/>
        <v>45548</v>
      </c>
      <c r="I568" s="121">
        <f>HLOOKUP($H$5,'Met Data'!$A$2:$F$368,G568,FALSE)</f>
        <v>12.074999999999999</v>
      </c>
      <c r="J568" s="119">
        <f ca="1">HLOOKUP($H$5,'Met Data'!$H$2:$M$368,G568,FALSE)*L568</f>
        <v>3.6933333333333298</v>
      </c>
      <c r="K568" s="98">
        <f>HLOOKUP($H$5,'Met Data'!$O$2:$T$368,G568,FALSE)</f>
        <v>2.56639010677653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si="90"/>
        <v>259</v>
      </c>
      <c r="H569" s="97">
        <f t="shared" si="89"/>
        <v>45549</v>
      </c>
      <c r="I569" s="121">
        <f>HLOOKUP($H$5,'Met Data'!$A$2:$F$368,G569,FALSE)</f>
        <v>12.3883333333333</v>
      </c>
      <c r="J569" s="119">
        <f ca="1">HLOOKUP($H$5,'Met Data'!$H$2:$M$368,G569,FALSE)*L569</f>
        <v>3.26</v>
      </c>
      <c r="K569" s="98">
        <f>HLOOKUP($H$5,'Met Data'!$O$2:$T$368,G569,FALSE)</f>
        <v>2.3157931057843801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si="90"/>
        <v>260</v>
      </c>
      <c r="H570" s="97">
        <f t="shared" si="89"/>
        <v>45550</v>
      </c>
      <c r="I570" s="121">
        <f>HLOOKUP($H$5,'Met Data'!$A$2:$F$368,G570,FALSE)</f>
        <v>12.5766666666666</v>
      </c>
      <c r="J570" s="119">
        <f ca="1">HLOOKUP($H$5,'Met Data'!$H$2:$M$368,G570,FALSE)*L570</f>
        <v>3.5999999999999899</v>
      </c>
      <c r="K570" s="98">
        <f>HLOOKUP($H$5,'Met Data'!$O$2:$T$368,G570,FALSE)</f>
        <v>2.2894884287258899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si="90"/>
        <v>261</v>
      </c>
      <c r="H571" s="97">
        <f t="shared" si="89"/>
        <v>45551</v>
      </c>
      <c r="I571" s="121">
        <f>HLOOKUP($H$5,'Met Data'!$A$2:$F$368,G571,FALSE)</f>
        <v>12.482258064516101</v>
      </c>
      <c r="J571" s="119">
        <f ca="1">HLOOKUP($H$5,'Met Data'!$H$2:$M$368,G571,FALSE)*L571</f>
        <v>2.73870967741935</v>
      </c>
      <c r="K571" s="98">
        <f>HLOOKUP($H$5,'Met Data'!$O$2:$T$368,G571,FALSE)</f>
        <v>2.42321708135252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si="90"/>
        <v>262</v>
      </c>
      <c r="H572" s="97">
        <f t="shared" si="89"/>
        <v>45552</v>
      </c>
      <c r="I572" s="121">
        <f>HLOOKUP($H$5,'Met Data'!$A$2:$F$368,G572,FALSE)</f>
        <v>12.261290322580599</v>
      </c>
      <c r="J572" s="119">
        <f ca="1">HLOOKUP($H$5,'Met Data'!$H$2:$M$368,G572,FALSE)*L572</f>
        <v>2.5741935483870901</v>
      </c>
      <c r="K572" s="98">
        <f>HLOOKUP($H$5,'Met Data'!$O$2:$T$368,G572,FALSE)</f>
        <v>2.45933848636487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si="90"/>
        <v>263</v>
      </c>
      <c r="H573" s="97">
        <f t="shared" si="89"/>
        <v>45553</v>
      </c>
      <c r="I573" s="121">
        <f>HLOOKUP($H$5,'Met Data'!$A$2:$F$368,G573,FALSE)</f>
        <v>12.1677419354838</v>
      </c>
      <c r="J573" s="119">
        <f ca="1">HLOOKUP($H$5,'Met Data'!$H$2:$M$368,G573,FALSE)*L573</f>
        <v>3.5774193548387001</v>
      </c>
      <c r="K573" s="98">
        <f>HLOOKUP($H$5,'Met Data'!$O$2:$T$368,G573,FALSE)</f>
        <v>2.2883058912546601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si="90"/>
        <v>264</v>
      </c>
      <c r="H574" s="97">
        <f t="shared" si="89"/>
        <v>45554</v>
      </c>
      <c r="I574" s="121">
        <f>HLOOKUP($H$5,'Met Data'!$A$2:$F$368,G574,FALSE)</f>
        <v>12.1064516129032</v>
      </c>
      <c r="J574" s="119">
        <f ca="1">HLOOKUP($H$5,'Met Data'!$H$2:$M$368,G574,FALSE)*L574</f>
        <v>2.6774193548387002</v>
      </c>
      <c r="K574" s="98">
        <f>HLOOKUP($H$5,'Met Data'!$O$2:$T$368,G574,FALSE)</f>
        <v>2.6656714596224198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si="90"/>
        <v>265</v>
      </c>
      <c r="H575" s="97">
        <f t="shared" si="89"/>
        <v>45555</v>
      </c>
      <c r="I575" s="121">
        <f>HLOOKUP($H$5,'Met Data'!$A$2:$F$368,G575,FALSE)</f>
        <v>12.012903225806401</v>
      </c>
      <c r="J575" s="119">
        <f ca="1">HLOOKUP($H$5,'Met Data'!$H$2:$M$368,G575,FALSE)*L575</f>
        <v>2.8193548387096699</v>
      </c>
      <c r="K575" s="98">
        <f>HLOOKUP($H$5,'Met Data'!$O$2:$T$368,G575,FALSE)</f>
        <v>2.6640837362866301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si="90"/>
        <v>266</v>
      </c>
      <c r="H576" s="97">
        <f t="shared" si="89"/>
        <v>45556</v>
      </c>
      <c r="I576" s="121">
        <f>HLOOKUP($H$5,'Met Data'!$A$2:$F$368,G576,FALSE)</f>
        <v>12.1612903225806</v>
      </c>
      <c r="J576" s="119">
        <f ca="1">HLOOKUP($H$5,'Met Data'!$H$2:$M$368,G576,FALSE)*L576</f>
        <v>4.2935483870967701</v>
      </c>
      <c r="K576" s="98">
        <f>HLOOKUP($H$5,'Met Data'!$O$2:$T$368,G576,FALSE)</f>
        <v>2.5405503102234701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si="90"/>
        <v>267</v>
      </c>
      <c r="H577" s="97">
        <f t="shared" si="89"/>
        <v>45557</v>
      </c>
      <c r="I577" s="121">
        <f>HLOOKUP($H$5,'Met Data'!$A$2:$F$368,G577,FALSE)</f>
        <v>12.285483870967701</v>
      </c>
      <c r="J577" s="119">
        <f ca="1">HLOOKUP($H$5,'Met Data'!$H$2:$M$368,G577,FALSE)*L577</f>
        <v>3.69677419354838</v>
      </c>
      <c r="K577" s="98">
        <f>HLOOKUP($H$5,'Met Data'!$O$2:$T$368,G577,FALSE)</f>
        <v>2.75659518409562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si="90"/>
        <v>268</v>
      </c>
      <c r="H578" s="97">
        <f t="shared" si="89"/>
        <v>45558</v>
      </c>
      <c r="I578" s="121">
        <f>HLOOKUP($H$5,'Met Data'!$A$2:$F$368,G578,FALSE)</f>
        <v>12.7274193548387</v>
      </c>
      <c r="J578" s="119">
        <f ca="1">HLOOKUP($H$5,'Met Data'!$H$2:$M$368,G578,FALSE)*L578</f>
        <v>4.4354838709677402</v>
      </c>
      <c r="K578" s="98">
        <f>HLOOKUP($H$5,'Met Data'!$O$2:$T$368,G578,FALSE)</f>
        <v>2.4043238309259301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si="90"/>
        <v>269</v>
      </c>
      <c r="H579" s="97">
        <f t="shared" si="89"/>
        <v>45559</v>
      </c>
      <c r="I579" s="121">
        <f>HLOOKUP($H$5,'Met Data'!$A$2:$F$368,G579,FALSE)</f>
        <v>12.4338709677419</v>
      </c>
      <c r="J579" s="119">
        <f ca="1">HLOOKUP($H$5,'Met Data'!$H$2:$M$368,G579,FALSE)*L579</f>
        <v>3.1290322580645098</v>
      </c>
      <c r="K579" s="98">
        <f>HLOOKUP($H$5,'Met Data'!$O$2:$T$368,G579,FALSE)</f>
        <v>2.32653952570764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si="90"/>
        <v>270</v>
      </c>
      <c r="H580" s="97">
        <f t="shared" si="89"/>
        <v>45560</v>
      </c>
      <c r="I580" s="121">
        <f>HLOOKUP($H$5,'Met Data'!$A$2:$F$368,G580,FALSE)</f>
        <v>12.341666666666599</v>
      </c>
      <c r="J580" s="119">
        <f ca="1">HLOOKUP($H$5,'Met Data'!$H$2:$M$368,G580,FALSE)*L580</f>
        <v>4.32666666666666</v>
      </c>
      <c r="K580" s="98">
        <f>HLOOKUP($H$5,'Met Data'!$O$2:$T$368,G580,FALSE)</f>
        <v>2.5198296361703401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si="90"/>
        <v>271</v>
      </c>
      <c r="H581" s="97">
        <f t="shared" si="89"/>
        <v>45561</v>
      </c>
      <c r="I581" s="121">
        <f>HLOOKUP($H$5,'Met Data'!$A$2:$F$368,G581,FALSE)</f>
        <v>12.7183333333333</v>
      </c>
      <c r="J581" s="119">
        <f ca="1">HLOOKUP($H$5,'Met Data'!$H$2:$M$368,G581,FALSE)*L581</f>
        <v>2.83</v>
      </c>
      <c r="K581" s="98">
        <f>HLOOKUP($H$5,'Met Data'!$O$2:$T$368,G581,FALSE)</f>
        <v>2.6371707298843199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si="90"/>
        <v>272</v>
      </c>
      <c r="H582" s="97">
        <f t="shared" si="89"/>
        <v>45562</v>
      </c>
      <c r="I582" s="121">
        <f>HLOOKUP($H$5,'Met Data'!$A$2:$F$368,G582,FALSE)</f>
        <v>13.04</v>
      </c>
      <c r="J582" s="119">
        <f ca="1">HLOOKUP($H$5,'Met Data'!$H$2:$M$368,G582,FALSE)*L582</f>
        <v>4.2233333333333301</v>
      </c>
      <c r="K582" s="98">
        <f>HLOOKUP($H$5,'Met Data'!$O$2:$T$368,G582,FALSE)</f>
        <v>2.4067153885809098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si="90"/>
        <v>273</v>
      </c>
      <c r="H583" s="97">
        <f t="shared" si="89"/>
        <v>45563</v>
      </c>
      <c r="I583" s="121">
        <f>HLOOKUP($H$5,'Met Data'!$A$2:$F$368,G583,FALSE)</f>
        <v>13.381034482758601</v>
      </c>
      <c r="J583" s="119">
        <f ca="1">HLOOKUP($H$5,'Met Data'!$H$2:$M$368,G583,FALSE)*L583</f>
        <v>3.7620689655172401</v>
      </c>
      <c r="K583" s="98">
        <f>HLOOKUP($H$5,'Met Data'!$O$2:$T$368,G583,FALSE)</f>
        <v>2.71659484771267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si="90"/>
        <v>274</v>
      </c>
      <c r="H584" s="97">
        <f t="shared" si="89"/>
        <v>45564</v>
      </c>
      <c r="I584" s="121">
        <f>HLOOKUP($H$5,'Met Data'!$A$2:$F$368,G584,FALSE)</f>
        <v>13.274137931034399</v>
      </c>
      <c r="J584" s="119">
        <f ca="1">HLOOKUP($H$5,'Met Data'!$H$2:$M$368,G584,FALSE)*L584</f>
        <v>5.4793103448275797</v>
      </c>
      <c r="K584" s="98">
        <f>HLOOKUP($H$5,'Met Data'!$O$2:$T$368,G584,FALSE)</f>
        <v>2.6496213239398698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si="90"/>
        <v>275</v>
      </c>
      <c r="H585" s="97">
        <f t="shared" ref="H585:H648" si="99">H584+1</f>
        <v>45565</v>
      </c>
      <c r="I585" s="121">
        <f>HLOOKUP($H$5,'Met Data'!$A$2:$F$368,G585,FALSE)</f>
        <v>13.0233333333333</v>
      </c>
      <c r="J585" s="119">
        <f ca="1">HLOOKUP($H$5,'Met Data'!$H$2:$M$368,G585,FALSE)*L585</f>
        <v>7.2033333333333296</v>
      </c>
      <c r="K585" s="98">
        <f>HLOOKUP($H$5,'Met Data'!$O$2:$T$368,G585,FALSE)</f>
        <v>2.7120872842053001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si="90"/>
        <v>276</v>
      </c>
      <c r="H586" s="97">
        <f t="shared" si="99"/>
        <v>45566</v>
      </c>
      <c r="I586" s="121">
        <f>HLOOKUP($H$5,'Met Data'!$A$2:$F$368,G586,FALSE)</f>
        <v>12.938333333333301</v>
      </c>
      <c r="J586" s="119">
        <f ca="1">HLOOKUP($H$5,'Met Data'!$H$2:$M$368,G586,FALSE)*L586</f>
        <v>4.3633333333333297</v>
      </c>
      <c r="K586" s="98">
        <f>HLOOKUP($H$5,'Met Data'!$O$2:$T$368,G586,FALSE)</f>
        <v>2.5284096014561799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si="90"/>
        <v>277</v>
      </c>
      <c r="H587" s="97">
        <f t="shared" si="99"/>
        <v>45567</v>
      </c>
      <c r="I587" s="121">
        <f>HLOOKUP($H$5,'Met Data'!$A$2:$F$368,G587,FALSE)</f>
        <v>13.2433333333333</v>
      </c>
      <c r="J587" s="119">
        <f ca="1">HLOOKUP($H$5,'Met Data'!$H$2:$M$368,G587,FALSE)*L587</f>
        <v>5.1333333333333302</v>
      </c>
      <c r="K587" s="98">
        <f>HLOOKUP($H$5,'Met Data'!$O$2:$T$368,G587,FALSE)</f>
        <v>2.88480468453885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si="90"/>
        <v>278</v>
      </c>
      <c r="H588" s="97">
        <f t="shared" si="99"/>
        <v>45568</v>
      </c>
      <c r="I588" s="121">
        <f>HLOOKUP($H$5,'Met Data'!$A$2:$F$368,G588,FALSE)</f>
        <v>12.85</v>
      </c>
      <c r="J588" s="119">
        <f ca="1">HLOOKUP($H$5,'Met Data'!$H$2:$M$368,G588,FALSE)*L588</f>
        <v>2.5033333333333299</v>
      </c>
      <c r="K588" s="98">
        <f>HLOOKUP($H$5,'Met Data'!$O$2:$T$368,G588,FALSE)</f>
        <v>2.7808067783335901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si="90"/>
        <v>279</v>
      </c>
      <c r="H589" s="97">
        <f t="shared" si="99"/>
        <v>45569</v>
      </c>
      <c r="I589" s="121">
        <f>HLOOKUP($H$5,'Met Data'!$A$2:$F$368,G589,FALSE)</f>
        <v>12.875806451612901</v>
      </c>
      <c r="J589" s="119">
        <f ca="1">HLOOKUP($H$5,'Met Data'!$H$2:$M$368,G589,FALSE)*L589</f>
        <v>4.1354838709677404</v>
      </c>
      <c r="K589" s="98">
        <f>HLOOKUP($H$5,'Met Data'!$O$2:$T$368,G589,FALSE)</f>
        <v>3.0772949163384999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si="90"/>
        <v>280</v>
      </c>
      <c r="H590" s="97">
        <f t="shared" si="99"/>
        <v>45570</v>
      </c>
      <c r="I590" s="121">
        <f>HLOOKUP($H$5,'Met Data'!$A$2:$F$368,G590,FALSE)</f>
        <v>12.9966666666666</v>
      </c>
      <c r="J590" s="119">
        <f ca="1">HLOOKUP($H$5,'Met Data'!$H$2:$M$368,G590,FALSE)*L590</f>
        <v>2.96999999999999</v>
      </c>
      <c r="K590" s="98">
        <f>HLOOKUP($H$5,'Met Data'!$O$2:$T$368,G590,FALSE)</f>
        <v>3.1690364753373701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si="90"/>
        <v>281</v>
      </c>
      <c r="H591" s="97">
        <f t="shared" si="99"/>
        <v>45571</v>
      </c>
      <c r="I591" s="121">
        <f>HLOOKUP($H$5,'Met Data'!$A$2:$F$368,G591,FALSE)</f>
        <v>12.7633333333333</v>
      </c>
      <c r="J591" s="119">
        <f ca="1">HLOOKUP($H$5,'Met Data'!$H$2:$M$368,G591,FALSE)*L591</f>
        <v>2.61</v>
      </c>
      <c r="K591" s="98">
        <f>HLOOKUP($H$5,'Met Data'!$O$2:$T$368,G591,FALSE)</f>
        <v>2.8220150579732999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si="90"/>
        <v>282</v>
      </c>
      <c r="H592" s="97">
        <f t="shared" si="99"/>
        <v>45572</v>
      </c>
      <c r="I592" s="121">
        <f>HLOOKUP($H$5,'Met Data'!$A$2:$F$368,G592,FALSE)</f>
        <v>13.4816666666666</v>
      </c>
      <c r="J592" s="119">
        <f ca="1">HLOOKUP($H$5,'Met Data'!$H$2:$M$368,G592,FALSE)*L592</f>
        <v>4.0666666666666602</v>
      </c>
      <c r="K592" s="98">
        <f>HLOOKUP($H$5,'Met Data'!$O$2:$T$368,G592,FALSE)</f>
        <v>2.68549157073894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si="90"/>
        <v>283</v>
      </c>
      <c r="H593" s="97">
        <f t="shared" si="99"/>
        <v>45573</v>
      </c>
      <c r="I593" s="121">
        <f>HLOOKUP($H$5,'Met Data'!$A$2:$F$368,G593,FALSE)</f>
        <v>13.6933333333333</v>
      </c>
      <c r="J593" s="119">
        <f ca="1">HLOOKUP($H$5,'Met Data'!$H$2:$M$368,G593,FALSE)*L593</f>
        <v>4.22</v>
      </c>
      <c r="K593" s="98">
        <f>HLOOKUP($H$5,'Met Data'!$O$2:$T$368,G593,FALSE)</f>
        <v>2.6969590648562201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si="90"/>
        <v>284</v>
      </c>
      <c r="H594" s="97">
        <f t="shared" si="99"/>
        <v>45574</v>
      </c>
      <c r="I594" s="121">
        <f>HLOOKUP($H$5,'Met Data'!$A$2:$F$368,G594,FALSE)</f>
        <v>12.9568965517241</v>
      </c>
      <c r="J594" s="119">
        <f ca="1">HLOOKUP($H$5,'Met Data'!$H$2:$M$368,G594,FALSE)*L594</f>
        <v>4.5966666666666596</v>
      </c>
      <c r="K594" s="98">
        <f>HLOOKUP($H$5,'Met Data'!$O$2:$T$368,G594,FALSE)</f>
        <v>2.9040985917251398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si="90"/>
        <v>285</v>
      </c>
      <c r="H595" s="97">
        <f t="shared" si="99"/>
        <v>45575</v>
      </c>
      <c r="I595" s="121">
        <f>HLOOKUP($H$5,'Met Data'!$A$2:$F$368,G595,FALSE)</f>
        <v>13.2293103448275</v>
      </c>
      <c r="J595" s="119">
        <f ca="1">HLOOKUP($H$5,'Met Data'!$H$2:$M$368,G595,FALSE)*L595</f>
        <v>2.3896551724137902</v>
      </c>
      <c r="K595" s="98">
        <f>HLOOKUP($H$5,'Met Data'!$O$2:$T$368,G595,FALSE)</f>
        <v>2.90858576113735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si="90"/>
        <v>286</v>
      </c>
      <c r="H596" s="97">
        <f t="shared" si="99"/>
        <v>45576</v>
      </c>
      <c r="I596" s="121">
        <f>HLOOKUP($H$5,'Met Data'!$A$2:$F$368,G596,FALSE)</f>
        <v>13.7431034482758</v>
      </c>
      <c r="J596" s="119">
        <f ca="1">HLOOKUP($H$5,'Met Data'!$H$2:$M$368,G596,FALSE)*L596</f>
        <v>5.39310344827586</v>
      </c>
      <c r="K596" s="98">
        <f>HLOOKUP($H$5,'Met Data'!$O$2:$T$368,G596,FALSE)</f>
        <v>2.9187130451018599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si="90"/>
        <v>287</v>
      </c>
      <c r="H597" s="97">
        <f t="shared" si="99"/>
        <v>45577</v>
      </c>
      <c r="I597" s="121">
        <f>HLOOKUP($H$5,'Met Data'!$A$2:$F$368,G597,FALSE)</f>
        <v>13.6551724137931</v>
      </c>
      <c r="J597" s="119">
        <f ca="1">HLOOKUP($H$5,'Met Data'!$H$2:$M$368,G597,FALSE)*L597</f>
        <v>4.9586206896551701</v>
      </c>
      <c r="K597" s="98">
        <f>HLOOKUP($H$5,'Met Data'!$O$2:$T$368,G597,FALSE)</f>
        <v>2.9944315874670302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si="90"/>
        <v>288</v>
      </c>
      <c r="H598" s="97">
        <f t="shared" si="99"/>
        <v>45578</v>
      </c>
      <c r="I598" s="121">
        <f>HLOOKUP($H$5,'Met Data'!$A$2:$F$368,G598,FALSE)</f>
        <v>13.334482758620601</v>
      </c>
      <c r="J598" s="119">
        <f ca="1">HLOOKUP($H$5,'Met Data'!$H$2:$M$368,G598,FALSE)*L598</f>
        <v>5.6758620689655102</v>
      </c>
      <c r="K598" s="98">
        <f>HLOOKUP($H$5,'Met Data'!$O$2:$T$368,G598,FALSE)</f>
        <v>2.9220059834019998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si="90"/>
        <v>289</v>
      </c>
      <c r="H599" s="97">
        <f t="shared" si="99"/>
        <v>45579</v>
      </c>
      <c r="I599" s="121">
        <f>HLOOKUP($H$5,'Met Data'!$A$2:$F$368,G599,FALSE)</f>
        <v>13.0379310344827</v>
      </c>
      <c r="J599" s="119">
        <f ca="1">HLOOKUP($H$5,'Met Data'!$H$2:$M$368,G599,FALSE)*L599</f>
        <v>5.9344827586206899</v>
      </c>
      <c r="K599" s="98">
        <f>HLOOKUP($H$5,'Met Data'!$O$2:$T$368,G599,FALSE)</f>
        <v>3.1812494285264998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si="90"/>
        <v>290</v>
      </c>
      <c r="H600" s="97">
        <f t="shared" si="99"/>
        <v>45580</v>
      </c>
      <c r="I600" s="121">
        <f>HLOOKUP($H$5,'Met Data'!$A$2:$F$368,G600,FALSE)</f>
        <v>13.094827586206801</v>
      </c>
      <c r="J600" s="119">
        <f ca="1">HLOOKUP($H$5,'Met Data'!$H$2:$M$368,G600,FALSE)*L600</f>
        <v>3.2862068965517199</v>
      </c>
      <c r="K600" s="98">
        <f>HLOOKUP($H$5,'Met Data'!$O$2:$T$368,G600,FALSE)</f>
        <v>3.1846462671739202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si="90"/>
        <v>291</v>
      </c>
      <c r="H601" s="97">
        <f t="shared" si="99"/>
        <v>45581</v>
      </c>
      <c r="I601" s="121">
        <f>HLOOKUP($H$5,'Met Data'!$A$2:$F$368,G601,FALSE)</f>
        <v>13.6775862068965</v>
      </c>
      <c r="J601" s="119">
        <f ca="1">HLOOKUP($H$5,'Met Data'!$H$2:$M$368,G601,FALSE)*L601</f>
        <v>3.4241379310344802</v>
      </c>
      <c r="K601" s="98">
        <f>HLOOKUP($H$5,'Met Data'!$O$2:$T$368,G601,FALSE)</f>
        <v>3.2300602691540199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si="90"/>
        <v>292</v>
      </c>
      <c r="H602" s="97">
        <f t="shared" si="99"/>
        <v>45582</v>
      </c>
      <c r="I602" s="121">
        <f>HLOOKUP($H$5,'Met Data'!$A$2:$F$368,G602,FALSE)</f>
        <v>13.189655172413699</v>
      </c>
      <c r="J602" s="119">
        <f ca="1">HLOOKUP($H$5,'Met Data'!$H$2:$M$368,G602,FALSE)*L602</f>
        <v>3.6586206896551698</v>
      </c>
      <c r="K602" s="98">
        <f>HLOOKUP($H$5,'Met Data'!$O$2:$T$368,G602,FALSE)</f>
        <v>2.98673361950474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si="90"/>
        <v>293</v>
      </c>
      <c r="H603" s="97">
        <f t="shared" si="99"/>
        <v>45583</v>
      </c>
      <c r="I603" s="121">
        <f>HLOOKUP($H$5,'Met Data'!$A$2:$F$368,G603,FALSE)</f>
        <v>12.9428571428571</v>
      </c>
      <c r="J603" s="119">
        <f ca="1">HLOOKUP($H$5,'Met Data'!$H$2:$M$368,G603,FALSE)*L603</f>
        <v>2.3892857142857098</v>
      </c>
      <c r="K603" s="98">
        <f>HLOOKUP($H$5,'Met Data'!$O$2:$T$368,G603,FALSE)</f>
        <v>3.3877860671285598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si="90"/>
        <v>294</v>
      </c>
      <c r="H604" s="97">
        <f t="shared" si="99"/>
        <v>45584</v>
      </c>
      <c r="I604" s="121">
        <f>HLOOKUP($H$5,'Met Data'!$A$2:$F$368,G604,FALSE)</f>
        <v>12.819642857142799</v>
      </c>
      <c r="J604" s="119">
        <f ca="1">HLOOKUP($H$5,'Met Data'!$H$2:$M$368,G604,FALSE)*L604</f>
        <v>1.6142857142857101</v>
      </c>
      <c r="K604" s="98">
        <f>HLOOKUP($H$5,'Met Data'!$O$2:$T$368,G604,FALSE)</f>
        <v>3.30175747979975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si="90"/>
        <v>295</v>
      </c>
      <c r="H605" s="97">
        <f t="shared" si="99"/>
        <v>45585</v>
      </c>
      <c r="I605" s="121">
        <f>HLOOKUP($H$5,'Met Data'!$A$2:$F$368,G605,FALSE)</f>
        <v>13.2785714285714</v>
      </c>
      <c r="J605" s="119">
        <f ca="1">HLOOKUP($H$5,'Met Data'!$H$2:$M$368,G605,FALSE)*L605</f>
        <v>2.9214285714285699</v>
      </c>
      <c r="K605" s="98">
        <f>HLOOKUP($H$5,'Met Data'!$O$2:$T$368,G605,FALSE)</f>
        <v>2.9372247945615499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si="90"/>
        <v>296</v>
      </c>
      <c r="H606" s="97">
        <f t="shared" si="99"/>
        <v>45586</v>
      </c>
      <c r="I606" s="121">
        <f>HLOOKUP($H$5,'Met Data'!$A$2:$F$368,G606,FALSE)</f>
        <v>13.5625</v>
      </c>
      <c r="J606" s="119">
        <f ca="1">HLOOKUP($H$5,'Met Data'!$H$2:$M$368,G606,FALSE)*L606</f>
        <v>3.3499999999999899</v>
      </c>
      <c r="K606" s="98">
        <f>HLOOKUP($H$5,'Met Data'!$O$2:$T$368,G606,FALSE)</f>
        <v>2.9112128548041598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si="90"/>
        <v>297</v>
      </c>
      <c r="H607" s="97">
        <f t="shared" si="99"/>
        <v>45587</v>
      </c>
      <c r="I607" s="121">
        <f>HLOOKUP($H$5,'Met Data'!$A$2:$F$368,G607,FALSE)</f>
        <v>13.9310344827586</v>
      </c>
      <c r="J607" s="119">
        <f ca="1">HLOOKUP($H$5,'Met Data'!$H$2:$M$368,G607,FALSE)*L607</f>
        <v>4.6137931034482698</v>
      </c>
      <c r="K607" s="98">
        <f>HLOOKUP($H$5,'Met Data'!$O$2:$T$368,G607,FALSE)</f>
        <v>3.5318790230099002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si="90"/>
        <v>298</v>
      </c>
      <c r="H608" s="97">
        <f t="shared" si="99"/>
        <v>45588</v>
      </c>
      <c r="I608" s="121">
        <f>HLOOKUP($H$5,'Met Data'!$A$2:$F$368,G608,FALSE)</f>
        <v>13.336206896551699</v>
      </c>
      <c r="J608" s="119">
        <f ca="1">HLOOKUP($H$5,'Met Data'!$H$2:$M$368,G608,FALSE)*L608</f>
        <v>3.30689655172413</v>
      </c>
      <c r="K608" s="98">
        <f>HLOOKUP($H$5,'Met Data'!$O$2:$T$368,G608,FALSE)</f>
        <v>3.2578637469081699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si="90"/>
        <v>299</v>
      </c>
      <c r="H609" s="97">
        <f t="shared" si="99"/>
        <v>45589</v>
      </c>
      <c r="I609" s="121">
        <f>HLOOKUP($H$5,'Met Data'!$A$2:$F$368,G609,FALSE)</f>
        <v>13.789655172413701</v>
      </c>
      <c r="J609" s="119">
        <f ca="1">HLOOKUP($H$5,'Met Data'!$H$2:$M$368,G609,FALSE)*L609</f>
        <v>1.8172413793103399</v>
      </c>
      <c r="K609" s="98">
        <f>HLOOKUP($H$5,'Met Data'!$O$2:$T$368,G609,FALSE)</f>
        <v>3.4101531049699898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si="90"/>
        <v>300</v>
      </c>
      <c r="H610" s="97">
        <f t="shared" si="99"/>
        <v>45590</v>
      </c>
      <c r="I610" s="121">
        <f>HLOOKUP($H$5,'Met Data'!$A$2:$F$368,G610,FALSE)</f>
        <v>14.0810344827586</v>
      </c>
      <c r="J610" s="119">
        <f ca="1">HLOOKUP($H$5,'Met Data'!$H$2:$M$368,G610,FALSE)*L610</f>
        <v>0.78965517241379302</v>
      </c>
      <c r="K610" s="98">
        <f>HLOOKUP($H$5,'Met Data'!$O$2:$T$368,G610,FALSE)</f>
        <v>3.2764418127891499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si="90"/>
        <v>301</v>
      </c>
      <c r="H611" s="97">
        <f t="shared" si="99"/>
        <v>45591</v>
      </c>
      <c r="I611" s="121">
        <f>HLOOKUP($H$5,'Met Data'!$A$2:$F$368,G611,FALSE)</f>
        <v>14.8396551724137</v>
      </c>
      <c r="J611" s="119">
        <f ca="1">HLOOKUP($H$5,'Met Data'!$H$2:$M$368,G611,FALSE)*L611</f>
        <v>3.4241379310344802</v>
      </c>
      <c r="K611" s="98">
        <f>HLOOKUP($H$5,'Met Data'!$O$2:$T$368,G611,FALSE)</f>
        <v>3.3023555527193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si="90"/>
        <v>302</v>
      </c>
      <c r="H612" s="97">
        <f t="shared" si="99"/>
        <v>45592</v>
      </c>
      <c r="I612" s="121">
        <f>HLOOKUP($H$5,'Met Data'!$A$2:$F$368,G612,FALSE)</f>
        <v>14.274137931034399</v>
      </c>
      <c r="J612" s="119">
        <f ca="1">HLOOKUP($H$5,'Met Data'!$H$2:$M$368,G612,FALSE)*L612</f>
        <v>4.16206896551724</v>
      </c>
      <c r="K612" s="98">
        <f>HLOOKUP($H$5,'Met Data'!$O$2:$T$368,G612,FALSE)</f>
        <v>2.9394492851949701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si="90"/>
        <v>303</v>
      </c>
      <c r="H613" s="97">
        <f t="shared" si="99"/>
        <v>45593</v>
      </c>
      <c r="I613" s="121">
        <f>HLOOKUP($H$5,'Met Data'!$A$2:$F$368,G613,FALSE)</f>
        <v>14.29</v>
      </c>
      <c r="J613" s="119">
        <f ca="1">HLOOKUP($H$5,'Met Data'!$H$2:$M$368,G613,FALSE)*L613</f>
        <v>2.4933333333333301</v>
      </c>
      <c r="K613" s="98">
        <f>HLOOKUP($H$5,'Met Data'!$O$2:$T$368,G613,FALSE)</f>
        <v>3.1793308523033601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si="90"/>
        <v>304</v>
      </c>
      <c r="H614" s="97">
        <f t="shared" si="99"/>
        <v>45594</v>
      </c>
      <c r="I614" s="121">
        <f>HLOOKUP($H$5,'Met Data'!$A$2:$F$368,G614,FALSE)</f>
        <v>14.715</v>
      </c>
      <c r="J614" s="119">
        <f ca="1">HLOOKUP($H$5,'Met Data'!$H$2:$M$368,G614,FALSE)*L614</f>
        <v>1.99</v>
      </c>
      <c r="K614" s="98">
        <f>HLOOKUP($H$5,'Met Data'!$O$2:$T$368,G614,FALSE)</f>
        <v>3.2908149619424898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si="90"/>
        <v>305</v>
      </c>
      <c r="H615" s="97">
        <f t="shared" si="99"/>
        <v>45595</v>
      </c>
      <c r="I615" s="121">
        <f>HLOOKUP($H$5,'Met Data'!$A$2:$F$368,G615,FALSE)</f>
        <v>14.5266666666666</v>
      </c>
      <c r="J615" s="119">
        <f ca="1">HLOOKUP($H$5,'Met Data'!$H$2:$M$368,G615,FALSE)*L615</f>
        <v>1.75</v>
      </c>
      <c r="K615" s="98">
        <f>HLOOKUP($H$5,'Met Data'!$O$2:$T$368,G615,FALSE)</f>
        <v>3.7910621493299299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si="90"/>
        <v>306</v>
      </c>
      <c r="H616" s="97">
        <f t="shared" si="99"/>
        <v>45596</v>
      </c>
      <c r="I616" s="121">
        <f>HLOOKUP($H$5,'Met Data'!$A$2:$F$368,G616,FALSE)</f>
        <v>14.0416666666666</v>
      </c>
      <c r="J616" s="119">
        <f ca="1">HLOOKUP($H$5,'Met Data'!$H$2:$M$368,G616,FALSE)*L616</f>
        <v>2.11666666666666</v>
      </c>
      <c r="K616" s="98">
        <f>HLOOKUP($H$5,'Met Data'!$O$2:$T$368,G616,FALSE)</f>
        <v>3.7273958064413302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si="90"/>
        <v>307</v>
      </c>
      <c r="H617" s="97">
        <f t="shared" si="99"/>
        <v>45597</v>
      </c>
      <c r="I617" s="121">
        <f>HLOOKUP($H$5,'Met Data'!$A$2:$F$368,G617,FALSE)</f>
        <v>14.098333333333301</v>
      </c>
      <c r="J617" s="119">
        <f ca="1">HLOOKUP($H$5,'Met Data'!$H$2:$M$368,G617,FALSE)*L617</f>
        <v>0.94</v>
      </c>
      <c r="K617" s="98">
        <f>HLOOKUP($H$5,'Met Data'!$O$2:$T$368,G617,FALSE)</f>
        <v>3.7508089301659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si="90"/>
        <v>308</v>
      </c>
      <c r="H618" s="97">
        <f t="shared" si="99"/>
        <v>45598</v>
      </c>
      <c r="I618" s="121">
        <f>HLOOKUP($H$5,'Met Data'!$A$2:$F$368,G618,FALSE)</f>
        <v>13.9933333333333</v>
      </c>
      <c r="J618" s="119">
        <f ca="1">HLOOKUP($H$5,'Met Data'!$H$2:$M$368,G618,FALSE)*L618</f>
        <v>2.42</v>
      </c>
      <c r="K618" s="98">
        <f>HLOOKUP($H$5,'Met Data'!$O$2:$T$368,G618,FALSE)</f>
        <v>3.2496546498492198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si="90"/>
        <v>309</v>
      </c>
      <c r="H619" s="97">
        <f t="shared" si="99"/>
        <v>45599</v>
      </c>
      <c r="I619" s="121">
        <f>HLOOKUP($H$5,'Met Data'!$A$2:$F$368,G619,FALSE)</f>
        <v>14.2016666666666</v>
      </c>
      <c r="J619" s="119">
        <f ca="1">HLOOKUP($H$5,'Met Data'!$H$2:$M$368,G619,FALSE)*L619</f>
        <v>3.21999999999999</v>
      </c>
      <c r="K619" s="98">
        <f>HLOOKUP($H$5,'Met Data'!$O$2:$T$368,G619,FALSE)</f>
        <v>3.3917308243993398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si="90"/>
        <v>310</v>
      </c>
      <c r="H620" s="97">
        <f t="shared" si="99"/>
        <v>45600</v>
      </c>
      <c r="I620" s="121">
        <f>HLOOKUP($H$5,'Met Data'!$A$2:$F$368,G620,FALSE)</f>
        <v>14.5483333333333</v>
      </c>
      <c r="J620" s="119">
        <f ca="1">HLOOKUP($H$5,'Met Data'!$H$2:$M$368,G620,FALSE)*L620</f>
        <v>6.2166666666666597</v>
      </c>
      <c r="K620" s="98">
        <f>HLOOKUP($H$5,'Met Data'!$O$2:$T$368,G620,FALSE)</f>
        <v>3.4940085056696999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si="90"/>
        <v>311</v>
      </c>
      <c r="H621" s="97">
        <f t="shared" si="99"/>
        <v>45601</v>
      </c>
      <c r="I621" s="121">
        <f>HLOOKUP($H$5,'Met Data'!$A$2:$F$368,G621,FALSE)</f>
        <v>14.156666666666601</v>
      </c>
      <c r="J621" s="119">
        <f ca="1">HLOOKUP($H$5,'Met Data'!$H$2:$M$368,G621,FALSE)*L621</f>
        <v>4.1999999999999904</v>
      </c>
      <c r="K621" s="98">
        <f>HLOOKUP($H$5,'Met Data'!$O$2:$T$368,G621,FALSE)</f>
        <v>3.6290518837480299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si="90"/>
        <v>312</v>
      </c>
      <c r="H622" s="97">
        <f t="shared" si="99"/>
        <v>45602</v>
      </c>
      <c r="I622" s="121">
        <f>HLOOKUP($H$5,'Met Data'!$A$2:$F$368,G622,FALSE)</f>
        <v>14.466666666666599</v>
      </c>
      <c r="J622" s="119">
        <f ca="1">HLOOKUP($H$5,'Met Data'!$H$2:$M$368,G622,FALSE)*L622</f>
        <v>4.18333333333333</v>
      </c>
      <c r="K622" s="98">
        <f>HLOOKUP($H$5,'Met Data'!$O$2:$T$368,G622,FALSE)</f>
        <v>3.3196725038188899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si="90"/>
        <v>313</v>
      </c>
      <c r="H623" s="97">
        <f t="shared" si="99"/>
        <v>45603</v>
      </c>
      <c r="I623" s="121">
        <f>HLOOKUP($H$5,'Met Data'!$A$2:$F$368,G623,FALSE)</f>
        <v>14.7283333333333</v>
      </c>
      <c r="J623" s="119">
        <f ca="1">HLOOKUP($H$5,'Met Data'!$H$2:$M$368,G623,FALSE)*L623</f>
        <v>3.4833333333333298</v>
      </c>
      <c r="K623" s="98">
        <f>HLOOKUP($H$5,'Met Data'!$O$2:$T$368,G623,FALSE)</f>
        <v>3.5694722560107999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si="90"/>
        <v>314</v>
      </c>
      <c r="H624" s="97">
        <f t="shared" si="99"/>
        <v>45604</v>
      </c>
      <c r="I624" s="121">
        <f>HLOOKUP($H$5,'Met Data'!$A$2:$F$368,G624,FALSE)</f>
        <v>14.37</v>
      </c>
      <c r="J624" s="119">
        <f ca="1">HLOOKUP($H$5,'Met Data'!$H$2:$M$368,G624,FALSE)*L624</f>
        <v>3.5433333333333299</v>
      </c>
      <c r="K624" s="98">
        <f>HLOOKUP($H$5,'Met Data'!$O$2:$T$368,G624,FALSE)</f>
        <v>3.5998767062500399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si="100">H625-DATE(YEAR(H625),1,0)+1</f>
        <v>315</v>
      </c>
      <c r="H625" s="97">
        <f t="shared" si="99"/>
        <v>45605</v>
      </c>
      <c r="I625" s="121">
        <f>HLOOKUP($H$5,'Met Data'!$A$2:$F$368,G625,FALSE)</f>
        <v>14.7216666666666</v>
      </c>
      <c r="J625" s="119">
        <f ca="1">HLOOKUP($H$5,'Met Data'!$H$2:$M$368,G625,FALSE)*L625</f>
        <v>2.9033333333333302</v>
      </c>
      <c r="K625" s="98">
        <f>HLOOKUP($H$5,'Met Data'!$O$2:$T$368,G625,FALSE)</f>
        <v>3.8854632375309301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si="100"/>
        <v>316</v>
      </c>
      <c r="H626" s="97">
        <f t="shared" si="99"/>
        <v>45606</v>
      </c>
      <c r="I626" s="121">
        <f>HLOOKUP($H$5,'Met Data'!$A$2:$F$368,G626,FALSE)</f>
        <v>14.816666666666601</v>
      </c>
      <c r="J626" s="119">
        <f ca="1">HLOOKUP($H$5,'Met Data'!$H$2:$M$368,G626,FALSE)*L626</f>
        <v>1.5433333333333299</v>
      </c>
      <c r="K626" s="98">
        <f>HLOOKUP($H$5,'Met Data'!$O$2:$T$368,G626,FALSE)</f>
        <v>3.4766729681443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si="100"/>
        <v>317</v>
      </c>
      <c r="H627" s="97">
        <f t="shared" si="99"/>
        <v>45607</v>
      </c>
      <c r="I627" s="121">
        <f>HLOOKUP($H$5,'Met Data'!$A$2:$F$368,G627,FALSE)</f>
        <v>14.7883333333333</v>
      </c>
      <c r="J627" s="119">
        <f ca="1">HLOOKUP($H$5,'Met Data'!$H$2:$M$368,G627,FALSE)*L627</f>
        <v>3.6066666666666598</v>
      </c>
      <c r="K627" s="98">
        <f>HLOOKUP($H$5,'Met Data'!$O$2:$T$368,G627,FALSE)</f>
        <v>3.49823939059966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si="100"/>
        <v>318</v>
      </c>
      <c r="H628" s="97">
        <f t="shared" si="99"/>
        <v>45608</v>
      </c>
      <c r="I628" s="121">
        <f>HLOOKUP($H$5,'Met Data'!$A$2:$F$368,G628,FALSE)</f>
        <v>14.5583333333333</v>
      </c>
      <c r="J628" s="119">
        <f ca="1">HLOOKUP($H$5,'Met Data'!$H$2:$M$368,G628,FALSE)*L628</f>
        <v>3.0633333333333299</v>
      </c>
      <c r="K628" s="98">
        <f>HLOOKUP($H$5,'Met Data'!$O$2:$T$368,G628,FALSE)</f>
        <v>3.8424324154218401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si="100"/>
        <v>319</v>
      </c>
      <c r="H629" s="97">
        <f t="shared" si="99"/>
        <v>45609</v>
      </c>
      <c r="I629" s="121">
        <f>HLOOKUP($H$5,'Met Data'!$A$2:$F$368,G629,FALSE)</f>
        <v>14.5066666666666</v>
      </c>
      <c r="J629" s="119">
        <f ca="1">HLOOKUP($H$5,'Met Data'!$H$2:$M$368,G629,FALSE)*L629</f>
        <v>3.2933333333333299</v>
      </c>
      <c r="K629" s="98">
        <f>HLOOKUP($H$5,'Met Data'!$O$2:$T$368,G629,FALSE)</f>
        <v>3.93837814578281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si="100"/>
        <v>320</v>
      </c>
      <c r="H630" s="97">
        <f t="shared" si="99"/>
        <v>45610</v>
      </c>
      <c r="I630" s="121">
        <f>HLOOKUP($H$5,'Met Data'!$A$2:$F$368,G630,FALSE)</f>
        <v>14.8633333333333</v>
      </c>
      <c r="J630" s="119">
        <f ca="1">HLOOKUP($H$5,'Met Data'!$H$2:$M$368,G630,FALSE)*L630</f>
        <v>2.0666666666666602</v>
      </c>
      <c r="K630" s="98">
        <f>HLOOKUP($H$5,'Met Data'!$O$2:$T$368,G630,FALSE)</f>
        <v>3.82063419166102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si="100"/>
        <v>321</v>
      </c>
      <c r="H631" s="97">
        <f t="shared" si="99"/>
        <v>45611</v>
      </c>
      <c r="I631" s="121">
        <f>HLOOKUP($H$5,'Met Data'!$A$2:$F$368,G631,FALSE)</f>
        <v>15.191666666666601</v>
      </c>
      <c r="J631" s="119">
        <f ca="1">HLOOKUP($H$5,'Met Data'!$H$2:$M$368,G631,FALSE)*L631</f>
        <v>4.1233333333333304</v>
      </c>
      <c r="K631" s="98">
        <f>HLOOKUP($H$5,'Met Data'!$O$2:$T$368,G631,FALSE)</f>
        <v>3.4660928584042798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si="100"/>
        <v>322</v>
      </c>
      <c r="H632" s="97">
        <f t="shared" si="99"/>
        <v>45612</v>
      </c>
      <c r="I632" s="121">
        <f>HLOOKUP($H$5,'Met Data'!$A$2:$F$368,G632,FALSE)</f>
        <v>14.805</v>
      </c>
      <c r="J632" s="119">
        <f ca="1">HLOOKUP($H$5,'Met Data'!$H$2:$M$368,G632,FALSE)*L632</f>
        <v>2.0999999999999899</v>
      </c>
      <c r="K632" s="98">
        <f>HLOOKUP($H$5,'Met Data'!$O$2:$T$368,G632,FALSE)</f>
        <v>3.7178898330930501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si="100"/>
        <v>323</v>
      </c>
      <c r="H633" s="97">
        <f t="shared" si="99"/>
        <v>45613</v>
      </c>
      <c r="I633" s="121">
        <f>HLOOKUP($H$5,'Met Data'!$A$2:$F$368,G633,FALSE)</f>
        <v>14.4366666666666</v>
      </c>
      <c r="J633" s="119">
        <f ca="1">HLOOKUP($H$5,'Met Data'!$H$2:$M$368,G633,FALSE)*L633</f>
        <v>2.25</v>
      </c>
      <c r="K633" s="98">
        <f>HLOOKUP($H$5,'Met Data'!$O$2:$T$368,G633,FALSE)</f>
        <v>3.8903759726723899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si="100"/>
        <v>324</v>
      </c>
      <c r="H634" s="97">
        <f t="shared" si="99"/>
        <v>45614</v>
      </c>
      <c r="I634" s="121">
        <f>HLOOKUP($H$5,'Met Data'!$A$2:$F$368,G634,FALSE)</f>
        <v>14.4133333333333</v>
      </c>
      <c r="J634" s="119">
        <f ca="1">HLOOKUP($H$5,'Met Data'!$H$2:$M$368,G634,FALSE)*L634</f>
        <v>1.6566666666666601</v>
      </c>
      <c r="K634" s="98">
        <f>HLOOKUP($H$5,'Met Data'!$O$2:$T$368,G634,FALSE)</f>
        <v>3.9105195639997401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si="100"/>
        <v>325</v>
      </c>
      <c r="H635" s="97">
        <f t="shared" si="99"/>
        <v>45615</v>
      </c>
      <c r="I635" s="121">
        <f>HLOOKUP($H$5,'Met Data'!$A$2:$F$368,G635,FALSE)</f>
        <v>14.8266666666666</v>
      </c>
      <c r="J635" s="119">
        <f ca="1">HLOOKUP($H$5,'Met Data'!$H$2:$M$368,G635,FALSE)*L635</f>
        <v>2.4166666666666599</v>
      </c>
      <c r="K635" s="98">
        <f>HLOOKUP($H$5,'Met Data'!$O$2:$T$368,G635,FALSE)</f>
        <v>3.75734672122165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si="100"/>
        <v>326</v>
      </c>
      <c r="H636" s="97">
        <f t="shared" si="99"/>
        <v>45616</v>
      </c>
      <c r="I636" s="121">
        <f>HLOOKUP($H$5,'Met Data'!$A$2:$F$368,G636,FALSE)</f>
        <v>14.899999999999901</v>
      </c>
      <c r="J636" s="119">
        <f ca="1">HLOOKUP($H$5,'Met Data'!$H$2:$M$368,G636,FALSE)*L636</f>
        <v>2.8366666666666598</v>
      </c>
      <c r="K636" s="98">
        <f>HLOOKUP($H$5,'Met Data'!$O$2:$T$368,G636,FALSE)</f>
        <v>3.5492721007612098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si="100"/>
        <v>327</v>
      </c>
      <c r="H637" s="97">
        <f t="shared" si="99"/>
        <v>45617</v>
      </c>
      <c r="I637" s="121">
        <f>HLOOKUP($H$5,'Met Data'!$A$2:$F$368,G637,FALSE)</f>
        <v>15.125</v>
      </c>
      <c r="J637" s="119">
        <f ca="1">HLOOKUP($H$5,'Met Data'!$H$2:$M$368,G637,FALSE)*L637</f>
        <v>4.0966666666666596</v>
      </c>
      <c r="K637" s="98">
        <f>HLOOKUP($H$5,'Met Data'!$O$2:$T$368,G637,FALSE)</f>
        <v>3.6984174874033999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si="100"/>
        <v>328</v>
      </c>
      <c r="H638" s="97">
        <f t="shared" si="99"/>
        <v>45618</v>
      </c>
      <c r="I638" s="121">
        <f>HLOOKUP($H$5,'Met Data'!$A$2:$F$368,G638,FALSE)</f>
        <v>15.358333333333301</v>
      </c>
      <c r="J638" s="119">
        <f ca="1">HLOOKUP($H$5,'Met Data'!$H$2:$M$368,G638,FALSE)*L638</f>
        <v>3.04</v>
      </c>
      <c r="K638" s="98">
        <f>HLOOKUP($H$5,'Met Data'!$O$2:$T$368,G638,FALSE)</f>
        <v>3.9426742076693699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si="100"/>
        <v>329</v>
      </c>
      <c r="H639" s="97">
        <f t="shared" si="99"/>
        <v>45619</v>
      </c>
      <c r="I639" s="121">
        <f>HLOOKUP($H$5,'Met Data'!$A$2:$F$368,G639,FALSE)</f>
        <v>15.2051724137931</v>
      </c>
      <c r="J639" s="119">
        <f ca="1">HLOOKUP($H$5,'Met Data'!$H$2:$M$368,G639,FALSE)*L639</f>
        <v>2.4655172413793101</v>
      </c>
      <c r="K639" s="98">
        <f>HLOOKUP($H$5,'Met Data'!$O$2:$T$368,G639,FALSE)</f>
        <v>3.7475647250722499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si="100"/>
        <v>330</v>
      </c>
      <c r="H640" s="97">
        <f t="shared" si="99"/>
        <v>45620</v>
      </c>
      <c r="I640" s="121">
        <f>HLOOKUP($H$5,'Met Data'!$A$2:$F$368,G640,FALSE)</f>
        <v>15.834482758620601</v>
      </c>
      <c r="J640" s="119">
        <f ca="1">HLOOKUP($H$5,'Met Data'!$H$2:$M$368,G640,FALSE)*L640</f>
        <v>2.7965517241379301</v>
      </c>
      <c r="K640" s="98">
        <f>HLOOKUP($H$5,'Met Data'!$O$2:$T$368,G640,FALSE)</f>
        <v>4.1132182691665697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si="100"/>
        <v>331</v>
      </c>
      <c r="H641" s="97">
        <f t="shared" si="99"/>
        <v>45621</v>
      </c>
      <c r="I641" s="121">
        <f>HLOOKUP($H$5,'Met Data'!$A$2:$F$368,G641,FALSE)</f>
        <v>15.876666666666599</v>
      </c>
      <c r="J641" s="119">
        <f ca="1">HLOOKUP($H$5,'Met Data'!$H$2:$M$368,G641,FALSE)*L641</f>
        <v>2.2666666666666599</v>
      </c>
      <c r="K641" s="98">
        <f>HLOOKUP($H$5,'Met Data'!$O$2:$T$368,G641,FALSE)</f>
        <v>4.0838977840275996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si="100"/>
        <v>332</v>
      </c>
      <c r="H642" s="97">
        <f t="shared" si="99"/>
        <v>45622</v>
      </c>
      <c r="I642" s="121">
        <f>HLOOKUP($H$5,'Met Data'!$A$2:$F$368,G642,FALSE)</f>
        <v>15.52</v>
      </c>
      <c r="J642" s="119">
        <f ca="1">HLOOKUP($H$5,'Met Data'!$H$2:$M$368,G642,FALSE)*L642</f>
        <v>3.6933333333333298</v>
      </c>
      <c r="K642" s="98">
        <f>HLOOKUP($H$5,'Met Data'!$O$2:$T$368,G642,FALSE)</f>
        <v>4.2967341086411999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si="100"/>
        <v>333</v>
      </c>
      <c r="H643" s="97">
        <f t="shared" si="99"/>
        <v>45623</v>
      </c>
      <c r="I643" s="121">
        <f>HLOOKUP($H$5,'Met Data'!$A$2:$F$368,G643,FALSE)</f>
        <v>15.438333333333301</v>
      </c>
      <c r="J643" s="119">
        <f ca="1">HLOOKUP($H$5,'Met Data'!$H$2:$M$368,G643,FALSE)*L643</f>
        <v>4.5933333333333302</v>
      </c>
      <c r="K643" s="98">
        <f>HLOOKUP($H$5,'Met Data'!$O$2:$T$368,G643,FALSE)</f>
        <v>3.7863185649490698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si="100"/>
        <v>334</v>
      </c>
      <c r="H644" s="97">
        <f t="shared" si="99"/>
        <v>45624</v>
      </c>
      <c r="I644" s="121">
        <f>HLOOKUP($H$5,'Met Data'!$A$2:$F$368,G644,FALSE)</f>
        <v>15.551724137931</v>
      </c>
      <c r="J644" s="119">
        <f ca="1">HLOOKUP($H$5,'Met Data'!$H$2:$M$368,G644,FALSE)*L644</f>
        <v>2.63448275862069</v>
      </c>
      <c r="K644" s="98">
        <f>HLOOKUP($H$5,'Met Data'!$O$2:$T$368,G644,FALSE)</f>
        <v>3.91369181219603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si="100"/>
        <v>335</v>
      </c>
      <c r="H645" s="97">
        <f t="shared" si="99"/>
        <v>45625</v>
      </c>
      <c r="I645" s="121">
        <f>HLOOKUP($H$5,'Met Data'!$A$2:$F$368,G645,FALSE)</f>
        <v>15.832758620689599</v>
      </c>
      <c r="J645" s="119">
        <f ca="1">HLOOKUP($H$5,'Met Data'!$H$2:$M$368,G645,FALSE)*L645</f>
        <v>2.4931034482758601</v>
      </c>
      <c r="K645" s="98">
        <f>HLOOKUP($H$5,'Met Data'!$O$2:$T$368,G645,FALSE)</f>
        <v>3.5204814386258598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si="100"/>
        <v>336</v>
      </c>
      <c r="H646" s="97">
        <f t="shared" si="99"/>
        <v>45626</v>
      </c>
      <c r="I646" s="121">
        <f>HLOOKUP($H$5,'Met Data'!$A$2:$F$368,G646,FALSE)</f>
        <v>16.082758620689599</v>
      </c>
      <c r="J646" s="119">
        <f ca="1">HLOOKUP($H$5,'Met Data'!$H$2:$M$368,G646,FALSE)*L646</f>
        <v>1.7689655172413701</v>
      </c>
      <c r="K646" s="98">
        <f>HLOOKUP($H$5,'Met Data'!$O$2:$T$368,G646,FALSE)</f>
        <v>4.0516623269738101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si="100"/>
        <v>337</v>
      </c>
      <c r="H647" s="97">
        <f t="shared" si="99"/>
        <v>45627</v>
      </c>
      <c r="I647" s="121">
        <f>HLOOKUP($H$5,'Met Data'!$A$2:$F$368,G647,FALSE)</f>
        <v>16.4931034482758</v>
      </c>
      <c r="J647" s="119">
        <f ca="1">HLOOKUP($H$5,'Met Data'!$H$2:$M$368,G647,FALSE)*L647</f>
        <v>5.1137931034482698</v>
      </c>
      <c r="K647" s="98">
        <f>HLOOKUP($H$5,'Met Data'!$O$2:$T$368,G647,FALSE)</f>
        <v>3.5036176940509298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si="100"/>
        <v>338</v>
      </c>
      <c r="H648" s="97">
        <f t="shared" si="99"/>
        <v>45628</v>
      </c>
      <c r="I648" s="121">
        <f>HLOOKUP($H$5,'Met Data'!$A$2:$F$368,G648,FALSE)</f>
        <v>16.78</v>
      </c>
      <c r="J648" s="119">
        <f ca="1">HLOOKUP($H$5,'Met Data'!$H$2:$M$368,G648,FALSE)*L648</f>
        <v>1.71</v>
      </c>
      <c r="K648" s="98">
        <f>HLOOKUP($H$5,'Met Data'!$O$2:$T$368,G648,FALSE)</f>
        <v>3.8786861346319301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si="100"/>
        <v>339</v>
      </c>
      <c r="H649" s="97">
        <f t="shared" ref="H649:H712" si="109">H648+1</f>
        <v>45629</v>
      </c>
      <c r="I649" s="121">
        <f>HLOOKUP($H$5,'Met Data'!$A$2:$F$368,G649,FALSE)</f>
        <v>16.8266666666666</v>
      </c>
      <c r="J649" s="119">
        <f ca="1">HLOOKUP($H$5,'Met Data'!$H$2:$M$368,G649,FALSE)*L649</f>
        <v>6.0433333333333303</v>
      </c>
      <c r="K649" s="98">
        <f>HLOOKUP($H$5,'Met Data'!$O$2:$T$368,G649,FALSE)</f>
        <v>3.6269671816345701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si="100"/>
        <v>340</v>
      </c>
      <c r="H650" s="97">
        <f t="shared" si="109"/>
        <v>45630</v>
      </c>
      <c r="I650" s="121">
        <f>HLOOKUP($H$5,'Met Data'!$A$2:$F$368,G650,FALSE)</f>
        <v>16.6516666666666</v>
      </c>
      <c r="J650" s="119">
        <f ca="1">HLOOKUP($H$5,'Met Data'!$H$2:$M$368,G650,FALSE)*L650</f>
        <v>4.9033333333333298</v>
      </c>
      <c r="K650" s="98">
        <f>HLOOKUP($H$5,'Met Data'!$O$2:$T$368,G650,FALSE)</f>
        <v>3.8159631078200702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si="100"/>
        <v>341</v>
      </c>
      <c r="H651" s="97">
        <f t="shared" si="109"/>
        <v>45631</v>
      </c>
      <c r="I651" s="121">
        <f>HLOOKUP($H$5,'Met Data'!$A$2:$F$368,G651,FALSE)</f>
        <v>16.68</v>
      </c>
      <c r="J651" s="119">
        <f ca="1">HLOOKUP($H$5,'Met Data'!$H$2:$M$368,G651,FALSE)*L651</f>
        <v>3.7299999999999902</v>
      </c>
      <c r="K651" s="98">
        <f>HLOOKUP($H$5,'Met Data'!$O$2:$T$368,G651,FALSE)</f>
        <v>3.9805130657979602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si="100"/>
        <v>342</v>
      </c>
      <c r="H652" s="97">
        <f t="shared" si="109"/>
        <v>45632</v>
      </c>
      <c r="I652" s="121">
        <f>HLOOKUP($H$5,'Met Data'!$A$2:$F$368,G652,FALSE)</f>
        <v>16.158333333333299</v>
      </c>
      <c r="J652" s="119">
        <f ca="1">HLOOKUP($H$5,'Met Data'!$H$2:$M$368,G652,FALSE)*L652</f>
        <v>3.96999999999999</v>
      </c>
      <c r="K652" s="98">
        <f>HLOOKUP($H$5,'Met Data'!$O$2:$T$368,G652,FALSE)</f>
        <v>3.9985245379954399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si="100"/>
        <v>343</v>
      </c>
      <c r="H653" s="97">
        <f t="shared" si="109"/>
        <v>45633</v>
      </c>
      <c r="I653" s="121">
        <f>HLOOKUP($H$5,'Met Data'!$A$2:$F$368,G653,FALSE)</f>
        <v>16.105</v>
      </c>
      <c r="J653" s="119">
        <f ca="1">HLOOKUP($H$5,'Met Data'!$H$2:$M$368,G653,FALSE)*L653</f>
        <v>2.43333333333333</v>
      </c>
      <c r="K653" s="98">
        <f>HLOOKUP($H$5,'Met Data'!$O$2:$T$368,G653,FALSE)</f>
        <v>4.0668482894046898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si="100"/>
        <v>344</v>
      </c>
      <c r="H654" s="97">
        <f t="shared" si="109"/>
        <v>45634</v>
      </c>
      <c r="I654" s="121">
        <f>HLOOKUP($H$5,'Met Data'!$A$2:$F$368,G654,FALSE)</f>
        <v>16.565000000000001</v>
      </c>
      <c r="J654" s="119">
        <f ca="1">HLOOKUP($H$5,'Met Data'!$H$2:$M$368,G654,FALSE)*L654</f>
        <v>1.57666666666666</v>
      </c>
      <c r="K654" s="98">
        <f>HLOOKUP($H$5,'Met Data'!$O$2:$T$368,G654,FALSE)</f>
        <v>4.3303303245888296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si="100"/>
        <v>345</v>
      </c>
      <c r="H655" s="97">
        <f t="shared" si="109"/>
        <v>45635</v>
      </c>
      <c r="I655" s="121">
        <f>HLOOKUP($H$5,'Met Data'!$A$2:$F$368,G655,FALSE)</f>
        <v>16.483333333333299</v>
      </c>
      <c r="J655" s="119">
        <f ca="1">HLOOKUP($H$5,'Met Data'!$H$2:$M$368,G655,FALSE)*L655</f>
        <v>2.9733333333333301</v>
      </c>
      <c r="K655" s="98">
        <f>HLOOKUP($H$5,'Met Data'!$O$2:$T$368,G655,FALSE)</f>
        <v>4.0534379567104599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si="100"/>
        <v>346</v>
      </c>
      <c r="H656" s="97">
        <f t="shared" si="109"/>
        <v>45636</v>
      </c>
      <c r="I656" s="121">
        <f>HLOOKUP($H$5,'Met Data'!$A$2:$F$368,G656,FALSE)</f>
        <v>17.015000000000001</v>
      </c>
      <c r="J656" s="119">
        <f ca="1">HLOOKUP($H$5,'Met Data'!$H$2:$M$368,G656,FALSE)*L656</f>
        <v>1.12666666666666</v>
      </c>
      <c r="K656" s="98">
        <f>HLOOKUP($H$5,'Met Data'!$O$2:$T$368,G656,FALSE)</f>
        <v>4.1505313677650202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si="100"/>
        <v>347</v>
      </c>
      <c r="H657" s="97">
        <f t="shared" si="109"/>
        <v>45637</v>
      </c>
      <c r="I657" s="121">
        <f>HLOOKUP($H$5,'Met Data'!$A$2:$F$368,G657,FALSE)</f>
        <v>17.483333333333299</v>
      </c>
      <c r="J657" s="119">
        <f ca="1">HLOOKUP($H$5,'Met Data'!$H$2:$M$368,G657,FALSE)*L657</f>
        <v>1.9166666666666601</v>
      </c>
      <c r="K657" s="98">
        <f>HLOOKUP($H$5,'Met Data'!$O$2:$T$368,G657,FALSE)</f>
        <v>3.8850422651579102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si="100"/>
        <v>348</v>
      </c>
      <c r="H658" s="97">
        <f t="shared" si="109"/>
        <v>45638</v>
      </c>
      <c r="I658" s="121">
        <f>HLOOKUP($H$5,'Met Data'!$A$2:$F$368,G658,FALSE)</f>
        <v>17.251666666666601</v>
      </c>
      <c r="J658" s="119">
        <f ca="1">HLOOKUP($H$5,'Met Data'!$H$2:$M$368,G658,FALSE)*L658</f>
        <v>1.93333333333333</v>
      </c>
      <c r="K658" s="98">
        <f>HLOOKUP($H$5,'Met Data'!$O$2:$T$368,G658,FALSE)</f>
        <v>4.3816384015384404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si="100"/>
        <v>349</v>
      </c>
      <c r="H659" s="97">
        <f t="shared" si="109"/>
        <v>45639</v>
      </c>
      <c r="I659" s="121">
        <f>HLOOKUP($H$5,'Met Data'!$A$2:$F$368,G659,FALSE)</f>
        <v>17.1733333333333</v>
      </c>
      <c r="J659" s="119">
        <f ca="1">HLOOKUP($H$5,'Met Data'!$H$2:$M$368,G659,FALSE)*L659</f>
        <v>4.1233333333333304</v>
      </c>
      <c r="K659" s="98">
        <f>HLOOKUP($H$5,'Met Data'!$O$2:$T$368,G659,FALSE)</f>
        <v>4.03321434314394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si="100"/>
        <v>350</v>
      </c>
      <c r="H660" s="97">
        <f t="shared" si="109"/>
        <v>45640</v>
      </c>
      <c r="I660" s="121">
        <f>HLOOKUP($H$5,'Met Data'!$A$2:$F$368,G660,FALSE)</f>
        <v>17.0068965517241</v>
      </c>
      <c r="J660" s="119">
        <f ca="1">HLOOKUP($H$5,'Met Data'!$H$2:$M$368,G660,FALSE)*L660</f>
        <v>2.5793103448275798</v>
      </c>
      <c r="K660" s="98">
        <f>HLOOKUP($H$5,'Met Data'!$O$2:$T$368,G660,FALSE)</f>
        <v>4.1838965938969297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si="100"/>
        <v>351</v>
      </c>
      <c r="H661" s="97">
        <f t="shared" si="109"/>
        <v>45641</v>
      </c>
      <c r="I661" s="121">
        <f>HLOOKUP($H$5,'Met Data'!$A$2:$F$368,G661,FALSE)</f>
        <v>17.105172413793099</v>
      </c>
      <c r="J661" s="119">
        <f ca="1">HLOOKUP($H$5,'Met Data'!$H$2:$M$368,G661,FALSE)*L661</f>
        <v>5.3551724137930998</v>
      </c>
      <c r="K661" s="98">
        <f>HLOOKUP($H$5,'Met Data'!$O$2:$T$368,G661,FALSE)</f>
        <v>3.9954599380242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si="100"/>
        <v>352</v>
      </c>
      <c r="H662" s="97">
        <f t="shared" si="109"/>
        <v>45642</v>
      </c>
      <c r="I662" s="121">
        <f>HLOOKUP($H$5,'Met Data'!$A$2:$F$368,G662,FALSE)</f>
        <v>17.153448275862001</v>
      </c>
      <c r="J662" s="119">
        <f ca="1">HLOOKUP($H$5,'Met Data'!$H$2:$M$368,G662,FALSE)*L662</f>
        <v>4.6827586206896497</v>
      </c>
      <c r="K662" s="98">
        <f>HLOOKUP($H$5,'Met Data'!$O$2:$T$368,G662,FALSE)</f>
        <v>4.0087446707632299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si="100"/>
        <v>353</v>
      </c>
      <c r="H663" s="97">
        <f t="shared" si="109"/>
        <v>45643</v>
      </c>
      <c r="I663" s="121">
        <f>HLOOKUP($H$5,'Met Data'!$A$2:$F$368,G663,FALSE)</f>
        <v>16.853448275862</v>
      </c>
      <c r="J663" s="119">
        <f ca="1">HLOOKUP($H$5,'Met Data'!$H$2:$M$368,G663,FALSE)*L663</f>
        <v>4.4103448275861998</v>
      </c>
      <c r="K663" s="98">
        <f>HLOOKUP($H$5,'Met Data'!$O$2:$T$368,G663,FALSE)</f>
        <v>3.8624789224218001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si="100"/>
        <v>354</v>
      </c>
      <c r="H664" s="97">
        <f t="shared" si="109"/>
        <v>45644</v>
      </c>
      <c r="I664" s="121">
        <f>HLOOKUP($H$5,'Met Data'!$A$2:$F$368,G664,FALSE)</f>
        <v>17.030357142857099</v>
      </c>
      <c r="J664" s="119">
        <f ca="1">HLOOKUP($H$5,'Met Data'!$H$2:$M$368,G664,FALSE)*L664</f>
        <v>4.3285714285714203</v>
      </c>
      <c r="K664" s="98">
        <f>HLOOKUP($H$5,'Met Data'!$O$2:$T$368,G664,FALSE)</f>
        <v>4.1713118658622399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si="100"/>
        <v>355</v>
      </c>
      <c r="H665" s="97">
        <f t="shared" si="109"/>
        <v>45645</v>
      </c>
      <c r="I665" s="121">
        <f>HLOOKUP($H$5,'Met Data'!$A$2:$F$368,G665,FALSE)</f>
        <v>17.3086206896551</v>
      </c>
      <c r="J665" s="119">
        <f ca="1">HLOOKUP($H$5,'Met Data'!$H$2:$M$368,G665,FALSE)*L665</f>
        <v>1.38620689655172</v>
      </c>
      <c r="K665" s="98">
        <f>HLOOKUP($H$5,'Met Data'!$O$2:$T$368,G665,FALSE)</f>
        <v>4.2492728260034598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si="100"/>
        <v>356</v>
      </c>
      <c r="H666" s="97">
        <f t="shared" si="109"/>
        <v>45646</v>
      </c>
      <c r="I666" s="121">
        <f>HLOOKUP($H$5,'Met Data'!$A$2:$F$368,G666,FALSE)</f>
        <v>17.3086206896551</v>
      </c>
      <c r="J666" s="119">
        <f ca="1">HLOOKUP($H$5,'Met Data'!$H$2:$M$368,G666,FALSE)*L666</f>
        <v>3.66206896551724</v>
      </c>
      <c r="K666" s="98">
        <f>HLOOKUP($H$5,'Met Data'!$O$2:$T$368,G666,FALSE)</f>
        <v>3.9108587200843599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si="100"/>
        <v>357</v>
      </c>
      <c r="H667" s="97">
        <f t="shared" si="109"/>
        <v>45647</v>
      </c>
      <c r="I667" s="121">
        <f>HLOOKUP($H$5,'Met Data'!$A$2:$F$368,G667,FALSE)</f>
        <v>17.474137931034399</v>
      </c>
      <c r="J667" s="119">
        <f ca="1">HLOOKUP($H$5,'Met Data'!$H$2:$M$368,G667,FALSE)*L667</f>
        <v>1.82758620689655</v>
      </c>
      <c r="K667" s="98">
        <f>HLOOKUP($H$5,'Met Data'!$O$2:$T$368,G667,FALSE)</f>
        <v>4.3560784704810001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si="100"/>
        <v>358</v>
      </c>
      <c r="H668" s="97">
        <f t="shared" si="109"/>
        <v>45648</v>
      </c>
      <c r="I668" s="121">
        <f>HLOOKUP($H$5,'Met Data'!$A$2:$F$368,G668,FALSE)</f>
        <v>17.091379310344799</v>
      </c>
      <c r="J668" s="119">
        <f ca="1">HLOOKUP($H$5,'Met Data'!$H$2:$M$368,G668,FALSE)*L668</f>
        <v>2.22413793103448</v>
      </c>
      <c r="K668" s="98">
        <f>HLOOKUP($H$5,'Met Data'!$O$2:$T$368,G668,FALSE)</f>
        <v>4.1386344294122503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si="100"/>
        <v>359</v>
      </c>
      <c r="H669" s="97">
        <f t="shared" si="109"/>
        <v>45649</v>
      </c>
      <c r="I669" s="121">
        <f>HLOOKUP($H$5,'Met Data'!$A$2:$F$368,G669,FALSE)</f>
        <v>17.2275862068965</v>
      </c>
      <c r="J669" s="119">
        <f ca="1">HLOOKUP($H$5,'Met Data'!$H$2:$M$368,G669,FALSE)*L669</f>
        <v>3.0655172413793101</v>
      </c>
      <c r="K669" s="98">
        <f>HLOOKUP($H$5,'Met Data'!$O$2:$T$368,G669,FALSE)</f>
        <v>3.7757934515094398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si="100"/>
        <v>360</v>
      </c>
      <c r="H670" s="97">
        <f t="shared" si="109"/>
        <v>45650</v>
      </c>
      <c r="I670" s="121">
        <f>HLOOKUP($H$5,'Met Data'!$A$2:$F$368,G670,FALSE)</f>
        <v>17.475862068965501</v>
      </c>
      <c r="J670" s="119">
        <f ca="1">HLOOKUP($H$5,'Met Data'!$H$2:$M$368,G670,FALSE)*L670</f>
        <v>4.4724137931034402</v>
      </c>
      <c r="K670" s="98">
        <f>HLOOKUP($H$5,'Met Data'!$O$2:$T$368,G670,FALSE)</f>
        <v>3.82075028631309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si="100"/>
        <v>361</v>
      </c>
      <c r="H671" s="97">
        <f t="shared" si="109"/>
        <v>45651</v>
      </c>
      <c r="I671" s="121">
        <f>HLOOKUP($H$5,'Met Data'!$A$2:$F$368,G671,FALSE)</f>
        <v>17.193103448275799</v>
      </c>
      <c r="J671" s="119">
        <f ca="1">HLOOKUP($H$5,'Met Data'!$H$2:$M$368,G671,FALSE)*L671</f>
        <v>1.2034482758620599</v>
      </c>
      <c r="K671" s="98">
        <f>HLOOKUP($H$5,'Met Data'!$O$2:$T$368,G671,FALSE)</f>
        <v>4.4822943456663404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si="100"/>
        <v>362</v>
      </c>
      <c r="H672" s="97">
        <f t="shared" si="109"/>
        <v>45652</v>
      </c>
      <c r="I672" s="121">
        <f>HLOOKUP($H$5,'Met Data'!$A$2:$F$368,G672,FALSE)</f>
        <v>17.263793103448201</v>
      </c>
      <c r="J672" s="119">
        <f ca="1">HLOOKUP($H$5,'Met Data'!$H$2:$M$368,G672,FALSE)*L672</f>
        <v>1.9379310344827501</v>
      </c>
      <c r="K672" s="98">
        <f>HLOOKUP($H$5,'Met Data'!$O$2:$T$368,G672,FALSE)</f>
        <v>4.2854150969519402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si="100"/>
        <v>363</v>
      </c>
      <c r="H673" s="97">
        <f t="shared" si="109"/>
        <v>45653</v>
      </c>
      <c r="I673" s="121">
        <f>HLOOKUP($H$5,'Met Data'!$A$2:$F$368,G673,FALSE)</f>
        <v>18.060344827586199</v>
      </c>
      <c r="J673" s="119">
        <f ca="1">HLOOKUP($H$5,'Met Data'!$H$2:$M$368,G673,FALSE)*L673</f>
        <v>0.81379310344827505</v>
      </c>
      <c r="K673" s="98">
        <f>HLOOKUP($H$5,'Met Data'!$O$2:$T$368,G673,FALSE)</f>
        <v>4.2768570571644897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si="100"/>
        <v>364</v>
      </c>
      <c r="H674" s="97">
        <f t="shared" si="109"/>
        <v>45654</v>
      </c>
      <c r="I674" s="121">
        <f>HLOOKUP($H$5,'Met Data'!$A$2:$F$368,G674,FALSE)</f>
        <v>18.386206896551698</v>
      </c>
      <c r="J674" s="119">
        <f ca="1">HLOOKUP($H$5,'Met Data'!$H$2:$M$368,G674,FALSE)*L674</f>
        <v>3.0068965517241302</v>
      </c>
      <c r="K674" s="98">
        <f>HLOOKUP($H$5,'Met Data'!$O$2:$T$368,G674,FALSE)</f>
        <v>4.2622812571545499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si="100"/>
        <v>365</v>
      </c>
      <c r="H675" s="97">
        <f t="shared" si="109"/>
        <v>45655</v>
      </c>
      <c r="I675" s="121">
        <f>HLOOKUP($H$5,'Met Data'!$A$2:$F$368,G675,FALSE)</f>
        <v>18.156896551724099</v>
      </c>
      <c r="J675" s="119">
        <f ca="1">HLOOKUP($H$5,'Met Data'!$H$2:$M$368,G675,FALSE)*L675</f>
        <v>4.4172413793103402</v>
      </c>
      <c r="K675" s="98">
        <f>HLOOKUP($H$5,'Met Data'!$O$2:$T$368,G675,FALSE)</f>
        <v>3.8040621578745699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si="100"/>
        <v>366</v>
      </c>
      <c r="H676" s="97">
        <f t="shared" si="109"/>
        <v>45656</v>
      </c>
      <c r="I676" s="121">
        <f>HLOOKUP($H$5,'Met Data'!$A$2:$F$368,G676,FALSE)</f>
        <v>17.8086206896551</v>
      </c>
      <c r="J676" s="119">
        <f ca="1">HLOOKUP($H$5,'Met Data'!$H$2:$M$368,G676,FALSE)*L676</f>
        <v>8.7896551724137897</v>
      </c>
      <c r="K676" s="98">
        <f>HLOOKUP($H$5,'Met Data'!$O$2:$T$368,G676,FALSE)</f>
        <v>3.8298931146257198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si="100"/>
        <v>367</v>
      </c>
      <c r="H677" s="97">
        <f t="shared" si="109"/>
        <v>45657</v>
      </c>
      <c r="I677" s="121">
        <f>HLOOKUP($H$5,'Met Data'!$A$2:$F$368,G677,FALSE)</f>
        <v>17.691666666666599</v>
      </c>
      <c r="J677" s="119">
        <f ca="1">HLOOKUP($H$5,'Met Data'!$H$2:$M$368,G677,FALSE)*L677</f>
        <v>2.4166666666666599</v>
      </c>
      <c r="K677" s="98">
        <f>HLOOKUP($H$5,'Met Data'!$O$2:$T$368,G677,FALSE)</f>
        <v>4.2176739505731602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si="100"/>
        <v>2</v>
      </c>
      <c r="H678" s="97">
        <f t="shared" si="109"/>
        <v>45658</v>
      </c>
      <c r="I678" s="121">
        <f>HLOOKUP($H$5,'Met Data'!$A$2:$F$368,G678,FALSE)</f>
        <v>17.639655172413701</v>
      </c>
      <c r="J678" s="119">
        <f ca="1">HLOOKUP($H$5,'Met Data'!$H$2:$M$368,G678,FALSE)*L678</f>
        <v>2.9862068965517201</v>
      </c>
      <c r="K678" s="98">
        <f>HLOOKUP($H$5,'Met Data'!$O$2:$T$368,G678,FALSE)</f>
        <v>4.7314305048111098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si="100"/>
        <v>3</v>
      </c>
      <c r="H679" s="97">
        <f t="shared" si="109"/>
        <v>45659</v>
      </c>
      <c r="I679" s="121">
        <f>HLOOKUP($H$5,'Met Data'!$A$2:$F$368,G679,FALSE)</f>
        <v>18.013793103448201</v>
      </c>
      <c r="J679" s="119">
        <f ca="1">HLOOKUP($H$5,'Met Data'!$H$2:$M$368,G679,FALSE)*L679</f>
        <v>1.4517241379310299</v>
      </c>
      <c r="K679" s="98">
        <f>HLOOKUP($H$5,'Met Data'!$O$2:$T$368,G679,FALSE)</f>
        <v>4.7184733001505199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si="100"/>
        <v>4</v>
      </c>
      <c r="H680" s="97">
        <f t="shared" si="109"/>
        <v>45660</v>
      </c>
      <c r="I680" s="121">
        <f>HLOOKUP($H$5,'Met Data'!$A$2:$F$368,G680,FALSE)</f>
        <v>17.827586206896498</v>
      </c>
      <c r="J680" s="119">
        <f ca="1">HLOOKUP($H$5,'Met Data'!$H$2:$M$368,G680,FALSE)*L680</f>
        <v>1.27241379310344</v>
      </c>
      <c r="K680" s="98">
        <f>HLOOKUP($H$5,'Met Data'!$O$2:$T$368,G680,FALSE)</f>
        <v>4.5153833563593304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si="100"/>
        <v>5</v>
      </c>
      <c r="H681" s="97">
        <f t="shared" si="109"/>
        <v>45661</v>
      </c>
      <c r="I681" s="121">
        <f>HLOOKUP($H$5,'Met Data'!$A$2:$F$368,G681,FALSE)</f>
        <v>18.068965517241299</v>
      </c>
      <c r="J681" s="119">
        <f ca="1">HLOOKUP($H$5,'Met Data'!$H$2:$M$368,G681,FALSE)*L681</f>
        <v>1.3206896551724101</v>
      </c>
      <c r="K681" s="98">
        <f>HLOOKUP($H$5,'Met Data'!$O$2:$T$368,G681,FALSE)</f>
        <v>4.6266971172714904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si="100"/>
        <v>6</v>
      </c>
      <c r="H682" s="97">
        <f t="shared" si="109"/>
        <v>45662</v>
      </c>
      <c r="I682" s="121">
        <f>HLOOKUP($H$5,'Met Data'!$A$2:$F$368,G682,FALSE)</f>
        <v>17.658620689655098</v>
      </c>
      <c r="J682" s="119">
        <f ca="1">HLOOKUP($H$5,'Met Data'!$H$2:$M$368,G682,FALSE)*L682</f>
        <v>1.64137931034482</v>
      </c>
      <c r="K682" s="98">
        <f>HLOOKUP($H$5,'Met Data'!$O$2:$T$368,G682,FALSE)</f>
        <v>4.7524735832446101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si="100"/>
        <v>7</v>
      </c>
      <c r="H683" s="97">
        <f t="shared" si="109"/>
        <v>45663</v>
      </c>
      <c r="I683" s="121">
        <f>HLOOKUP($H$5,'Met Data'!$A$2:$F$368,G683,FALSE)</f>
        <v>17.7431034482758</v>
      </c>
      <c r="J683" s="119">
        <f ca="1">HLOOKUP($H$5,'Met Data'!$H$2:$M$368,G683,FALSE)*L683</f>
        <v>1.8206896551724101</v>
      </c>
      <c r="K683" s="98">
        <f>HLOOKUP($H$5,'Met Data'!$O$2:$T$368,G683,FALSE)</f>
        <v>4.5675277776113097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si="100"/>
        <v>8</v>
      </c>
      <c r="H684" s="97">
        <f t="shared" si="109"/>
        <v>45664</v>
      </c>
      <c r="I684" s="121">
        <f>HLOOKUP($H$5,'Met Data'!$A$2:$F$368,G684,FALSE)</f>
        <v>18.181034482758601</v>
      </c>
      <c r="J684" s="119">
        <f ca="1">HLOOKUP($H$5,'Met Data'!$H$2:$M$368,G684,FALSE)*L684</f>
        <v>1.4896551724137901</v>
      </c>
      <c r="K684" s="98">
        <f>HLOOKUP($H$5,'Met Data'!$O$2:$T$368,G684,FALSE)</f>
        <v>4.0945523595888398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si="100"/>
        <v>9</v>
      </c>
      <c r="H685" s="97">
        <f t="shared" si="109"/>
        <v>45665</v>
      </c>
      <c r="I685" s="121">
        <f>HLOOKUP($H$5,'Met Data'!$A$2:$F$368,G685,FALSE)</f>
        <v>18.393103448275799</v>
      </c>
      <c r="J685" s="119">
        <f ca="1">HLOOKUP($H$5,'Met Data'!$H$2:$M$368,G685,FALSE)*L685</f>
        <v>2.69655172413793</v>
      </c>
      <c r="K685" s="98">
        <f>HLOOKUP($H$5,'Met Data'!$O$2:$T$368,G685,FALSE)</f>
        <v>4.0360392602952304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si="100"/>
        <v>10</v>
      </c>
      <c r="H686" s="97">
        <f t="shared" si="109"/>
        <v>45666</v>
      </c>
      <c r="I686" s="121">
        <f>HLOOKUP($H$5,'Met Data'!$A$2:$F$368,G686,FALSE)</f>
        <v>18.6103448275862</v>
      </c>
      <c r="J686" s="119">
        <f ca="1">HLOOKUP($H$5,'Met Data'!$H$2:$M$368,G686,FALSE)*L686</f>
        <v>3.0103448275861999</v>
      </c>
      <c r="K686" s="98">
        <f>HLOOKUP($H$5,'Met Data'!$O$2:$T$368,G686,FALSE)</f>
        <v>4.1608753956650997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si="100"/>
        <v>11</v>
      </c>
      <c r="H687" s="97">
        <f t="shared" si="109"/>
        <v>45667</v>
      </c>
      <c r="I687" s="121">
        <f>HLOOKUP($H$5,'Met Data'!$A$2:$F$368,G687,FALSE)</f>
        <v>18.453448275862002</v>
      </c>
      <c r="J687" s="119">
        <f ca="1">HLOOKUP($H$5,'Met Data'!$H$2:$M$368,G687,FALSE)*L687</f>
        <v>1.2689655172413701</v>
      </c>
      <c r="K687" s="98">
        <f>HLOOKUP($H$5,'Met Data'!$O$2:$T$368,G687,FALSE)</f>
        <v>4.5179186785714496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si="100"/>
        <v>12</v>
      </c>
      <c r="H688" s="97">
        <f t="shared" si="109"/>
        <v>45668</v>
      </c>
      <c r="I688" s="121">
        <f>HLOOKUP($H$5,'Met Data'!$A$2:$F$368,G688,FALSE)</f>
        <v>18.186206896551699</v>
      </c>
      <c r="J688" s="119">
        <f ca="1">HLOOKUP($H$5,'Met Data'!$H$2:$M$368,G688,FALSE)*L688</f>
        <v>1.3413793103448199</v>
      </c>
      <c r="K688" s="98">
        <f>HLOOKUP($H$5,'Met Data'!$O$2:$T$368,G688,FALSE)</f>
        <v>4.5303746944186001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si="110">H689-DATE(YEAR(H689),1,0)+1</f>
        <v>13</v>
      </c>
      <c r="H689" s="97">
        <f t="shared" si="109"/>
        <v>45669</v>
      </c>
      <c r="I689" s="121">
        <f>HLOOKUP($H$5,'Met Data'!$A$2:$F$368,G689,FALSE)</f>
        <v>18.314999999999898</v>
      </c>
      <c r="J689" s="119">
        <f ca="1">HLOOKUP($H$5,'Met Data'!$H$2:$M$368,G689,FALSE)*L689</f>
        <v>0.95</v>
      </c>
      <c r="K689" s="98">
        <f>HLOOKUP($H$5,'Met Data'!$O$2:$T$368,G689,FALSE)</f>
        <v>4.1021279144140701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si="110"/>
        <v>14</v>
      </c>
      <c r="H690" s="97">
        <f t="shared" si="109"/>
        <v>45670</v>
      </c>
      <c r="I690" s="121">
        <f>HLOOKUP($H$5,'Met Data'!$A$2:$F$368,G690,FALSE)</f>
        <v>18.473333333333301</v>
      </c>
      <c r="J690" s="119">
        <f ca="1">HLOOKUP($H$5,'Met Data'!$H$2:$M$368,G690,FALSE)*L690</f>
        <v>3.7233333333333301</v>
      </c>
      <c r="K690" s="98">
        <f>HLOOKUP($H$5,'Met Data'!$O$2:$T$368,G690,FALSE)</f>
        <v>4.3613860913388498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si="110"/>
        <v>15</v>
      </c>
      <c r="H691" s="97">
        <f t="shared" si="109"/>
        <v>45671</v>
      </c>
      <c r="I691" s="121">
        <f>HLOOKUP($H$5,'Met Data'!$A$2:$F$368,G691,FALSE)</f>
        <v>18.684999999999999</v>
      </c>
      <c r="J691" s="119">
        <f ca="1">HLOOKUP($H$5,'Met Data'!$H$2:$M$368,G691,FALSE)*L691</f>
        <v>2.2466666666666599</v>
      </c>
      <c r="K691" s="98">
        <f>HLOOKUP($H$5,'Met Data'!$O$2:$T$368,G691,FALSE)</f>
        <v>4.5029029229169799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si="110"/>
        <v>16</v>
      </c>
      <c r="H692" s="97">
        <f t="shared" si="109"/>
        <v>45672</v>
      </c>
      <c r="I692" s="121">
        <f>HLOOKUP($H$5,'Met Data'!$A$2:$F$368,G692,FALSE)</f>
        <v>18.661666666666601</v>
      </c>
      <c r="J692" s="119">
        <f ca="1">HLOOKUP($H$5,'Met Data'!$H$2:$M$368,G692,FALSE)*L692</f>
        <v>1.3333333333333299</v>
      </c>
      <c r="K692" s="98">
        <f>HLOOKUP($H$5,'Met Data'!$O$2:$T$368,G692,FALSE)</f>
        <v>4.6368762557636201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si="110"/>
        <v>17</v>
      </c>
      <c r="H693" s="97">
        <f t="shared" si="109"/>
        <v>45673</v>
      </c>
      <c r="I693" s="121">
        <f>HLOOKUP($H$5,'Met Data'!$A$2:$F$368,G693,FALSE)</f>
        <v>18.636666666666599</v>
      </c>
      <c r="J693" s="119">
        <f ca="1">HLOOKUP($H$5,'Met Data'!$H$2:$M$368,G693,FALSE)*L693</f>
        <v>3.0133333333333301</v>
      </c>
      <c r="K693" s="98">
        <f>HLOOKUP($H$5,'Met Data'!$O$2:$T$368,G693,FALSE)</f>
        <v>4.4386060395545801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si="110"/>
        <v>18</v>
      </c>
      <c r="H694" s="97">
        <f t="shared" si="109"/>
        <v>45674</v>
      </c>
      <c r="I694" s="121">
        <f>HLOOKUP($H$5,'Met Data'!$A$2:$F$368,G694,FALSE)</f>
        <v>18.4233333333333</v>
      </c>
      <c r="J694" s="119">
        <f ca="1">HLOOKUP($H$5,'Met Data'!$H$2:$M$368,G694,FALSE)*L694</f>
        <v>2.7833333333333301</v>
      </c>
      <c r="K694" s="98">
        <f>HLOOKUP($H$5,'Met Data'!$O$2:$T$368,G694,FALSE)</f>
        <v>4.10260332014568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si="110"/>
        <v>19</v>
      </c>
      <c r="H695" s="97">
        <f t="shared" si="109"/>
        <v>45675</v>
      </c>
      <c r="I695" s="121">
        <f>HLOOKUP($H$5,'Met Data'!$A$2:$F$368,G695,FALSE)</f>
        <v>18.466666666666601</v>
      </c>
      <c r="J695" s="119">
        <f ca="1">HLOOKUP($H$5,'Met Data'!$H$2:$M$368,G695,FALSE)*L695</f>
        <v>2.1566666666666601</v>
      </c>
      <c r="K695" s="98">
        <f>HLOOKUP($H$5,'Met Data'!$O$2:$T$368,G695,FALSE)</f>
        <v>4.3976375931712202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si="110"/>
        <v>20</v>
      </c>
      <c r="H696" s="97">
        <f t="shared" si="109"/>
        <v>45676</v>
      </c>
      <c r="I696" s="121">
        <f>HLOOKUP($H$5,'Met Data'!$A$2:$F$368,G696,FALSE)</f>
        <v>18.754999999999999</v>
      </c>
      <c r="J696" s="119">
        <f ca="1">HLOOKUP($H$5,'Met Data'!$H$2:$M$368,G696,FALSE)*L696</f>
        <v>2.2333333333333298</v>
      </c>
      <c r="K696" s="98">
        <f>HLOOKUP($H$5,'Met Data'!$O$2:$T$368,G696,FALSE)</f>
        <v>4.5811789756342201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si="110"/>
        <v>21</v>
      </c>
      <c r="H697" s="97">
        <f t="shared" si="109"/>
        <v>45677</v>
      </c>
      <c r="I697" s="121">
        <f>HLOOKUP($H$5,'Met Data'!$A$2:$F$368,G697,FALSE)</f>
        <v>18.6933333333333</v>
      </c>
      <c r="J697" s="119">
        <f ca="1">HLOOKUP($H$5,'Met Data'!$H$2:$M$368,G697,FALSE)*L697</f>
        <v>1.02666666666666</v>
      </c>
      <c r="K697" s="98">
        <f>HLOOKUP($H$5,'Met Data'!$O$2:$T$368,G697,FALSE)</f>
        <v>4.23484882575071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si="110"/>
        <v>22</v>
      </c>
      <c r="H698" s="97">
        <f t="shared" si="109"/>
        <v>45678</v>
      </c>
      <c r="I698" s="121">
        <f>HLOOKUP($H$5,'Met Data'!$A$2:$F$368,G698,FALSE)</f>
        <v>18.914999999999999</v>
      </c>
      <c r="J698" s="119">
        <f ca="1">HLOOKUP($H$5,'Met Data'!$H$2:$M$368,G698,FALSE)*L698</f>
        <v>8.4066666666666592</v>
      </c>
      <c r="K698" s="98">
        <f>HLOOKUP($H$5,'Met Data'!$O$2:$T$368,G698,FALSE)</f>
        <v>4.2358684276247196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si="110"/>
        <v>23</v>
      </c>
      <c r="H699" s="97">
        <f t="shared" si="109"/>
        <v>45679</v>
      </c>
      <c r="I699" s="121">
        <f>HLOOKUP($H$5,'Met Data'!$A$2:$F$368,G699,FALSE)</f>
        <v>19.0133333333333</v>
      </c>
      <c r="J699" s="119">
        <f ca="1">HLOOKUP($H$5,'Met Data'!$H$2:$M$368,G699,FALSE)*L699</f>
        <v>3.7366666666666601</v>
      </c>
      <c r="K699" s="98">
        <f>HLOOKUP($H$5,'Met Data'!$O$2:$T$368,G699,FALSE)</f>
        <v>4.0376213451036698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si="110"/>
        <v>24</v>
      </c>
      <c r="H700" s="97">
        <f t="shared" si="109"/>
        <v>45680</v>
      </c>
      <c r="I700" s="121">
        <f>HLOOKUP($H$5,'Met Data'!$A$2:$F$368,G700,FALSE)</f>
        <v>19.03</v>
      </c>
      <c r="J700" s="119">
        <f ca="1">HLOOKUP($H$5,'Met Data'!$H$2:$M$368,G700,FALSE)*L700</f>
        <v>2.4266666666666601</v>
      </c>
      <c r="K700" s="98">
        <f>HLOOKUP($H$5,'Met Data'!$O$2:$T$368,G700,FALSE)</f>
        <v>4.3725520099572401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si="110"/>
        <v>25</v>
      </c>
      <c r="H701" s="97">
        <f t="shared" si="109"/>
        <v>45681</v>
      </c>
      <c r="I701" s="121">
        <f>HLOOKUP($H$5,'Met Data'!$A$2:$F$368,G701,FALSE)</f>
        <v>19.07</v>
      </c>
      <c r="J701" s="119">
        <f ca="1">HLOOKUP($H$5,'Met Data'!$H$2:$M$368,G701,FALSE)*L701</f>
        <v>3.4166666666666599</v>
      </c>
      <c r="K701" s="98">
        <f>HLOOKUP($H$5,'Met Data'!$O$2:$T$368,G701,FALSE)</f>
        <v>4.19340465226154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si="110"/>
        <v>26</v>
      </c>
      <c r="H702" s="97">
        <f t="shared" si="109"/>
        <v>45682</v>
      </c>
      <c r="I702" s="121">
        <f>HLOOKUP($H$5,'Met Data'!$A$2:$F$368,G702,FALSE)</f>
        <v>19.3</v>
      </c>
      <c r="J702" s="119">
        <f ca="1">HLOOKUP($H$5,'Met Data'!$H$2:$M$368,G702,FALSE)*L702</f>
        <v>3.70333333333333</v>
      </c>
      <c r="K702" s="98">
        <f>HLOOKUP($H$5,'Met Data'!$O$2:$T$368,G702,FALSE)</f>
        <v>4.6119458181628401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si="110"/>
        <v>27</v>
      </c>
      <c r="H703" s="97">
        <f t="shared" si="109"/>
        <v>45683</v>
      </c>
      <c r="I703" s="121">
        <f>HLOOKUP($H$5,'Met Data'!$A$2:$F$368,G703,FALSE)</f>
        <v>19.418333333333301</v>
      </c>
      <c r="J703" s="119">
        <f ca="1">HLOOKUP($H$5,'Met Data'!$H$2:$M$368,G703,FALSE)*L703</f>
        <v>1.2566666666666599</v>
      </c>
      <c r="K703" s="98">
        <f>HLOOKUP($H$5,'Met Data'!$O$2:$T$368,G703,FALSE)</f>
        <v>4.4486726941054897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si="110"/>
        <v>28</v>
      </c>
      <c r="H704" s="97">
        <f t="shared" si="109"/>
        <v>45684</v>
      </c>
      <c r="I704" s="121">
        <f>HLOOKUP($H$5,'Met Data'!$A$2:$F$368,G704,FALSE)</f>
        <v>19.086666666666599</v>
      </c>
      <c r="J704" s="119">
        <f ca="1">HLOOKUP($H$5,'Met Data'!$H$2:$M$368,G704,FALSE)*L704</f>
        <v>2.65</v>
      </c>
      <c r="K704" s="98">
        <f>HLOOKUP($H$5,'Met Data'!$O$2:$T$368,G704,FALSE)</f>
        <v>4.6925683722845504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si="110"/>
        <v>29</v>
      </c>
      <c r="H705" s="97">
        <f t="shared" si="109"/>
        <v>45685</v>
      </c>
      <c r="I705" s="121">
        <f>HLOOKUP($H$5,'Met Data'!$A$2:$F$368,G705,FALSE)</f>
        <v>19.248333333333299</v>
      </c>
      <c r="J705" s="119">
        <f ca="1">HLOOKUP($H$5,'Met Data'!$H$2:$M$368,G705,FALSE)*L705</f>
        <v>1.81</v>
      </c>
      <c r="K705" s="98">
        <f>HLOOKUP($H$5,'Met Data'!$O$2:$T$368,G705,FALSE)</f>
        <v>4.8021312602016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si="110"/>
        <v>30</v>
      </c>
      <c r="H706" s="97">
        <f t="shared" si="109"/>
        <v>45686</v>
      </c>
      <c r="I706" s="121">
        <f>HLOOKUP($H$5,'Met Data'!$A$2:$F$368,G706,FALSE)</f>
        <v>19.486666666666601</v>
      </c>
      <c r="J706" s="119">
        <f ca="1">HLOOKUP($H$5,'Met Data'!$H$2:$M$368,G706,FALSE)*L706</f>
        <v>2.1066666666666598</v>
      </c>
      <c r="K706" s="98">
        <f>HLOOKUP($H$5,'Met Data'!$O$2:$T$368,G706,FALSE)</f>
        <v>4.81456570354226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si="110"/>
        <v>31</v>
      </c>
      <c r="H707" s="97">
        <f t="shared" si="109"/>
        <v>45687</v>
      </c>
      <c r="I707" s="121">
        <f>HLOOKUP($H$5,'Met Data'!$A$2:$F$368,G707,FALSE)</f>
        <v>19.725000000000001</v>
      </c>
      <c r="J707" s="119">
        <f ca="1">HLOOKUP($H$5,'Met Data'!$H$2:$M$368,G707,FALSE)*L707</f>
        <v>3.1033333333333299</v>
      </c>
      <c r="K707" s="98">
        <f>HLOOKUP($H$5,'Met Data'!$O$2:$T$368,G707,FALSE)</f>
        <v>4.4640725934925003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si="110"/>
        <v>32</v>
      </c>
      <c r="H708" s="97">
        <f t="shared" si="109"/>
        <v>45688</v>
      </c>
      <c r="I708" s="121">
        <f>HLOOKUP($H$5,'Met Data'!$A$2:$F$368,G708,FALSE)</f>
        <v>19.670000000000002</v>
      </c>
      <c r="J708" s="119">
        <f ca="1">HLOOKUP($H$5,'Met Data'!$H$2:$M$368,G708,FALSE)*L708</f>
        <v>2.7466666666666599</v>
      </c>
      <c r="K708" s="98">
        <f>HLOOKUP($H$5,'Met Data'!$O$2:$T$368,G708,FALSE)</f>
        <v>4.1799437739427896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si="110"/>
        <v>33</v>
      </c>
      <c r="H709" s="97">
        <f t="shared" si="109"/>
        <v>45689</v>
      </c>
      <c r="I709" s="121">
        <f>HLOOKUP($H$5,'Met Data'!$A$2:$F$368,G709,FALSE)</f>
        <v>19.770689655172401</v>
      </c>
      <c r="J709" s="119">
        <f ca="1">HLOOKUP($H$5,'Met Data'!$H$2:$M$368,G709,FALSE)*L709</f>
        <v>1.1103448275862</v>
      </c>
      <c r="K709" s="98">
        <f>HLOOKUP($H$5,'Met Data'!$O$2:$T$368,G709,FALSE)</f>
        <v>4.5867414057587403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si="110"/>
        <v>34</v>
      </c>
      <c r="H710" s="97">
        <f t="shared" si="109"/>
        <v>45690</v>
      </c>
      <c r="I710" s="121">
        <f>HLOOKUP($H$5,'Met Data'!$A$2:$F$368,G710,FALSE)</f>
        <v>19.548275862068898</v>
      </c>
      <c r="J710" s="119">
        <f ca="1">HLOOKUP($H$5,'Met Data'!$H$2:$M$368,G710,FALSE)*L710</f>
        <v>4.0620689655172404</v>
      </c>
      <c r="K710" s="98">
        <f>HLOOKUP($H$5,'Met Data'!$O$2:$T$368,G710,FALSE)</f>
        <v>4.65070177511826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si="110"/>
        <v>35</v>
      </c>
      <c r="H711" s="97">
        <f t="shared" si="109"/>
        <v>45691</v>
      </c>
      <c r="I711" s="121">
        <f>HLOOKUP($H$5,'Met Data'!$A$2:$F$368,G711,FALSE)</f>
        <v>19.325862068965499</v>
      </c>
      <c r="J711" s="119">
        <f ca="1">HLOOKUP($H$5,'Met Data'!$H$2:$M$368,G711,FALSE)*L711</f>
        <v>1.00344827586206</v>
      </c>
      <c r="K711" s="98">
        <f>HLOOKUP($H$5,'Met Data'!$O$2:$T$368,G711,FALSE)</f>
        <v>4.2568283320677196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si="110"/>
        <v>36</v>
      </c>
      <c r="H712" s="97">
        <f t="shared" si="109"/>
        <v>45692</v>
      </c>
      <c r="I712" s="121">
        <f>HLOOKUP($H$5,'Met Data'!$A$2:$F$368,G712,FALSE)</f>
        <v>18.712068965517201</v>
      </c>
      <c r="J712" s="119">
        <f ca="1">HLOOKUP($H$5,'Met Data'!$H$2:$M$368,G712,FALSE)*L712</f>
        <v>4.7586206896551699</v>
      </c>
      <c r="K712" s="98">
        <f>HLOOKUP($H$5,'Met Data'!$O$2:$T$368,G712,FALSE)</f>
        <v>3.6726350990735899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si="110"/>
        <v>37</v>
      </c>
      <c r="H713" s="97">
        <f t="shared" ref="H713:H776" si="119">H712+1</f>
        <v>45693</v>
      </c>
      <c r="I713" s="121">
        <f>HLOOKUP($H$5,'Met Data'!$A$2:$F$368,G713,FALSE)</f>
        <v>19.178333333333299</v>
      </c>
      <c r="J713" s="119">
        <f ca="1">HLOOKUP($H$5,'Met Data'!$H$2:$M$368,G713,FALSE)*L713</f>
        <v>2.2833333333333301</v>
      </c>
      <c r="K713" s="98">
        <f>HLOOKUP($H$5,'Met Data'!$O$2:$T$368,G713,FALSE)</f>
        <v>4.0355922642947899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si="110"/>
        <v>38</v>
      </c>
      <c r="H714" s="97">
        <f t="shared" si="119"/>
        <v>45694</v>
      </c>
      <c r="I714" s="121">
        <f>HLOOKUP($H$5,'Met Data'!$A$2:$F$368,G714,FALSE)</f>
        <v>19.063333333333301</v>
      </c>
      <c r="J714" s="119">
        <f ca="1">HLOOKUP($H$5,'Met Data'!$H$2:$M$368,G714,FALSE)*L714</f>
        <v>0.35</v>
      </c>
      <c r="K714" s="98">
        <f>HLOOKUP($H$5,'Met Data'!$O$2:$T$368,G714,FALSE)</f>
        <v>4.5836031413853302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si="110"/>
        <v>39</v>
      </c>
      <c r="H715" s="97">
        <f t="shared" si="119"/>
        <v>45695</v>
      </c>
      <c r="I715" s="121">
        <f>HLOOKUP($H$5,'Met Data'!$A$2:$F$368,G715,FALSE)</f>
        <v>19.164999999999999</v>
      </c>
      <c r="J715" s="119">
        <f ca="1">HLOOKUP($H$5,'Met Data'!$H$2:$M$368,G715,FALSE)*L715</f>
        <v>0.80666666666666598</v>
      </c>
      <c r="K715" s="98">
        <f>HLOOKUP($H$5,'Met Data'!$O$2:$T$368,G715,FALSE)</f>
        <v>4.2844164584952198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si="110"/>
        <v>40</v>
      </c>
      <c r="H716" s="97">
        <f t="shared" si="119"/>
        <v>45696</v>
      </c>
      <c r="I716" s="121">
        <f>HLOOKUP($H$5,'Met Data'!$A$2:$F$368,G716,FALSE)</f>
        <v>19.145</v>
      </c>
      <c r="J716" s="119">
        <f ca="1">HLOOKUP($H$5,'Met Data'!$H$2:$M$368,G716,FALSE)*L716</f>
        <v>2.1066666666666598</v>
      </c>
      <c r="K716" s="98">
        <f>HLOOKUP($H$5,'Met Data'!$O$2:$T$368,G716,FALSE)</f>
        <v>4.0819751344129296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si="110"/>
        <v>41</v>
      </c>
      <c r="H717" s="97">
        <f t="shared" si="119"/>
        <v>45697</v>
      </c>
      <c r="I717" s="121">
        <f>HLOOKUP($H$5,'Met Data'!$A$2:$F$368,G717,FALSE)</f>
        <v>19.28</v>
      </c>
      <c r="J717" s="119">
        <f ca="1">HLOOKUP($H$5,'Met Data'!$H$2:$M$368,G717,FALSE)*L717</f>
        <v>1.1200000000000001</v>
      </c>
      <c r="K717" s="98">
        <f>HLOOKUP($H$5,'Met Data'!$O$2:$T$368,G717,FALSE)</f>
        <v>4.260490854165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si="110"/>
        <v>42</v>
      </c>
      <c r="H718" s="97">
        <f t="shared" si="119"/>
        <v>45698</v>
      </c>
      <c r="I718" s="121">
        <f>HLOOKUP($H$5,'Met Data'!$A$2:$F$368,G718,FALSE)</f>
        <v>19.6533333333333</v>
      </c>
      <c r="J718" s="119">
        <f ca="1">HLOOKUP($H$5,'Met Data'!$H$2:$M$368,G718,FALSE)*L718</f>
        <v>1.4866666666666599</v>
      </c>
      <c r="K718" s="98">
        <f>HLOOKUP($H$5,'Met Data'!$O$2:$T$368,G718,FALSE)</f>
        <v>3.7833097987788902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si="110"/>
        <v>43</v>
      </c>
      <c r="H719" s="97">
        <f t="shared" si="119"/>
        <v>45699</v>
      </c>
      <c r="I719" s="121">
        <f>HLOOKUP($H$5,'Met Data'!$A$2:$F$368,G719,FALSE)</f>
        <v>19.843333333333302</v>
      </c>
      <c r="J719" s="119">
        <f ca="1">HLOOKUP($H$5,'Met Data'!$H$2:$M$368,G719,FALSE)*L719</f>
        <v>2.3199999999999998</v>
      </c>
      <c r="K719" s="98">
        <f>HLOOKUP($H$5,'Met Data'!$O$2:$T$368,G719,FALSE)</f>
        <v>3.6396000191553801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si="110"/>
        <v>44</v>
      </c>
      <c r="H720" s="97">
        <f t="shared" si="119"/>
        <v>45700</v>
      </c>
      <c r="I720" s="121">
        <f>HLOOKUP($H$5,'Met Data'!$A$2:$F$368,G720,FALSE)</f>
        <v>19.767241379310299</v>
      </c>
      <c r="J720" s="119">
        <f ca="1">HLOOKUP($H$5,'Met Data'!$H$2:$M$368,G720,FALSE)*L720</f>
        <v>2.6066666666666598</v>
      </c>
      <c r="K720" s="98">
        <f>HLOOKUP($H$5,'Met Data'!$O$2:$T$368,G720,FALSE)</f>
        <v>3.70262305339519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si="110"/>
        <v>45</v>
      </c>
      <c r="H721" s="97">
        <f t="shared" si="119"/>
        <v>45701</v>
      </c>
      <c r="I721" s="121">
        <f>HLOOKUP($H$5,'Met Data'!$A$2:$F$368,G721,FALSE)</f>
        <v>19.5672413793103</v>
      </c>
      <c r="J721" s="119">
        <f ca="1">HLOOKUP($H$5,'Met Data'!$H$2:$M$368,G721,FALSE)*L721</f>
        <v>0.59</v>
      </c>
      <c r="K721" s="98">
        <f>HLOOKUP($H$5,'Met Data'!$O$2:$T$368,G721,FALSE)</f>
        <v>4.0784584132757997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si="110"/>
        <v>46</v>
      </c>
      <c r="H722" s="97">
        <f t="shared" si="119"/>
        <v>45702</v>
      </c>
      <c r="I722" s="121">
        <f>HLOOKUP($H$5,'Met Data'!$A$2:$F$368,G722,FALSE)</f>
        <v>19.5910714285714</v>
      </c>
      <c r="J722" s="119">
        <f ca="1">HLOOKUP($H$5,'Met Data'!$H$2:$M$368,G722,FALSE)*L722</f>
        <v>1.8724137931034399</v>
      </c>
      <c r="K722" s="98">
        <f>HLOOKUP($H$5,'Met Data'!$O$2:$T$368,G722,FALSE)</f>
        <v>4.0775156504528702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si="110"/>
        <v>47</v>
      </c>
      <c r="H723" s="97">
        <f t="shared" si="119"/>
        <v>45703</v>
      </c>
      <c r="I723" s="121">
        <f>HLOOKUP($H$5,'Met Data'!$A$2:$F$368,G723,FALSE)</f>
        <v>19.355357142857098</v>
      </c>
      <c r="J723" s="119">
        <f ca="1">HLOOKUP($H$5,'Met Data'!$H$2:$M$368,G723,FALSE)*L723</f>
        <v>2.8206896551724099</v>
      </c>
      <c r="K723" s="98">
        <f>HLOOKUP($H$5,'Met Data'!$O$2:$T$368,G723,FALSE)</f>
        <v>4.1796467400508099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si="110"/>
        <v>48</v>
      </c>
      <c r="H724" s="97">
        <f t="shared" si="119"/>
        <v>45704</v>
      </c>
      <c r="I724" s="121">
        <f>HLOOKUP($H$5,'Met Data'!$A$2:$F$368,G724,FALSE)</f>
        <v>19.258928571428498</v>
      </c>
      <c r="J724" s="119">
        <f ca="1">HLOOKUP($H$5,'Met Data'!$H$2:$M$368,G724,FALSE)*L724</f>
        <v>1.80344827586206</v>
      </c>
      <c r="K724" s="98">
        <f>HLOOKUP($H$5,'Met Data'!$O$2:$T$368,G724,FALSE)</f>
        <v>3.8490703816040499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si="110"/>
        <v>49</v>
      </c>
      <c r="H725" s="97">
        <f t="shared" si="119"/>
        <v>45705</v>
      </c>
      <c r="I725" s="121">
        <f>HLOOKUP($H$5,'Met Data'!$A$2:$F$368,G725,FALSE)</f>
        <v>19.284482758620602</v>
      </c>
      <c r="J725" s="119">
        <f ca="1">HLOOKUP($H$5,'Met Data'!$H$2:$M$368,G725,FALSE)*L725</f>
        <v>4.5</v>
      </c>
      <c r="K725" s="98">
        <f>HLOOKUP($H$5,'Met Data'!$O$2:$T$368,G725,FALSE)</f>
        <v>3.7481412243719401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si="110"/>
        <v>50</v>
      </c>
      <c r="H726" s="97">
        <f t="shared" si="119"/>
        <v>45706</v>
      </c>
      <c r="I726" s="121">
        <f>HLOOKUP($H$5,'Met Data'!$A$2:$F$368,G726,FALSE)</f>
        <v>19.415517241379298</v>
      </c>
      <c r="J726" s="119">
        <f ca="1">HLOOKUP($H$5,'Met Data'!$H$2:$M$368,G726,FALSE)*L726</f>
        <v>1.4</v>
      </c>
      <c r="K726" s="98">
        <f>HLOOKUP($H$5,'Met Data'!$O$2:$T$368,G726,FALSE)</f>
        <v>3.8682529987421499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si="110"/>
        <v>51</v>
      </c>
      <c r="H727" s="97">
        <f t="shared" si="119"/>
        <v>45707</v>
      </c>
      <c r="I727" s="121">
        <f>HLOOKUP($H$5,'Met Data'!$A$2:$F$368,G727,FALSE)</f>
        <v>19.4189655172413</v>
      </c>
      <c r="J727" s="119">
        <f ca="1">HLOOKUP($H$5,'Met Data'!$H$2:$M$368,G727,FALSE)*L727</f>
        <v>1.4655172413793101</v>
      </c>
      <c r="K727" s="98">
        <f>HLOOKUP($H$5,'Met Data'!$O$2:$T$368,G727,FALSE)</f>
        <v>3.6105345286952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si="110"/>
        <v>52</v>
      </c>
      <c r="H728" s="97">
        <f t="shared" si="119"/>
        <v>45708</v>
      </c>
      <c r="I728" s="121">
        <f>HLOOKUP($H$5,'Met Data'!$A$2:$F$368,G728,FALSE)</f>
        <v>19.5068965517241</v>
      </c>
      <c r="J728" s="119">
        <f ca="1">HLOOKUP($H$5,'Met Data'!$H$2:$M$368,G728,FALSE)*L728</f>
        <v>3.8517241379310301</v>
      </c>
      <c r="K728" s="98">
        <f>HLOOKUP($H$5,'Met Data'!$O$2:$T$368,G728,FALSE)</f>
        <v>3.6240453059598501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si="110"/>
        <v>53</v>
      </c>
      <c r="H729" s="97">
        <f t="shared" si="119"/>
        <v>45709</v>
      </c>
      <c r="I729" s="121">
        <f>HLOOKUP($H$5,'Met Data'!$A$2:$F$368,G729,FALSE)</f>
        <v>19.441666666666599</v>
      </c>
      <c r="J729" s="119">
        <f ca="1">HLOOKUP($H$5,'Met Data'!$H$2:$M$368,G729,FALSE)*L729</f>
        <v>3</v>
      </c>
      <c r="K729" s="98">
        <f>HLOOKUP($H$5,'Met Data'!$O$2:$T$368,G729,FALSE)</f>
        <v>3.73403385362748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si="110"/>
        <v>54</v>
      </c>
      <c r="H730" s="97">
        <f t="shared" si="119"/>
        <v>45710</v>
      </c>
      <c r="I730" s="121">
        <f>HLOOKUP($H$5,'Met Data'!$A$2:$F$368,G730,FALSE)</f>
        <v>19.231666666666602</v>
      </c>
      <c r="J730" s="119">
        <f ca="1">HLOOKUP($H$5,'Met Data'!$H$2:$M$368,G730,FALSE)*L730</f>
        <v>1.5333333333333301</v>
      </c>
      <c r="K730" s="98">
        <f>HLOOKUP($H$5,'Met Data'!$O$2:$T$368,G730,FALSE)</f>
        <v>3.6261565374234999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si="110"/>
        <v>55</v>
      </c>
      <c r="H731" s="97">
        <f t="shared" si="119"/>
        <v>45711</v>
      </c>
      <c r="I731" s="121">
        <f>HLOOKUP($H$5,'Met Data'!$A$2:$F$368,G731,FALSE)</f>
        <v>19.22</v>
      </c>
      <c r="J731" s="119">
        <f ca="1">HLOOKUP($H$5,'Met Data'!$H$2:$M$368,G731,FALSE)*L731</f>
        <v>3.06</v>
      </c>
      <c r="K731" s="98">
        <f>HLOOKUP($H$5,'Met Data'!$O$2:$T$368,G731,FALSE)</f>
        <v>3.6095974227769201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si="110"/>
        <v>56</v>
      </c>
      <c r="H732" s="97">
        <f t="shared" si="119"/>
        <v>45712</v>
      </c>
      <c r="I732" s="121">
        <f>HLOOKUP($H$5,'Met Data'!$A$2:$F$368,G732,FALSE)</f>
        <v>18.793333333333301</v>
      </c>
      <c r="J732" s="119">
        <f ca="1">HLOOKUP($H$5,'Met Data'!$H$2:$M$368,G732,FALSE)*L732</f>
        <v>1.73</v>
      </c>
      <c r="K732" s="98">
        <f>HLOOKUP($H$5,'Met Data'!$O$2:$T$368,G732,FALSE)</f>
        <v>3.9865323105658801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si="110"/>
        <v>57</v>
      </c>
      <c r="H733" s="97">
        <f t="shared" si="119"/>
        <v>45713</v>
      </c>
      <c r="I733" s="121">
        <f>HLOOKUP($H$5,'Met Data'!$A$2:$F$368,G733,FALSE)</f>
        <v>18.3</v>
      </c>
      <c r="J733" s="119">
        <f ca="1">HLOOKUP($H$5,'Met Data'!$H$2:$M$368,G733,FALSE)*L733</f>
        <v>1.1766666666666601</v>
      </c>
      <c r="K733" s="98">
        <f>HLOOKUP($H$5,'Met Data'!$O$2:$T$368,G733,FALSE)</f>
        <v>3.88204927928038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si="110"/>
        <v>58</v>
      </c>
      <c r="H734" s="97">
        <f t="shared" si="119"/>
        <v>45714</v>
      </c>
      <c r="I734" s="121">
        <f>HLOOKUP($H$5,'Met Data'!$A$2:$F$368,G734,FALSE)</f>
        <v>18.41</v>
      </c>
      <c r="J734" s="119">
        <f ca="1">HLOOKUP($H$5,'Met Data'!$H$2:$M$368,G734,FALSE)*L734</f>
        <v>2.0233333333333299</v>
      </c>
      <c r="K734" s="98">
        <f>HLOOKUP($H$5,'Met Data'!$O$2:$T$368,G734,FALSE)</f>
        <v>4.05937925457948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si="110"/>
        <v>59</v>
      </c>
      <c r="H735" s="97">
        <f t="shared" si="119"/>
        <v>45715</v>
      </c>
      <c r="I735" s="121">
        <f>HLOOKUP($H$5,'Met Data'!$A$2:$F$368,G735,FALSE)</f>
        <v>18.516666666666602</v>
      </c>
      <c r="J735" s="119">
        <f ca="1">HLOOKUP($H$5,'Met Data'!$H$2:$M$368,G735,FALSE)*L735</f>
        <v>1.5499999999999901</v>
      </c>
      <c r="K735" s="98">
        <f>HLOOKUP($H$5,'Met Data'!$O$2:$T$368,G735,FALSE)</f>
        <v>3.8269283002116601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si="110"/>
        <v>60</v>
      </c>
      <c r="H736" s="97">
        <f t="shared" si="119"/>
        <v>45716</v>
      </c>
      <c r="I736" s="121">
        <f>HLOOKUP($H$5,'Met Data'!$A$2:$F$368,G736,FALSE)</f>
        <v>18.253571428571401</v>
      </c>
      <c r="J736" s="119">
        <f ca="1">HLOOKUP($H$5,'Met Data'!$H$2:$M$368,G736,FALSE)*L736</f>
        <v>3.4793103448275802</v>
      </c>
      <c r="K736" s="98">
        <f>HLOOKUP($H$5,'Met Data'!$O$2:$T$368,G736,FALSE)</f>
        <v>3.4828962462929298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si="110"/>
        <v>61</v>
      </c>
      <c r="H737" s="97">
        <f t="shared" si="119"/>
        <v>45717</v>
      </c>
      <c r="I737" s="121">
        <f>HLOOKUP($H$5,'Met Data'!$A$2:$F$368,G737,FALSE)</f>
        <v>18.313793103448202</v>
      </c>
      <c r="J737" s="119">
        <f ca="1">HLOOKUP($H$5,'Met Data'!$H$2:$M$368,G737,FALSE)*L737</f>
        <v>4.1758620689655102</v>
      </c>
      <c r="K737" s="98">
        <f>HLOOKUP($H$5,'Met Data'!$O$2:$T$368,G737,FALSE)</f>
        <v>3.6905226687271502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si="110"/>
        <v>62</v>
      </c>
      <c r="H738" s="97">
        <f t="shared" si="119"/>
        <v>45718</v>
      </c>
      <c r="I738" s="121">
        <f>HLOOKUP($H$5,'Met Data'!$A$2:$F$368,G738,FALSE)</f>
        <v>18.701724137930999</v>
      </c>
      <c r="J738" s="119">
        <f ca="1">HLOOKUP($H$5,'Met Data'!$H$2:$M$368,G738,FALSE)*L738</f>
        <v>2.4379310344827498</v>
      </c>
      <c r="K738" s="98">
        <f>HLOOKUP($H$5,'Met Data'!$O$2:$T$368,G738,FALSE)</f>
        <v>3.7650592582328399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si="110"/>
        <v>63</v>
      </c>
      <c r="H739" s="97">
        <f t="shared" si="119"/>
        <v>45719</v>
      </c>
      <c r="I739" s="121">
        <f>HLOOKUP($H$5,'Met Data'!$A$2:$F$368,G739,FALSE)</f>
        <v>18.759999999999899</v>
      </c>
      <c r="J739" s="119">
        <f ca="1">HLOOKUP($H$5,'Met Data'!$H$2:$M$368,G739,FALSE)*L739</f>
        <v>3.53666666666666</v>
      </c>
      <c r="K739" s="98">
        <f>HLOOKUP($H$5,'Met Data'!$O$2:$T$368,G739,FALSE)</f>
        <v>3.6493457095997699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si="110"/>
        <v>64</v>
      </c>
      <c r="H740" s="97">
        <f t="shared" si="119"/>
        <v>45720</v>
      </c>
      <c r="I740" s="121">
        <f>HLOOKUP($H$5,'Met Data'!$A$2:$F$368,G740,FALSE)</f>
        <v>18.0322580645161</v>
      </c>
      <c r="J740" s="119">
        <f ca="1">HLOOKUP($H$5,'Met Data'!$H$2:$M$368,G740,FALSE)*L740</f>
        <v>5.3612903225806399</v>
      </c>
      <c r="K740" s="98">
        <f>HLOOKUP($H$5,'Met Data'!$O$2:$T$368,G740,FALSE)</f>
        <v>3.6858306163975501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si="110"/>
        <v>65</v>
      </c>
      <c r="H741" s="97">
        <f t="shared" si="119"/>
        <v>45721</v>
      </c>
      <c r="I741" s="121">
        <f>HLOOKUP($H$5,'Met Data'!$A$2:$F$368,G741,FALSE)</f>
        <v>17.95</v>
      </c>
      <c r="J741" s="119">
        <f ca="1">HLOOKUP($H$5,'Met Data'!$H$2:$M$368,G741,FALSE)*L741</f>
        <v>2.5580645161290301</v>
      </c>
      <c r="K741" s="98">
        <f>HLOOKUP($H$5,'Met Data'!$O$2:$T$368,G741,FALSE)</f>
        <v>3.6617176102227802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si="110"/>
        <v>66</v>
      </c>
      <c r="H742" s="97">
        <f t="shared" si="119"/>
        <v>45722</v>
      </c>
      <c r="I742" s="121">
        <f>HLOOKUP($H$5,'Met Data'!$A$2:$F$368,G742,FALSE)</f>
        <v>18.361290322580601</v>
      </c>
      <c r="J742" s="119">
        <f ca="1">HLOOKUP($H$5,'Met Data'!$H$2:$M$368,G742,FALSE)*L742</f>
        <v>2.3129032258064499</v>
      </c>
      <c r="K742" s="98">
        <f>HLOOKUP($H$5,'Met Data'!$O$2:$T$368,G742,FALSE)</f>
        <v>3.8548213926682098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si="110"/>
        <v>67</v>
      </c>
      <c r="H743" s="97">
        <f t="shared" si="119"/>
        <v>45723</v>
      </c>
      <c r="I743" s="121">
        <f>HLOOKUP($H$5,'Met Data'!$A$2:$F$368,G743,FALSE)</f>
        <v>17.7903225806451</v>
      </c>
      <c r="J743" s="119">
        <f ca="1">HLOOKUP($H$5,'Met Data'!$H$2:$M$368,G743,FALSE)*L743</f>
        <v>2.88709677419354</v>
      </c>
      <c r="K743" s="98">
        <f>HLOOKUP($H$5,'Met Data'!$O$2:$T$368,G743,FALSE)</f>
        <v>3.4909393601542198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si="110"/>
        <v>68</v>
      </c>
      <c r="H744" s="97">
        <f t="shared" si="119"/>
        <v>45724</v>
      </c>
      <c r="I744" s="121">
        <f>HLOOKUP($H$5,'Met Data'!$A$2:$F$368,G744,FALSE)</f>
        <v>18.141379310344799</v>
      </c>
      <c r="J744" s="119">
        <f ca="1">HLOOKUP($H$5,'Met Data'!$H$2:$M$368,G744,FALSE)*L744</f>
        <v>1.0379310344827499</v>
      </c>
      <c r="K744" s="98">
        <f>HLOOKUP($H$5,'Met Data'!$O$2:$T$368,G744,FALSE)</f>
        <v>3.8084649299222599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si="110"/>
        <v>69</v>
      </c>
      <c r="H745" s="97">
        <f t="shared" si="119"/>
        <v>45725</v>
      </c>
      <c r="I745" s="121">
        <f>HLOOKUP($H$5,'Met Data'!$A$2:$F$368,G745,FALSE)</f>
        <v>18.3816666666666</v>
      </c>
      <c r="J745" s="119">
        <f ca="1">HLOOKUP($H$5,'Met Data'!$H$2:$M$368,G745,FALSE)*L745</f>
        <v>3.2766666666666602</v>
      </c>
      <c r="K745" s="98">
        <f>HLOOKUP($H$5,'Met Data'!$O$2:$T$368,G745,FALSE)</f>
        <v>3.6161533155938699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si="110"/>
        <v>70</v>
      </c>
      <c r="H746" s="97">
        <f t="shared" si="119"/>
        <v>45726</v>
      </c>
      <c r="I746" s="121">
        <f>HLOOKUP($H$5,'Met Data'!$A$2:$F$368,G746,FALSE)</f>
        <v>18.100000000000001</v>
      </c>
      <c r="J746" s="119">
        <f ca="1">HLOOKUP($H$5,'Met Data'!$H$2:$M$368,G746,FALSE)*L746</f>
        <v>1.75</v>
      </c>
      <c r="K746" s="98">
        <f>HLOOKUP($H$5,'Met Data'!$O$2:$T$368,G746,FALSE)</f>
        <v>3.9222011256035199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si="110"/>
        <v>71</v>
      </c>
      <c r="H747" s="97">
        <f t="shared" si="119"/>
        <v>45727</v>
      </c>
      <c r="I747" s="121">
        <f>HLOOKUP($H$5,'Met Data'!$A$2:$F$368,G747,FALSE)</f>
        <v>17.931666666666601</v>
      </c>
      <c r="J747" s="119">
        <f ca="1">HLOOKUP($H$5,'Met Data'!$H$2:$M$368,G747,FALSE)*L747</f>
        <v>6.9499999999999904</v>
      </c>
      <c r="K747" s="98">
        <f>HLOOKUP($H$5,'Met Data'!$O$2:$T$368,G747,FALSE)</f>
        <v>3.4661109817168501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si="110"/>
        <v>72</v>
      </c>
      <c r="H748" s="97">
        <f t="shared" si="119"/>
        <v>45728</v>
      </c>
      <c r="I748" s="121">
        <f>HLOOKUP($H$5,'Met Data'!$A$2:$F$368,G748,FALSE)</f>
        <v>18.11</v>
      </c>
      <c r="J748" s="119">
        <f ca="1">HLOOKUP($H$5,'Met Data'!$H$2:$M$368,G748,FALSE)*L748</f>
        <v>3.0533333333333301</v>
      </c>
      <c r="K748" s="98">
        <f>HLOOKUP($H$5,'Met Data'!$O$2:$T$368,G748,FALSE)</f>
        <v>3.54178935257598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si="110"/>
        <v>73</v>
      </c>
      <c r="H749" s="97">
        <f t="shared" si="119"/>
        <v>45729</v>
      </c>
      <c r="I749" s="121">
        <f>HLOOKUP($H$5,'Met Data'!$A$2:$F$368,G749,FALSE)</f>
        <v>17.7392857142857</v>
      </c>
      <c r="J749" s="119">
        <f ca="1">HLOOKUP($H$5,'Met Data'!$H$2:$M$368,G749,FALSE)*L749</f>
        <v>1.6892857142857101</v>
      </c>
      <c r="K749" s="98">
        <f>HLOOKUP($H$5,'Met Data'!$O$2:$T$368,G749,FALSE)</f>
        <v>3.3591305391228099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si="110"/>
        <v>74</v>
      </c>
      <c r="H750" s="97">
        <f t="shared" si="119"/>
        <v>45730</v>
      </c>
      <c r="I750" s="121">
        <f>HLOOKUP($H$5,'Met Data'!$A$2:$F$368,G750,FALSE)</f>
        <v>17.7431034482758</v>
      </c>
      <c r="J750" s="119">
        <f ca="1">HLOOKUP($H$5,'Met Data'!$H$2:$M$368,G750,FALSE)*L750</f>
        <v>1.84</v>
      </c>
      <c r="K750" s="98">
        <f>HLOOKUP($H$5,'Met Data'!$O$2:$T$368,G750,FALSE)</f>
        <v>3.37236322021164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si="110"/>
        <v>75</v>
      </c>
      <c r="H751" s="97">
        <f t="shared" si="119"/>
        <v>45731</v>
      </c>
      <c r="I751" s="121">
        <f>HLOOKUP($H$5,'Met Data'!$A$2:$F$368,G751,FALSE)</f>
        <v>17.582758620689599</v>
      </c>
      <c r="J751" s="119">
        <f ca="1">HLOOKUP($H$5,'Met Data'!$H$2:$M$368,G751,FALSE)*L751</f>
        <v>3.1862068965517198</v>
      </c>
      <c r="K751" s="98">
        <f>HLOOKUP($H$5,'Met Data'!$O$2:$T$368,G751,FALSE)</f>
        <v>3.1968269295082399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si="110"/>
        <v>76</v>
      </c>
      <c r="H752" s="97">
        <f t="shared" si="119"/>
        <v>45732</v>
      </c>
      <c r="I752" s="121">
        <f>HLOOKUP($H$5,'Met Data'!$A$2:$F$368,G752,FALSE)</f>
        <v>17.724137931034399</v>
      </c>
      <c r="J752" s="119">
        <f ca="1">HLOOKUP($H$5,'Met Data'!$H$2:$M$368,G752,FALSE)*L752</f>
        <v>2.9633333333333298</v>
      </c>
      <c r="K752" s="98">
        <f>HLOOKUP($H$5,'Met Data'!$O$2:$T$368,G752,FALSE)</f>
        <v>3.15313078143424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si="120">H753-DATE(YEAR(H753),1,0)+1</f>
        <v>77</v>
      </c>
      <c r="H753" s="97">
        <f t="shared" si="119"/>
        <v>45733</v>
      </c>
      <c r="I753" s="121">
        <f>HLOOKUP($H$5,'Met Data'!$A$2:$F$368,G753,FALSE)</f>
        <v>17.698333333333299</v>
      </c>
      <c r="J753" s="119">
        <f ca="1">HLOOKUP($H$5,'Met Data'!$H$2:$M$368,G753,FALSE)*L753</f>
        <v>2.61666666666666</v>
      </c>
      <c r="K753" s="98">
        <f>HLOOKUP($H$5,'Met Data'!$O$2:$T$368,G753,FALSE)</f>
        <v>3.4068572568745799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si="120"/>
        <v>78</v>
      </c>
      <c r="H754" s="97">
        <f t="shared" si="119"/>
        <v>45734</v>
      </c>
      <c r="I754" s="121">
        <f>HLOOKUP($H$5,'Met Data'!$A$2:$F$368,G754,FALSE)</f>
        <v>17.62</v>
      </c>
      <c r="J754" s="119">
        <f ca="1">HLOOKUP($H$5,'Met Data'!$H$2:$M$368,G754,FALSE)*L754</f>
        <v>1.69</v>
      </c>
      <c r="K754" s="98">
        <f>HLOOKUP($H$5,'Met Data'!$O$2:$T$368,G754,FALSE)</f>
        <v>3.17632774581707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si="120"/>
        <v>79</v>
      </c>
      <c r="H755" s="97">
        <f t="shared" si="119"/>
        <v>45735</v>
      </c>
      <c r="I755" s="121">
        <f>HLOOKUP($H$5,'Met Data'!$A$2:$F$368,G755,FALSE)</f>
        <v>17.170000000000002</v>
      </c>
      <c r="J755" s="119">
        <f ca="1">HLOOKUP($H$5,'Met Data'!$H$2:$M$368,G755,FALSE)*L755</f>
        <v>1.5166666666666599</v>
      </c>
      <c r="K755" s="98">
        <f>HLOOKUP($H$5,'Met Data'!$O$2:$T$368,G755,FALSE)</f>
        <v>3.38121466442426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si="120"/>
        <v>80</v>
      </c>
      <c r="H756" s="97">
        <f t="shared" si="119"/>
        <v>45736</v>
      </c>
      <c r="I756" s="121">
        <f>HLOOKUP($H$5,'Met Data'!$A$2:$F$368,G756,FALSE)</f>
        <v>17.223333333333301</v>
      </c>
      <c r="J756" s="119">
        <f ca="1">HLOOKUP($H$5,'Met Data'!$H$2:$M$368,G756,FALSE)*L756</f>
        <v>3.56451612903225</v>
      </c>
      <c r="K756" s="98">
        <f>HLOOKUP($H$5,'Met Data'!$O$2:$T$368,G756,FALSE)</f>
        <v>3.2035769560803802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si="120"/>
        <v>81</v>
      </c>
      <c r="H757" s="97">
        <f t="shared" si="119"/>
        <v>45737</v>
      </c>
      <c r="I757" s="121">
        <f>HLOOKUP($H$5,'Met Data'!$A$2:$F$368,G757,FALSE)</f>
        <v>17.498333333333299</v>
      </c>
      <c r="J757" s="119">
        <f ca="1">HLOOKUP($H$5,'Met Data'!$H$2:$M$368,G757,FALSE)*L757</f>
        <v>0.80645161290322498</v>
      </c>
      <c r="K757" s="98">
        <f>HLOOKUP($H$5,'Met Data'!$O$2:$T$368,G757,FALSE)</f>
        <v>3.31927458571925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si="120"/>
        <v>82</v>
      </c>
      <c r="H758" s="97">
        <f t="shared" si="119"/>
        <v>45738</v>
      </c>
      <c r="I758" s="121">
        <f>HLOOKUP($H$5,'Met Data'!$A$2:$F$368,G758,FALSE)</f>
        <v>17.390322580645101</v>
      </c>
      <c r="J758" s="119">
        <f ca="1">HLOOKUP($H$5,'Met Data'!$H$2:$M$368,G758,FALSE)*L758</f>
        <v>2.8516129032258002</v>
      </c>
      <c r="K758" s="98">
        <f>HLOOKUP($H$5,'Met Data'!$O$2:$T$368,G758,FALSE)</f>
        <v>3.3284502448926401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si="120"/>
        <v>83</v>
      </c>
      <c r="H759" s="97">
        <f t="shared" si="119"/>
        <v>45739</v>
      </c>
      <c r="I759" s="121">
        <f>HLOOKUP($H$5,'Met Data'!$A$2:$F$368,G759,FALSE)</f>
        <v>17.053333333333299</v>
      </c>
      <c r="J759" s="119">
        <f ca="1">HLOOKUP($H$5,'Met Data'!$H$2:$M$368,G759,FALSE)*L759</f>
        <v>2.9933333333333301</v>
      </c>
      <c r="K759" s="98">
        <f>HLOOKUP($H$5,'Met Data'!$O$2:$T$368,G759,FALSE)</f>
        <v>3.1676733133647299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si="120"/>
        <v>84</v>
      </c>
      <c r="H760" s="97">
        <f t="shared" si="119"/>
        <v>45740</v>
      </c>
      <c r="I760" s="121">
        <f>HLOOKUP($H$5,'Met Data'!$A$2:$F$368,G760,FALSE)</f>
        <v>16.973333333333301</v>
      </c>
      <c r="J760" s="119">
        <f ca="1">HLOOKUP($H$5,'Met Data'!$H$2:$M$368,G760,FALSE)*L760</f>
        <v>1.83666666666666</v>
      </c>
      <c r="K760" s="98">
        <f>HLOOKUP($H$5,'Met Data'!$O$2:$T$368,G760,FALSE)</f>
        <v>3.1307694102164598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si="120"/>
        <v>85</v>
      </c>
      <c r="H761" s="97">
        <f t="shared" si="119"/>
        <v>45741</v>
      </c>
      <c r="I761" s="121">
        <f>HLOOKUP($H$5,'Met Data'!$A$2:$F$368,G761,FALSE)</f>
        <v>16.984999999999999</v>
      </c>
      <c r="J761" s="119">
        <f ca="1">HLOOKUP($H$5,'Met Data'!$H$2:$M$368,G761,FALSE)*L761</f>
        <v>1.7666666666666599</v>
      </c>
      <c r="K761" s="98">
        <f>HLOOKUP($H$5,'Met Data'!$O$2:$T$368,G761,FALSE)</f>
        <v>2.9971927749729499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si="120"/>
        <v>86</v>
      </c>
      <c r="H762" s="97">
        <f t="shared" si="119"/>
        <v>45742</v>
      </c>
      <c r="I762" s="121">
        <f>HLOOKUP($H$5,'Met Data'!$A$2:$F$368,G762,FALSE)</f>
        <v>17.064516129032199</v>
      </c>
      <c r="J762" s="119">
        <f ca="1">HLOOKUP($H$5,'Met Data'!$H$2:$M$368,G762,FALSE)*L762</f>
        <v>3.4354838709677402</v>
      </c>
      <c r="K762" s="98">
        <f>HLOOKUP($H$5,'Met Data'!$O$2:$T$368,G762,FALSE)</f>
        <v>3.1405308327099699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si="120"/>
        <v>87</v>
      </c>
      <c r="H763" s="97">
        <f t="shared" si="119"/>
        <v>45743</v>
      </c>
      <c r="I763" s="121">
        <f>HLOOKUP($H$5,'Met Data'!$A$2:$F$368,G763,FALSE)</f>
        <v>17.208064516128999</v>
      </c>
      <c r="J763" s="119">
        <f ca="1">HLOOKUP($H$5,'Met Data'!$H$2:$M$368,G763,FALSE)*L763</f>
        <v>0.97419354838709604</v>
      </c>
      <c r="K763" s="98">
        <f>HLOOKUP($H$5,'Met Data'!$O$2:$T$368,G763,FALSE)</f>
        <v>3.1295018555019598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si="120"/>
        <v>88</v>
      </c>
      <c r="H764" s="97">
        <f t="shared" si="119"/>
        <v>45744</v>
      </c>
      <c r="I764" s="121">
        <f>HLOOKUP($H$5,'Met Data'!$A$2:$F$368,G764,FALSE)</f>
        <v>17.141666666666602</v>
      </c>
      <c r="J764" s="119">
        <f ca="1">HLOOKUP($H$5,'Met Data'!$H$2:$M$368,G764,FALSE)*L764</f>
        <v>2.43225806451612</v>
      </c>
      <c r="K764" s="98">
        <f>HLOOKUP($H$5,'Met Data'!$O$2:$T$368,G764,FALSE)</f>
        <v>2.6600638405747499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si="120"/>
        <v>89</v>
      </c>
      <c r="H765" s="97">
        <f t="shared" si="119"/>
        <v>45745</v>
      </c>
      <c r="I765" s="121">
        <f>HLOOKUP($H$5,'Met Data'!$A$2:$F$368,G765,FALSE)</f>
        <v>17.338333333333299</v>
      </c>
      <c r="J765" s="119">
        <f ca="1">HLOOKUP($H$5,'Met Data'!$H$2:$M$368,G765,FALSE)*L765</f>
        <v>2.8193548387096699</v>
      </c>
      <c r="K765" s="98">
        <f>HLOOKUP($H$5,'Met Data'!$O$2:$T$368,G765,FALSE)</f>
        <v>2.7816184084358899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si="120"/>
        <v>90</v>
      </c>
      <c r="H766" s="97">
        <f t="shared" si="119"/>
        <v>45746</v>
      </c>
      <c r="I766" s="121">
        <f>HLOOKUP($H$5,'Met Data'!$A$2:$F$368,G766,FALSE)</f>
        <v>17.136206896551698</v>
      </c>
      <c r="J766" s="119">
        <f ca="1">HLOOKUP($H$5,'Met Data'!$H$2:$M$368,G766,FALSE)*L766</f>
        <v>1.15333333333333</v>
      </c>
      <c r="K766" s="98">
        <f>HLOOKUP($H$5,'Met Data'!$O$2:$T$368,G766,FALSE)</f>
        <v>3.16549451986696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si="120"/>
        <v>91</v>
      </c>
      <c r="H767" s="97">
        <f t="shared" si="119"/>
        <v>45747</v>
      </c>
      <c r="I767" s="121">
        <f>HLOOKUP($H$5,'Met Data'!$A$2:$F$368,G767,FALSE)</f>
        <v>16.922413793103399</v>
      </c>
      <c r="J767" s="119">
        <f ca="1">HLOOKUP($H$5,'Met Data'!$H$2:$M$368,G767,FALSE)*L767</f>
        <v>2.9733333333333301</v>
      </c>
      <c r="K767" s="98">
        <f>HLOOKUP($H$5,'Met Data'!$O$2:$T$368,G767,FALSE)</f>
        <v>2.84233525233393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si="120"/>
        <v>92</v>
      </c>
      <c r="H768" s="97">
        <f t="shared" si="119"/>
        <v>45748</v>
      </c>
      <c r="I768" s="121">
        <f>HLOOKUP($H$5,'Met Data'!$A$2:$F$368,G768,FALSE)</f>
        <v>16.63</v>
      </c>
      <c r="J768" s="119">
        <f ca="1">HLOOKUP($H$5,'Met Data'!$H$2:$M$368,G768,FALSE)*L768</f>
        <v>1.76451612903225</v>
      </c>
      <c r="K768" s="98">
        <f>HLOOKUP($H$5,'Met Data'!$O$2:$T$368,G768,FALSE)</f>
        <v>2.8748972399291501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si="120"/>
        <v>93</v>
      </c>
      <c r="H769" s="97">
        <f t="shared" si="119"/>
        <v>45749</v>
      </c>
      <c r="I769" s="121">
        <f>HLOOKUP($H$5,'Met Data'!$A$2:$F$368,G769,FALSE)</f>
        <v>16.5379310344827</v>
      </c>
      <c r="J769" s="119">
        <f ca="1">HLOOKUP($H$5,'Met Data'!$H$2:$M$368,G769,FALSE)*L769</f>
        <v>3.32258064516129</v>
      </c>
      <c r="K769" s="98">
        <f>HLOOKUP($H$5,'Met Data'!$O$2:$T$368,G769,FALSE)</f>
        <v>2.5469261916112398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si="120"/>
        <v>94</v>
      </c>
      <c r="H770" s="97">
        <f t="shared" si="119"/>
        <v>45750</v>
      </c>
      <c r="I770" s="121">
        <f>HLOOKUP($H$5,'Met Data'!$A$2:$F$368,G770,FALSE)</f>
        <v>16.693103448275799</v>
      </c>
      <c r="J770" s="119">
        <f ca="1">HLOOKUP($H$5,'Met Data'!$H$2:$M$368,G770,FALSE)*L770</f>
        <v>2.8064516129032202</v>
      </c>
      <c r="K770" s="98">
        <f>HLOOKUP($H$5,'Met Data'!$O$2:$T$368,G770,FALSE)</f>
        <v>2.8493466745517901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si="120"/>
        <v>95</v>
      </c>
      <c r="H771" s="97">
        <f t="shared" si="119"/>
        <v>45751</v>
      </c>
      <c r="I771" s="121">
        <f>HLOOKUP($H$5,'Met Data'!$A$2:$F$368,G771,FALSE)</f>
        <v>16.29</v>
      </c>
      <c r="J771" s="119">
        <f ca="1">HLOOKUP($H$5,'Met Data'!$H$2:$M$368,G771,FALSE)*L771</f>
        <v>1.4483870967741901</v>
      </c>
      <c r="K771" s="98">
        <f>HLOOKUP($H$5,'Met Data'!$O$2:$T$368,G771,FALSE)</f>
        <v>3.04847392107171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si="120"/>
        <v>96</v>
      </c>
      <c r="H772" s="97">
        <f t="shared" si="119"/>
        <v>45752</v>
      </c>
      <c r="I772" s="121">
        <f>HLOOKUP($H$5,'Met Data'!$A$2:$F$368,G772,FALSE)</f>
        <v>16.28</v>
      </c>
      <c r="J772" s="119">
        <f ca="1">HLOOKUP($H$5,'Met Data'!$H$2:$M$368,G772,FALSE)*L772</f>
        <v>1.6838709677419299</v>
      </c>
      <c r="K772" s="98">
        <f>HLOOKUP($H$5,'Met Data'!$O$2:$T$368,G772,FALSE)</f>
        <v>2.9631357104845102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si="120"/>
        <v>97</v>
      </c>
      <c r="H773" s="97">
        <f t="shared" si="119"/>
        <v>45753</v>
      </c>
      <c r="I773" s="121">
        <f>HLOOKUP($H$5,'Met Data'!$A$2:$F$368,G773,FALSE)</f>
        <v>16.288333333333298</v>
      </c>
      <c r="J773" s="119">
        <f ca="1">HLOOKUP($H$5,'Met Data'!$H$2:$M$368,G773,FALSE)*L773</f>
        <v>3.1066666666666598</v>
      </c>
      <c r="K773" s="98">
        <f>HLOOKUP($H$5,'Met Data'!$O$2:$T$368,G773,FALSE)</f>
        <v>2.8364094228266699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si="120"/>
        <v>98</v>
      </c>
      <c r="H774" s="97">
        <f t="shared" si="119"/>
        <v>45754</v>
      </c>
      <c r="I774" s="121">
        <f>HLOOKUP($H$5,'Met Data'!$A$2:$F$368,G774,FALSE)</f>
        <v>16.247502601456802</v>
      </c>
      <c r="J774" s="119">
        <f ca="1">HLOOKUP($H$5,'Met Data'!$H$2:$M$368,G774,FALSE)*L774</f>
        <v>2.3033333333333301</v>
      </c>
      <c r="K774" s="98">
        <f>HLOOKUP($H$5,'Met Data'!$O$2:$T$368,G774,FALSE)</f>
        <v>2.7733248568186499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si="120"/>
        <v>99</v>
      </c>
      <c r="H775" s="97">
        <f t="shared" si="119"/>
        <v>45755</v>
      </c>
      <c r="I775" s="121">
        <f>HLOOKUP($H$5,'Met Data'!$A$2:$F$368,G775,FALSE)</f>
        <v>15.9919354838709</v>
      </c>
      <c r="J775" s="119">
        <f ca="1">HLOOKUP($H$5,'Met Data'!$H$2:$M$368,G775,FALSE)*L775</f>
        <v>3.04</v>
      </c>
      <c r="K775" s="98">
        <f>HLOOKUP($H$5,'Met Data'!$O$2:$T$368,G775,FALSE)</f>
        <v>2.4928303491288801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si="120"/>
        <v>100</v>
      </c>
      <c r="H776" s="97">
        <f t="shared" si="119"/>
        <v>45756</v>
      </c>
      <c r="I776" s="121">
        <f>HLOOKUP($H$5,'Met Data'!$A$2:$F$368,G776,FALSE)</f>
        <v>15.7</v>
      </c>
      <c r="J776" s="119">
        <f ca="1">HLOOKUP($H$5,'Met Data'!$H$2:$M$368,G776,FALSE)*L776</f>
        <v>4.67</v>
      </c>
      <c r="K776" s="98">
        <f>HLOOKUP($H$5,'Met Data'!$O$2:$T$368,G776,FALSE)</f>
        <v>2.4645244256425198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si="120"/>
        <v>101</v>
      </c>
      <c r="H777" s="97">
        <f t="shared" ref="H777:H840" si="129">H776+1</f>
        <v>45757</v>
      </c>
      <c r="I777" s="121">
        <f>HLOOKUP($H$5,'Met Data'!$A$2:$F$368,G777,FALSE)</f>
        <v>15.6066666666666</v>
      </c>
      <c r="J777" s="119">
        <f ca="1">HLOOKUP($H$5,'Met Data'!$H$2:$M$368,G777,FALSE)*L777</f>
        <v>2.9099999999999899</v>
      </c>
      <c r="K777" s="98">
        <f>HLOOKUP($H$5,'Met Data'!$O$2:$T$368,G777,FALSE)</f>
        <v>2.6085032852196299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si="120"/>
        <v>102</v>
      </c>
      <c r="H778" s="97">
        <f t="shared" si="129"/>
        <v>45758</v>
      </c>
      <c r="I778" s="121">
        <f>HLOOKUP($H$5,'Met Data'!$A$2:$F$368,G778,FALSE)</f>
        <v>15.335000000000001</v>
      </c>
      <c r="J778" s="119">
        <f ca="1">HLOOKUP($H$5,'Met Data'!$H$2:$M$368,G778,FALSE)*L778</f>
        <v>2.68333333333333</v>
      </c>
      <c r="K778" s="98">
        <f>HLOOKUP($H$5,'Met Data'!$O$2:$T$368,G778,FALSE)</f>
        <v>2.45140037536581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si="120"/>
        <v>103</v>
      </c>
      <c r="H779" s="97">
        <f t="shared" si="129"/>
        <v>45759</v>
      </c>
      <c r="I779" s="121">
        <f>HLOOKUP($H$5,'Met Data'!$A$2:$F$368,G779,FALSE)</f>
        <v>15.3916666666666</v>
      </c>
      <c r="J779" s="119">
        <f ca="1">HLOOKUP($H$5,'Met Data'!$H$2:$M$368,G779,FALSE)*L779</f>
        <v>4.07</v>
      </c>
      <c r="K779" s="98">
        <f>HLOOKUP($H$5,'Met Data'!$O$2:$T$368,G779,FALSE)</f>
        <v>2.54129590695179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si="120"/>
        <v>104</v>
      </c>
      <c r="H780" s="97">
        <f t="shared" si="129"/>
        <v>45760</v>
      </c>
      <c r="I780" s="121">
        <f>HLOOKUP($H$5,'Met Data'!$A$2:$F$368,G780,FALSE)</f>
        <v>15.6451612903225</v>
      </c>
      <c r="J780" s="119">
        <f ca="1">HLOOKUP($H$5,'Met Data'!$H$2:$M$368,G780,FALSE)*L780</f>
        <v>2.43333333333333</v>
      </c>
      <c r="K780" s="98">
        <f>HLOOKUP($H$5,'Met Data'!$O$2:$T$368,G780,FALSE)</f>
        <v>2.5074868670786801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si="120"/>
        <v>105</v>
      </c>
      <c r="H781" s="97">
        <f t="shared" si="129"/>
        <v>45761</v>
      </c>
      <c r="I781" s="121">
        <f>HLOOKUP($H$5,'Met Data'!$A$2:$F$368,G781,FALSE)</f>
        <v>15.3435483870967</v>
      </c>
      <c r="J781" s="119">
        <f ca="1">HLOOKUP($H$5,'Met Data'!$H$2:$M$368,G781,FALSE)*L781</f>
        <v>3.5533333333333301</v>
      </c>
      <c r="K781" s="98">
        <f>HLOOKUP($H$5,'Met Data'!$O$2:$T$368,G781,FALSE)</f>
        <v>2.53164431510397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si="120"/>
        <v>106</v>
      </c>
      <c r="H782" s="97">
        <f t="shared" si="129"/>
        <v>45762</v>
      </c>
      <c r="I782" s="121">
        <f>HLOOKUP($H$5,'Met Data'!$A$2:$F$368,G782,FALSE)</f>
        <v>15.1612903225806</v>
      </c>
      <c r="J782" s="119">
        <f ca="1">HLOOKUP($H$5,'Met Data'!$H$2:$M$368,G782,FALSE)*L782</f>
        <v>2.7451612903225802</v>
      </c>
      <c r="K782" s="98">
        <f>HLOOKUP($H$5,'Met Data'!$O$2:$T$368,G782,FALSE)</f>
        <v>2.2462315590791202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si="120"/>
        <v>107</v>
      </c>
      <c r="H783" s="97">
        <f t="shared" si="129"/>
        <v>45763</v>
      </c>
      <c r="I783" s="121">
        <f>HLOOKUP($H$5,'Met Data'!$A$2:$F$368,G783,FALSE)</f>
        <v>15.658064516129</v>
      </c>
      <c r="J783" s="119">
        <f ca="1">HLOOKUP($H$5,'Met Data'!$H$2:$M$368,G783,FALSE)*L783</f>
        <v>3.7677419354838699</v>
      </c>
      <c r="K783" s="98">
        <f>HLOOKUP($H$5,'Met Data'!$O$2:$T$368,G783,FALSE)</f>
        <v>2.3441419540899799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si="120"/>
        <v>108</v>
      </c>
      <c r="H784" s="97">
        <f t="shared" si="129"/>
        <v>45764</v>
      </c>
      <c r="I784" s="121">
        <f>HLOOKUP($H$5,'Met Data'!$A$2:$F$368,G784,FALSE)</f>
        <v>15.408064516129</v>
      </c>
      <c r="J784" s="119">
        <f ca="1">HLOOKUP($H$5,'Met Data'!$H$2:$M$368,G784,FALSE)*L784</f>
        <v>2.6870967741935399</v>
      </c>
      <c r="K784" s="98">
        <f>HLOOKUP($H$5,'Met Data'!$O$2:$T$368,G784,FALSE)</f>
        <v>2.0871356285448601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si="120"/>
        <v>109</v>
      </c>
      <c r="H785" s="97">
        <f t="shared" si="129"/>
        <v>45765</v>
      </c>
      <c r="I785" s="121">
        <f>HLOOKUP($H$5,'Met Data'!$A$2:$F$368,G785,FALSE)</f>
        <v>15.420967741935399</v>
      </c>
      <c r="J785" s="119">
        <f ca="1">HLOOKUP($H$5,'Met Data'!$H$2:$M$368,G785,FALSE)*L785</f>
        <v>2.8516129032258002</v>
      </c>
      <c r="K785" s="98">
        <f>HLOOKUP($H$5,'Met Data'!$O$2:$T$368,G785,FALSE)</f>
        <v>2.1715863377271001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si="120"/>
        <v>110</v>
      </c>
      <c r="H786" s="97">
        <f t="shared" si="129"/>
        <v>45766</v>
      </c>
      <c r="I786" s="121">
        <f>HLOOKUP($H$5,'Met Data'!$A$2:$F$368,G786,FALSE)</f>
        <v>15.193548387096699</v>
      </c>
      <c r="J786" s="119">
        <f ca="1">HLOOKUP($H$5,'Met Data'!$H$2:$M$368,G786,FALSE)*L786</f>
        <v>2.4258064516129001</v>
      </c>
      <c r="K786" s="98">
        <f>HLOOKUP($H$5,'Met Data'!$O$2:$T$368,G786,FALSE)</f>
        <v>2.2979139363353802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si="120"/>
        <v>111</v>
      </c>
      <c r="H787" s="97">
        <f t="shared" si="129"/>
        <v>45767</v>
      </c>
      <c r="I787" s="121">
        <f>HLOOKUP($H$5,'Met Data'!$A$2:$F$368,G787,FALSE)</f>
        <v>15.4096774193548</v>
      </c>
      <c r="J787" s="119">
        <f ca="1">HLOOKUP($H$5,'Met Data'!$H$2:$M$368,G787,FALSE)*L787</f>
        <v>1.7322580645161201</v>
      </c>
      <c r="K787" s="98">
        <f>HLOOKUP($H$5,'Met Data'!$O$2:$T$368,G787,FALSE)</f>
        <v>2.3194627801487999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si="120"/>
        <v>112</v>
      </c>
      <c r="H788" s="97">
        <f t="shared" si="129"/>
        <v>45768</v>
      </c>
      <c r="I788" s="121">
        <f>HLOOKUP($H$5,'Met Data'!$A$2:$F$368,G788,FALSE)</f>
        <v>15.261666666666599</v>
      </c>
      <c r="J788" s="119">
        <f ca="1">HLOOKUP($H$5,'Met Data'!$H$2:$M$368,G788,FALSE)*L788</f>
        <v>4.0161290322580596</v>
      </c>
      <c r="K788" s="98">
        <f>HLOOKUP($H$5,'Met Data'!$O$2:$T$368,G788,FALSE)</f>
        <v>2.3321304827068001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si="120"/>
        <v>113</v>
      </c>
      <c r="H789" s="97">
        <f t="shared" si="129"/>
        <v>45769</v>
      </c>
      <c r="I789" s="121">
        <f>HLOOKUP($H$5,'Met Data'!$A$2:$F$368,G789,FALSE)</f>
        <v>14.5283333333333</v>
      </c>
      <c r="J789" s="119">
        <f ca="1">HLOOKUP($H$5,'Met Data'!$H$2:$M$368,G789,FALSE)*L789</f>
        <v>3.5258064516129002</v>
      </c>
      <c r="K789" s="98">
        <f>HLOOKUP($H$5,'Met Data'!$O$2:$T$368,G789,FALSE)</f>
        <v>2.2184505421646001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si="120"/>
        <v>114</v>
      </c>
      <c r="H790" s="97">
        <f t="shared" si="129"/>
        <v>45770</v>
      </c>
      <c r="I790" s="121">
        <f>HLOOKUP($H$5,'Met Data'!$A$2:$F$368,G790,FALSE)</f>
        <v>14.68</v>
      </c>
      <c r="J790" s="119">
        <f ca="1">HLOOKUP($H$5,'Met Data'!$H$2:$M$368,G790,FALSE)*L790</f>
        <v>2.28709677419354</v>
      </c>
      <c r="K790" s="98">
        <f>HLOOKUP($H$5,'Met Data'!$O$2:$T$368,G790,FALSE)</f>
        <v>2.2540363688604601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si="120"/>
        <v>115</v>
      </c>
      <c r="H791" s="97">
        <f t="shared" si="129"/>
        <v>45771</v>
      </c>
      <c r="I791" s="121">
        <f>HLOOKUP($H$5,'Met Data'!$A$2:$F$368,G791,FALSE)</f>
        <v>14.4933333333333</v>
      </c>
      <c r="J791" s="119">
        <f ca="1">HLOOKUP($H$5,'Met Data'!$H$2:$M$368,G791,FALSE)*L791</f>
        <v>4.3387096774193497</v>
      </c>
      <c r="K791" s="98">
        <f>HLOOKUP($H$5,'Met Data'!$O$2:$T$368,G791,FALSE)</f>
        <v>2.2396347152399998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si="120"/>
        <v>116</v>
      </c>
      <c r="H792" s="97">
        <f t="shared" si="129"/>
        <v>45772</v>
      </c>
      <c r="I792" s="121">
        <f>HLOOKUP($H$5,'Met Data'!$A$2:$F$368,G792,FALSE)</f>
        <v>14.7733333333333</v>
      </c>
      <c r="J792" s="119">
        <f ca="1">HLOOKUP($H$5,'Met Data'!$H$2:$M$368,G792,FALSE)*L792</f>
        <v>6.4580645161290304</v>
      </c>
      <c r="K792" s="98">
        <f>HLOOKUP($H$5,'Met Data'!$O$2:$T$368,G792,FALSE)</f>
        <v>2.0110185254269899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si="120"/>
        <v>117</v>
      </c>
      <c r="H793" s="97">
        <f t="shared" si="129"/>
        <v>45773</v>
      </c>
      <c r="I793" s="121">
        <f>HLOOKUP($H$5,'Met Data'!$A$2:$F$368,G793,FALSE)</f>
        <v>14.998333333333299</v>
      </c>
      <c r="J793" s="119">
        <f ca="1">HLOOKUP($H$5,'Met Data'!$H$2:$M$368,G793,FALSE)*L793</f>
        <v>3.1903225806451601</v>
      </c>
      <c r="K793" s="98">
        <f>HLOOKUP($H$5,'Met Data'!$O$2:$T$368,G793,FALSE)</f>
        <v>2.1294944258891699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si="120"/>
        <v>118</v>
      </c>
      <c r="H794" s="97">
        <f t="shared" si="129"/>
        <v>45774</v>
      </c>
      <c r="I794" s="121">
        <f>HLOOKUP($H$5,'Met Data'!$A$2:$F$368,G794,FALSE)</f>
        <v>15.395</v>
      </c>
      <c r="J794" s="119">
        <f ca="1">HLOOKUP($H$5,'Met Data'!$H$2:$M$368,G794,FALSE)*L794</f>
        <v>2.8516129032258002</v>
      </c>
      <c r="K794" s="98">
        <f>HLOOKUP($H$5,'Met Data'!$O$2:$T$368,G794,FALSE)</f>
        <v>2.1336270025185899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si="120"/>
        <v>119</v>
      </c>
      <c r="H795" s="97">
        <f t="shared" si="129"/>
        <v>45775</v>
      </c>
      <c r="I795" s="121">
        <f>HLOOKUP($H$5,'Met Data'!$A$2:$F$368,G795,FALSE)</f>
        <v>15.641379310344799</v>
      </c>
      <c r="J795" s="119">
        <f ca="1">HLOOKUP($H$5,'Met Data'!$H$2:$M$368,G795,FALSE)*L795</f>
        <v>3.74193548387096</v>
      </c>
      <c r="K795" s="98">
        <f>HLOOKUP($H$5,'Met Data'!$O$2:$T$368,G795,FALSE)</f>
        <v>2.0365768668725401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si="120"/>
        <v>120</v>
      </c>
      <c r="H796" s="97">
        <f t="shared" si="129"/>
        <v>45776</v>
      </c>
      <c r="I796" s="121">
        <f>HLOOKUP($H$5,'Met Data'!$A$2:$F$368,G796,FALSE)</f>
        <v>14.7327586206896</v>
      </c>
      <c r="J796" s="119">
        <f ca="1">HLOOKUP($H$5,'Met Data'!$H$2:$M$368,G796,FALSE)*L796</f>
        <v>3.3129032258064499</v>
      </c>
      <c r="K796" s="98">
        <f>HLOOKUP($H$5,'Met Data'!$O$2:$T$368,G796,FALSE)</f>
        <v>2.1199579861729001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si="120"/>
        <v>121</v>
      </c>
      <c r="H797" s="97">
        <f t="shared" si="129"/>
        <v>45777</v>
      </c>
      <c r="I797" s="121">
        <f>HLOOKUP($H$5,'Met Data'!$A$2:$F$368,G797,FALSE)</f>
        <v>14.332758620689599</v>
      </c>
      <c r="J797" s="119">
        <f ca="1">HLOOKUP($H$5,'Met Data'!$H$2:$M$368,G797,FALSE)*L797</f>
        <v>4.4322580645161196</v>
      </c>
      <c r="K797" s="98">
        <f>HLOOKUP($H$5,'Met Data'!$O$2:$T$368,G797,FALSE)</f>
        <v>1.7270113091402699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si="120"/>
        <v>122</v>
      </c>
      <c r="H798" s="97">
        <f t="shared" si="129"/>
        <v>45778</v>
      </c>
      <c r="I798" s="121">
        <f>HLOOKUP($H$5,'Met Data'!$A$2:$F$368,G798,FALSE)</f>
        <v>14.3982758620689</v>
      </c>
      <c r="J798" s="119">
        <f ca="1">HLOOKUP($H$5,'Met Data'!$H$2:$M$368,G798,FALSE)*L798</f>
        <v>3.1838709677419299</v>
      </c>
      <c r="K798" s="98">
        <f>HLOOKUP($H$5,'Met Data'!$O$2:$T$368,G798,FALSE)</f>
        <v>1.93510583623638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si="120"/>
        <v>123</v>
      </c>
      <c r="H799" s="97">
        <f t="shared" si="129"/>
        <v>45779</v>
      </c>
      <c r="I799" s="121">
        <f>HLOOKUP($H$5,'Met Data'!$A$2:$F$368,G799,FALSE)</f>
        <v>14.296666666666599</v>
      </c>
      <c r="J799" s="119">
        <f ca="1">HLOOKUP($H$5,'Met Data'!$H$2:$M$368,G799,FALSE)*L799</f>
        <v>6.4709677419354801</v>
      </c>
      <c r="K799" s="98">
        <f>HLOOKUP($H$5,'Met Data'!$O$2:$T$368,G799,FALSE)</f>
        <v>1.84994231207221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si="120"/>
        <v>124</v>
      </c>
      <c r="H800" s="97">
        <f t="shared" si="129"/>
        <v>45780</v>
      </c>
      <c r="I800" s="121">
        <f>HLOOKUP($H$5,'Met Data'!$A$2:$F$368,G800,FALSE)</f>
        <v>14.1866666666666</v>
      </c>
      <c r="J800" s="119">
        <f ca="1">HLOOKUP($H$5,'Met Data'!$H$2:$M$368,G800,FALSE)*L800</f>
        <v>2.59032258064516</v>
      </c>
      <c r="K800" s="98">
        <f>HLOOKUP($H$5,'Met Data'!$O$2:$T$368,G800,FALSE)</f>
        <v>1.8652259443704999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si="120"/>
        <v>125</v>
      </c>
      <c r="H801" s="97">
        <f t="shared" si="129"/>
        <v>45781</v>
      </c>
      <c r="I801" s="121">
        <f>HLOOKUP($H$5,'Met Data'!$A$2:$F$368,G801,FALSE)</f>
        <v>13.9112903225806</v>
      </c>
      <c r="J801" s="119">
        <f ca="1">HLOOKUP($H$5,'Met Data'!$H$2:$M$368,G801,FALSE)*L801</f>
        <v>2.2741935483870899</v>
      </c>
      <c r="K801" s="98">
        <f>HLOOKUP($H$5,'Met Data'!$O$2:$T$368,G801,FALSE)</f>
        <v>1.88347487361168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si="120"/>
        <v>126</v>
      </c>
      <c r="H802" s="97">
        <f t="shared" si="129"/>
        <v>45782</v>
      </c>
      <c r="I802" s="121">
        <f>HLOOKUP($H$5,'Met Data'!$A$2:$F$368,G802,FALSE)</f>
        <v>13.9966666666666</v>
      </c>
      <c r="J802" s="119">
        <f ca="1">HLOOKUP($H$5,'Met Data'!$H$2:$M$368,G802,FALSE)*L802</f>
        <v>3.2548387096774101</v>
      </c>
      <c r="K802" s="98">
        <f>HLOOKUP($H$5,'Met Data'!$O$2:$T$368,G802,FALSE)</f>
        <v>1.9813737718090501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si="120"/>
        <v>127</v>
      </c>
      <c r="H803" s="97">
        <f t="shared" si="129"/>
        <v>45783</v>
      </c>
      <c r="I803" s="121">
        <f>HLOOKUP($H$5,'Met Data'!$A$2:$F$368,G803,FALSE)</f>
        <v>14.1596774193548</v>
      </c>
      <c r="J803" s="119">
        <f ca="1">HLOOKUP($H$5,'Met Data'!$H$2:$M$368,G803,FALSE)*L803</f>
        <v>3.4483870967741899</v>
      </c>
      <c r="K803" s="98">
        <f>HLOOKUP($H$5,'Met Data'!$O$2:$T$368,G803,FALSE)</f>
        <v>1.78778032014411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si="120"/>
        <v>128</v>
      </c>
      <c r="H804" s="97">
        <f t="shared" si="129"/>
        <v>45784</v>
      </c>
      <c r="I804" s="121">
        <f>HLOOKUP($H$5,'Met Data'!$A$2:$F$368,G804,FALSE)</f>
        <v>13.8403225806451</v>
      </c>
      <c r="J804" s="119">
        <f ca="1">HLOOKUP($H$5,'Met Data'!$H$2:$M$368,G804,FALSE)*L804</f>
        <v>1.8387096774193501</v>
      </c>
      <c r="K804" s="98">
        <f>HLOOKUP($H$5,'Met Data'!$O$2:$T$368,G804,FALSE)</f>
        <v>1.87782016455675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si="120"/>
        <v>129</v>
      </c>
      <c r="H805" s="97">
        <f t="shared" si="129"/>
        <v>45785</v>
      </c>
      <c r="I805" s="121">
        <f>HLOOKUP($H$5,'Met Data'!$A$2:$F$368,G805,FALSE)</f>
        <v>13.5774193548387</v>
      </c>
      <c r="J805" s="119">
        <f ca="1">HLOOKUP($H$5,'Met Data'!$H$2:$M$368,G805,FALSE)*L805</f>
        <v>3.4064516129032198</v>
      </c>
      <c r="K805" s="98">
        <f>HLOOKUP($H$5,'Met Data'!$O$2:$T$368,G805,FALSE)</f>
        <v>1.84976774954056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si="120"/>
        <v>130</v>
      </c>
      <c r="H806" s="97">
        <f t="shared" si="129"/>
        <v>45786</v>
      </c>
      <c r="I806" s="121">
        <f>HLOOKUP($H$5,'Met Data'!$A$2:$F$368,G806,FALSE)</f>
        <v>13.1612903225806</v>
      </c>
      <c r="J806" s="119">
        <f ca="1">HLOOKUP($H$5,'Met Data'!$H$2:$M$368,G806,FALSE)*L806</f>
        <v>2.3258064516129</v>
      </c>
      <c r="K806" s="98">
        <f>HLOOKUP($H$5,'Met Data'!$O$2:$T$368,G806,FALSE)</f>
        <v>1.7318330822852801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si="120"/>
        <v>131</v>
      </c>
      <c r="H807" s="97">
        <f t="shared" si="129"/>
        <v>45787</v>
      </c>
      <c r="I807" s="121">
        <f>HLOOKUP($H$5,'Met Data'!$A$2:$F$368,G807,FALSE)</f>
        <v>13.291935483870899</v>
      </c>
      <c r="J807" s="119">
        <f ca="1">HLOOKUP($H$5,'Met Data'!$H$2:$M$368,G807,FALSE)*L807</f>
        <v>3.1733333333333298</v>
      </c>
      <c r="K807" s="98">
        <f>HLOOKUP($H$5,'Met Data'!$O$2:$T$368,G807,FALSE)</f>
        <v>1.6655372035048599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si="120"/>
        <v>132</v>
      </c>
      <c r="H808" s="97">
        <f t="shared" si="129"/>
        <v>45788</v>
      </c>
      <c r="I808" s="121">
        <f>HLOOKUP($H$5,'Met Data'!$A$2:$F$368,G808,FALSE)</f>
        <v>13.5774193548387</v>
      </c>
      <c r="J808" s="119">
        <f ca="1">HLOOKUP($H$5,'Met Data'!$H$2:$M$368,G808,FALSE)*L808</f>
        <v>2.4225806451612901</v>
      </c>
      <c r="K808" s="98">
        <f>HLOOKUP($H$5,'Met Data'!$O$2:$T$368,G808,FALSE)</f>
        <v>1.82340706114468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si="120"/>
        <v>133</v>
      </c>
      <c r="H809" s="97">
        <f t="shared" si="129"/>
        <v>45789</v>
      </c>
      <c r="I809" s="121">
        <f>HLOOKUP($H$5,'Met Data'!$A$2:$F$368,G809,FALSE)</f>
        <v>13.898387096774099</v>
      </c>
      <c r="J809" s="119">
        <f ca="1">HLOOKUP($H$5,'Met Data'!$H$2:$M$368,G809,FALSE)*L809</f>
        <v>3.56129032258064</v>
      </c>
      <c r="K809" s="98">
        <f>HLOOKUP($H$5,'Met Data'!$O$2:$T$368,G809,FALSE)</f>
        <v>1.58246048642455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si="120"/>
        <v>134</v>
      </c>
      <c r="H810" s="97">
        <f t="shared" si="129"/>
        <v>45790</v>
      </c>
      <c r="I810" s="121">
        <f>HLOOKUP($H$5,'Met Data'!$A$2:$F$368,G810,FALSE)</f>
        <v>13.8193548387096</v>
      </c>
      <c r="J810" s="119">
        <f ca="1">HLOOKUP($H$5,'Met Data'!$H$2:$M$368,G810,FALSE)*L810</f>
        <v>3.2677419354838699</v>
      </c>
      <c r="K810" s="98">
        <f>HLOOKUP($H$5,'Met Data'!$O$2:$T$368,G810,FALSE)</f>
        <v>1.6419912913333301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si="120"/>
        <v>135</v>
      </c>
      <c r="H811" s="97">
        <f t="shared" si="129"/>
        <v>45791</v>
      </c>
      <c r="I811" s="121">
        <f>HLOOKUP($H$5,'Met Data'!$A$2:$F$368,G811,FALSE)</f>
        <v>13.49</v>
      </c>
      <c r="J811" s="119">
        <f ca="1">HLOOKUP($H$5,'Met Data'!$H$2:$M$368,G811,FALSE)*L811</f>
        <v>2.96129032258064</v>
      </c>
      <c r="K811" s="98">
        <f>HLOOKUP($H$5,'Met Data'!$O$2:$T$368,G811,FALSE)</f>
        <v>1.7493116405284199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si="120"/>
        <v>136</v>
      </c>
      <c r="H812" s="97">
        <f t="shared" si="129"/>
        <v>45792</v>
      </c>
      <c r="I812" s="121">
        <f>HLOOKUP($H$5,'Met Data'!$A$2:$F$368,G812,FALSE)</f>
        <v>13.408064516129</v>
      </c>
      <c r="J812" s="119">
        <f ca="1">HLOOKUP($H$5,'Met Data'!$H$2:$M$368,G812,FALSE)*L812</f>
        <v>3.9032258064516099</v>
      </c>
      <c r="K812" s="98">
        <f>HLOOKUP($H$5,'Met Data'!$O$2:$T$368,G812,FALSE)</f>
        <v>1.5662445189592999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si="120"/>
        <v>137</v>
      </c>
      <c r="H813" s="97">
        <f t="shared" si="129"/>
        <v>45793</v>
      </c>
      <c r="I813" s="121">
        <f>HLOOKUP($H$5,'Met Data'!$A$2:$F$368,G813,FALSE)</f>
        <v>13.4193548387096</v>
      </c>
      <c r="J813" s="119">
        <f ca="1">HLOOKUP($H$5,'Met Data'!$H$2:$M$368,G813,FALSE)*L813</f>
        <v>4.1322580645161198</v>
      </c>
      <c r="K813" s="98">
        <f>HLOOKUP($H$5,'Met Data'!$O$2:$T$368,G813,FALSE)</f>
        <v>1.7909891224832299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si="120"/>
        <v>138</v>
      </c>
      <c r="H814" s="97">
        <f t="shared" si="129"/>
        <v>45794</v>
      </c>
      <c r="I814" s="121">
        <f>HLOOKUP($H$5,'Met Data'!$A$2:$F$368,G814,FALSE)</f>
        <v>13.0177419354838</v>
      </c>
      <c r="J814" s="119">
        <f ca="1">HLOOKUP($H$5,'Met Data'!$H$2:$M$368,G814,FALSE)*L814</f>
        <v>3.8645161290322498</v>
      </c>
      <c r="K814" s="98">
        <f>HLOOKUP($H$5,'Met Data'!$O$2:$T$368,G814,FALSE)</f>
        <v>1.67932593217038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si="120"/>
        <v>139</v>
      </c>
      <c r="H815" s="97">
        <f t="shared" si="129"/>
        <v>45795</v>
      </c>
      <c r="I815" s="121">
        <f>HLOOKUP($H$5,'Met Data'!$A$2:$F$368,G815,FALSE)</f>
        <v>12.8774193548387</v>
      </c>
      <c r="J815" s="119">
        <f ca="1">HLOOKUP($H$5,'Met Data'!$H$2:$M$368,G815,FALSE)*L815</f>
        <v>3.7967741935483801</v>
      </c>
      <c r="K815" s="98">
        <f>HLOOKUP($H$5,'Met Data'!$O$2:$T$368,G815,FALSE)</f>
        <v>1.7647102566828801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si="120"/>
        <v>140</v>
      </c>
      <c r="H816" s="97">
        <f t="shared" si="129"/>
        <v>45796</v>
      </c>
      <c r="I816" s="121">
        <f>HLOOKUP($H$5,'Met Data'!$A$2:$F$368,G816,FALSE)</f>
        <v>13.3629032258064</v>
      </c>
      <c r="J816" s="119">
        <f ca="1">HLOOKUP($H$5,'Met Data'!$H$2:$M$368,G816,FALSE)*L816</f>
        <v>1.4774193548387</v>
      </c>
      <c r="K816" s="98">
        <f>HLOOKUP($H$5,'Met Data'!$O$2:$T$368,G816,FALSE)</f>
        <v>1.8502469543140301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si="130">H817-DATE(YEAR(H817),1,0)+1</f>
        <v>141</v>
      </c>
      <c r="H817" s="97">
        <f t="shared" si="129"/>
        <v>45797</v>
      </c>
      <c r="I817" s="121">
        <f>HLOOKUP($H$5,'Met Data'!$A$2:$F$368,G817,FALSE)</f>
        <v>13.314516129032199</v>
      </c>
      <c r="J817" s="119">
        <f ca="1">HLOOKUP($H$5,'Met Data'!$H$2:$M$368,G817,FALSE)*L817</f>
        <v>5.2193548387096698</v>
      </c>
      <c r="K817" s="98">
        <f>HLOOKUP($H$5,'Met Data'!$O$2:$T$368,G817,FALSE)</f>
        <v>1.4599096570605601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si="130"/>
        <v>142</v>
      </c>
      <c r="H818" s="97">
        <f t="shared" si="129"/>
        <v>45798</v>
      </c>
      <c r="I818" s="121">
        <f>HLOOKUP($H$5,'Met Data'!$A$2:$F$368,G818,FALSE)</f>
        <v>13.598387096774101</v>
      </c>
      <c r="J818" s="119">
        <f ca="1">HLOOKUP($H$5,'Met Data'!$H$2:$M$368,G818,FALSE)*L818</f>
        <v>5.1451612903225801</v>
      </c>
      <c r="K818" s="98">
        <f>HLOOKUP($H$5,'Met Data'!$O$2:$T$368,G818,FALSE)</f>
        <v>1.48780958137737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si="130"/>
        <v>143</v>
      </c>
      <c r="H819" s="97">
        <f t="shared" si="129"/>
        <v>45799</v>
      </c>
      <c r="I819" s="121">
        <f>HLOOKUP($H$5,'Met Data'!$A$2:$F$368,G819,FALSE)</f>
        <v>13.074193548387001</v>
      </c>
      <c r="J819" s="119">
        <f ca="1">HLOOKUP($H$5,'Met Data'!$H$2:$M$368,G819,FALSE)*L819</f>
        <v>4.73548387096774</v>
      </c>
      <c r="K819" s="98">
        <f>HLOOKUP($H$5,'Met Data'!$O$2:$T$368,G819,FALSE)</f>
        <v>1.4103441752322401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si="130"/>
        <v>144</v>
      </c>
      <c r="H820" s="97">
        <f t="shared" si="129"/>
        <v>45800</v>
      </c>
      <c r="I820" s="121">
        <f>HLOOKUP($H$5,'Met Data'!$A$2:$F$368,G820,FALSE)</f>
        <v>12.8338709677419</v>
      </c>
      <c r="J820" s="119">
        <f ca="1">HLOOKUP($H$5,'Met Data'!$H$2:$M$368,G820,FALSE)*L820</f>
        <v>7.7677419354838699</v>
      </c>
      <c r="K820" s="98">
        <f>HLOOKUP($H$5,'Met Data'!$O$2:$T$368,G820,FALSE)</f>
        <v>1.40773401519768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si="130"/>
        <v>145</v>
      </c>
      <c r="H821" s="97">
        <f t="shared" si="129"/>
        <v>45801</v>
      </c>
      <c r="I821" s="121">
        <f>HLOOKUP($H$5,'Met Data'!$A$2:$F$368,G821,FALSE)</f>
        <v>12.761290322580599</v>
      </c>
      <c r="J821" s="119">
        <f ca="1">HLOOKUP($H$5,'Met Data'!$H$2:$M$368,G821,FALSE)*L821</f>
        <v>5.3612903225806399</v>
      </c>
      <c r="K821" s="98">
        <f>HLOOKUP($H$5,'Met Data'!$O$2:$T$368,G821,FALSE)</f>
        <v>1.5324788885576901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si="130"/>
        <v>146</v>
      </c>
      <c r="H822" s="97">
        <f t="shared" si="129"/>
        <v>45802</v>
      </c>
      <c r="I822" s="121">
        <f>HLOOKUP($H$5,'Met Data'!$A$2:$F$368,G822,FALSE)</f>
        <v>13.04</v>
      </c>
      <c r="J822" s="119">
        <f ca="1">HLOOKUP($H$5,'Met Data'!$H$2:$M$368,G822,FALSE)*L822</f>
        <v>5.8233333333333297</v>
      </c>
      <c r="K822" s="98">
        <f>HLOOKUP($H$5,'Met Data'!$O$2:$T$368,G822,FALSE)</f>
        <v>1.3513771562845001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si="130"/>
        <v>147</v>
      </c>
      <c r="H823" s="97">
        <f t="shared" si="129"/>
        <v>45803</v>
      </c>
      <c r="I823" s="121">
        <f>HLOOKUP($H$5,'Met Data'!$A$2:$F$368,G823,FALSE)</f>
        <v>13.44</v>
      </c>
      <c r="J823" s="119">
        <f ca="1">HLOOKUP($H$5,'Met Data'!$H$2:$M$368,G823,FALSE)*L823</f>
        <v>6.9099999999999904</v>
      </c>
      <c r="K823" s="98">
        <f>HLOOKUP($H$5,'Met Data'!$O$2:$T$368,G823,FALSE)</f>
        <v>1.45255211799902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si="130"/>
        <v>148</v>
      </c>
      <c r="H824" s="97">
        <f t="shared" si="129"/>
        <v>45804</v>
      </c>
      <c r="I824" s="121">
        <f>HLOOKUP($H$5,'Met Data'!$A$2:$F$368,G824,FALSE)</f>
        <v>12.8183333333333</v>
      </c>
      <c r="J824" s="119">
        <f ca="1">HLOOKUP($H$5,'Met Data'!$H$2:$M$368,G824,FALSE)*L824</f>
        <v>4.4066666666666601</v>
      </c>
      <c r="K824" s="98">
        <f>HLOOKUP($H$5,'Met Data'!$O$2:$T$368,G824,FALSE)</f>
        <v>1.5797115913466899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si="130"/>
        <v>149</v>
      </c>
      <c r="H825" s="97">
        <f t="shared" si="129"/>
        <v>45805</v>
      </c>
      <c r="I825" s="121">
        <f>HLOOKUP($H$5,'Met Data'!$A$2:$F$368,G825,FALSE)</f>
        <v>12.088333333333299</v>
      </c>
      <c r="J825" s="119">
        <f ca="1">HLOOKUP($H$5,'Met Data'!$H$2:$M$368,G825,FALSE)*L825</f>
        <v>3.84666666666666</v>
      </c>
      <c r="K825" s="98">
        <f>HLOOKUP($H$5,'Met Data'!$O$2:$T$368,G825,FALSE)</f>
        <v>1.52168431166894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si="130"/>
        <v>150</v>
      </c>
      <c r="H826" s="97">
        <f t="shared" si="129"/>
        <v>45806</v>
      </c>
      <c r="I826" s="121">
        <f>HLOOKUP($H$5,'Met Data'!$A$2:$F$368,G826,FALSE)</f>
        <v>11.7193548387096</v>
      </c>
      <c r="J826" s="119">
        <f ca="1">HLOOKUP($H$5,'Met Data'!$H$2:$M$368,G826,FALSE)*L826</f>
        <v>4.8161290322580603</v>
      </c>
      <c r="K826" s="98">
        <f>HLOOKUP($H$5,'Met Data'!$O$2:$T$368,G826,FALSE)</f>
        <v>1.3043403353641301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si="130"/>
        <v>151</v>
      </c>
      <c r="H827" s="97">
        <f t="shared" si="129"/>
        <v>45807</v>
      </c>
      <c r="I827" s="121">
        <f>HLOOKUP($H$5,'Met Data'!$A$2:$F$368,G827,FALSE)</f>
        <v>12.024193548387</v>
      </c>
      <c r="J827" s="119">
        <f ca="1">HLOOKUP($H$5,'Met Data'!$H$2:$M$368,G827,FALSE)*L827</f>
        <v>5.4032258064516103</v>
      </c>
      <c r="K827" s="98">
        <f>HLOOKUP($H$5,'Met Data'!$O$2:$T$368,G827,FALSE)</f>
        <v>1.3290261075951599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si="130"/>
        <v>152</v>
      </c>
      <c r="H828" s="97">
        <f t="shared" si="129"/>
        <v>45808</v>
      </c>
      <c r="I828" s="121">
        <f>HLOOKUP($H$5,'Met Data'!$A$2:$F$368,G828,FALSE)</f>
        <v>11.7258064516129</v>
      </c>
      <c r="J828" s="119">
        <f ca="1">HLOOKUP($H$5,'Met Data'!$H$2:$M$368,G828,FALSE)*L828</f>
        <v>5.6354838709677404</v>
      </c>
      <c r="K828" s="98">
        <f>HLOOKUP($H$5,'Met Data'!$O$2:$T$368,G828,FALSE)</f>
        <v>1.39784343044145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si="130"/>
        <v>153</v>
      </c>
      <c r="H829" s="97">
        <f t="shared" si="129"/>
        <v>45809</v>
      </c>
      <c r="I829" s="121">
        <f>HLOOKUP($H$5,'Met Data'!$A$2:$F$368,G829,FALSE)</f>
        <v>11.7564516129032</v>
      </c>
      <c r="J829" s="119">
        <f ca="1">HLOOKUP($H$5,'Met Data'!$H$2:$M$368,G829,FALSE)*L829</f>
        <v>4.3451612903225802</v>
      </c>
      <c r="K829" s="98">
        <f>HLOOKUP($H$5,'Met Data'!$O$2:$T$368,G829,FALSE)</f>
        <v>1.4712646827298701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si="130"/>
        <v>154</v>
      </c>
      <c r="H830" s="97">
        <f t="shared" si="129"/>
        <v>45810</v>
      </c>
      <c r="I830" s="121">
        <f>HLOOKUP($H$5,'Met Data'!$A$2:$F$368,G830,FALSE)</f>
        <v>11.6033333333333</v>
      </c>
      <c r="J830" s="119">
        <f ca="1">HLOOKUP($H$5,'Met Data'!$H$2:$M$368,G830,FALSE)*L830</f>
        <v>5.12</v>
      </c>
      <c r="K830" s="98">
        <f>HLOOKUP($H$5,'Met Data'!$O$2:$T$368,G830,FALSE)</f>
        <v>1.30717057222476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si="130"/>
        <v>155</v>
      </c>
      <c r="H831" s="97">
        <f t="shared" si="129"/>
        <v>45811</v>
      </c>
      <c r="I831" s="121">
        <f>HLOOKUP($H$5,'Met Data'!$A$2:$F$368,G831,FALSE)</f>
        <v>11.056666666666599</v>
      </c>
      <c r="J831" s="119">
        <f ca="1">HLOOKUP($H$5,'Met Data'!$H$2:$M$368,G831,FALSE)*L831</f>
        <v>2.78666666666666</v>
      </c>
      <c r="K831" s="98">
        <f>HLOOKUP($H$5,'Met Data'!$O$2:$T$368,G831,FALSE)</f>
        <v>1.4941006859236099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si="130"/>
        <v>156</v>
      </c>
      <c r="H832" s="97">
        <f t="shared" si="129"/>
        <v>45812</v>
      </c>
      <c r="I832" s="121">
        <f>HLOOKUP($H$5,'Met Data'!$A$2:$F$368,G832,FALSE)</f>
        <v>11.1733333333333</v>
      </c>
      <c r="J832" s="119">
        <f ca="1">HLOOKUP($H$5,'Met Data'!$H$2:$M$368,G832,FALSE)*L832</f>
        <v>4.3899999999999997</v>
      </c>
      <c r="K832" s="98">
        <f>HLOOKUP($H$5,'Met Data'!$O$2:$T$368,G832,FALSE)</f>
        <v>1.35454855749501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si="130"/>
        <v>157</v>
      </c>
      <c r="H833" s="97">
        <f t="shared" si="129"/>
        <v>45813</v>
      </c>
      <c r="I833" s="121">
        <f>HLOOKUP($H$5,'Met Data'!$A$2:$F$368,G833,FALSE)</f>
        <v>11.3016666666666</v>
      </c>
      <c r="J833" s="119">
        <f ca="1">HLOOKUP($H$5,'Met Data'!$H$2:$M$368,G833,FALSE)*L833</f>
        <v>3.3633333333333302</v>
      </c>
      <c r="K833" s="98">
        <f>HLOOKUP($H$5,'Met Data'!$O$2:$T$368,G833,FALSE)</f>
        <v>1.3233452483653401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si="130"/>
        <v>158</v>
      </c>
      <c r="H834" s="97">
        <f t="shared" si="129"/>
        <v>45814</v>
      </c>
      <c r="I834" s="121">
        <f>HLOOKUP($H$5,'Met Data'!$A$2:$F$368,G834,FALSE)</f>
        <v>11.2416666666666</v>
      </c>
      <c r="J834" s="119">
        <f ca="1">HLOOKUP($H$5,'Met Data'!$H$2:$M$368,G834,FALSE)*L834</f>
        <v>3.4666666666666601</v>
      </c>
      <c r="K834" s="98">
        <f>HLOOKUP($H$5,'Met Data'!$O$2:$T$368,G834,FALSE)</f>
        <v>1.31169017597242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si="130"/>
        <v>159</v>
      </c>
      <c r="H835" s="97">
        <f t="shared" si="129"/>
        <v>45815</v>
      </c>
      <c r="I835" s="121">
        <f>HLOOKUP($H$5,'Met Data'!$A$2:$F$368,G835,FALSE)</f>
        <v>11.3533333333333</v>
      </c>
      <c r="J835" s="119">
        <f ca="1">HLOOKUP($H$5,'Met Data'!$H$2:$M$368,G835,FALSE)*L835</f>
        <v>3.12333333333333</v>
      </c>
      <c r="K835" s="98">
        <f>HLOOKUP($H$5,'Met Data'!$O$2:$T$368,G835,FALSE)</f>
        <v>1.3774495437093499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si="130"/>
        <v>160</v>
      </c>
      <c r="H836" s="97">
        <f t="shared" si="129"/>
        <v>45816</v>
      </c>
      <c r="I836" s="121">
        <f>HLOOKUP($H$5,'Met Data'!$A$2:$F$368,G836,FALSE)</f>
        <v>11.6383333333333</v>
      </c>
      <c r="J836" s="119">
        <f ca="1">HLOOKUP($H$5,'Met Data'!$H$2:$M$368,G836,FALSE)*L836</f>
        <v>2.8</v>
      </c>
      <c r="K836" s="98">
        <f>HLOOKUP($H$5,'Met Data'!$O$2:$T$368,G836,FALSE)</f>
        <v>1.37514607405536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si="130"/>
        <v>161</v>
      </c>
      <c r="H837" s="97">
        <f t="shared" si="129"/>
        <v>45817</v>
      </c>
      <c r="I837" s="121">
        <f>HLOOKUP($H$5,'Met Data'!$A$2:$F$368,G837,FALSE)</f>
        <v>12.033333333333299</v>
      </c>
      <c r="J837" s="119">
        <f ca="1">HLOOKUP($H$5,'Met Data'!$H$2:$M$368,G837,FALSE)*L837</f>
        <v>5.1033333333333299</v>
      </c>
      <c r="K837" s="98">
        <f>HLOOKUP($H$5,'Met Data'!$O$2:$T$368,G837,FALSE)</f>
        <v>1.2907055368786999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si="130"/>
        <v>162</v>
      </c>
      <c r="H838" s="97">
        <f t="shared" si="129"/>
        <v>45818</v>
      </c>
      <c r="I838" s="121">
        <f>HLOOKUP($H$5,'Met Data'!$A$2:$F$368,G838,FALSE)</f>
        <v>12.0483333333333</v>
      </c>
      <c r="J838" s="119">
        <f ca="1">HLOOKUP($H$5,'Met Data'!$H$2:$M$368,G838,FALSE)*L838</f>
        <v>7.0566666666666604</v>
      </c>
      <c r="K838" s="98">
        <f>HLOOKUP($H$5,'Met Data'!$O$2:$T$368,G838,FALSE)</f>
        <v>1.1704038738008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si="130"/>
        <v>163</v>
      </c>
      <c r="H839" s="97">
        <f t="shared" si="129"/>
        <v>45819</v>
      </c>
      <c r="I839" s="121">
        <f>HLOOKUP($H$5,'Met Data'!$A$2:$F$368,G839,FALSE)</f>
        <v>12.105</v>
      </c>
      <c r="J839" s="119">
        <f ca="1">HLOOKUP($H$5,'Met Data'!$H$2:$M$368,G839,FALSE)*L839</f>
        <v>4.8199999999999896</v>
      </c>
      <c r="K839" s="98">
        <f>HLOOKUP($H$5,'Met Data'!$O$2:$T$368,G839,FALSE)</f>
        <v>1.2848931912011301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si="130"/>
        <v>164</v>
      </c>
      <c r="H840" s="97">
        <f t="shared" si="129"/>
        <v>45820</v>
      </c>
      <c r="I840" s="121">
        <f>HLOOKUP($H$5,'Met Data'!$A$2:$F$368,G840,FALSE)</f>
        <v>11.93</v>
      </c>
      <c r="J840" s="119">
        <f ca="1">HLOOKUP($H$5,'Met Data'!$H$2:$M$368,G840,FALSE)*L840</f>
        <v>4.05</v>
      </c>
      <c r="K840" s="98">
        <f>HLOOKUP($H$5,'Met Data'!$O$2:$T$368,G840,FALSE)</f>
        <v>1.2113320799843399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si="130"/>
        <v>165</v>
      </c>
      <c r="H841" s="97">
        <f t="shared" ref="H841:H904" si="139">H840+1</f>
        <v>45821</v>
      </c>
      <c r="I841" s="121">
        <f>HLOOKUP($H$5,'Met Data'!$A$2:$F$368,G841,FALSE)</f>
        <v>11.734999999999999</v>
      </c>
      <c r="J841" s="119">
        <f ca="1">HLOOKUP($H$5,'Met Data'!$H$2:$M$368,G841,FALSE)*L841</f>
        <v>3.5866666666666598</v>
      </c>
      <c r="K841" s="98">
        <f>HLOOKUP($H$5,'Met Data'!$O$2:$T$368,G841,FALSE)</f>
        <v>1.4600871377923801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si="130"/>
        <v>166</v>
      </c>
      <c r="H842" s="97">
        <f t="shared" si="139"/>
        <v>45822</v>
      </c>
      <c r="I842" s="121">
        <f>HLOOKUP($H$5,'Met Data'!$A$2:$F$368,G842,FALSE)</f>
        <v>11.1666666666666</v>
      </c>
      <c r="J842" s="119">
        <f ca="1">HLOOKUP($H$5,'Met Data'!$H$2:$M$368,G842,FALSE)*L842</f>
        <v>3.2966666666666602</v>
      </c>
      <c r="K842" s="98">
        <f>HLOOKUP($H$5,'Met Data'!$O$2:$T$368,G842,FALSE)</f>
        <v>1.34458805503312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si="130"/>
        <v>167</v>
      </c>
      <c r="H843" s="97">
        <f t="shared" si="139"/>
        <v>45823</v>
      </c>
      <c r="I843" s="121">
        <f>HLOOKUP($H$5,'Met Data'!$A$2:$F$368,G843,FALSE)</f>
        <v>11.2283333333333</v>
      </c>
      <c r="J843" s="119">
        <f ca="1">HLOOKUP($H$5,'Met Data'!$H$2:$M$368,G843,FALSE)*L843</f>
        <v>6.4733333333333301</v>
      </c>
      <c r="K843" s="98">
        <f>HLOOKUP($H$5,'Met Data'!$O$2:$T$368,G843,FALSE)</f>
        <v>1.38085812732775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si="130"/>
        <v>168</v>
      </c>
      <c r="H844" s="97">
        <f t="shared" si="139"/>
        <v>45824</v>
      </c>
      <c r="I844" s="121">
        <f>HLOOKUP($H$5,'Met Data'!$A$2:$F$368,G844,FALSE)</f>
        <v>10.6586206896551</v>
      </c>
      <c r="J844" s="119">
        <f ca="1">HLOOKUP($H$5,'Met Data'!$H$2:$M$368,G844,FALSE)*L844</f>
        <v>4.2733333333333299</v>
      </c>
      <c r="K844" s="98">
        <f>HLOOKUP($H$5,'Met Data'!$O$2:$T$368,G844,FALSE)</f>
        <v>1.38162675040215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si="130"/>
        <v>169</v>
      </c>
      <c r="H845" s="97">
        <f t="shared" si="139"/>
        <v>45825</v>
      </c>
      <c r="I845" s="121">
        <f>HLOOKUP($H$5,'Met Data'!$A$2:$F$368,G845,FALSE)</f>
        <v>10.7310344827586</v>
      </c>
      <c r="J845" s="119">
        <f ca="1">HLOOKUP($H$5,'Met Data'!$H$2:$M$368,G845,FALSE)*L845</f>
        <v>4.5699999999999896</v>
      </c>
      <c r="K845" s="98">
        <f>HLOOKUP($H$5,'Met Data'!$O$2:$T$368,G845,FALSE)</f>
        <v>1.17648432087559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si="130"/>
        <v>170</v>
      </c>
      <c r="H846" s="97">
        <f t="shared" si="139"/>
        <v>45826</v>
      </c>
      <c r="I846" s="121">
        <f>HLOOKUP($H$5,'Met Data'!$A$2:$F$368,G846,FALSE)</f>
        <v>11.2603448275862</v>
      </c>
      <c r="J846" s="119">
        <f ca="1">HLOOKUP($H$5,'Met Data'!$H$2:$M$368,G846,FALSE)*L846</f>
        <v>4.72</v>
      </c>
      <c r="K846" s="98">
        <f>HLOOKUP($H$5,'Met Data'!$O$2:$T$368,G846,FALSE)</f>
        <v>1.1014836099696199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si="130"/>
        <v>171</v>
      </c>
      <c r="H847" s="97">
        <f t="shared" si="139"/>
        <v>45827</v>
      </c>
      <c r="I847" s="121">
        <f>HLOOKUP($H$5,'Met Data'!$A$2:$F$368,G847,FALSE)</f>
        <v>10.906896551724101</v>
      </c>
      <c r="J847" s="119">
        <f ca="1">HLOOKUP($H$5,'Met Data'!$H$2:$M$368,G847,FALSE)*L847</f>
        <v>4.07</v>
      </c>
      <c r="K847" s="98">
        <f>HLOOKUP($H$5,'Met Data'!$O$2:$T$368,G847,FALSE)</f>
        <v>1.1347149368896201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si="130"/>
        <v>172</v>
      </c>
      <c r="H848" s="97">
        <f t="shared" si="139"/>
        <v>45828</v>
      </c>
      <c r="I848" s="121">
        <f>HLOOKUP($H$5,'Met Data'!$A$2:$F$368,G848,FALSE)</f>
        <v>11.072413793103401</v>
      </c>
      <c r="J848" s="119">
        <f ca="1">HLOOKUP($H$5,'Met Data'!$H$2:$M$368,G848,FALSE)*L848</f>
        <v>5.89333333333333</v>
      </c>
      <c r="K848" s="98">
        <f>HLOOKUP($H$5,'Met Data'!$O$2:$T$368,G848,FALSE)</f>
        <v>1.25671546368113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si="130"/>
        <v>173</v>
      </c>
      <c r="H849" s="97">
        <f t="shared" si="139"/>
        <v>45829</v>
      </c>
      <c r="I849" s="121">
        <f>HLOOKUP($H$5,'Met Data'!$A$2:$F$368,G849,FALSE)</f>
        <v>11.1844827586206</v>
      </c>
      <c r="J849" s="119">
        <f ca="1">HLOOKUP($H$5,'Met Data'!$H$2:$M$368,G849,FALSE)*L849</f>
        <v>2.27</v>
      </c>
      <c r="K849" s="98">
        <f>HLOOKUP($H$5,'Met Data'!$O$2:$T$368,G849,FALSE)</f>
        <v>1.3590610231009399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si="130"/>
        <v>174</v>
      </c>
      <c r="H850" s="97">
        <f t="shared" si="139"/>
        <v>45830</v>
      </c>
      <c r="I850" s="121">
        <f>HLOOKUP($H$5,'Met Data'!$A$2:$F$368,G850,FALSE)</f>
        <v>10.84</v>
      </c>
      <c r="J850" s="119">
        <f ca="1">HLOOKUP($H$5,'Met Data'!$H$2:$M$368,G850,FALSE)*L850</f>
        <v>2.2633333333333301</v>
      </c>
      <c r="K850" s="98">
        <f>HLOOKUP($H$5,'Met Data'!$O$2:$T$368,G850,FALSE)</f>
        <v>1.3770648366319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si="130"/>
        <v>175</v>
      </c>
      <c r="H851" s="97">
        <f t="shared" si="139"/>
        <v>45831</v>
      </c>
      <c r="I851" s="121">
        <f>HLOOKUP($H$5,'Met Data'!$A$2:$F$368,G851,FALSE)</f>
        <v>10.578333333333299</v>
      </c>
      <c r="J851" s="119">
        <f ca="1">HLOOKUP($H$5,'Met Data'!$H$2:$M$368,G851,FALSE)*L851</f>
        <v>4.8499999999999996</v>
      </c>
      <c r="K851" s="98">
        <f>HLOOKUP($H$5,'Met Data'!$O$2:$T$368,G851,FALSE)</f>
        <v>1.14995789296724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si="130"/>
        <v>176</v>
      </c>
      <c r="H852" s="97">
        <f t="shared" si="139"/>
        <v>45832</v>
      </c>
      <c r="I852" s="121">
        <f>HLOOKUP($H$5,'Met Data'!$A$2:$F$368,G852,FALSE)</f>
        <v>10.6928571428571</v>
      </c>
      <c r="J852" s="119">
        <f ca="1">HLOOKUP($H$5,'Met Data'!$H$2:$M$368,G852,FALSE)*L852</f>
        <v>6.4607142857142801</v>
      </c>
      <c r="K852" s="98">
        <f>HLOOKUP($H$5,'Met Data'!$O$2:$T$368,G852,FALSE)</f>
        <v>1.1771575957217399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si="130"/>
        <v>177</v>
      </c>
      <c r="H853" s="97">
        <f t="shared" si="139"/>
        <v>45833</v>
      </c>
      <c r="I853" s="121">
        <f>HLOOKUP($H$5,'Met Data'!$A$2:$F$368,G853,FALSE)</f>
        <v>10.8642857142857</v>
      </c>
      <c r="J853" s="119">
        <f ca="1">HLOOKUP($H$5,'Met Data'!$H$2:$M$368,G853,FALSE)*L853</f>
        <v>8.7785714285714196</v>
      </c>
      <c r="K853" s="98">
        <f>HLOOKUP($H$5,'Met Data'!$O$2:$T$368,G853,FALSE)</f>
        <v>1.3519764431878101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si="130"/>
        <v>178</v>
      </c>
      <c r="H854" s="97">
        <f t="shared" si="139"/>
        <v>45834</v>
      </c>
      <c r="I854" s="121">
        <f>HLOOKUP($H$5,'Met Data'!$A$2:$F$368,G854,FALSE)</f>
        <v>10.492857142857099</v>
      </c>
      <c r="J854" s="119">
        <f ca="1">HLOOKUP($H$5,'Met Data'!$H$2:$M$368,G854,FALSE)*L854</f>
        <v>3.8</v>
      </c>
      <c r="K854" s="98">
        <f>HLOOKUP($H$5,'Met Data'!$O$2:$T$368,G854,FALSE)</f>
        <v>1.34392263247945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si="130"/>
        <v>179</v>
      </c>
      <c r="H855" s="97">
        <f t="shared" si="139"/>
        <v>45835</v>
      </c>
      <c r="I855" s="121">
        <f>HLOOKUP($H$5,'Met Data'!$A$2:$F$368,G855,FALSE)</f>
        <v>10.592857142857101</v>
      </c>
      <c r="J855" s="119">
        <f ca="1">HLOOKUP($H$5,'Met Data'!$H$2:$M$368,G855,FALSE)*L855</f>
        <v>2.81785714285714</v>
      </c>
      <c r="K855" s="98">
        <f>HLOOKUP($H$5,'Met Data'!$O$2:$T$368,G855,FALSE)</f>
        <v>1.47912334327964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si="130"/>
        <v>180</v>
      </c>
      <c r="H856" s="97">
        <f t="shared" si="139"/>
        <v>45836</v>
      </c>
      <c r="I856" s="121">
        <f>HLOOKUP($H$5,'Met Data'!$A$2:$F$368,G856,FALSE)</f>
        <v>10.465517241379301</v>
      </c>
      <c r="J856" s="119">
        <f ca="1">HLOOKUP($H$5,'Met Data'!$H$2:$M$368,G856,FALSE)*L856</f>
        <v>5.6517241379310299</v>
      </c>
      <c r="K856" s="98">
        <f>HLOOKUP($H$5,'Met Data'!$O$2:$T$368,G856,FALSE)</f>
        <v>1.2990420850019999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si="130"/>
        <v>181</v>
      </c>
      <c r="H857" s="97">
        <f t="shared" si="139"/>
        <v>45837</v>
      </c>
      <c r="I857" s="121">
        <f>HLOOKUP($H$5,'Met Data'!$A$2:$F$368,G857,FALSE)</f>
        <v>10.572413793103401</v>
      </c>
      <c r="J857" s="119">
        <f ca="1">HLOOKUP($H$5,'Met Data'!$H$2:$M$368,G857,FALSE)*L857</f>
        <v>5.2517241379310304</v>
      </c>
      <c r="K857" s="98">
        <f>HLOOKUP($H$5,'Met Data'!$O$2:$T$368,G857,FALSE)</f>
        <v>1.2839514040086699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si="130"/>
        <v>182</v>
      </c>
      <c r="H858" s="97">
        <f t="shared" si="139"/>
        <v>45838</v>
      </c>
      <c r="I858" s="121">
        <f>HLOOKUP($H$5,'Met Data'!$A$2:$F$368,G858,FALSE)</f>
        <v>10.655357142857101</v>
      </c>
      <c r="J858" s="119">
        <f ca="1">HLOOKUP($H$5,'Met Data'!$H$2:$M$368,G858,FALSE)*L858</f>
        <v>7.4689655172413696</v>
      </c>
      <c r="K858" s="98">
        <f>HLOOKUP($H$5,'Met Data'!$O$2:$T$368,G858,FALSE)</f>
        <v>1.3058632096396601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si="130"/>
        <v>183</v>
      </c>
      <c r="H859" s="97">
        <f t="shared" si="139"/>
        <v>45839</v>
      </c>
      <c r="I859" s="121">
        <f>HLOOKUP($H$5,'Met Data'!$A$2:$F$368,G859,FALSE)</f>
        <v>10.0517857142857</v>
      </c>
      <c r="J859" s="119">
        <f ca="1">HLOOKUP($H$5,'Met Data'!$H$2:$M$368,G859,FALSE)*L859</f>
        <v>3.5392857142857101</v>
      </c>
      <c r="K859" s="98">
        <f>HLOOKUP($H$5,'Met Data'!$O$2:$T$368,G859,FALSE)</f>
        <v>1.4482050520096601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si="130"/>
        <v>184</v>
      </c>
      <c r="H860" s="97">
        <f t="shared" si="139"/>
        <v>45840</v>
      </c>
      <c r="I860" s="121">
        <f>HLOOKUP($H$5,'Met Data'!$A$2:$F$368,G860,FALSE)</f>
        <v>9.5678571428571395</v>
      </c>
      <c r="J860" s="119">
        <f ca="1">HLOOKUP($H$5,'Met Data'!$H$2:$M$368,G860,FALSE)*L860</f>
        <v>4.33928571428571</v>
      </c>
      <c r="K860" s="98">
        <f>HLOOKUP($H$5,'Met Data'!$O$2:$T$368,G860,FALSE)</f>
        <v>1.3964370426983801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si="130"/>
        <v>185</v>
      </c>
      <c r="H861" s="97">
        <f t="shared" si="139"/>
        <v>45841</v>
      </c>
      <c r="I861" s="121">
        <f>HLOOKUP($H$5,'Met Data'!$A$2:$F$368,G861,FALSE)</f>
        <v>9.7035714285714292</v>
      </c>
      <c r="J861" s="119">
        <f ca="1">HLOOKUP($H$5,'Met Data'!$H$2:$M$368,G861,FALSE)*L861</f>
        <v>3.2666666666666599</v>
      </c>
      <c r="K861" s="98">
        <f>HLOOKUP($H$5,'Met Data'!$O$2:$T$368,G861,FALSE)</f>
        <v>1.2730824905906899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si="130"/>
        <v>186</v>
      </c>
      <c r="H862" s="97">
        <f t="shared" si="139"/>
        <v>45842</v>
      </c>
      <c r="I862" s="121">
        <f>HLOOKUP($H$5,'Met Data'!$A$2:$F$368,G862,FALSE)</f>
        <v>10.1785714285714</v>
      </c>
      <c r="J862" s="119">
        <f ca="1">HLOOKUP($H$5,'Met Data'!$H$2:$M$368,G862,FALSE)*L862</f>
        <v>5.2555555555555502</v>
      </c>
      <c r="K862" s="98">
        <f>HLOOKUP($H$5,'Met Data'!$O$2:$T$368,G862,FALSE)</f>
        <v>1.2896889465411501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si="130"/>
        <v>187</v>
      </c>
      <c r="H863" s="97">
        <f t="shared" si="139"/>
        <v>45843</v>
      </c>
      <c r="I863" s="121">
        <f>HLOOKUP($H$5,'Met Data'!$A$2:$F$368,G863,FALSE)</f>
        <v>10.675000000000001</v>
      </c>
      <c r="J863" s="119">
        <f ca="1">HLOOKUP($H$5,'Met Data'!$H$2:$M$368,G863,FALSE)*L863</f>
        <v>2.9892857142857099</v>
      </c>
      <c r="K863" s="98">
        <f>HLOOKUP($H$5,'Met Data'!$O$2:$T$368,G863,FALSE)</f>
        <v>1.4660191910043801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si="130"/>
        <v>188</v>
      </c>
      <c r="H864" s="97">
        <f t="shared" si="139"/>
        <v>45844</v>
      </c>
      <c r="I864" s="121">
        <f>HLOOKUP($H$5,'Met Data'!$A$2:$F$368,G864,FALSE)</f>
        <v>10.6303571428571</v>
      </c>
      <c r="J864" s="119">
        <f ca="1">HLOOKUP($H$5,'Met Data'!$H$2:$M$368,G864,FALSE)*L864</f>
        <v>4.4413793103448196</v>
      </c>
      <c r="K864" s="98">
        <f>HLOOKUP($H$5,'Met Data'!$O$2:$T$368,G864,FALSE)</f>
        <v>1.3068901655768601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si="130"/>
        <v>189</v>
      </c>
      <c r="H865" s="97">
        <f t="shared" si="139"/>
        <v>45845</v>
      </c>
      <c r="I865" s="121">
        <f>HLOOKUP($H$5,'Met Data'!$A$2:$F$368,G865,FALSE)</f>
        <v>10.5714285714285</v>
      </c>
      <c r="J865" s="119">
        <f ca="1">HLOOKUP($H$5,'Met Data'!$H$2:$M$368,G865,FALSE)*L865</f>
        <v>2.8758620689655099</v>
      </c>
      <c r="K865" s="98">
        <f>HLOOKUP($H$5,'Met Data'!$O$2:$T$368,G865,FALSE)</f>
        <v>1.41669004164846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si="130"/>
        <v>190</v>
      </c>
      <c r="H866" s="97">
        <f t="shared" si="139"/>
        <v>45846</v>
      </c>
      <c r="I866" s="121">
        <f>HLOOKUP($H$5,'Met Data'!$A$2:$F$368,G866,FALSE)</f>
        <v>10.2685185185185</v>
      </c>
      <c r="J866" s="119">
        <f ca="1">HLOOKUP($H$5,'Met Data'!$H$2:$M$368,G866,FALSE)*L866</f>
        <v>3.7892857142857101</v>
      </c>
      <c r="K866" s="98">
        <f>HLOOKUP($H$5,'Met Data'!$O$2:$T$368,G866,FALSE)</f>
        <v>1.3370081337281099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si="130"/>
        <v>191</v>
      </c>
      <c r="H867" s="97">
        <f t="shared" si="139"/>
        <v>45847</v>
      </c>
      <c r="I867" s="121">
        <f>HLOOKUP($H$5,'Met Data'!$A$2:$F$368,G867,FALSE)</f>
        <v>10.4166666666666</v>
      </c>
      <c r="J867" s="119">
        <f ca="1">HLOOKUP($H$5,'Met Data'!$H$2:$M$368,G867,FALSE)*L867</f>
        <v>4.8428571428571399</v>
      </c>
      <c r="K867" s="98">
        <f>HLOOKUP($H$5,'Met Data'!$O$2:$T$368,G867,FALSE)</f>
        <v>1.6936819221313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si="130"/>
        <v>192</v>
      </c>
      <c r="H868" s="97">
        <f t="shared" si="139"/>
        <v>45848</v>
      </c>
      <c r="I868" s="121">
        <f>HLOOKUP($H$5,'Met Data'!$A$2:$F$368,G868,FALSE)</f>
        <v>9.7703703703703706</v>
      </c>
      <c r="J868" s="119">
        <f ca="1">HLOOKUP($H$5,'Met Data'!$H$2:$M$368,G868,FALSE)*L868</f>
        <v>2.27857142857142</v>
      </c>
      <c r="K868" s="98">
        <f>HLOOKUP($H$5,'Met Data'!$O$2:$T$368,G868,FALSE)</f>
        <v>1.4303197134636301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si="130"/>
        <v>193</v>
      </c>
      <c r="H869" s="97">
        <f t="shared" si="139"/>
        <v>45849</v>
      </c>
      <c r="I869" s="121">
        <f>HLOOKUP($H$5,'Met Data'!$A$2:$F$368,G869,FALSE)</f>
        <v>9.4057692307692307</v>
      </c>
      <c r="J869" s="119">
        <f ca="1">HLOOKUP($H$5,'Met Data'!$H$2:$M$368,G869,FALSE)*L869</f>
        <v>4.05</v>
      </c>
      <c r="K869" s="98">
        <f>HLOOKUP($H$5,'Met Data'!$O$2:$T$368,G869,FALSE)</f>
        <v>1.34234874078288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si="130"/>
        <v>194</v>
      </c>
      <c r="H870" s="97">
        <f t="shared" si="139"/>
        <v>45850</v>
      </c>
      <c r="I870" s="121">
        <f>HLOOKUP($H$5,'Met Data'!$A$2:$F$368,G870,FALSE)</f>
        <v>9.7037037037037006</v>
      </c>
      <c r="J870" s="119">
        <f ca="1">HLOOKUP($H$5,'Met Data'!$H$2:$M$368,G870,FALSE)*L870</f>
        <v>7.2038461538461496</v>
      </c>
      <c r="K870" s="98">
        <f>HLOOKUP($H$5,'Met Data'!$O$2:$T$368,G870,FALSE)</f>
        <v>1.4005767318328199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si="130"/>
        <v>195</v>
      </c>
      <c r="H871" s="97">
        <f t="shared" si="139"/>
        <v>45851</v>
      </c>
      <c r="I871" s="121">
        <f>HLOOKUP($H$5,'Met Data'!$A$2:$F$368,G871,FALSE)</f>
        <v>9.875</v>
      </c>
      <c r="J871" s="119">
        <f ca="1">HLOOKUP($H$5,'Met Data'!$H$2:$M$368,G871,FALSE)*L871</f>
        <v>2.7366666666666601</v>
      </c>
      <c r="K871" s="98">
        <f>HLOOKUP($H$5,'Met Data'!$O$2:$T$368,G871,FALSE)</f>
        <v>1.5241946960031101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si="130"/>
        <v>196</v>
      </c>
      <c r="H872" s="97">
        <f t="shared" si="139"/>
        <v>45852</v>
      </c>
      <c r="I872" s="121">
        <f>HLOOKUP($H$5,'Met Data'!$A$2:$F$368,G872,FALSE)</f>
        <v>9.4732142857142794</v>
      </c>
      <c r="J872" s="119">
        <f ca="1">HLOOKUP($H$5,'Met Data'!$H$2:$M$368,G872,FALSE)*L872</f>
        <v>4.4607142857142801</v>
      </c>
      <c r="K872" s="98">
        <f>HLOOKUP($H$5,'Met Data'!$O$2:$T$368,G872,FALSE)</f>
        <v>1.1833728950226901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si="130"/>
        <v>197</v>
      </c>
      <c r="H873" s="97">
        <f t="shared" si="139"/>
        <v>45853</v>
      </c>
      <c r="I873" s="121">
        <f>HLOOKUP($H$5,'Met Data'!$A$2:$F$368,G873,FALSE)</f>
        <v>10.3732142857142</v>
      </c>
      <c r="J873" s="119">
        <f ca="1">HLOOKUP($H$5,'Met Data'!$H$2:$M$368,G873,FALSE)*L873</f>
        <v>6.4071428571428504</v>
      </c>
      <c r="K873" s="98">
        <f>HLOOKUP($H$5,'Met Data'!$O$2:$T$368,G873,FALSE)</f>
        <v>1.32556972588678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si="130"/>
        <v>198</v>
      </c>
      <c r="H874" s="97">
        <f t="shared" si="139"/>
        <v>45854</v>
      </c>
      <c r="I874" s="121">
        <f>HLOOKUP($H$5,'Met Data'!$A$2:$F$368,G874,FALSE)</f>
        <v>10.9428571428571</v>
      </c>
      <c r="J874" s="119">
        <f ca="1">HLOOKUP($H$5,'Met Data'!$H$2:$M$368,G874,FALSE)*L874</f>
        <v>5.1392857142857098</v>
      </c>
      <c r="K874" s="98">
        <f>HLOOKUP($H$5,'Met Data'!$O$2:$T$368,G874,FALSE)</f>
        <v>1.2285245260717499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si="130"/>
        <v>199</v>
      </c>
      <c r="H875" s="97">
        <f t="shared" si="139"/>
        <v>45855</v>
      </c>
      <c r="I875" s="121">
        <f>HLOOKUP($H$5,'Met Data'!$A$2:$F$368,G875,FALSE)</f>
        <v>10.689655172413699</v>
      </c>
      <c r="J875" s="119">
        <f ca="1">HLOOKUP($H$5,'Met Data'!$H$2:$M$368,G875,FALSE)*L875</f>
        <v>7.5433333333333303</v>
      </c>
      <c r="K875" s="98">
        <f>HLOOKUP($H$5,'Met Data'!$O$2:$T$368,G875,FALSE)</f>
        <v>1.11837858032715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si="130"/>
        <v>200</v>
      </c>
      <c r="H876" s="97">
        <f t="shared" si="139"/>
        <v>45856</v>
      </c>
      <c r="I876" s="121">
        <f>HLOOKUP($H$5,'Met Data'!$A$2:$F$368,G876,FALSE)</f>
        <v>10.322413793103401</v>
      </c>
      <c r="J876" s="119">
        <f ca="1">HLOOKUP($H$5,'Met Data'!$H$2:$M$368,G876,FALSE)*L876</f>
        <v>7.7933333333333303</v>
      </c>
      <c r="K876" s="98">
        <f>HLOOKUP($H$5,'Met Data'!$O$2:$T$368,G876,FALSE)</f>
        <v>1.2757644672773201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si="130"/>
        <v>201</v>
      </c>
      <c r="H877" s="97">
        <f t="shared" si="139"/>
        <v>45857</v>
      </c>
      <c r="I877" s="121">
        <f>HLOOKUP($H$5,'Met Data'!$A$2:$F$368,G877,FALSE)</f>
        <v>10.189655172413699</v>
      </c>
      <c r="J877" s="119">
        <f ca="1">HLOOKUP($H$5,'Met Data'!$H$2:$M$368,G877,FALSE)*L877</f>
        <v>4.3533333333333299</v>
      </c>
      <c r="K877" s="98">
        <f>HLOOKUP($H$5,'Met Data'!$O$2:$T$368,G877,FALSE)</f>
        <v>1.3903947480338801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si="130"/>
        <v>202</v>
      </c>
      <c r="H878" s="97">
        <f t="shared" si="139"/>
        <v>45858</v>
      </c>
      <c r="I878" s="121">
        <f>HLOOKUP($H$5,'Met Data'!$A$2:$F$368,G878,FALSE)</f>
        <v>10.668333333333299</v>
      </c>
      <c r="J878" s="119">
        <f ca="1">HLOOKUP($H$5,'Met Data'!$H$2:$M$368,G878,FALSE)*L878</f>
        <v>2.8833333333333302</v>
      </c>
      <c r="K878" s="98">
        <f>HLOOKUP($H$5,'Met Data'!$O$2:$T$368,G878,FALSE)</f>
        <v>1.4312964730661999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si="130"/>
        <v>203</v>
      </c>
      <c r="H879" s="97">
        <f t="shared" si="139"/>
        <v>45859</v>
      </c>
      <c r="I879" s="121">
        <f>HLOOKUP($H$5,'Met Data'!$A$2:$F$368,G879,FALSE)</f>
        <v>10.181666666666599</v>
      </c>
      <c r="J879" s="119">
        <f ca="1">HLOOKUP($H$5,'Met Data'!$H$2:$M$368,G879,FALSE)*L879</f>
        <v>4.64333333333333</v>
      </c>
      <c r="K879" s="98">
        <f>HLOOKUP($H$5,'Met Data'!$O$2:$T$368,G879,FALSE)</f>
        <v>1.23251722447282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si="130"/>
        <v>204</v>
      </c>
      <c r="H880" s="97">
        <f t="shared" si="139"/>
        <v>45860</v>
      </c>
      <c r="I880" s="121">
        <f>HLOOKUP($H$5,'Met Data'!$A$2:$F$368,G880,FALSE)</f>
        <v>10.761666666666599</v>
      </c>
      <c r="J880" s="119">
        <f ca="1">HLOOKUP($H$5,'Met Data'!$H$2:$M$368,G880,FALSE)*L880</f>
        <v>5.7333333333333298</v>
      </c>
      <c r="K880" s="98">
        <f>HLOOKUP($H$5,'Met Data'!$O$2:$T$368,G880,FALSE)</f>
        <v>1.55725377410155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si="140">H881-DATE(YEAR(H881),1,0)+1</f>
        <v>205</v>
      </c>
      <c r="H881" s="97">
        <f t="shared" si="139"/>
        <v>45861</v>
      </c>
      <c r="I881" s="121">
        <f>HLOOKUP($H$5,'Met Data'!$A$2:$F$368,G881,FALSE)</f>
        <v>10.623333333333299</v>
      </c>
      <c r="J881" s="119">
        <f ca="1">HLOOKUP($H$5,'Met Data'!$H$2:$M$368,G881,FALSE)*L881</f>
        <v>7.9733333333333301</v>
      </c>
      <c r="K881" s="98">
        <f>HLOOKUP($H$5,'Met Data'!$O$2:$T$368,G881,FALSE)</f>
        <v>1.24522053814258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si="140"/>
        <v>206</v>
      </c>
      <c r="H882" s="97">
        <f t="shared" si="139"/>
        <v>45862</v>
      </c>
      <c r="I882" s="121">
        <f>HLOOKUP($H$5,'Met Data'!$A$2:$F$368,G882,FALSE)</f>
        <v>10.654999999999999</v>
      </c>
      <c r="J882" s="119">
        <f ca="1">HLOOKUP($H$5,'Met Data'!$H$2:$M$368,G882,FALSE)*L882</f>
        <v>4.2566666666666597</v>
      </c>
      <c r="K882" s="98">
        <f>HLOOKUP($H$5,'Met Data'!$O$2:$T$368,G882,FALSE)</f>
        <v>1.3859271813606999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si="140"/>
        <v>207</v>
      </c>
      <c r="H883" s="97">
        <f t="shared" si="139"/>
        <v>45863</v>
      </c>
      <c r="I883" s="121">
        <f>HLOOKUP($H$5,'Met Data'!$A$2:$F$368,G883,FALSE)</f>
        <v>10.085000000000001</v>
      </c>
      <c r="J883" s="119">
        <f ca="1">HLOOKUP($H$5,'Met Data'!$H$2:$M$368,G883,FALSE)*L883</f>
        <v>4.9833333333333298</v>
      </c>
      <c r="K883" s="98">
        <f>HLOOKUP($H$5,'Met Data'!$O$2:$T$368,G883,FALSE)</f>
        <v>1.45895733681155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si="140"/>
        <v>208</v>
      </c>
      <c r="H884" s="97">
        <f t="shared" si="139"/>
        <v>45864</v>
      </c>
      <c r="I884" s="121">
        <f>HLOOKUP($H$5,'Met Data'!$A$2:$F$368,G884,FALSE)</f>
        <v>9.99</v>
      </c>
      <c r="J884" s="119">
        <f ca="1">HLOOKUP($H$5,'Met Data'!$H$2:$M$368,G884,FALSE)*L884</f>
        <v>3.5266666666666602</v>
      </c>
      <c r="K884" s="98">
        <f>HLOOKUP($H$5,'Met Data'!$O$2:$T$368,G884,FALSE)</f>
        <v>1.3793054622795899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si="140"/>
        <v>209</v>
      </c>
      <c r="H885" s="97">
        <f t="shared" si="139"/>
        <v>45865</v>
      </c>
      <c r="I885" s="121">
        <f>HLOOKUP($H$5,'Met Data'!$A$2:$F$368,G885,FALSE)</f>
        <v>10.4116666666666</v>
      </c>
      <c r="J885" s="119">
        <f ca="1">HLOOKUP($H$5,'Met Data'!$H$2:$M$368,G885,FALSE)*L885</f>
        <v>5.38</v>
      </c>
      <c r="K885" s="98">
        <f>HLOOKUP($H$5,'Met Data'!$O$2:$T$368,G885,FALSE)</f>
        <v>1.53088528913385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si="140"/>
        <v>210</v>
      </c>
      <c r="H886" s="97">
        <f t="shared" si="139"/>
        <v>45866</v>
      </c>
      <c r="I886" s="121">
        <f>HLOOKUP($H$5,'Met Data'!$A$2:$F$368,G886,FALSE)</f>
        <v>10.494999999999999</v>
      </c>
      <c r="J886" s="119">
        <f ca="1">HLOOKUP($H$5,'Met Data'!$H$2:$M$368,G886,FALSE)*L886</f>
        <v>3.6033333333333299</v>
      </c>
      <c r="K886" s="98">
        <f>HLOOKUP($H$5,'Met Data'!$O$2:$T$368,G886,FALSE)</f>
        <v>1.5836053821317999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si="140"/>
        <v>211</v>
      </c>
      <c r="H887" s="97">
        <f t="shared" si="139"/>
        <v>45867</v>
      </c>
      <c r="I887" s="121">
        <f>HLOOKUP($H$5,'Met Data'!$A$2:$F$368,G887,FALSE)</f>
        <v>10.685</v>
      </c>
      <c r="J887" s="119">
        <f ca="1">HLOOKUP($H$5,'Met Data'!$H$2:$M$368,G887,FALSE)*L887</f>
        <v>5.83</v>
      </c>
      <c r="K887" s="98">
        <f>HLOOKUP($H$5,'Met Data'!$O$2:$T$368,G887,FALSE)</f>
        <v>1.6019548518300599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si="140"/>
        <v>212</v>
      </c>
      <c r="H888" s="97">
        <f t="shared" si="139"/>
        <v>45868</v>
      </c>
      <c r="I888" s="121">
        <f>HLOOKUP($H$5,'Met Data'!$A$2:$F$368,G888,FALSE)</f>
        <v>10.678333333333301</v>
      </c>
      <c r="J888" s="119">
        <f ca="1">HLOOKUP($H$5,'Met Data'!$H$2:$M$368,G888,FALSE)*L888</f>
        <v>2.98</v>
      </c>
      <c r="K888" s="98">
        <f>HLOOKUP($H$5,'Met Data'!$O$2:$T$368,G888,FALSE)</f>
        <v>1.6077513956073599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si="140"/>
        <v>213</v>
      </c>
      <c r="H889" s="97">
        <f t="shared" si="139"/>
        <v>45869</v>
      </c>
      <c r="I889" s="121">
        <f>HLOOKUP($H$5,'Met Data'!$A$2:$F$368,G889,FALSE)</f>
        <v>10.767241379310301</v>
      </c>
      <c r="J889" s="119">
        <f ca="1">HLOOKUP($H$5,'Met Data'!$H$2:$M$368,G889,FALSE)*L889</f>
        <v>4.4285714285714199</v>
      </c>
      <c r="K889" s="98">
        <f>HLOOKUP($H$5,'Met Data'!$O$2:$T$368,G889,FALSE)</f>
        <v>1.4764466109261301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si="140"/>
        <v>214</v>
      </c>
      <c r="H890" s="97">
        <f t="shared" si="139"/>
        <v>45870</v>
      </c>
      <c r="I890" s="121">
        <f>HLOOKUP($H$5,'Met Data'!$A$2:$F$368,G890,FALSE)</f>
        <v>10.815</v>
      </c>
      <c r="J890" s="119">
        <f ca="1">HLOOKUP($H$5,'Met Data'!$H$2:$M$368,G890,FALSE)*L890</f>
        <v>3.8533333333333299</v>
      </c>
      <c r="K890" s="98">
        <f>HLOOKUP($H$5,'Met Data'!$O$2:$T$368,G890,FALSE)</f>
        <v>1.4161434812322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si="140"/>
        <v>215</v>
      </c>
      <c r="H891" s="97">
        <f t="shared" si="139"/>
        <v>45871</v>
      </c>
      <c r="I891" s="121">
        <f>HLOOKUP($H$5,'Met Data'!$A$2:$F$368,G891,FALSE)</f>
        <v>11.156666666666601</v>
      </c>
      <c r="J891" s="119">
        <f ca="1">HLOOKUP($H$5,'Met Data'!$H$2:$M$368,G891,FALSE)*L891</f>
        <v>5.7666666666666604</v>
      </c>
      <c r="K891" s="98">
        <f>HLOOKUP($H$5,'Met Data'!$O$2:$T$368,G891,FALSE)</f>
        <v>1.4216364054283901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si="140"/>
        <v>216</v>
      </c>
      <c r="H892" s="97">
        <f t="shared" si="139"/>
        <v>45872</v>
      </c>
      <c r="I892" s="121">
        <f>HLOOKUP($H$5,'Met Data'!$A$2:$F$368,G892,FALSE)</f>
        <v>11.0879310344827</v>
      </c>
      <c r="J892" s="119">
        <f ca="1">HLOOKUP($H$5,'Met Data'!$H$2:$M$368,G892,FALSE)*L892</f>
        <v>3.2896551724137901</v>
      </c>
      <c r="K892" s="98">
        <f>HLOOKUP($H$5,'Met Data'!$O$2:$T$368,G892,FALSE)</f>
        <v>1.4857250646951901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si="140"/>
        <v>217</v>
      </c>
      <c r="H893" s="97">
        <f t="shared" si="139"/>
        <v>45873</v>
      </c>
      <c r="I893" s="121">
        <f>HLOOKUP($H$5,'Met Data'!$A$2:$F$368,G893,FALSE)</f>
        <v>10.9965517241379</v>
      </c>
      <c r="J893" s="119">
        <f ca="1">HLOOKUP($H$5,'Met Data'!$H$2:$M$368,G893,FALSE)*L893</f>
        <v>5.08275862068965</v>
      </c>
      <c r="K893" s="98">
        <f>HLOOKUP($H$5,'Met Data'!$O$2:$T$368,G893,FALSE)</f>
        <v>1.4618721174640501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si="140"/>
        <v>218</v>
      </c>
      <c r="H894" s="97">
        <f t="shared" si="139"/>
        <v>45874</v>
      </c>
      <c r="I894" s="121">
        <f>HLOOKUP($H$5,'Met Data'!$A$2:$F$368,G894,FALSE)</f>
        <v>10.706395995550601</v>
      </c>
      <c r="J894" s="119">
        <f ca="1">HLOOKUP($H$5,'Met Data'!$H$2:$M$368,G894,FALSE)*L894</f>
        <v>4.8827586206896498</v>
      </c>
      <c r="K894" s="98">
        <f>HLOOKUP($H$5,'Met Data'!$O$2:$T$368,G894,FALSE)</f>
        <v>1.3278392687764899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si="140"/>
        <v>219</v>
      </c>
      <c r="H895" s="97">
        <f t="shared" si="139"/>
        <v>45875</v>
      </c>
      <c r="I895" s="121">
        <f>HLOOKUP($H$5,'Met Data'!$A$2:$F$368,G895,FALSE)</f>
        <v>10.6327586206896</v>
      </c>
      <c r="J895" s="119">
        <f ca="1">HLOOKUP($H$5,'Met Data'!$H$2:$M$368,G895,FALSE)*L895</f>
        <v>4.1724137931034404</v>
      </c>
      <c r="K895" s="98">
        <f>HLOOKUP($H$5,'Met Data'!$O$2:$T$368,G895,FALSE)</f>
        <v>1.47551454127292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si="140"/>
        <v>220</v>
      </c>
      <c r="H896" s="97">
        <f t="shared" si="139"/>
        <v>45876</v>
      </c>
      <c r="I896" s="121">
        <f>HLOOKUP($H$5,'Met Data'!$A$2:$F$368,G896,FALSE)</f>
        <v>10.7362068965517</v>
      </c>
      <c r="J896" s="119">
        <f ca="1">HLOOKUP($H$5,'Met Data'!$H$2:$M$368,G896,FALSE)*L896</f>
        <v>3.27241379310344</v>
      </c>
      <c r="K896" s="98">
        <f>HLOOKUP($H$5,'Met Data'!$O$2:$T$368,G896,FALSE)</f>
        <v>1.4915207810797499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si="140"/>
        <v>221</v>
      </c>
      <c r="H897" s="97">
        <f t="shared" si="139"/>
        <v>45877</v>
      </c>
      <c r="I897" s="121">
        <f>HLOOKUP($H$5,'Met Data'!$A$2:$F$368,G897,FALSE)</f>
        <v>10.733333333333301</v>
      </c>
      <c r="J897" s="119">
        <f ca="1">HLOOKUP($H$5,'Met Data'!$H$2:$M$368,G897,FALSE)*L897</f>
        <v>2.4066666666666601</v>
      </c>
      <c r="K897" s="98">
        <f>HLOOKUP($H$5,'Met Data'!$O$2:$T$368,G897,FALSE)</f>
        <v>1.7881547154649999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si="140"/>
        <v>222</v>
      </c>
      <c r="H898" s="97">
        <f t="shared" si="139"/>
        <v>45878</v>
      </c>
      <c r="I898" s="121">
        <f>HLOOKUP($H$5,'Met Data'!$A$2:$F$368,G898,FALSE)</f>
        <v>10.86</v>
      </c>
      <c r="J898" s="119">
        <f ca="1">HLOOKUP($H$5,'Met Data'!$H$2:$M$368,G898,FALSE)*L898</f>
        <v>4.66</v>
      </c>
      <c r="K898" s="98">
        <f>HLOOKUP($H$5,'Met Data'!$O$2:$T$368,G898,FALSE)</f>
        <v>1.7221488940763401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si="140"/>
        <v>223</v>
      </c>
      <c r="H899" s="97">
        <f t="shared" si="139"/>
        <v>45879</v>
      </c>
      <c r="I899" s="121">
        <f>HLOOKUP($H$5,'Met Data'!$A$2:$F$368,G899,FALSE)</f>
        <v>10.6416666666666</v>
      </c>
      <c r="J899" s="119">
        <f ca="1">HLOOKUP($H$5,'Met Data'!$H$2:$M$368,G899,FALSE)*L899</f>
        <v>4.53666666666666</v>
      </c>
      <c r="K899" s="98">
        <f>HLOOKUP($H$5,'Met Data'!$O$2:$T$368,G899,FALSE)</f>
        <v>1.78798041526371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si="140"/>
        <v>224</v>
      </c>
      <c r="H900" s="97">
        <f t="shared" si="139"/>
        <v>45880</v>
      </c>
      <c r="I900" s="121">
        <f>HLOOKUP($H$5,'Met Data'!$A$2:$F$368,G900,FALSE)</f>
        <v>10.8983333333333</v>
      </c>
      <c r="J900" s="119">
        <f ca="1">HLOOKUP($H$5,'Met Data'!$H$2:$M$368,G900,FALSE)*L900</f>
        <v>5.7266666666666604</v>
      </c>
      <c r="K900" s="98">
        <f>HLOOKUP($H$5,'Met Data'!$O$2:$T$368,G900,FALSE)</f>
        <v>1.78444613895236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si="140"/>
        <v>225</v>
      </c>
      <c r="H901" s="97">
        <f t="shared" si="139"/>
        <v>45881</v>
      </c>
      <c r="I901" s="121">
        <f>HLOOKUP($H$5,'Met Data'!$A$2:$F$368,G901,FALSE)</f>
        <v>10.62</v>
      </c>
      <c r="J901" s="119">
        <f ca="1">HLOOKUP($H$5,'Met Data'!$H$2:$M$368,G901,FALSE)*L901</f>
        <v>3.95333333333333</v>
      </c>
      <c r="K901" s="98">
        <f>HLOOKUP($H$5,'Met Data'!$O$2:$T$368,G901,FALSE)</f>
        <v>1.79702295751458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si="140"/>
        <v>226</v>
      </c>
      <c r="H902" s="97">
        <f t="shared" si="139"/>
        <v>45882</v>
      </c>
      <c r="I902" s="121">
        <f>HLOOKUP($H$5,'Met Data'!$A$2:$F$368,G902,FALSE)</f>
        <v>10.851666666666601</v>
      </c>
      <c r="J902" s="119">
        <f ca="1">HLOOKUP($H$5,'Met Data'!$H$2:$M$368,G902,FALSE)*L902</f>
        <v>4.43</v>
      </c>
      <c r="K902" s="98">
        <f>HLOOKUP($H$5,'Met Data'!$O$2:$T$368,G902,FALSE)</f>
        <v>1.75622712343688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si="140"/>
        <v>227</v>
      </c>
      <c r="H903" s="97">
        <f t="shared" si="139"/>
        <v>45883</v>
      </c>
      <c r="I903" s="121">
        <f>HLOOKUP($H$5,'Met Data'!$A$2:$F$368,G903,FALSE)</f>
        <v>10.715517241379301</v>
      </c>
      <c r="J903" s="119">
        <f ca="1">HLOOKUP($H$5,'Met Data'!$H$2:$M$368,G903,FALSE)*L903</f>
        <v>5.1034482758620596</v>
      </c>
      <c r="K903" s="98">
        <f>HLOOKUP($H$5,'Met Data'!$O$2:$T$368,G903,FALSE)</f>
        <v>1.8143744354657301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si="140"/>
        <v>228</v>
      </c>
      <c r="H904" s="97">
        <f t="shared" si="139"/>
        <v>45884</v>
      </c>
      <c r="I904" s="121">
        <f>HLOOKUP($H$5,'Met Data'!$A$2:$F$368,G904,FALSE)</f>
        <v>10.171666666666599</v>
      </c>
      <c r="J904" s="119">
        <f ca="1">HLOOKUP($H$5,'Met Data'!$H$2:$M$368,G904,FALSE)*L904</f>
        <v>5.0933333333333302</v>
      </c>
      <c r="K904" s="98">
        <f>HLOOKUP($H$5,'Met Data'!$O$2:$T$368,G904,FALSE)</f>
        <v>1.7504322855227901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si="140"/>
        <v>229</v>
      </c>
      <c r="H905" s="97">
        <f t="shared" ref="H905:H968" si="149">H904+1</f>
        <v>45885</v>
      </c>
      <c r="I905" s="121">
        <f>HLOOKUP($H$5,'Met Data'!$A$2:$F$368,G905,FALSE)</f>
        <v>10.203333333333299</v>
      </c>
      <c r="J905" s="119">
        <f ca="1">HLOOKUP($H$5,'Met Data'!$H$2:$M$368,G905,FALSE)*L905</f>
        <v>4.3433333333333302</v>
      </c>
      <c r="K905" s="98">
        <f>HLOOKUP($H$5,'Met Data'!$O$2:$T$368,G905,FALSE)</f>
        <v>1.72694084936311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si="140"/>
        <v>230</v>
      </c>
      <c r="H906" s="97">
        <f t="shared" si="149"/>
        <v>45886</v>
      </c>
      <c r="I906" s="121">
        <f>HLOOKUP($H$5,'Met Data'!$A$2:$F$368,G906,FALSE)</f>
        <v>10.0833333333333</v>
      </c>
      <c r="J906" s="119">
        <f ca="1">HLOOKUP($H$5,'Met Data'!$H$2:$M$368,G906,FALSE)*L906</f>
        <v>5.3333333333333304</v>
      </c>
      <c r="K906" s="98">
        <f>HLOOKUP($H$5,'Met Data'!$O$2:$T$368,G906,FALSE)</f>
        <v>1.9911176675537099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si="140"/>
        <v>231</v>
      </c>
      <c r="H907" s="97">
        <f t="shared" si="149"/>
        <v>45887</v>
      </c>
      <c r="I907" s="121">
        <f>HLOOKUP($H$5,'Met Data'!$A$2:$F$368,G907,FALSE)</f>
        <v>10.0833333333333</v>
      </c>
      <c r="J907" s="119">
        <f ca="1">HLOOKUP($H$5,'Met Data'!$H$2:$M$368,G907,FALSE)*L907</f>
        <v>3.9433333333333298</v>
      </c>
      <c r="K907" s="98">
        <f>HLOOKUP($H$5,'Met Data'!$O$2:$T$368,G907,FALSE)</f>
        <v>1.888960132222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si="140"/>
        <v>232</v>
      </c>
      <c r="H908" s="97">
        <f t="shared" si="149"/>
        <v>45888</v>
      </c>
      <c r="I908" s="121">
        <f>HLOOKUP($H$5,'Met Data'!$A$2:$F$368,G908,FALSE)</f>
        <v>10.1383333333333</v>
      </c>
      <c r="J908" s="119">
        <f ca="1">HLOOKUP($H$5,'Met Data'!$H$2:$M$368,G908,FALSE)*L908</f>
        <v>3.5733333333333301</v>
      </c>
      <c r="K908" s="98">
        <f>HLOOKUP($H$5,'Met Data'!$O$2:$T$368,G908,FALSE)</f>
        <v>1.8335933724759199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si="140"/>
        <v>233</v>
      </c>
      <c r="H909" s="97">
        <f t="shared" si="149"/>
        <v>45889</v>
      </c>
      <c r="I909" s="121">
        <f>HLOOKUP($H$5,'Met Data'!$A$2:$F$368,G909,FALSE)</f>
        <v>10.421666666666599</v>
      </c>
      <c r="J909" s="119">
        <f ca="1">HLOOKUP($H$5,'Met Data'!$H$2:$M$368,G909,FALSE)*L909</f>
        <v>4.8033333333333301</v>
      </c>
      <c r="K909" s="98">
        <f>HLOOKUP($H$5,'Met Data'!$O$2:$T$368,G909,FALSE)</f>
        <v>1.7788236818437999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si="140"/>
        <v>234</v>
      </c>
      <c r="H910" s="97">
        <f t="shared" si="149"/>
        <v>45890</v>
      </c>
      <c r="I910" s="121">
        <f>HLOOKUP($H$5,'Met Data'!$A$2:$F$368,G910,FALSE)</f>
        <v>10.703333333333299</v>
      </c>
      <c r="J910" s="119">
        <f ca="1">HLOOKUP($H$5,'Met Data'!$H$2:$M$368,G910,FALSE)*L910</f>
        <v>3.9833333333333298</v>
      </c>
      <c r="K910" s="98">
        <f>HLOOKUP($H$5,'Met Data'!$O$2:$T$368,G910,FALSE)</f>
        <v>1.7879198703522201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si="140"/>
        <v>235</v>
      </c>
      <c r="H911" s="97">
        <f t="shared" si="149"/>
        <v>45891</v>
      </c>
      <c r="I911" s="121">
        <f>HLOOKUP($H$5,'Met Data'!$A$2:$F$368,G911,FALSE)</f>
        <v>10.8266666666666</v>
      </c>
      <c r="J911" s="119">
        <f ca="1">HLOOKUP($H$5,'Met Data'!$H$2:$M$368,G911,FALSE)*L911</f>
        <v>3.93</v>
      </c>
      <c r="K911" s="98">
        <f>HLOOKUP($H$5,'Met Data'!$O$2:$T$368,G911,FALSE)</f>
        <v>1.8884109943012299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si="140"/>
        <v>236</v>
      </c>
      <c r="H912" s="97">
        <f t="shared" si="149"/>
        <v>45892</v>
      </c>
      <c r="I912" s="121">
        <f>HLOOKUP($H$5,'Met Data'!$A$2:$F$368,G912,FALSE)</f>
        <v>11.0766666666666</v>
      </c>
      <c r="J912" s="119">
        <f ca="1">HLOOKUP($H$5,'Met Data'!$H$2:$M$368,G912,FALSE)*L912</f>
        <v>3.45</v>
      </c>
      <c r="K912" s="98">
        <f>HLOOKUP($H$5,'Met Data'!$O$2:$T$368,G912,FALSE)</f>
        <v>2.20927169374758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si="140"/>
        <v>237</v>
      </c>
      <c r="H913" s="97">
        <f t="shared" si="149"/>
        <v>45893</v>
      </c>
      <c r="I913" s="121">
        <f>HLOOKUP($H$5,'Met Data'!$A$2:$F$368,G913,FALSE)</f>
        <v>11.088333333333299</v>
      </c>
      <c r="J913" s="119">
        <f ca="1">HLOOKUP($H$5,'Met Data'!$H$2:$M$368,G913,FALSE)*L913</f>
        <v>3.2366666666666601</v>
      </c>
      <c r="K913" s="98">
        <f>HLOOKUP($H$5,'Met Data'!$O$2:$T$368,G913,FALSE)</f>
        <v>1.9660073359530601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si="140"/>
        <v>238</v>
      </c>
      <c r="H914" s="97">
        <f t="shared" si="149"/>
        <v>45894</v>
      </c>
      <c r="I914" s="121">
        <f>HLOOKUP($H$5,'Met Data'!$A$2:$F$368,G914,FALSE)</f>
        <v>11.283333333333299</v>
      </c>
      <c r="J914" s="119">
        <f ca="1">HLOOKUP($H$5,'Met Data'!$H$2:$M$368,G914,FALSE)*L914</f>
        <v>7.0266666666666602</v>
      </c>
      <c r="K914" s="98">
        <f>HLOOKUP($H$5,'Met Data'!$O$2:$T$368,G914,FALSE)</f>
        <v>1.72961358813406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si="140"/>
        <v>239</v>
      </c>
      <c r="H915" s="97">
        <f t="shared" si="149"/>
        <v>45895</v>
      </c>
      <c r="I915" s="121">
        <f>HLOOKUP($H$5,'Met Data'!$A$2:$F$368,G915,FALSE)</f>
        <v>11.1383333333333</v>
      </c>
      <c r="J915" s="119">
        <f ca="1">HLOOKUP($H$5,'Met Data'!$H$2:$M$368,G915,FALSE)*L915</f>
        <v>4.5666666666666602</v>
      </c>
      <c r="K915" s="98">
        <f>HLOOKUP($H$5,'Met Data'!$O$2:$T$368,G915,FALSE)</f>
        <v>2.0311984249146202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si="140"/>
        <v>240</v>
      </c>
      <c r="H916" s="97">
        <f t="shared" si="149"/>
        <v>45896</v>
      </c>
      <c r="I916" s="121">
        <f>HLOOKUP($H$5,'Met Data'!$A$2:$F$368,G916,FALSE)</f>
        <v>11.1133333333333</v>
      </c>
      <c r="J916" s="119">
        <f ca="1">HLOOKUP($H$5,'Met Data'!$H$2:$M$368,G916,FALSE)*L916</f>
        <v>2.8866666666666601</v>
      </c>
      <c r="K916" s="98">
        <f>HLOOKUP($H$5,'Met Data'!$O$2:$T$368,G916,FALSE)</f>
        <v>2.0005217214048798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si="140"/>
        <v>241</v>
      </c>
      <c r="H917" s="97">
        <f t="shared" si="149"/>
        <v>45897</v>
      </c>
      <c r="I917" s="121">
        <f>HLOOKUP($H$5,'Met Data'!$A$2:$F$368,G917,FALSE)</f>
        <v>10.7724137931034</v>
      </c>
      <c r="J917" s="119">
        <f ca="1">HLOOKUP($H$5,'Met Data'!$H$2:$M$368,G917,FALSE)*L917</f>
        <v>2.4862068965517201</v>
      </c>
      <c r="K917" s="98">
        <f>HLOOKUP($H$5,'Met Data'!$O$2:$T$368,G917,FALSE)</f>
        <v>2.19808146037672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si="140"/>
        <v>242</v>
      </c>
      <c r="H918" s="97">
        <f t="shared" si="149"/>
        <v>45898</v>
      </c>
      <c r="I918" s="121">
        <f>HLOOKUP($H$5,'Met Data'!$A$2:$F$368,G918,FALSE)</f>
        <v>10.753448275862</v>
      </c>
      <c r="J918" s="119">
        <f ca="1">HLOOKUP($H$5,'Met Data'!$H$2:$M$368,G918,FALSE)*L918</f>
        <v>2.4068965517241301</v>
      </c>
      <c r="K918" s="98">
        <f>HLOOKUP($H$5,'Met Data'!$O$2:$T$368,G918,FALSE)</f>
        <v>2.1823268558862501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si="140"/>
        <v>243</v>
      </c>
      <c r="H919" s="97">
        <f t="shared" si="149"/>
        <v>45899</v>
      </c>
      <c r="I919" s="121">
        <f>HLOOKUP($H$5,'Met Data'!$A$2:$F$368,G919,FALSE)</f>
        <v>10.891379310344799</v>
      </c>
      <c r="J919" s="119">
        <f ca="1">HLOOKUP($H$5,'Met Data'!$H$2:$M$368,G919,FALSE)*L919</f>
        <v>2.9931034482758601</v>
      </c>
      <c r="K919" s="98">
        <f>HLOOKUP($H$5,'Met Data'!$O$2:$T$368,G919,FALSE)</f>
        <v>1.8307871864441201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si="140"/>
        <v>244</v>
      </c>
      <c r="H920" s="97">
        <f t="shared" si="149"/>
        <v>45900</v>
      </c>
      <c r="I920" s="121">
        <f>HLOOKUP($H$5,'Met Data'!$A$2:$F$368,G920,FALSE)</f>
        <v>10.953448275862</v>
      </c>
      <c r="J920" s="119">
        <f ca="1">HLOOKUP($H$5,'Met Data'!$H$2:$M$368,G920,FALSE)*L920</f>
        <v>4.8862068965517196</v>
      </c>
      <c r="K920" s="98">
        <f>HLOOKUP($H$5,'Met Data'!$O$2:$T$368,G920,FALSE)</f>
        <v>2.1498109306225701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si="140"/>
        <v>245</v>
      </c>
      <c r="H921" s="97">
        <f t="shared" si="149"/>
        <v>45901</v>
      </c>
      <c r="I921" s="121">
        <f>HLOOKUP($H$5,'Met Data'!$A$2:$F$368,G921,FALSE)</f>
        <v>10.803333333333301</v>
      </c>
      <c r="J921" s="119">
        <f ca="1">HLOOKUP($H$5,'Met Data'!$H$2:$M$368,G921,FALSE)*L921</f>
        <v>3.05</v>
      </c>
      <c r="K921" s="98">
        <f>HLOOKUP($H$5,'Met Data'!$O$2:$T$368,G921,FALSE)</f>
        <v>2.1147026396135802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si="140"/>
        <v>246</v>
      </c>
      <c r="H922" s="97">
        <f t="shared" si="149"/>
        <v>45902</v>
      </c>
      <c r="I922" s="121">
        <f>HLOOKUP($H$5,'Met Data'!$A$2:$F$368,G922,FALSE)</f>
        <v>10.862068965517199</v>
      </c>
      <c r="J922" s="119">
        <f ca="1">HLOOKUP($H$5,'Met Data'!$H$2:$M$368,G922,FALSE)*L922</f>
        <v>2.8035714285714199</v>
      </c>
      <c r="K922" s="98">
        <f>HLOOKUP($H$5,'Met Data'!$O$2:$T$368,G922,FALSE)</f>
        <v>2.04836351360946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si="140"/>
        <v>247</v>
      </c>
      <c r="H923" s="97">
        <f t="shared" si="149"/>
        <v>45903</v>
      </c>
      <c r="I923" s="121">
        <f>HLOOKUP($H$5,'Met Data'!$A$2:$F$368,G923,FALSE)</f>
        <v>11.4379310344827</v>
      </c>
      <c r="J923" s="119">
        <f ca="1">HLOOKUP($H$5,'Met Data'!$H$2:$M$368,G923,FALSE)*L923</f>
        <v>2.2964285714285699</v>
      </c>
      <c r="K923" s="98">
        <f>HLOOKUP($H$5,'Met Data'!$O$2:$T$368,G923,FALSE)</f>
        <v>2.1933906940536101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si="140"/>
        <v>248</v>
      </c>
      <c r="H924" s="97">
        <f t="shared" si="149"/>
        <v>45904</v>
      </c>
      <c r="I924" s="121">
        <f>HLOOKUP($H$5,'Met Data'!$A$2:$F$368,G924,FALSE)</f>
        <v>11.5448275862068</v>
      </c>
      <c r="J924" s="119">
        <f ca="1">HLOOKUP($H$5,'Met Data'!$H$2:$M$368,G924,FALSE)*L924</f>
        <v>3.6892857142857101</v>
      </c>
      <c r="K924" s="98">
        <f>HLOOKUP($H$5,'Met Data'!$O$2:$T$368,G924,FALSE)</f>
        <v>2.0025541274337399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si="140"/>
        <v>249</v>
      </c>
      <c r="H925" s="97">
        <f t="shared" si="149"/>
        <v>45905</v>
      </c>
      <c r="I925" s="121">
        <f>HLOOKUP($H$5,'Met Data'!$A$2:$F$368,G925,FALSE)</f>
        <v>11.734482758620601</v>
      </c>
      <c r="J925" s="119">
        <f ca="1">HLOOKUP($H$5,'Met Data'!$H$2:$M$368,G925,FALSE)*L925</f>
        <v>5.6892857142857096</v>
      </c>
      <c r="K925" s="98">
        <f>HLOOKUP($H$5,'Met Data'!$O$2:$T$368,G925,FALSE)</f>
        <v>2.0261980789565999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si="140"/>
        <v>250</v>
      </c>
      <c r="H926" s="97">
        <f t="shared" si="149"/>
        <v>45906</v>
      </c>
      <c r="I926" s="121">
        <f>HLOOKUP($H$5,'Met Data'!$A$2:$F$368,G926,FALSE)</f>
        <v>11.682758620689601</v>
      </c>
      <c r="J926" s="119">
        <f ca="1">HLOOKUP($H$5,'Met Data'!$H$2:$M$368,G926,FALSE)*L926</f>
        <v>3.97586206896551</v>
      </c>
      <c r="K926" s="98">
        <f>HLOOKUP($H$5,'Met Data'!$O$2:$T$368,G926,FALSE)</f>
        <v>2.26836536246158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si="140"/>
        <v>251</v>
      </c>
      <c r="H927" s="97">
        <f t="shared" si="149"/>
        <v>45907</v>
      </c>
      <c r="I927" s="121">
        <f>HLOOKUP($H$5,'Met Data'!$A$2:$F$368,G927,FALSE)</f>
        <v>11.389655172413701</v>
      </c>
      <c r="J927" s="119">
        <f ca="1">HLOOKUP($H$5,'Met Data'!$H$2:$M$368,G927,FALSE)*L927</f>
        <v>2.6793103448275799</v>
      </c>
      <c r="K927" s="98">
        <f>HLOOKUP($H$5,'Met Data'!$O$2:$T$368,G927,FALSE)</f>
        <v>2.1403968231495001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si="140"/>
        <v>252</v>
      </c>
      <c r="H928" s="97">
        <f t="shared" si="149"/>
        <v>45908</v>
      </c>
      <c r="I928" s="121">
        <f>HLOOKUP($H$5,'Met Data'!$A$2:$F$368,G928,FALSE)</f>
        <v>11.834482758620601</v>
      </c>
      <c r="J928" s="119">
        <f ca="1">HLOOKUP($H$5,'Met Data'!$H$2:$M$368,G928,FALSE)*L928</f>
        <v>4.4310344827586201</v>
      </c>
      <c r="K928" s="98">
        <f>HLOOKUP($H$5,'Met Data'!$O$2:$T$368,G928,FALSE)</f>
        <v>2.4179314095726698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si="140"/>
        <v>253</v>
      </c>
      <c r="H929" s="97">
        <f t="shared" si="149"/>
        <v>45909</v>
      </c>
      <c r="I929" s="121">
        <f>HLOOKUP($H$5,'Met Data'!$A$2:$F$368,G929,FALSE)</f>
        <v>11.465</v>
      </c>
      <c r="J929" s="119">
        <f ca="1">HLOOKUP($H$5,'Met Data'!$H$2:$M$368,G929,FALSE)*L929</f>
        <v>3.6827586206896501</v>
      </c>
      <c r="K929" s="98">
        <f>HLOOKUP($H$5,'Met Data'!$O$2:$T$368,G929,FALSE)</f>
        <v>2.2362909221430498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si="140"/>
        <v>254</v>
      </c>
      <c r="H930" s="97">
        <f t="shared" si="149"/>
        <v>45910</v>
      </c>
      <c r="I930" s="121">
        <f>HLOOKUP($H$5,'Met Data'!$A$2:$F$368,G930,FALSE)</f>
        <v>11.62</v>
      </c>
      <c r="J930" s="119">
        <f ca="1">HLOOKUP($H$5,'Met Data'!$H$2:$M$368,G930,FALSE)*L930</f>
        <v>1.66333333333333</v>
      </c>
      <c r="K930" s="98">
        <f>HLOOKUP($H$5,'Met Data'!$O$2:$T$368,G930,FALSE)</f>
        <v>2.5120136328346701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si="140"/>
        <v>255</v>
      </c>
      <c r="H931" s="97">
        <f t="shared" si="149"/>
        <v>45911</v>
      </c>
      <c r="I931" s="121">
        <f>HLOOKUP($H$5,'Met Data'!$A$2:$F$368,G931,FALSE)</f>
        <v>11.7633333333333</v>
      </c>
      <c r="J931" s="119">
        <f ca="1">HLOOKUP($H$5,'Met Data'!$H$2:$M$368,G931,FALSE)*L931</f>
        <v>3.2833333333333301</v>
      </c>
      <c r="K931" s="98">
        <f>HLOOKUP($H$5,'Met Data'!$O$2:$T$368,G931,FALSE)</f>
        <v>2.3151045080086101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si="140"/>
        <v>256</v>
      </c>
      <c r="H932" s="97">
        <f t="shared" si="149"/>
        <v>45912</v>
      </c>
      <c r="I932" s="121">
        <f>HLOOKUP($H$5,'Met Data'!$A$2:$F$368,G932,FALSE)</f>
        <v>12.158333333333299</v>
      </c>
      <c r="J932" s="119">
        <f ca="1">HLOOKUP($H$5,'Met Data'!$H$2:$M$368,G932,FALSE)*L932</f>
        <v>3.8833333333333302</v>
      </c>
      <c r="K932" s="98">
        <f>HLOOKUP($H$5,'Met Data'!$O$2:$T$368,G932,FALSE)</f>
        <v>2.3727724062230302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si="140"/>
        <v>257</v>
      </c>
      <c r="H933" s="97">
        <f t="shared" si="149"/>
        <v>45913</v>
      </c>
      <c r="I933" s="121">
        <f>HLOOKUP($H$5,'Met Data'!$A$2:$F$368,G933,FALSE)</f>
        <v>11.908333333333299</v>
      </c>
      <c r="J933" s="119">
        <f ca="1">HLOOKUP($H$5,'Met Data'!$H$2:$M$368,G933,FALSE)*L933</f>
        <v>5.26</v>
      </c>
      <c r="K933" s="98">
        <f>HLOOKUP($H$5,'Met Data'!$O$2:$T$368,G933,FALSE)</f>
        <v>2.4036248389024699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si="140"/>
        <v>258</v>
      </c>
      <c r="H934" s="97">
        <f t="shared" si="149"/>
        <v>45914</v>
      </c>
      <c r="I934" s="121">
        <f>HLOOKUP($H$5,'Met Data'!$A$2:$F$368,G934,FALSE)</f>
        <v>12.074999999999999</v>
      </c>
      <c r="J934" s="119">
        <f ca="1">HLOOKUP($H$5,'Met Data'!$H$2:$M$368,G934,FALSE)*L934</f>
        <v>3.6933333333333298</v>
      </c>
      <c r="K934" s="98">
        <f>HLOOKUP($H$5,'Met Data'!$O$2:$T$368,G934,FALSE)</f>
        <v>2.56639010677653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si="140"/>
        <v>259</v>
      </c>
      <c r="H935" s="97">
        <f t="shared" si="149"/>
        <v>45915</v>
      </c>
      <c r="I935" s="121">
        <f>HLOOKUP($H$5,'Met Data'!$A$2:$F$368,G935,FALSE)</f>
        <v>12.3883333333333</v>
      </c>
      <c r="J935" s="119">
        <f ca="1">HLOOKUP($H$5,'Met Data'!$H$2:$M$368,G935,FALSE)*L935</f>
        <v>3.26</v>
      </c>
      <c r="K935" s="98">
        <f>HLOOKUP($H$5,'Met Data'!$O$2:$T$368,G935,FALSE)</f>
        <v>2.3157931057843801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si="140"/>
        <v>260</v>
      </c>
      <c r="H936" s="97">
        <f t="shared" si="149"/>
        <v>45916</v>
      </c>
      <c r="I936" s="121">
        <f>HLOOKUP($H$5,'Met Data'!$A$2:$F$368,G936,FALSE)</f>
        <v>12.5766666666666</v>
      </c>
      <c r="J936" s="119">
        <f ca="1">HLOOKUP($H$5,'Met Data'!$H$2:$M$368,G936,FALSE)*L936</f>
        <v>3.5999999999999899</v>
      </c>
      <c r="K936" s="98">
        <f>HLOOKUP($H$5,'Met Data'!$O$2:$T$368,G936,FALSE)</f>
        <v>2.2894884287258899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si="140"/>
        <v>261</v>
      </c>
      <c r="H937" s="97">
        <f t="shared" si="149"/>
        <v>45917</v>
      </c>
      <c r="I937" s="121">
        <f>HLOOKUP($H$5,'Met Data'!$A$2:$F$368,G937,FALSE)</f>
        <v>12.482258064516101</v>
      </c>
      <c r="J937" s="119">
        <f ca="1">HLOOKUP($H$5,'Met Data'!$H$2:$M$368,G937,FALSE)*L937</f>
        <v>2.73870967741935</v>
      </c>
      <c r="K937" s="98">
        <f>HLOOKUP($H$5,'Met Data'!$O$2:$T$368,G937,FALSE)</f>
        <v>2.42321708135252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si="140"/>
        <v>262</v>
      </c>
      <c r="H938" s="97">
        <f t="shared" si="149"/>
        <v>45918</v>
      </c>
      <c r="I938" s="121">
        <f>HLOOKUP($H$5,'Met Data'!$A$2:$F$368,G938,FALSE)</f>
        <v>12.261290322580599</v>
      </c>
      <c r="J938" s="119">
        <f ca="1">HLOOKUP($H$5,'Met Data'!$H$2:$M$368,G938,FALSE)*L938</f>
        <v>2.5741935483870901</v>
      </c>
      <c r="K938" s="98">
        <f>HLOOKUP($H$5,'Met Data'!$O$2:$T$368,G938,FALSE)</f>
        <v>2.45933848636487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si="140"/>
        <v>263</v>
      </c>
      <c r="H939" s="97">
        <f t="shared" si="149"/>
        <v>45919</v>
      </c>
      <c r="I939" s="121">
        <f>HLOOKUP($H$5,'Met Data'!$A$2:$F$368,G939,FALSE)</f>
        <v>12.1677419354838</v>
      </c>
      <c r="J939" s="119">
        <f ca="1">HLOOKUP($H$5,'Met Data'!$H$2:$M$368,G939,FALSE)*L939</f>
        <v>3.5774193548387001</v>
      </c>
      <c r="K939" s="98">
        <f>HLOOKUP($H$5,'Met Data'!$O$2:$T$368,G939,FALSE)</f>
        <v>2.2883058912546601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si="140"/>
        <v>264</v>
      </c>
      <c r="H940" s="97">
        <f t="shared" si="149"/>
        <v>45920</v>
      </c>
      <c r="I940" s="121">
        <f>HLOOKUP($H$5,'Met Data'!$A$2:$F$368,G940,FALSE)</f>
        <v>12.1064516129032</v>
      </c>
      <c r="J940" s="119">
        <f ca="1">HLOOKUP($H$5,'Met Data'!$H$2:$M$368,G940,FALSE)*L940</f>
        <v>2.6774193548387002</v>
      </c>
      <c r="K940" s="98">
        <f>HLOOKUP($H$5,'Met Data'!$O$2:$T$368,G940,FALSE)</f>
        <v>2.6656714596224198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si="140"/>
        <v>265</v>
      </c>
      <c r="H941" s="97">
        <f t="shared" si="149"/>
        <v>45921</v>
      </c>
      <c r="I941" s="121">
        <f>HLOOKUP($H$5,'Met Data'!$A$2:$F$368,G941,FALSE)</f>
        <v>12.012903225806401</v>
      </c>
      <c r="J941" s="119">
        <f ca="1">HLOOKUP($H$5,'Met Data'!$H$2:$M$368,G941,FALSE)*L941</f>
        <v>2.8193548387096699</v>
      </c>
      <c r="K941" s="98">
        <f>HLOOKUP($H$5,'Met Data'!$O$2:$T$368,G941,FALSE)</f>
        <v>2.6640837362866301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si="140"/>
        <v>266</v>
      </c>
      <c r="H942" s="97">
        <f t="shared" si="149"/>
        <v>45922</v>
      </c>
      <c r="I942" s="121">
        <f>HLOOKUP($H$5,'Met Data'!$A$2:$F$368,G942,FALSE)</f>
        <v>12.1612903225806</v>
      </c>
      <c r="J942" s="119">
        <f ca="1">HLOOKUP($H$5,'Met Data'!$H$2:$M$368,G942,FALSE)*L942</f>
        <v>4.2935483870967701</v>
      </c>
      <c r="K942" s="98">
        <f>HLOOKUP($H$5,'Met Data'!$O$2:$T$368,G942,FALSE)</f>
        <v>2.5405503102234701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si="140"/>
        <v>267</v>
      </c>
      <c r="H943" s="97">
        <f t="shared" si="149"/>
        <v>45923</v>
      </c>
      <c r="I943" s="121">
        <f>HLOOKUP($H$5,'Met Data'!$A$2:$F$368,G943,FALSE)</f>
        <v>12.285483870967701</v>
      </c>
      <c r="J943" s="119">
        <f ca="1">HLOOKUP($H$5,'Met Data'!$H$2:$M$368,G943,FALSE)*L943</f>
        <v>3.69677419354838</v>
      </c>
      <c r="K943" s="98">
        <f>HLOOKUP($H$5,'Met Data'!$O$2:$T$368,G943,FALSE)</f>
        <v>2.75659518409562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si="140"/>
        <v>268</v>
      </c>
      <c r="H944" s="97">
        <f t="shared" si="149"/>
        <v>45924</v>
      </c>
      <c r="I944" s="121">
        <f>HLOOKUP($H$5,'Met Data'!$A$2:$F$368,G944,FALSE)</f>
        <v>12.7274193548387</v>
      </c>
      <c r="J944" s="119">
        <f ca="1">HLOOKUP($H$5,'Met Data'!$H$2:$M$368,G944,FALSE)*L944</f>
        <v>4.4354838709677402</v>
      </c>
      <c r="K944" s="98">
        <f>HLOOKUP($H$5,'Met Data'!$O$2:$T$368,G944,FALSE)</f>
        <v>2.4043238309259301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si="150">H945-DATE(YEAR(H945),1,0)+1</f>
        <v>269</v>
      </c>
      <c r="H945" s="97">
        <f t="shared" si="149"/>
        <v>45925</v>
      </c>
      <c r="I945" s="121">
        <f>HLOOKUP($H$5,'Met Data'!$A$2:$F$368,G945,FALSE)</f>
        <v>12.4338709677419</v>
      </c>
      <c r="J945" s="119">
        <f ca="1">HLOOKUP($H$5,'Met Data'!$H$2:$M$368,G945,FALSE)*L945</f>
        <v>3.1290322580645098</v>
      </c>
      <c r="K945" s="98">
        <f>HLOOKUP($H$5,'Met Data'!$O$2:$T$368,G945,FALSE)</f>
        <v>2.32653952570764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si="150"/>
        <v>270</v>
      </c>
      <c r="H946" s="97">
        <f t="shared" si="149"/>
        <v>45926</v>
      </c>
      <c r="I946" s="121">
        <f>HLOOKUP($H$5,'Met Data'!$A$2:$F$368,G946,FALSE)</f>
        <v>12.341666666666599</v>
      </c>
      <c r="J946" s="119">
        <f ca="1">HLOOKUP($H$5,'Met Data'!$H$2:$M$368,G946,FALSE)*L946</f>
        <v>4.32666666666666</v>
      </c>
      <c r="K946" s="98">
        <f>HLOOKUP($H$5,'Met Data'!$O$2:$T$368,G946,FALSE)</f>
        <v>2.5198296361703401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si="150"/>
        <v>271</v>
      </c>
      <c r="H947" s="97">
        <f t="shared" si="149"/>
        <v>45927</v>
      </c>
      <c r="I947" s="121">
        <f>HLOOKUP($H$5,'Met Data'!$A$2:$F$368,G947,FALSE)</f>
        <v>12.7183333333333</v>
      </c>
      <c r="J947" s="119">
        <f ca="1">HLOOKUP($H$5,'Met Data'!$H$2:$M$368,G947,FALSE)*L947</f>
        <v>2.83</v>
      </c>
      <c r="K947" s="98">
        <f>HLOOKUP($H$5,'Met Data'!$O$2:$T$368,G947,FALSE)</f>
        <v>2.6371707298843199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si="150"/>
        <v>272</v>
      </c>
      <c r="H948" s="97">
        <f t="shared" si="149"/>
        <v>45928</v>
      </c>
      <c r="I948" s="121">
        <f>HLOOKUP($H$5,'Met Data'!$A$2:$F$368,G948,FALSE)</f>
        <v>13.04</v>
      </c>
      <c r="J948" s="119">
        <f ca="1">HLOOKUP($H$5,'Met Data'!$H$2:$M$368,G948,FALSE)*L948</f>
        <v>4.2233333333333301</v>
      </c>
      <c r="K948" s="98">
        <f>HLOOKUP($H$5,'Met Data'!$O$2:$T$368,G948,FALSE)</f>
        <v>2.4067153885809098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si="150"/>
        <v>273</v>
      </c>
      <c r="H949" s="97">
        <f t="shared" si="149"/>
        <v>45929</v>
      </c>
      <c r="I949" s="121">
        <f>HLOOKUP($H$5,'Met Data'!$A$2:$F$368,G949,FALSE)</f>
        <v>13.381034482758601</v>
      </c>
      <c r="J949" s="119">
        <f ca="1">HLOOKUP($H$5,'Met Data'!$H$2:$M$368,G949,FALSE)*L949</f>
        <v>3.7620689655172401</v>
      </c>
      <c r="K949" s="98">
        <f>HLOOKUP($H$5,'Met Data'!$O$2:$T$368,G949,FALSE)</f>
        <v>2.71659484771267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si="150"/>
        <v>274</v>
      </c>
      <c r="H950" s="97">
        <f t="shared" si="149"/>
        <v>45930</v>
      </c>
      <c r="I950" s="121">
        <f>HLOOKUP($H$5,'Met Data'!$A$2:$F$368,G950,FALSE)</f>
        <v>13.274137931034399</v>
      </c>
      <c r="J950" s="119">
        <f ca="1">HLOOKUP($H$5,'Met Data'!$H$2:$M$368,G950,FALSE)*L950</f>
        <v>5.4793103448275797</v>
      </c>
      <c r="K950" s="98">
        <f>HLOOKUP($H$5,'Met Data'!$O$2:$T$368,G950,FALSE)</f>
        <v>2.6496213239398698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si="150"/>
        <v>275</v>
      </c>
      <c r="H951" s="97">
        <f t="shared" si="149"/>
        <v>45931</v>
      </c>
      <c r="I951" s="121">
        <f>HLOOKUP($H$5,'Met Data'!$A$2:$F$368,G951,FALSE)</f>
        <v>13.0233333333333</v>
      </c>
      <c r="J951" s="119">
        <f ca="1">HLOOKUP($H$5,'Met Data'!$H$2:$M$368,G951,FALSE)*L951</f>
        <v>7.2033333333333296</v>
      </c>
      <c r="K951" s="98">
        <f>HLOOKUP($H$5,'Met Data'!$O$2:$T$368,G951,FALSE)</f>
        <v>2.7120872842053001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si="150"/>
        <v>276</v>
      </c>
      <c r="H952" s="97">
        <f t="shared" si="149"/>
        <v>45932</v>
      </c>
      <c r="I952" s="121">
        <f>HLOOKUP($H$5,'Met Data'!$A$2:$F$368,G952,FALSE)</f>
        <v>12.938333333333301</v>
      </c>
      <c r="J952" s="119">
        <f ca="1">HLOOKUP($H$5,'Met Data'!$H$2:$M$368,G952,FALSE)*L952</f>
        <v>4.3633333333333297</v>
      </c>
      <c r="K952" s="98">
        <f>HLOOKUP($H$5,'Met Data'!$O$2:$T$368,G952,FALSE)</f>
        <v>2.5284096014561799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si="150"/>
        <v>277</v>
      </c>
      <c r="H953" s="97">
        <f t="shared" si="149"/>
        <v>45933</v>
      </c>
      <c r="I953" s="121">
        <f>HLOOKUP($H$5,'Met Data'!$A$2:$F$368,G953,FALSE)</f>
        <v>13.2433333333333</v>
      </c>
      <c r="J953" s="119">
        <f ca="1">HLOOKUP($H$5,'Met Data'!$H$2:$M$368,G953,FALSE)*L953</f>
        <v>5.1333333333333302</v>
      </c>
      <c r="K953" s="98">
        <f>HLOOKUP($H$5,'Met Data'!$O$2:$T$368,G953,FALSE)</f>
        <v>2.88480468453885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si="150"/>
        <v>278</v>
      </c>
      <c r="H954" s="97">
        <f t="shared" si="149"/>
        <v>45934</v>
      </c>
      <c r="I954" s="121">
        <f>HLOOKUP($H$5,'Met Data'!$A$2:$F$368,G954,FALSE)</f>
        <v>12.85</v>
      </c>
      <c r="J954" s="119">
        <f ca="1">HLOOKUP($H$5,'Met Data'!$H$2:$M$368,G954,FALSE)*L954</f>
        <v>2.5033333333333299</v>
      </c>
      <c r="K954" s="98">
        <f>HLOOKUP($H$5,'Met Data'!$O$2:$T$368,G954,FALSE)</f>
        <v>2.7808067783335901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si="150"/>
        <v>279</v>
      </c>
      <c r="H955" s="97">
        <f t="shared" si="149"/>
        <v>45935</v>
      </c>
      <c r="I955" s="121">
        <f>HLOOKUP($H$5,'Met Data'!$A$2:$F$368,G955,FALSE)</f>
        <v>12.875806451612901</v>
      </c>
      <c r="J955" s="119">
        <f ca="1">HLOOKUP($H$5,'Met Data'!$H$2:$M$368,G955,FALSE)*L955</f>
        <v>4.1354838709677404</v>
      </c>
      <c r="K955" s="98">
        <f>HLOOKUP($H$5,'Met Data'!$O$2:$T$368,G955,FALSE)</f>
        <v>3.0772949163384999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si="150"/>
        <v>280</v>
      </c>
      <c r="H956" s="97">
        <f t="shared" si="149"/>
        <v>45936</v>
      </c>
      <c r="I956" s="121">
        <f>HLOOKUP($H$5,'Met Data'!$A$2:$F$368,G956,FALSE)</f>
        <v>12.9966666666666</v>
      </c>
      <c r="J956" s="119">
        <f ca="1">HLOOKUP($H$5,'Met Data'!$H$2:$M$368,G956,FALSE)*L956</f>
        <v>2.96999999999999</v>
      </c>
      <c r="K956" s="98">
        <f>HLOOKUP($H$5,'Met Data'!$O$2:$T$368,G956,FALSE)</f>
        <v>3.1690364753373701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si="150"/>
        <v>281</v>
      </c>
      <c r="H957" s="97">
        <f t="shared" si="149"/>
        <v>45937</v>
      </c>
      <c r="I957" s="121">
        <f>HLOOKUP($H$5,'Met Data'!$A$2:$F$368,G957,FALSE)</f>
        <v>12.7633333333333</v>
      </c>
      <c r="J957" s="119">
        <f ca="1">HLOOKUP($H$5,'Met Data'!$H$2:$M$368,G957,FALSE)*L957</f>
        <v>2.61</v>
      </c>
      <c r="K957" s="98">
        <f>HLOOKUP($H$5,'Met Data'!$O$2:$T$368,G957,FALSE)</f>
        <v>2.8220150579732999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si="150"/>
        <v>282</v>
      </c>
      <c r="H958" s="97">
        <f t="shared" si="149"/>
        <v>45938</v>
      </c>
      <c r="I958" s="121">
        <f>HLOOKUP($H$5,'Met Data'!$A$2:$F$368,G958,FALSE)</f>
        <v>13.4816666666666</v>
      </c>
      <c r="J958" s="119">
        <f ca="1">HLOOKUP($H$5,'Met Data'!$H$2:$M$368,G958,FALSE)*L958</f>
        <v>4.0666666666666602</v>
      </c>
      <c r="K958" s="98">
        <f>HLOOKUP($H$5,'Met Data'!$O$2:$T$368,G958,FALSE)</f>
        <v>2.68549157073894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si="150"/>
        <v>283</v>
      </c>
      <c r="H959" s="97">
        <f t="shared" si="149"/>
        <v>45939</v>
      </c>
      <c r="I959" s="121">
        <f>HLOOKUP($H$5,'Met Data'!$A$2:$F$368,G959,FALSE)</f>
        <v>13.6933333333333</v>
      </c>
      <c r="J959" s="119">
        <f ca="1">HLOOKUP($H$5,'Met Data'!$H$2:$M$368,G959,FALSE)*L959</f>
        <v>4.22</v>
      </c>
      <c r="K959" s="98">
        <f>HLOOKUP($H$5,'Met Data'!$O$2:$T$368,G959,FALSE)</f>
        <v>2.6969590648562201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si="150"/>
        <v>284</v>
      </c>
      <c r="H960" s="97">
        <f t="shared" si="149"/>
        <v>45940</v>
      </c>
      <c r="I960" s="121">
        <f>HLOOKUP($H$5,'Met Data'!$A$2:$F$368,G960,FALSE)</f>
        <v>12.9568965517241</v>
      </c>
      <c r="J960" s="119">
        <f ca="1">HLOOKUP($H$5,'Met Data'!$H$2:$M$368,G960,FALSE)*L960</f>
        <v>4.5966666666666596</v>
      </c>
      <c r="K960" s="98">
        <f>HLOOKUP($H$5,'Met Data'!$O$2:$T$368,G960,FALSE)</f>
        <v>2.9040985917251398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si="150"/>
        <v>285</v>
      </c>
      <c r="H961" s="97">
        <f t="shared" si="149"/>
        <v>45941</v>
      </c>
      <c r="I961" s="121">
        <f>HLOOKUP($H$5,'Met Data'!$A$2:$F$368,G961,FALSE)</f>
        <v>13.2293103448275</v>
      </c>
      <c r="J961" s="119">
        <f ca="1">HLOOKUP($H$5,'Met Data'!$H$2:$M$368,G961,FALSE)*L961</f>
        <v>2.3896551724137902</v>
      </c>
      <c r="K961" s="98">
        <f>HLOOKUP($H$5,'Met Data'!$O$2:$T$368,G961,FALSE)</f>
        <v>2.90858576113735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si="150"/>
        <v>286</v>
      </c>
      <c r="H962" s="97">
        <f t="shared" si="149"/>
        <v>45942</v>
      </c>
      <c r="I962" s="121">
        <f>HLOOKUP($H$5,'Met Data'!$A$2:$F$368,G962,FALSE)</f>
        <v>13.7431034482758</v>
      </c>
      <c r="J962" s="119">
        <f ca="1">HLOOKUP($H$5,'Met Data'!$H$2:$M$368,G962,FALSE)*L962</f>
        <v>5.39310344827586</v>
      </c>
      <c r="K962" s="98">
        <f>HLOOKUP($H$5,'Met Data'!$O$2:$T$368,G962,FALSE)</f>
        <v>2.9187130451018599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si="150"/>
        <v>287</v>
      </c>
      <c r="H963" s="97">
        <f t="shared" si="149"/>
        <v>45943</v>
      </c>
      <c r="I963" s="121">
        <f>HLOOKUP($H$5,'Met Data'!$A$2:$F$368,G963,FALSE)</f>
        <v>13.6551724137931</v>
      </c>
      <c r="J963" s="119">
        <f ca="1">HLOOKUP($H$5,'Met Data'!$H$2:$M$368,G963,FALSE)*L963</f>
        <v>4.9586206896551701</v>
      </c>
      <c r="K963" s="98">
        <f>HLOOKUP($H$5,'Met Data'!$O$2:$T$368,G963,FALSE)</f>
        <v>2.9944315874670302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si="150"/>
        <v>288</v>
      </c>
      <c r="H964" s="97">
        <f t="shared" si="149"/>
        <v>45944</v>
      </c>
      <c r="I964" s="121">
        <f>HLOOKUP($H$5,'Met Data'!$A$2:$F$368,G964,FALSE)</f>
        <v>13.334482758620601</v>
      </c>
      <c r="J964" s="119">
        <f ca="1">HLOOKUP($H$5,'Met Data'!$H$2:$M$368,G964,FALSE)*L964</f>
        <v>5.6758620689655102</v>
      </c>
      <c r="K964" s="98">
        <f>HLOOKUP($H$5,'Met Data'!$O$2:$T$368,G964,FALSE)</f>
        <v>2.9220059834019998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si="150"/>
        <v>289</v>
      </c>
      <c r="H965" s="97">
        <f t="shared" si="149"/>
        <v>45945</v>
      </c>
      <c r="I965" s="121">
        <f>HLOOKUP($H$5,'Met Data'!$A$2:$F$368,G965,FALSE)</f>
        <v>13.0379310344827</v>
      </c>
      <c r="J965" s="119">
        <f ca="1">HLOOKUP($H$5,'Met Data'!$H$2:$M$368,G965,FALSE)*L965</f>
        <v>5.9344827586206899</v>
      </c>
      <c r="K965" s="98">
        <f>HLOOKUP($H$5,'Met Data'!$O$2:$T$368,G965,FALSE)</f>
        <v>3.1812494285264998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si="150"/>
        <v>290</v>
      </c>
      <c r="H966" s="97">
        <f t="shared" si="149"/>
        <v>45946</v>
      </c>
      <c r="I966" s="121">
        <f>HLOOKUP($H$5,'Met Data'!$A$2:$F$368,G966,FALSE)</f>
        <v>13.094827586206801</v>
      </c>
      <c r="J966" s="119">
        <f ca="1">HLOOKUP($H$5,'Met Data'!$H$2:$M$368,G966,FALSE)*L966</f>
        <v>3.2862068965517199</v>
      </c>
      <c r="K966" s="98">
        <f>HLOOKUP($H$5,'Met Data'!$O$2:$T$368,G966,FALSE)</f>
        <v>3.1846462671739202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si="150"/>
        <v>291</v>
      </c>
      <c r="H967" s="97">
        <f t="shared" si="149"/>
        <v>45947</v>
      </c>
      <c r="I967" s="121">
        <f>HLOOKUP($H$5,'Met Data'!$A$2:$F$368,G967,FALSE)</f>
        <v>13.6775862068965</v>
      </c>
      <c r="J967" s="119">
        <f ca="1">HLOOKUP($H$5,'Met Data'!$H$2:$M$368,G967,FALSE)*L967</f>
        <v>3.4241379310344802</v>
      </c>
      <c r="K967" s="98">
        <f>HLOOKUP($H$5,'Met Data'!$O$2:$T$368,G967,FALSE)</f>
        <v>3.2300602691540199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si="150"/>
        <v>292</v>
      </c>
      <c r="H968" s="97">
        <f t="shared" si="149"/>
        <v>45948</v>
      </c>
      <c r="I968" s="121">
        <f>HLOOKUP($H$5,'Met Data'!$A$2:$F$368,G968,FALSE)</f>
        <v>13.189655172413699</v>
      </c>
      <c r="J968" s="119">
        <f ca="1">HLOOKUP($H$5,'Met Data'!$H$2:$M$368,G968,FALSE)*L968</f>
        <v>3.6586206896551698</v>
      </c>
      <c r="K968" s="98">
        <f>HLOOKUP($H$5,'Met Data'!$O$2:$T$368,G968,FALSE)</f>
        <v>2.98673361950474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si="150"/>
        <v>293</v>
      </c>
      <c r="H969" s="97">
        <f t="shared" ref="H969:H1000" si="159">H968+1</f>
        <v>45949</v>
      </c>
      <c r="I969" s="121">
        <f>HLOOKUP($H$5,'Met Data'!$A$2:$F$368,G969,FALSE)</f>
        <v>12.9428571428571</v>
      </c>
      <c r="J969" s="119">
        <f ca="1">HLOOKUP($H$5,'Met Data'!$H$2:$M$368,G969,FALSE)*L969</f>
        <v>2.3892857142857098</v>
      </c>
      <c r="K969" s="98">
        <f>HLOOKUP($H$5,'Met Data'!$O$2:$T$368,G969,FALSE)</f>
        <v>3.3877860671285598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si="150"/>
        <v>294</v>
      </c>
      <c r="H970" s="97">
        <f t="shared" si="159"/>
        <v>45950</v>
      </c>
      <c r="I970" s="121">
        <f>HLOOKUP($H$5,'Met Data'!$A$2:$F$368,G970,FALSE)</f>
        <v>12.819642857142799</v>
      </c>
      <c r="J970" s="119">
        <f ca="1">HLOOKUP($H$5,'Met Data'!$H$2:$M$368,G970,FALSE)*L970</f>
        <v>1.6142857142857101</v>
      </c>
      <c r="K970" s="98">
        <f>HLOOKUP($H$5,'Met Data'!$O$2:$T$368,G970,FALSE)</f>
        <v>3.30175747979975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si="150"/>
        <v>295</v>
      </c>
      <c r="H971" s="97">
        <f t="shared" si="159"/>
        <v>45951</v>
      </c>
      <c r="I971" s="121">
        <f>HLOOKUP($H$5,'Met Data'!$A$2:$F$368,G971,FALSE)</f>
        <v>13.2785714285714</v>
      </c>
      <c r="J971" s="119">
        <f ca="1">HLOOKUP($H$5,'Met Data'!$H$2:$M$368,G971,FALSE)*L971</f>
        <v>2.9214285714285699</v>
      </c>
      <c r="K971" s="98">
        <f>HLOOKUP($H$5,'Met Data'!$O$2:$T$368,G971,FALSE)</f>
        <v>2.9372247945615499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si="150"/>
        <v>296</v>
      </c>
      <c r="H972" s="97">
        <f t="shared" si="159"/>
        <v>45952</v>
      </c>
      <c r="I972" s="121">
        <f>HLOOKUP($H$5,'Met Data'!$A$2:$F$368,G972,FALSE)</f>
        <v>13.5625</v>
      </c>
      <c r="J972" s="119">
        <f ca="1">HLOOKUP($H$5,'Met Data'!$H$2:$M$368,G972,FALSE)*L972</f>
        <v>3.3499999999999899</v>
      </c>
      <c r="K972" s="98">
        <f>HLOOKUP($H$5,'Met Data'!$O$2:$T$368,G972,FALSE)</f>
        <v>2.9112128548041598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si="150"/>
        <v>297</v>
      </c>
      <c r="H973" s="97">
        <f t="shared" si="159"/>
        <v>45953</v>
      </c>
      <c r="I973" s="121">
        <f>HLOOKUP($H$5,'Met Data'!$A$2:$F$368,G973,FALSE)</f>
        <v>13.9310344827586</v>
      </c>
      <c r="J973" s="119">
        <f ca="1">HLOOKUP($H$5,'Met Data'!$H$2:$M$368,G973,FALSE)*L973</f>
        <v>4.6137931034482698</v>
      </c>
      <c r="K973" s="98">
        <f>HLOOKUP($H$5,'Met Data'!$O$2:$T$368,G973,FALSE)</f>
        <v>3.5318790230099002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si="150"/>
        <v>298</v>
      </c>
      <c r="H974" s="97">
        <f t="shared" si="159"/>
        <v>45954</v>
      </c>
      <c r="I974" s="121">
        <f>HLOOKUP($H$5,'Met Data'!$A$2:$F$368,G974,FALSE)</f>
        <v>13.336206896551699</v>
      </c>
      <c r="J974" s="119">
        <f ca="1">HLOOKUP($H$5,'Met Data'!$H$2:$M$368,G974,FALSE)*L974</f>
        <v>3.30689655172413</v>
      </c>
      <c r="K974" s="98">
        <f>HLOOKUP($H$5,'Met Data'!$O$2:$T$368,G974,FALSE)</f>
        <v>3.2578637469081699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si="150"/>
        <v>299</v>
      </c>
      <c r="H975" s="97">
        <f t="shared" si="159"/>
        <v>45955</v>
      </c>
      <c r="I975" s="121">
        <f>HLOOKUP($H$5,'Met Data'!$A$2:$F$368,G975,FALSE)</f>
        <v>13.789655172413701</v>
      </c>
      <c r="J975" s="119">
        <f ca="1">HLOOKUP($H$5,'Met Data'!$H$2:$M$368,G975,FALSE)*L975</f>
        <v>1.8172413793103399</v>
      </c>
      <c r="K975" s="98">
        <f>HLOOKUP($H$5,'Met Data'!$O$2:$T$368,G975,FALSE)</f>
        <v>3.4101531049699898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si="150"/>
        <v>300</v>
      </c>
      <c r="H976" s="97">
        <f t="shared" si="159"/>
        <v>45956</v>
      </c>
      <c r="I976" s="121">
        <f>HLOOKUP($H$5,'Met Data'!$A$2:$F$368,G976,FALSE)</f>
        <v>14.0810344827586</v>
      </c>
      <c r="J976" s="119">
        <f ca="1">HLOOKUP($H$5,'Met Data'!$H$2:$M$368,G976,FALSE)*L976</f>
        <v>0.78965517241379302</v>
      </c>
      <c r="K976" s="98">
        <f>HLOOKUP($H$5,'Met Data'!$O$2:$T$368,G976,FALSE)</f>
        <v>3.2764418127891499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si="150"/>
        <v>301</v>
      </c>
      <c r="H977" s="97">
        <f t="shared" si="159"/>
        <v>45957</v>
      </c>
      <c r="I977" s="121">
        <f>HLOOKUP($H$5,'Met Data'!$A$2:$F$368,G977,FALSE)</f>
        <v>14.8396551724137</v>
      </c>
      <c r="J977" s="119">
        <f ca="1">HLOOKUP($H$5,'Met Data'!$H$2:$M$368,G977,FALSE)*L977</f>
        <v>3.4241379310344802</v>
      </c>
      <c r="K977" s="98">
        <f>HLOOKUP($H$5,'Met Data'!$O$2:$T$368,G977,FALSE)</f>
        <v>3.3023555527193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si="150"/>
        <v>302</v>
      </c>
      <c r="H978" s="97">
        <f t="shared" si="159"/>
        <v>45958</v>
      </c>
      <c r="I978" s="121">
        <f>HLOOKUP($H$5,'Met Data'!$A$2:$F$368,G978,FALSE)</f>
        <v>14.274137931034399</v>
      </c>
      <c r="J978" s="119">
        <f ca="1">HLOOKUP($H$5,'Met Data'!$H$2:$M$368,G978,FALSE)*L978</f>
        <v>4.16206896551724</v>
      </c>
      <c r="K978" s="98">
        <f>HLOOKUP($H$5,'Met Data'!$O$2:$T$368,G978,FALSE)</f>
        <v>2.9394492851949701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si="150"/>
        <v>303</v>
      </c>
      <c r="H979" s="97">
        <f t="shared" si="159"/>
        <v>45959</v>
      </c>
      <c r="I979" s="121">
        <f>HLOOKUP($H$5,'Met Data'!$A$2:$F$368,G979,FALSE)</f>
        <v>14.29</v>
      </c>
      <c r="J979" s="119">
        <f ca="1">HLOOKUP($H$5,'Met Data'!$H$2:$M$368,G979,FALSE)*L979</f>
        <v>2.4933333333333301</v>
      </c>
      <c r="K979" s="98">
        <f>HLOOKUP($H$5,'Met Data'!$O$2:$T$368,G979,FALSE)</f>
        <v>3.1793308523033601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si="150"/>
        <v>304</v>
      </c>
      <c r="H980" s="97">
        <f t="shared" si="159"/>
        <v>45960</v>
      </c>
      <c r="I980" s="121">
        <f>HLOOKUP($H$5,'Met Data'!$A$2:$F$368,G980,FALSE)</f>
        <v>14.715</v>
      </c>
      <c r="J980" s="119">
        <f ca="1">HLOOKUP($H$5,'Met Data'!$H$2:$M$368,G980,FALSE)*L980</f>
        <v>1.99</v>
      </c>
      <c r="K980" s="98">
        <f>HLOOKUP($H$5,'Met Data'!$O$2:$T$368,G980,FALSE)</f>
        <v>3.2908149619424898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si="150"/>
        <v>305</v>
      </c>
      <c r="H981" s="97">
        <f t="shared" si="159"/>
        <v>45961</v>
      </c>
      <c r="I981" s="121">
        <f>HLOOKUP($H$5,'Met Data'!$A$2:$F$368,G981,FALSE)</f>
        <v>14.5266666666666</v>
      </c>
      <c r="J981" s="119">
        <f ca="1">HLOOKUP($H$5,'Met Data'!$H$2:$M$368,G981,FALSE)*L981</f>
        <v>1.75</v>
      </c>
      <c r="K981" s="98">
        <f>HLOOKUP($H$5,'Met Data'!$O$2:$T$368,G981,FALSE)</f>
        <v>3.7910621493299299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si="150"/>
        <v>306</v>
      </c>
      <c r="H982" s="97">
        <f t="shared" si="159"/>
        <v>45962</v>
      </c>
      <c r="I982" s="121">
        <f>HLOOKUP($H$5,'Met Data'!$A$2:$F$368,G982,FALSE)</f>
        <v>14.0416666666666</v>
      </c>
      <c r="J982" s="119">
        <f ca="1">HLOOKUP($H$5,'Met Data'!$H$2:$M$368,G982,FALSE)*L982</f>
        <v>2.11666666666666</v>
      </c>
      <c r="K982" s="98">
        <f>HLOOKUP($H$5,'Met Data'!$O$2:$T$368,G982,FALSE)</f>
        <v>3.7273958064413302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si="150"/>
        <v>307</v>
      </c>
      <c r="H983" s="97">
        <f t="shared" si="159"/>
        <v>45963</v>
      </c>
      <c r="I983" s="121">
        <f>HLOOKUP($H$5,'Met Data'!$A$2:$F$368,G983,FALSE)</f>
        <v>14.098333333333301</v>
      </c>
      <c r="J983" s="119">
        <f ca="1">HLOOKUP($H$5,'Met Data'!$H$2:$M$368,G983,FALSE)*L983</f>
        <v>0.94</v>
      </c>
      <c r="K983" s="98">
        <f>HLOOKUP($H$5,'Met Data'!$O$2:$T$368,G983,FALSE)</f>
        <v>3.7508089301659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si="150"/>
        <v>308</v>
      </c>
      <c r="H984" s="97">
        <f t="shared" si="159"/>
        <v>45964</v>
      </c>
      <c r="I984" s="121">
        <f>HLOOKUP($H$5,'Met Data'!$A$2:$F$368,G984,FALSE)</f>
        <v>13.9933333333333</v>
      </c>
      <c r="J984" s="119">
        <f ca="1">HLOOKUP($H$5,'Met Data'!$H$2:$M$368,G984,FALSE)*L984</f>
        <v>2.42</v>
      </c>
      <c r="K984" s="98">
        <f>HLOOKUP($H$5,'Met Data'!$O$2:$T$368,G984,FALSE)</f>
        <v>3.2496546498492198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si="150"/>
        <v>309</v>
      </c>
      <c r="H985" s="97">
        <f t="shared" si="159"/>
        <v>45965</v>
      </c>
      <c r="I985" s="121">
        <f>HLOOKUP($H$5,'Met Data'!$A$2:$F$368,G985,FALSE)</f>
        <v>14.2016666666666</v>
      </c>
      <c r="J985" s="119">
        <f ca="1">HLOOKUP($H$5,'Met Data'!$H$2:$M$368,G985,FALSE)*L985</f>
        <v>3.21999999999999</v>
      </c>
      <c r="K985" s="98">
        <f>HLOOKUP($H$5,'Met Data'!$O$2:$T$368,G985,FALSE)</f>
        <v>3.3917308243993398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si="150"/>
        <v>310</v>
      </c>
      <c r="H986" s="97">
        <f t="shared" si="159"/>
        <v>45966</v>
      </c>
      <c r="I986" s="121">
        <f>HLOOKUP($H$5,'Met Data'!$A$2:$F$368,G986,FALSE)</f>
        <v>14.5483333333333</v>
      </c>
      <c r="J986" s="119">
        <f ca="1">HLOOKUP($H$5,'Met Data'!$H$2:$M$368,G986,FALSE)*L986</f>
        <v>6.2166666666666597</v>
      </c>
      <c r="K986" s="98">
        <f>HLOOKUP($H$5,'Met Data'!$O$2:$T$368,G986,FALSE)</f>
        <v>3.4940085056696999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si="150"/>
        <v>311</v>
      </c>
      <c r="H987" s="97">
        <f t="shared" si="159"/>
        <v>45967</v>
      </c>
      <c r="I987" s="121">
        <f>HLOOKUP($H$5,'Met Data'!$A$2:$F$368,G987,FALSE)</f>
        <v>14.156666666666601</v>
      </c>
      <c r="J987" s="119">
        <f ca="1">HLOOKUP($H$5,'Met Data'!$H$2:$M$368,G987,FALSE)*L987</f>
        <v>4.1999999999999904</v>
      </c>
      <c r="K987" s="98">
        <f>HLOOKUP($H$5,'Met Data'!$O$2:$T$368,G987,FALSE)</f>
        <v>3.6290518837480299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si="150"/>
        <v>312</v>
      </c>
      <c r="H988" s="97">
        <f t="shared" si="159"/>
        <v>45968</v>
      </c>
      <c r="I988" s="121">
        <f>HLOOKUP($H$5,'Met Data'!$A$2:$F$368,G988,FALSE)</f>
        <v>14.466666666666599</v>
      </c>
      <c r="J988" s="119">
        <f ca="1">HLOOKUP($H$5,'Met Data'!$H$2:$M$368,G988,FALSE)*L988</f>
        <v>4.18333333333333</v>
      </c>
      <c r="K988" s="98">
        <f>HLOOKUP($H$5,'Met Data'!$O$2:$T$368,G988,FALSE)</f>
        <v>3.3196725038188899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si="150"/>
        <v>313</v>
      </c>
      <c r="H989" s="97">
        <f t="shared" si="159"/>
        <v>45969</v>
      </c>
      <c r="I989" s="121">
        <f>HLOOKUP($H$5,'Met Data'!$A$2:$F$368,G989,FALSE)</f>
        <v>14.7283333333333</v>
      </c>
      <c r="J989" s="119">
        <f ca="1">HLOOKUP($H$5,'Met Data'!$H$2:$M$368,G989,FALSE)*L989</f>
        <v>3.4833333333333298</v>
      </c>
      <c r="K989" s="98">
        <f>HLOOKUP($H$5,'Met Data'!$O$2:$T$368,G989,FALSE)</f>
        <v>3.5694722560107999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si="150"/>
        <v>314</v>
      </c>
      <c r="H990" s="97">
        <f t="shared" si="159"/>
        <v>45970</v>
      </c>
      <c r="I990" s="121">
        <f>HLOOKUP($H$5,'Met Data'!$A$2:$F$368,G990,FALSE)</f>
        <v>14.37</v>
      </c>
      <c r="J990" s="119">
        <f ca="1">HLOOKUP($H$5,'Met Data'!$H$2:$M$368,G990,FALSE)*L990</f>
        <v>3.5433333333333299</v>
      </c>
      <c r="K990" s="98">
        <f>HLOOKUP($H$5,'Met Data'!$O$2:$T$368,G990,FALSE)</f>
        <v>3.5998767062500399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si="150"/>
        <v>315</v>
      </c>
      <c r="H991" s="97">
        <f t="shared" si="159"/>
        <v>45971</v>
      </c>
      <c r="I991" s="121">
        <f>HLOOKUP($H$5,'Met Data'!$A$2:$F$368,G991,FALSE)</f>
        <v>14.7216666666666</v>
      </c>
      <c r="J991" s="119">
        <f ca="1">HLOOKUP($H$5,'Met Data'!$H$2:$M$368,G991,FALSE)*L991</f>
        <v>2.9033333333333302</v>
      </c>
      <c r="K991" s="98">
        <f>HLOOKUP($H$5,'Met Data'!$O$2:$T$368,G991,FALSE)</f>
        <v>3.8854632375309301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si="150"/>
        <v>316</v>
      </c>
      <c r="H992" s="97">
        <f t="shared" si="159"/>
        <v>45972</v>
      </c>
      <c r="I992" s="121">
        <f>HLOOKUP($H$5,'Met Data'!$A$2:$F$368,G992,FALSE)</f>
        <v>14.816666666666601</v>
      </c>
      <c r="J992" s="119">
        <f ca="1">HLOOKUP($H$5,'Met Data'!$H$2:$M$368,G992,FALSE)*L992</f>
        <v>1.5433333333333299</v>
      </c>
      <c r="K992" s="98">
        <f>HLOOKUP($H$5,'Met Data'!$O$2:$T$368,G992,FALSE)</f>
        <v>3.4766729681443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si="150"/>
        <v>317</v>
      </c>
      <c r="H993" s="97">
        <f t="shared" si="159"/>
        <v>45973</v>
      </c>
      <c r="I993" s="121">
        <f>HLOOKUP($H$5,'Met Data'!$A$2:$F$368,G993,FALSE)</f>
        <v>14.7883333333333</v>
      </c>
      <c r="J993" s="119">
        <f ca="1">HLOOKUP($H$5,'Met Data'!$H$2:$M$368,G993,FALSE)*L993</f>
        <v>3.6066666666666598</v>
      </c>
      <c r="K993" s="98">
        <f>HLOOKUP($H$5,'Met Data'!$O$2:$T$368,G993,FALSE)</f>
        <v>3.49823939059966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si="150"/>
        <v>318</v>
      </c>
      <c r="H994" s="97">
        <f t="shared" si="159"/>
        <v>45974</v>
      </c>
      <c r="I994" s="121">
        <f>HLOOKUP($H$5,'Met Data'!$A$2:$F$368,G994,FALSE)</f>
        <v>14.5583333333333</v>
      </c>
      <c r="J994" s="119">
        <f ca="1">HLOOKUP($H$5,'Met Data'!$H$2:$M$368,G994,FALSE)*L994</f>
        <v>3.0633333333333299</v>
      </c>
      <c r="K994" s="98">
        <f>HLOOKUP($H$5,'Met Data'!$O$2:$T$368,G994,FALSE)</f>
        <v>3.8424324154218401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si="150"/>
        <v>319</v>
      </c>
      <c r="H995" s="97">
        <f t="shared" si="159"/>
        <v>45975</v>
      </c>
      <c r="I995" s="121">
        <f>HLOOKUP($H$5,'Met Data'!$A$2:$F$368,G995,FALSE)</f>
        <v>14.5066666666666</v>
      </c>
      <c r="J995" s="119">
        <f ca="1">HLOOKUP($H$5,'Met Data'!$H$2:$M$368,G995,FALSE)*L995</f>
        <v>3.2933333333333299</v>
      </c>
      <c r="K995" s="98">
        <f>HLOOKUP($H$5,'Met Data'!$O$2:$T$368,G995,FALSE)</f>
        <v>3.93837814578281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si="150"/>
        <v>320</v>
      </c>
      <c r="H996" s="97">
        <f t="shared" si="159"/>
        <v>45976</v>
      </c>
      <c r="I996" s="121">
        <f>HLOOKUP($H$5,'Met Data'!$A$2:$F$368,G996,FALSE)</f>
        <v>14.8633333333333</v>
      </c>
      <c r="J996" s="119">
        <f ca="1">HLOOKUP($H$5,'Met Data'!$H$2:$M$368,G996,FALSE)*L996</f>
        <v>2.0666666666666602</v>
      </c>
      <c r="K996" s="98">
        <f>HLOOKUP($H$5,'Met Data'!$O$2:$T$368,G996,FALSE)</f>
        <v>3.82063419166102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si="150"/>
        <v>321</v>
      </c>
      <c r="H997" s="97">
        <f t="shared" si="159"/>
        <v>45977</v>
      </c>
      <c r="I997" s="121">
        <f>HLOOKUP($H$5,'Met Data'!$A$2:$F$368,G997,FALSE)</f>
        <v>15.191666666666601</v>
      </c>
      <c r="J997" s="119">
        <f ca="1">HLOOKUP($H$5,'Met Data'!$H$2:$M$368,G997,FALSE)*L997</f>
        <v>4.1233333333333304</v>
      </c>
      <c r="K997" s="98">
        <f>HLOOKUP($H$5,'Met Data'!$O$2:$T$368,G997,FALSE)</f>
        <v>3.4660928584042798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si="150"/>
        <v>322</v>
      </c>
      <c r="H998" s="97">
        <f t="shared" si="159"/>
        <v>45978</v>
      </c>
      <c r="I998" s="121">
        <f>HLOOKUP($H$5,'Met Data'!$A$2:$F$368,G998,FALSE)</f>
        <v>14.805</v>
      </c>
      <c r="J998" s="119">
        <f ca="1">HLOOKUP($H$5,'Met Data'!$H$2:$M$368,G998,FALSE)*L998</f>
        <v>2.0999999999999899</v>
      </c>
      <c r="K998" s="98">
        <f>HLOOKUP($H$5,'Met Data'!$O$2:$T$368,G998,FALSE)</f>
        <v>3.7178898330930501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si="150"/>
        <v>323</v>
      </c>
      <c r="H999" s="97">
        <f t="shared" si="159"/>
        <v>45979</v>
      </c>
      <c r="I999" s="121">
        <f>HLOOKUP($H$5,'Met Data'!$A$2:$F$368,G999,FALSE)</f>
        <v>14.4366666666666</v>
      </c>
      <c r="J999" s="119">
        <f ca="1">HLOOKUP($H$5,'Met Data'!$H$2:$M$368,G999,FALSE)*L999</f>
        <v>2.25</v>
      </c>
      <c r="K999" s="98">
        <f>HLOOKUP($H$5,'Met Data'!$O$2:$T$368,G999,FALSE)</f>
        <v>3.8903759726723899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si="150"/>
        <v>324</v>
      </c>
      <c r="H1000" s="97">
        <f t="shared" si="159"/>
        <v>45980</v>
      </c>
      <c r="I1000" s="121">
        <f>HLOOKUP($H$5,'Met Data'!$A$2:$F$368,G1000,FALSE)</f>
        <v>14.4133333333333</v>
      </c>
      <c r="J1000" s="119">
        <f ca="1">HLOOKUP($H$5,'Met Data'!$H$2:$M$368,G1000,FALSE)*L1000</f>
        <v>1.6566666666666601</v>
      </c>
      <c r="K1000" s="98">
        <f>HLOOKUP($H$5,'Met Data'!$O$2:$T$368,G1000,FALSE)</f>
        <v>3.9105195639997401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AS1" sqref="AS1:CU10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269</v>
      </c>
      <c r="CT1" t="s">
        <v>270</v>
      </c>
      <c r="CU1" t="s">
        <v>271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275</v>
      </c>
      <c r="CS2" t="s">
        <v>268</v>
      </c>
      <c r="CT2" t="s">
        <v>268</v>
      </c>
      <c r="CU2" t="s">
        <v>268</v>
      </c>
    </row>
    <row r="3" spans="1:99">
      <c r="AS3" s="12"/>
      <c r="AW3" t="s">
        <v>79</v>
      </c>
      <c r="BA3" t="s">
        <v>272</v>
      </c>
      <c r="BO3" t="s">
        <v>90</v>
      </c>
      <c r="BU3" t="s">
        <v>69</v>
      </c>
      <c r="CQ3" s="13" t="s">
        <v>40</v>
      </c>
      <c r="CR3" t="s">
        <v>274</v>
      </c>
      <c r="CS3" t="s">
        <v>260</v>
      </c>
      <c r="CT3" t="s">
        <v>260</v>
      </c>
      <c r="CU3" t="s">
        <v>260</v>
      </c>
    </row>
    <row r="4" spans="1:99">
      <c r="AS4" s="12"/>
      <c r="BA4" t="s">
        <v>273</v>
      </c>
      <c r="BU4" t="s">
        <v>70</v>
      </c>
      <c r="CQ4" s="13"/>
      <c r="CR4" t="s">
        <v>30</v>
      </c>
      <c r="CS4" t="s">
        <v>261</v>
      </c>
      <c r="CT4" t="s">
        <v>261</v>
      </c>
      <c r="CU4" t="s">
        <v>261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262</v>
      </c>
      <c r="CT5" t="s">
        <v>262</v>
      </c>
      <c r="CU5" t="s">
        <v>262</v>
      </c>
    </row>
    <row r="6" spans="1:99" ht="15.75" thickBot="1">
      <c r="AI6" t="s">
        <v>221</v>
      </c>
      <c r="AJ6" t="s">
        <v>223</v>
      </c>
      <c r="AM6" s="125" t="s">
        <v>244</v>
      </c>
      <c r="AN6">
        <v>5</v>
      </c>
      <c r="CS6" t="s">
        <v>263</v>
      </c>
      <c r="CT6" t="s">
        <v>263</v>
      </c>
      <c r="CU6" t="s">
        <v>263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  <c r="CS7" t="s">
        <v>264</v>
      </c>
      <c r="CT7" t="s">
        <v>264</v>
      </c>
      <c r="CU7" t="s">
        <v>264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269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  <c r="CS8" t="s">
        <v>265</v>
      </c>
      <c r="CT8" t="s">
        <v>265</v>
      </c>
      <c r="CU8" t="s">
        <v>265</v>
      </c>
    </row>
    <row r="9" spans="1:99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270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  <c r="CS9" t="s">
        <v>266</v>
      </c>
      <c r="CT9" t="s">
        <v>266</v>
      </c>
      <c r="CU9" t="s">
        <v>266</v>
      </c>
    </row>
    <row r="10" spans="1:99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271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  <c r="CS10" t="s">
        <v>267</v>
      </c>
      <c r="CT10" t="s">
        <v>267</v>
      </c>
      <c r="CU10" t="s">
        <v>267</v>
      </c>
    </row>
    <row r="11" spans="1:99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2024-05-24T04:38:44Z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