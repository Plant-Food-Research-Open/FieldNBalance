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FieldNBalance\"/>
    </mc:Choice>
  </mc:AlternateContent>
  <xr:revisionPtr revIDLastSave="0" documentId="8_{AA27A419-89FA-4339-9DF5-9FB4DDD3035E}" xr6:coauthVersionLast="47" xr6:coauthVersionMax="47" xr10:uidLastSave="{00000000-0000-0000-0000-000000000000}"/>
  <bookViews>
    <workbookView xWindow="-120" yWindow="-120" windowWidth="29040" windowHeight="15720" xr2:uid="{E472BE2B-5E80-4F9F-9F69-0143BA9F1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7" i="1"/>
  <c r="D19" i="1" s="1"/>
  <c r="D4" i="1"/>
  <c r="D99" i="1" l="1"/>
  <c r="D11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J18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115" i="1"/>
  <c r="D83" i="1"/>
  <c r="D128" i="1"/>
  <c r="D104" i="1"/>
  <c r="D80" i="1"/>
  <c r="D56" i="1"/>
  <c r="D48" i="1"/>
  <c r="D24" i="1"/>
  <c r="D135" i="1"/>
  <c r="D119" i="1"/>
  <c r="D103" i="1"/>
  <c r="D87" i="1"/>
  <c r="D71" i="1"/>
  <c r="D63" i="1"/>
  <c r="D55" i="1"/>
  <c r="D47" i="1"/>
  <c r="D39" i="1"/>
  <c r="D31" i="1"/>
  <c r="D23" i="1"/>
  <c r="D15" i="1"/>
  <c r="D123" i="1"/>
  <c r="D91" i="1"/>
  <c r="J17" i="1"/>
  <c r="D112" i="1"/>
  <c r="D88" i="1"/>
  <c r="D64" i="1"/>
  <c r="D40" i="1"/>
  <c r="D16" i="1"/>
  <c r="J16" i="1"/>
  <c r="D127" i="1"/>
  <c r="D111" i="1"/>
  <c r="D95" i="1"/>
  <c r="D79" i="1"/>
  <c r="J15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J12" i="1"/>
  <c r="D75" i="1"/>
  <c r="D120" i="1"/>
  <c r="D96" i="1"/>
  <c r="D72" i="1"/>
  <c r="D32" i="1"/>
  <c r="J14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131" i="1"/>
  <c r="J11" i="1"/>
  <c r="D136" i="1"/>
  <c r="J13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107" i="1"/>
  <c r="D67" i="1"/>
  <c r="D59" i="1"/>
  <c r="D51" i="1"/>
  <c r="D43" i="1"/>
  <c r="D35" i="1"/>
  <c r="D27" i="1"/>
  <c r="E12" i="1" l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21" i="1"/>
  <c r="E34" i="1"/>
  <c r="E98" i="1"/>
  <c r="E51" i="1"/>
  <c r="E99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13" i="1"/>
  <c r="E58" i="1"/>
  <c r="E74" i="1"/>
  <c r="E114" i="1"/>
  <c r="E19" i="1"/>
  <c r="E75" i="1"/>
  <c r="E131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36" i="1"/>
  <c r="E18" i="1"/>
  <c r="E122" i="1"/>
  <c r="E43" i="1"/>
  <c r="E83" i="1"/>
  <c r="E123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29" i="1"/>
  <c r="E42" i="1"/>
  <c r="E66" i="1"/>
  <c r="E106" i="1"/>
  <c r="E11" i="1"/>
  <c r="E59" i="1"/>
  <c r="E115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26" i="1"/>
  <c r="E90" i="1"/>
  <c r="E27" i="1"/>
  <c r="E91" i="1"/>
  <c r="E17" i="1"/>
  <c r="E25" i="1"/>
  <c r="E33" i="1"/>
  <c r="E41" i="1"/>
  <c r="E49" i="1"/>
  <c r="E57" i="1"/>
  <c r="E65" i="1"/>
  <c r="E73" i="1"/>
  <c r="E81" i="1"/>
  <c r="E89" i="1"/>
  <c r="E97" i="1"/>
  <c r="E105" i="1"/>
  <c r="E137" i="1"/>
  <c r="E50" i="1"/>
  <c r="E82" i="1"/>
  <c r="E130" i="1"/>
  <c r="E35" i="1"/>
  <c r="E67" i="1"/>
  <c r="E107" i="1"/>
</calcChain>
</file>

<file path=xl/sharedStrings.xml><?xml version="1.0" encoding="utf-8"?>
<sst xmlns="http://schemas.openxmlformats.org/spreadsheetml/2006/main" count="19" uniqueCount="18">
  <si>
    <t>HarvestNConc</t>
  </si>
  <si>
    <t>InitialNConc</t>
  </si>
  <si>
    <t>EarlyNAdd</t>
  </si>
  <si>
    <t>TtMaturity</t>
  </si>
  <si>
    <t>const</t>
  </si>
  <si>
    <t>Naked</t>
  </si>
  <si>
    <t>Scalled for stage</t>
  </si>
  <si>
    <t>MAX(0,MIN(1,(EXP($D$7*C10)-0.02)*1/0.98))</t>
  </si>
  <si>
    <t>Seed</t>
  </si>
  <si>
    <t>Seedling</t>
  </si>
  <si>
    <t>Vegetative</t>
  </si>
  <si>
    <t>EarlyReproductive</t>
  </si>
  <si>
    <t>MidReproductive</t>
  </si>
  <si>
    <t>LateReproductive</t>
  </si>
  <si>
    <t>Maturity</t>
  </si>
  <si>
    <t>Late</t>
  </si>
  <si>
    <t>Stage at harvest</t>
  </si>
  <si>
    <t>AdjustFact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</si>
</sst>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Sheet1!$C$11:$C$137</c:f>
              <c:numCache>
                <c:formatCode>General</c:formatCode>
                <c:ptCount val="12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</c:numCache>
            </c:numRef>
          </c:xVal>
          <c:yVal>
            <c:numRef>
              <c:f>Sheet1!$D$11:$D$137</c:f>
              <c:numCache>
                <c:formatCode>General</c:formatCode>
                <c:ptCount val="127"/>
                <c:pt idx="0">
                  <c:v>1</c:v>
                </c:pt>
                <c:pt idx="1">
                  <c:v>0.96078943915232318</c:v>
                </c:pt>
                <c:pt idx="2">
                  <c:v>0.92311634638663576</c:v>
                </c:pt>
                <c:pt idx="3">
                  <c:v>0.88692043671715748</c:v>
                </c:pt>
                <c:pt idx="4">
                  <c:v>0.85214378896621135</c:v>
                </c:pt>
                <c:pt idx="5">
                  <c:v>0.81873075307798182</c:v>
                </c:pt>
                <c:pt idx="6">
                  <c:v>0.78662786106655347</c:v>
                </c:pt>
                <c:pt idx="7">
                  <c:v>0.75578374145572547</c:v>
                </c:pt>
                <c:pt idx="8">
                  <c:v>0.72614903707369094</c:v>
                </c:pt>
                <c:pt idx="9">
                  <c:v>0.69767632607103103</c:v>
                </c:pt>
                <c:pt idx="10">
                  <c:v>0.67032004603563933</c:v>
                </c:pt>
                <c:pt idx="11">
                  <c:v>0.64403642108314141</c:v>
                </c:pt>
                <c:pt idx="12">
                  <c:v>0.61878339180614084</c:v>
                </c:pt>
                <c:pt idx="13">
                  <c:v>0.59452054797019438</c:v>
                </c:pt>
                <c:pt idx="14">
                  <c:v>0.57120906384881487</c:v>
                </c:pt>
                <c:pt idx="15">
                  <c:v>0.54881163609402639</c:v>
                </c:pt>
                <c:pt idx="16">
                  <c:v>0.52729242404304855</c:v>
                </c:pt>
                <c:pt idx="17">
                  <c:v>0.50661699236558955</c:v>
                </c:pt>
                <c:pt idx="18">
                  <c:v>0.48675225595997168</c:v>
                </c:pt>
                <c:pt idx="19">
                  <c:v>0.46766642700990924</c:v>
                </c:pt>
                <c:pt idx="20">
                  <c:v>0.44932896411722156</c:v>
                </c:pt>
                <c:pt idx="21">
                  <c:v>0.43171052342907973</c:v>
                </c:pt>
                <c:pt idx="22">
                  <c:v>0.41478291168158138</c:v>
                </c:pt>
                <c:pt idx="23">
                  <c:v>0.39851904108451414</c:v>
                </c:pt>
                <c:pt idx="24">
                  <c:v>0.38289288597511206</c:v>
                </c:pt>
                <c:pt idx="25">
                  <c:v>0.36787944117144233</c:v>
                </c:pt>
                <c:pt idx="26">
                  <c:v>0.35345468195878016</c:v>
                </c:pt>
                <c:pt idx="27">
                  <c:v>0.33959552564493911</c:v>
                </c:pt>
                <c:pt idx="28">
                  <c:v>0.32627979462303947</c:v>
                </c:pt>
                <c:pt idx="29">
                  <c:v>0.31348618088260533</c:v>
                </c:pt>
                <c:pt idx="30">
                  <c:v>0.30119421191220214</c:v>
                </c:pt>
                <c:pt idx="31">
                  <c:v>0.28938421793905061</c:v>
                </c:pt>
                <c:pt idx="32">
                  <c:v>0.27803730045319414</c:v>
                </c:pt>
                <c:pt idx="33">
                  <c:v>0.26713530196585034</c:v>
                </c:pt>
                <c:pt idx="34">
                  <c:v>0.25666077695355588</c:v>
                </c:pt>
                <c:pt idx="35">
                  <c:v>0.24659696394160643</c:v>
                </c:pt>
                <c:pt idx="36">
                  <c:v>0.23692775868212176</c:v>
                </c:pt>
                <c:pt idx="37">
                  <c:v>0.22763768838381274</c:v>
                </c:pt>
                <c:pt idx="38">
                  <c:v>0.21871188695221475</c:v>
                </c:pt>
                <c:pt idx="39">
                  <c:v>0.21013607120076472</c:v>
                </c:pt>
                <c:pt idx="40">
                  <c:v>0.20189651799465538</c:v>
                </c:pt>
                <c:pt idx="41">
                  <c:v>0.19398004229089189</c:v>
                </c:pt>
                <c:pt idx="42">
                  <c:v>0.18637397603940997</c:v>
                </c:pt>
                <c:pt idx="43">
                  <c:v>0.17906614791149322</c:v>
                </c:pt>
                <c:pt idx="44">
                  <c:v>0.17204486382305054</c:v>
                </c:pt>
                <c:pt idx="45">
                  <c:v>0.16529888822158653</c:v>
                </c:pt>
                <c:pt idx="46">
                  <c:v>0.15881742610692068</c:v>
                </c:pt>
                <c:pt idx="47">
                  <c:v>0.15259010575688386</c:v>
                </c:pt>
                <c:pt idx="48">
                  <c:v>0.14660696213035015</c:v>
                </c:pt>
                <c:pt idx="49">
                  <c:v>0.140858420921045</c:v>
                </c:pt>
                <c:pt idx="50">
                  <c:v>0.1353352832366127</c:v>
                </c:pt>
                <c:pt idx="51">
                  <c:v>0.13002871087842591</c:v>
                </c:pt>
                <c:pt idx="52">
                  <c:v>0.12493021219858241</c:v>
                </c:pt>
                <c:pt idx="53">
                  <c:v>0.12003162851145673</c:v>
                </c:pt>
                <c:pt idx="54">
                  <c:v>0.11532512103806251</c:v>
                </c:pt>
                <c:pt idx="55">
                  <c:v>0.11080315836233387</c:v>
                </c:pt>
                <c:pt idx="56">
                  <c:v>0.10645850437925281</c:v>
                </c:pt>
                <c:pt idx="57">
                  <c:v>0.10228420671553744</c:v>
                </c:pt>
                <c:pt idx="58">
                  <c:v>9.8273585604361544E-2</c:v>
                </c:pt>
                <c:pt idx="59">
                  <c:v>9.4420223196302347E-2</c:v>
                </c:pt>
                <c:pt idx="60">
                  <c:v>9.0717953289412512E-2</c:v>
                </c:pt>
                <c:pt idx="61">
                  <c:v>8.7160851461981298E-2</c:v>
                </c:pt>
                <c:pt idx="62">
                  <c:v>8.3743225592195963E-2</c:v>
                </c:pt>
                <c:pt idx="63">
                  <c:v>8.0459606749532439E-2</c:v>
                </c:pt>
                <c:pt idx="64">
                  <c:v>7.7304740443299741E-2</c:v>
                </c:pt>
                <c:pt idx="65">
                  <c:v>7.4273578214333877E-2</c:v>
                </c:pt>
                <c:pt idx="66">
                  <c:v>7.1361269556386053E-2</c:v>
                </c:pt>
                <c:pt idx="67">
                  <c:v>6.8563154154277911E-2</c:v>
                </c:pt>
                <c:pt idx="68">
                  <c:v>6.5874754426402948E-2</c:v>
                </c:pt>
                <c:pt idx="69">
                  <c:v>6.3291768359640704E-2</c:v>
                </c:pt>
                <c:pt idx="70">
                  <c:v>6.0810062625217952E-2</c:v>
                </c:pt>
                <c:pt idx="71">
                  <c:v>5.8425665964500828E-2</c:v>
                </c:pt>
                <c:pt idx="72">
                  <c:v>5.6134762834133725E-2</c:v>
                </c:pt>
                <c:pt idx="73">
                  <c:v>5.3933687300356019E-2</c:v>
                </c:pt>
                <c:pt idx="74">
                  <c:v>5.1818917172725833E-2</c:v>
                </c:pt>
                <c:pt idx="75">
                  <c:v>4.9787068367863944E-2</c:v>
                </c:pt>
                <c:pt idx="76">
                  <c:v>4.7834889494198368E-2</c:v>
                </c:pt>
                <c:pt idx="77">
                  <c:v>4.5959256649044204E-2</c:v>
                </c:pt>
                <c:pt idx="78">
                  <c:v>4.415716841969286E-2</c:v>
                </c:pt>
                <c:pt idx="79">
                  <c:v>4.2425741080511385E-2</c:v>
                </c:pt>
                <c:pt idx="80">
                  <c:v>4.0762203978366211E-2</c:v>
                </c:pt>
                <c:pt idx="81">
                  <c:v>3.9163895098987066E-2</c:v>
                </c:pt>
                <c:pt idx="82">
                  <c:v>3.76282568071762E-2</c:v>
                </c:pt>
                <c:pt idx="83">
                  <c:v>3.6152831754046412E-2</c:v>
                </c:pt>
                <c:pt idx="84">
                  <c:v>3.4735258944738563E-2</c:v>
                </c:pt>
                <c:pt idx="85">
                  <c:v>3.337326996032608E-2</c:v>
                </c:pt>
                <c:pt idx="86">
                  <c:v>3.2064685327860769E-2</c:v>
                </c:pt>
                <c:pt idx="87">
                  <c:v>3.0807411032751076E-2</c:v>
                </c:pt>
                <c:pt idx="88">
                  <c:v>2.9599435167891999E-2</c:v>
                </c:pt>
                <c:pt idx="89">
                  <c:v>2.8438824714184505E-2</c:v>
                </c:pt>
                <c:pt idx="90">
                  <c:v>2.7323722447292559E-2</c:v>
                </c:pt>
                <c:pt idx="91">
                  <c:v>2.6252343965687961E-2</c:v>
                </c:pt>
                <c:pt idx="92">
                  <c:v>2.5222974835227212E-2</c:v>
                </c:pt>
                <c:pt idx="93">
                  <c:v>2.4233967845691113E-2</c:v>
                </c:pt>
                <c:pt idx="94">
                  <c:v>2.3283740374897E-2</c:v>
                </c:pt>
                <c:pt idx="95">
                  <c:v>2.2370771856165591E-2</c:v>
                </c:pt>
                <c:pt idx="96">
                  <c:v>2.1493601345089923E-2</c:v>
                </c:pt>
                <c:pt idx="97">
                  <c:v>2.0650825181712566E-2</c:v>
                </c:pt>
                <c:pt idx="98">
                  <c:v>1.9841094744370288E-2</c:v>
                </c:pt>
                <c:pt idx="99">
                  <c:v>1.9063114291611637E-2</c:v>
                </c:pt>
                <c:pt idx="100">
                  <c:v>1.8315638888734179E-2</c:v>
                </c:pt>
                <c:pt idx="101">
                  <c:v>1.7597472415623393E-2</c:v>
                </c:pt>
                <c:pt idx="102">
                  <c:v>1.6907465652705279E-2</c:v>
                </c:pt>
                <c:pt idx="103">
                  <c:v>1.6244514441949871E-2</c:v>
                </c:pt>
                <c:pt idx="104">
                  <c:v>1.5607557919982831E-2</c:v>
                </c:pt>
                <c:pt idx="105">
                  <c:v>1.4995576820477703E-2</c:v>
                </c:pt>
                <c:pt idx="106">
                  <c:v>1.440759184311235E-2</c:v>
                </c:pt>
                <c:pt idx="107">
                  <c:v>1.3842662086479501E-2</c:v>
                </c:pt>
                <c:pt idx="108">
                  <c:v>1.3299883542443767E-2</c:v>
                </c:pt>
                <c:pt idx="109">
                  <c:v>1.2778387649535761E-2</c:v>
                </c:pt>
                <c:pt idx="110">
                  <c:v>1.2277339903068436E-2</c:v>
                </c:pt>
                <c:pt idx="111">
                  <c:v>1.1795938519751562E-2</c:v>
                </c:pt>
                <c:pt idx="112">
                  <c:v>1.1333413154667387E-2</c:v>
                </c:pt>
                <c:pt idx="113">
                  <c:v>1.088902366855444E-2</c:v>
                </c:pt>
                <c:pt idx="114">
                  <c:v>1.0462058943426795E-2</c:v>
                </c:pt>
                <c:pt idx="115">
                  <c:v>1.0051835744633576E-2</c:v>
                </c:pt>
                <c:pt idx="116">
                  <c:v>9.6576976275377768E-3</c:v>
                </c:pt>
                <c:pt idx="117">
                  <c:v>9.2790138870647437E-3</c:v>
                </c:pt>
                <c:pt idx="118">
                  <c:v>8.9151785484395535E-3</c:v>
                </c:pt>
                <c:pt idx="119">
                  <c:v>8.5656093974980606E-3</c:v>
                </c:pt>
                <c:pt idx="120">
                  <c:v>8.2297470490200302E-3</c:v>
                </c:pt>
                <c:pt idx="121">
                  <c:v>7.9070540515934415E-3</c:v>
                </c:pt>
                <c:pt idx="122">
                  <c:v>7.597014027577567E-3</c:v>
                </c:pt>
                <c:pt idx="123">
                  <c:v>7.2991308467885829E-3</c:v>
                </c:pt>
                <c:pt idx="124">
                  <c:v>7.0129278325854246E-3</c:v>
                </c:pt>
                <c:pt idx="125">
                  <c:v>6.737946999085467E-3</c:v>
                </c:pt>
                <c:pt idx="126">
                  <c:v>6.4737483182894049E-3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2E-4627-AE81-3D90D03FAA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Sheet1!$C$11:$C$137</c:f>
              <c:numCache>
                <c:formatCode>General</c:formatCode>
                <c:ptCount val="12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</c:numCache>
            </c:numRef>
          </c:xVal>
          <c:yVal>
            <c:numRef>
              <c:f>Sheet1!$E$11:$E$137</c:f>
              <c:numCache>
                <c:formatCode>General</c:formatCode>
                <c:ptCount val="127"/>
                <c:pt idx="0">
                  <c:v>1</c:v>
                </c:pt>
                <c:pt idx="1">
                  <c:v>0.95465229459755252</c:v>
                </c:pt>
                <c:pt idx="2">
                  <c:v>0.9110826981570902</c:v>
                </c:pt>
                <c:pt idx="3">
                  <c:v>0.86922149002896532</c:v>
                </c:pt>
                <c:pt idx="4">
                  <c:v>0.82900168334930568</c:v>
                </c:pt>
                <c:pt idx="5">
                  <c:v>0.79035891784674051</c:v>
                </c:pt>
                <c:pt idx="6">
                  <c:v>0.7532313568522363</c:v>
                </c:pt>
                <c:pt idx="7">
                  <c:v>0.71755958834723277</c:v>
                </c:pt>
                <c:pt idx="8">
                  <c:v>0.68328652989173899</c:v>
                </c:pt>
                <c:pt idx="9">
                  <c:v>0.65035733728025025</c:v>
                </c:pt>
                <c:pt idx="10">
                  <c:v>0.61871931677931935</c:v>
                </c:pt>
                <c:pt idx="11">
                  <c:v>0.5883218408063402</c:v>
                </c:pt>
                <c:pt idx="12">
                  <c:v>0.55911626691461513</c:v>
                </c:pt>
                <c:pt idx="13">
                  <c:v>0.5310558599550631</c:v>
                </c:pt>
                <c:pt idx="14">
                  <c:v>0.50409571729000902</c:v>
                </c:pt>
                <c:pt idx="15">
                  <c:v>0.4781926969393851</c:v>
                </c:pt>
                <c:pt idx="16">
                  <c:v>0.453305348544358</c:v>
                </c:pt>
                <c:pt idx="17">
                  <c:v>0.42939384703791134</c:v>
                </c:pt>
                <c:pt idx="18">
                  <c:v>0.40641992891624268</c:v>
                </c:pt>
                <c:pt idx="19">
                  <c:v>0.38434683100899314</c:v>
                </c:pt>
                <c:pt idx="20">
                  <c:v>0.36313923165033257</c:v>
                </c:pt>
                <c:pt idx="21">
                  <c:v>0.34276319415675793</c:v>
                </c:pt>
                <c:pt idx="22">
                  <c:v>0.32318611252115959</c:v>
                </c:pt>
                <c:pt idx="23">
                  <c:v>0.30437665923625379</c:v>
                </c:pt>
                <c:pt idx="24">
                  <c:v>0.28630473516388749</c:v>
                </c:pt>
                <c:pt idx="25">
                  <c:v>0.26894142136999516</c:v>
                </c:pt>
                <c:pt idx="26">
                  <c:v>0.25225893284813555</c:v>
                </c:pt>
                <c:pt idx="27">
                  <c:v>0.23623057405755296</c:v>
                </c:pt>
                <c:pt idx="28">
                  <c:v>0.22083069620461698</c:v>
                </c:pt>
                <c:pt idx="29">
                  <c:v>0.20603465619928035</c:v>
                </c:pt>
                <c:pt idx="30">
                  <c:v>0.19181877722087762</c:v>
                </c:pt>
                <c:pt idx="31">
                  <c:v>0.17816031083016068</c:v>
                </c:pt>
                <c:pt idx="32">
                  <c:v>0.16503740056694297</c:v>
                </c:pt>
                <c:pt idx="33">
                  <c:v>0.15242904697509971</c:v>
                </c:pt>
                <c:pt idx="34">
                  <c:v>0.14031507399895851</c:v>
                </c:pt>
                <c:pt idx="35">
                  <c:v>0.12867609669730531</c:v>
                </c:pt>
                <c:pt idx="36">
                  <c:v>0.11749349022334343</c:v>
                </c:pt>
                <c:pt idx="37">
                  <c:v>0.1067493600209644</c:v>
                </c:pt>
                <c:pt idx="38">
                  <c:v>9.64265131896411E-2</c:v>
                </c:pt>
                <c:pt idx="39">
                  <c:v>8.6508430972118661E-2</c:v>
                </c:pt>
                <c:pt idx="40">
                  <c:v>7.6979242320878632E-2</c:v>
                </c:pt>
                <c:pt idx="41">
                  <c:v>6.782369850107707E-2</c:v>
                </c:pt>
                <c:pt idx="42">
                  <c:v>5.9027148689315426E-2</c:v>
                </c:pt>
                <c:pt idx="43">
                  <c:v>5.0575516529197444E-2</c:v>
                </c:pt>
                <c:pt idx="44">
                  <c:v>4.2455277606155979E-2</c:v>
                </c:pt>
                <c:pt idx="45">
                  <c:v>3.4653437805504068E-2</c:v>
                </c:pt>
                <c:pt idx="46">
                  <c:v>2.7157512519079451E-2</c:v>
                </c:pt>
                <c:pt idx="47">
                  <c:v>1.9955506667207853E-2</c:v>
                </c:pt>
                <c:pt idx="48">
                  <c:v>1.3035895504016399E-2</c:v>
                </c:pt>
                <c:pt idx="49">
                  <c:v>6.3876061753814902E-3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2E-4627-AE81-3D90D03F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6159"/>
        <c:axId val="418996639"/>
      </c:scatterChart>
      <c:valAx>
        <c:axId val="41899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96639"/>
        <c:crosses val="autoZero"/>
        <c:crossBetween val="midCat"/>
      </c:valAx>
      <c:valAx>
        <c:axId val="41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9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10</xdr:row>
      <xdr:rowOff>33337</xdr:rowOff>
    </xdr:from>
    <xdr:to>
      <xdr:col>18</xdr:col>
      <xdr:colOff>504825</xdr:colOff>
      <xdr:row>24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C1470-AB03-617F-9BA1-4A7952914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9470-5024-4325-8D75-87EAA8D4F897}">
  <dimension ref="C2:J137"/>
  <sheetViews>
    <sheetView tabSelected="1" workbookViewId="0">
      <selection activeCell="G8" sqref="G8"/>
    </sheetView>
  </sheetViews>
  <sheetFormatPr defaultRowHeight="15" x14ac:dyDescent="0.25"/>
  <cols>
    <col min="3" max="3" width="13.5703125" bestFit="1" customWidth="1"/>
  </cols>
  <sheetData>
    <row r="2" spans="3:10" x14ac:dyDescent="0.25">
      <c r="C2" t="s">
        <v>0</v>
      </c>
      <c r="D2">
        <v>0.01</v>
      </c>
    </row>
    <row r="3" spans="3:10" x14ac:dyDescent="0.25">
      <c r="C3" t="s">
        <v>1</v>
      </c>
      <c r="D3">
        <v>0.05</v>
      </c>
    </row>
    <row r="4" spans="3:10" x14ac:dyDescent="0.25">
      <c r="C4" t="s">
        <v>2</v>
      </c>
      <c r="D4">
        <f>D3-D2</f>
        <v>0.04</v>
      </c>
    </row>
    <row r="6" spans="3:10" x14ac:dyDescent="0.25">
      <c r="C6" t="s">
        <v>3</v>
      </c>
      <c r="D6">
        <v>2000</v>
      </c>
    </row>
    <row r="7" spans="3:10" x14ac:dyDescent="0.25">
      <c r="C7" t="s">
        <v>4</v>
      </c>
      <c r="D7">
        <f>-(4/D6)</f>
        <v>-2E-3</v>
      </c>
      <c r="I7" t="s">
        <v>7</v>
      </c>
    </row>
    <row r="8" spans="3:10" x14ac:dyDescent="0.25">
      <c r="C8" t="s">
        <v>16</v>
      </c>
      <c r="D8" t="s">
        <v>10</v>
      </c>
    </row>
    <row r="9" spans="3:10" x14ac:dyDescent="0.25">
      <c r="C9" t="s">
        <v>17</v>
      </c>
      <c r="E9">
        <f>MAX(0.06,VLOOKUP(D8,H10:J18,3,FALSE))</f>
        <v>0.1353352832366127</v>
      </c>
    </row>
    <row r="10" spans="3:10" x14ac:dyDescent="0.25">
      <c r="D10" t="s">
        <v>5</v>
      </c>
      <c r="E10" t="s">
        <v>6</v>
      </c>
    </row>
    <row r="11" spans="3:10" x14ac:dyDescent="0.25">
      <c r="C11">
        <v>0</v>
      </c>
      <c r="D11">
        <f>EXP($D$7*C11)</f>
        <v>1</v>
      </c>
      <c r="E11">
        <f>MAX(0,(D11-$E$9)*(1/(1-$E$9)))</f>
        <v>1</v>
      </c>
      <c r="H11" t="s">
        <v>8</v>
      </c>
      <c r="I11">
        <v>-5.1700000000000003E-2</v>
      </c>
      <c r="J11">
        <f>EXP($D$7*($D$6*I11))</f>
        <v>1.2297365998644081</v>
      </c>
    </row>
    <row r="12" spans="3:10" x14ac:dyDescent="0.25">
      <c r="C12">
        <v>20</v>
      </c>
      <c r="D12">
        <f t="shared" ref="D12:D75" si="0">EXP($D$7*C12)</f>
        <v>0.96078943915232318</v>
      </c>
      <c r="E12">
        <f t="shared" ref="E12:E75" si="1">MAX(0,(D12-$E$9)*(1/(1-$E$9)))</f>
        <v>0.95465229459755252</v>
      </c>
      <c r="H12" t="s">
        <v>9</v>
      </c>
      <c r="I12">
        <v>0.05</v>
      </c>
      <c r="J12">
        <f t="shared" ref="J12:J18" si="2">EXP($D$7*($D$6*I12))</f>
        <v>0.81873075307798182</v>
      </c>
    </row>
    <row r="13" spans="3:10" x14ac:dyDescent="0.25">
      <c r="C13">
        <v>40</v>
      </c>
      <c r="D13">
        <f t="shared" si="0"/>
        <v>0.92311634638663576</v>
      </c>
      <c r="E13">
        <f t="shared" si="1"/>
        <v>0.9110826981570902</v>
      </c>
      <c r="H13" t="s">
        <v>10</v>
      </c>
      <c r="I13">
        <v>0.5</v>
      </c>
      <c r="J13">
        <f t="shared" si="2"/>
        <v>0.1353352832366127</v>
      </c>
    </row>
    <row r="14" spans="3:10" x14ac:dyDescent="0.25">
      <c r="C14">
        <v>60</v>
      </c>
      <c r="D14">
        <f t="shared" si="0"/>
        <v>0.88692043671715748</v>
      </c>
      <c r="E14">
        <f t="shared" si="1"/>
        <v>0.86922149002896532</v>
      </c>
      <c r="H14" t="s">
        <v>11</v>
      </c>
      <c r="I14">
        <v>0.5847</v>
      </c>
      <c r="J14">
        <f t="shared" si="2"/>
        <v>9.6443300780019781E-2</v>
      </c>
    </row>
    <row r="15" spans="3:10" x14ac:dyDescent="0.25">
      <c r="C15">
        <v>80</v>
      </c>
      <c r="D15">
        <f t="shared" si="0"/>
        <v>0.85214378896621135</v>
      </c>
      <c r="E15">
        <f t="shared" si="1"/>
        <v>0.82900168334930568</v>
      </c>
      <c r="H15" t="s">
        <v>12</v>
      </c>
      <c r="I15">
        <v>0.68149999999999999</v>
      </c>
      <c r="J15">
        <f t="shared" si="2"/>
        <v>6.5480689277486029E-2</v>
      </c>
    </row>
    <row r="16" spans="3:10" x14ac:dyDescent="0.25">
      <c r="C16">
        <v>100</v>
      </c>
      <c r="D16">
        <f t="shared" si="0"/>
        <v>0.81873075307798182</v>
      </c>
      <c r="E16">
        <f t="shared" si="1"/>
        <v>0.79035891784674051</v>
      </c>
      <c r="H16" t="s">
        <v>13</v>
      </c>
      <c r="I16">
        <v>0.7944</v>
      </c>
      <c r="J16">
        <f t="shared" si="2"/>
        <v>4.1685580556021597E-2</v>
      </c>
    </row>
    <row r="17" spans="3:10" x14ac:dyDescent="0.25">
      <c r="C17">
        <v>120</v>
      </c>
      <c r="D17">
        <f t="shared" si="0"/>
        <v>0.78662786106655347</v>
      </c>
      <c r="E17">
        <f t="shared" si="1"/>
        <v>0.7532313568522363</v>
      </c>
      <c r="H17" t="s">
        <v>14</v>
      </c>
      <c r="I17">
        <v>0.999</v>
      </c>
      <c r="J17">
        <f t="shared" si="2"/>
        <v>1.8389048164962566E-2</v>
      </c>
    </row>
    <row r="18" spans="3:10" x14ac:dyDescent="0.25">
      <c r="C18">
        <v>140</v>
      </c>
      <c r="D18">
        <f t="shared" si="0"/>
        <v>0.75578374145572547</v>
      </c>
      <c r="E18">
        <f t="shared" si="1"/>
        <v>0.71755958834723277</v>
      </c>
      <c r="H18" t="s">
        <v>15</v>
      </c>
      <c r="I18">
        <v>1.2957000000000001</v>
      </c>
      <c r="J18">
        <f t="shared" si="2"/>
        <v>5.6122700376522814E-3</v>
      </c>
    </row>
    <row r="19" spans="3:10" x14ac:dyDescent="0.25">
      <c r="C19">
        <v>160</v>
      </c>
      <c r="D19">
        <f t="shared" si="0"/>
        <v>0.72614903707369094</v>
      </c>
      <c r="E19">
        <f t="shared" si="1"/>
        <v>0.68328652989173899</v>
      </c>
    </row>
    <row r="20" spans="3:10" x14ac:dyDescent="0.25">
      <c r="C20">
        <v>180</v>
      </c>
      <c r="D20">
        <f t="shared" si="0"/>
        <v>0.69767632607103103</v>
      </c>
      <c r="E20">
        <f t="shared" si="1"/>
        <v>0.65035733728025025</v>
      </c>
    </row>
    <row r="21" spans="3:10" x14ac:dyDescent="0.25">
      <c r="C21">
        <v>200</v>
      </c>
      <c r="D21">
        <f t="shared" si="0"/>
        <v>0.67032004603563933</v>
      </c>
      <c r="E21">
        <f t="shared" si="1"/>
        <v>0.61871931677931935</v>
      </c>
    </row>
    <row r="22" spans="3:10" x14ac:dyDescent="0.25">
      <c r="C22">
        <v>220</v>
      </c>
      <c r="D22">
        <f t="shared" si="0"/>
        <v>0.64403642108314141</v>
      </c>
      <c r="E22">
        <f t="shared" si="1"/>
        <v>0.5883218408063402</v>
      </c>
    </row>
    <row r="23" spans="3:10" x14ac:dyDescent="0.25">
      <c r="C23">
        <v>240</v>
      </c>
      <c r="D23">
        <f t="shared" si="0"/>
        <v>0.61878339180614084</v>
      </c>
      <c r="E23">
        <f t="shared" si="1"/>
        <v>0.55911626691461513</v>
      </c>
    </row>
    <row r="24" spans="3:10" x14ac:dyDescent="0.25">
      <c r="C24">
        <v>260</v>
      </c>
      <c r="D24">
        <f t="shared" si="0"/>
        <v>0.59452054797019438</v>
      </c>
      <c r="E24">
        <f t="shared" si="1"/>
        <v>0.5310558599550631</v>
      </c>
    </row>
    <row r="25" spans="3:10" x14ac:dyDescent="0.25">
      <c r="C25">
        <v>280</v>
      </c>
      <c r="D25">
        <f t="shared" si="0"/>
        <v>0.57120906384881487</v>
      </c>
      <c r="E25">
        <f t="shared" si="1"/>
        <v>0.50409571729000902</v>
      </c>
    </row>
    <row r="26" spans="3:10" x14ac:dyDescent="0.25">
      <c r="C26">
        <v>300</v>
      </c>
      <c r="D26">
        <f t="shared" si="0"/>
        <v>0.54881163609402639</v>
      </c>
      <c r="E26">
        <f t="shared" si="1"/>
        <v>0.4781926969393851</v>
      </c>
    </row>
    <row r="27" spans="3:10" x14ac:dyDescent="0.25">
      <c r="C27">
        <v>320</v>
      </c>
      <c r="D27">
        <f t="shared" si="0"/>
        <v>0.52729242404304855</v>
      </c>
      <c r="E27">
        <f t="shared" si="1"/>
        <v>0.453305348544358</v>
      </c>
    </row>
    <row r="28" spans="3:10" x14ac:dyDescent="0.25">
      <c r="C28">
        <v>340</v>
      </c>
      <c r="D28">
        <f t="shared" si="0"/>
        <v>0.50661699236558955</v>
      </c>
      <c r="E28">
        <f t="shared" si="1"/>
        <v>0.42939384703791134</v>
      </c>
    </row>
    <row r="29" spans="3:10" x14ac:dyDescent="0.25">
      <c r="C29">
        <v>360</v>
      </c>
      <c r="D29">
        <f t="shared" si="0"/>
        <v>0.48675225595997168</v>
      </c>
      <c r="E29">
        <f t="shared" si="1"/>
        <v>0.40641992891624268</v>
      </c>
    </row>
    <row r="30" spans="3:10" x14ac:dyDescent="0.25">
      <c r="C30">
        <v>380</v>
      </c>
      <c r="D30">
        <f t="shared" si="0"/>
        <v>0.46766642700990924</v>
      </c>
      <c r="E30">
        <f t="shared" si="1"/>
        <v>0.38434683100899314</v>
      </c>
    </row>
    <row r="31" spans="3:10" x14ac:dyDescent="0.25">
      <c r="C31">
        <v>400</v>
      </c>
      <c r="D31">
        <f t="shared" si="0"/>
        <v>0.44932896411722156</v>
      </c>
      <c r="E31">
        <f t="shared" si="1"/>
        <v>0.36313923165033257</v>
      </c>
    </row>
    <row r="32" spans="3:10" x14ac:dyDescent="0.25">
      <c r="C32">
        <v>420</v>
      </c>
      <c r="D32">
        <f t="shared" si="0"/>
        <v>0.43171052342907973</v>
      </c>
      <c r="E32">
        <f t="shared" si="1"/>
        <v>0.34276319415675793</v>
      </c>
    </row>
    <row r="33" spans="3:5" x14ac:dyDescent="0.25">
      <c r="C33">
        <v>440</v>
      </c>
      <c r="D33">
        <f t="shared" si="0"/>
        <v>0.41478291168158138</v>
      </c>
      <c r="E33">
        <f t="shared" si="1"/>
        <v>0.32318611252115959</v>
      </c>
    </row>
    <row r="34" spans="3:5" x14ac:dyDescent="0.25">
      <c r="C34">
        <v>460</v>
      </c>
      <c r="D34">
        <f t="shared" si="0"/>
        <v>0.39851904108451414</v>
      </c>
      <c r="E34">
        <f t="shared" si="1"/>
        <v>0.30437665923625379</v>
      </c>
    </row>
    <row r="35" spans="3:5" x14ac:dyDescent="0.25">
      <c r="C35">
        <v>480</v>
      </c>
      <c r="D35">
        <f t="shared" si="0"/>
        <v>0.38289288597511206</v>
      </c>
      <c r="E35">
        <f t="shared" si="1"/>
        <v>0.28630473516388749</v>
      </c>
    </row>
    <row r="36" spans="3:5" x14ac:dyDescent="0.25">
      <c r="C36">
        <v>500</v>
      </c>
      <c r="D36">
        <f t="shared" si="0"/>
        <v>0.36787944117144233</v>
      </c>
      <c r="E36">
        <f t="shared" si="1"/>
        <v>0.26894142136999516</v>
      </c>
    </row>
    <row r="37" spans="3:5" x14ac:dyDescent="0.25">
      <c r="C37">
        <v>520</v>
      </c>
      <c r="D37">
        <f t="shared" si="0"/>
        <v>0.35345468195878016</v>
      </c>
      <c r="E37">
        <f t="shared" si="1"/>
        <v>0.25225893284813555</v>
      </c>
    </row>
    <row r="38" spans="3:5" x14ac:dyDescent="0.25">
      <c r="C38">
        <v>540</v>
      </c>
      <c r="D38">
        <f t="shared" si="0"/>
        <v>0.33959552564493911</v>
      </c>
      <c r="E38">
        <f t="shared" si="1"/>
        <v>0.23623057405755296</v>
      </c>
    </row>
    <row r="39" spans="3:5" x14ac:dyDescent="0.25">
      <c r="C39">
        <v>560</v>
      </c>
      <c r="D39">
        <f t="shared" si="0"/>
        <v>0.32627979462303947</v>
      </c>
      <c r="E39">
        <f t="shared" si="1"/>
        <v>0.22083069620461698</v>
      </c>
    </row>
    <row r="40" spans="3:5" x14ac:dyDescent="0.25">
      <c r="C40">
        <v>580</v>
      </c>
      <c r="D40">
        <f t="shared" si="0"/>
        <v>0.31348618088260533</v>
      </c>
      <c r="E40">
        <f t="shared" si="1"/>
        <v>0.20603465619928035</v>
      </c>
    </row>
    <row r="41" spans="3:5" x14ac:dyDescent="0.25">
      <c r="C41">
        <v>600</v>
      </c>
      <c r="D41">
        <f t="shared" si="0"/>
        <v>0.30119421191220214</v>
      </c>
      <c r="E41">
        <f t="shared" si="1"/>
        <v>0.19181877722087762</v>
      </c>
    </row>
    <row r="42" spans="3:5" x14ac:dyDescent="0.25">
      <c r="C42">
        <v>620</v>
      </c>
      <c r="D42">
        <f t="shared" si="0"/>
        <v>0.28938421793905061</v>
      </c>
      <c r="E42">
        <f t="shared" si="1"/>
        <v>0.17816031083016068</v>
      </c>
    </row>
    <row r="43" spans="3:5" x14ac:dyDescent="0.25">
      <c r="C43">
        <v>640</v>
      </c>
      <c r="D43">
        <f t="shared" si="0"/>
        <v>0.27803730045319414</v>
      </c>
      <c r="E43">
        <f t="shared" si="1"/>
        <v>0.16503740056694297</v>
      </c>
    </row>
    <row r="44" spans="3:5" x14ac:dyDescent="0.25">
      <c r="C44">
        <v>660</v>
      </c>
      <c r="D44">
        <f t="shared" si="0"/>
        <v>0.26713530196585034</v>
      </c>
      <c r="E44">
        <f t="shared" si="1"/>
        <v>0.15242904697509971</v>
      </c>
    </row>
    <row r="45" spans="3:5" x14ac:dyDescent="0.25">
      <c r="C45">
        <v>680</v>
      </c>
      <c r="D45">
        <f t="shared" si="0"/>
        <v>0.25666077695355588</v>
      </c>
      <c r="E45">
        <f t="shared" si="1"/>
        <v>0.14031507399895851</v>
      </c>
    </row>
    <row r="46" spans="3:5" x14ac:dyDescent="0.25">
      <c r="C46">
        <v>700</v>
      </c>
      <c r="D46">
        <f t="shared" si="0"/>
        <v>0.24659696394160643</v>
      </c>
      <c r="E46">
        <f t="shared" si="1"/>
        <v>0.12867609669730531</v>
      </c>
    </row>
    <row r="47" spans="3:5" x14ac:dyDescent="0.25">
      <c r="C47">
        <v>720</v>
      </c>
      <c r="D47">
        <f t="shared" si="0"/>
        <v>0.23692775868212176</v>
      </c>
      <c r="E47">
        <f t="shared" si="1"/>
        <v>0.11749349022334343</v>
      </c>
    </row>
    <row r="48" spans="3:5" x14ac:dyDescent="0.25">
      <c r="C48">
        <v>740</v>
      </c>
      <c r="D48">
        <f t="shared" si="0"/>
        <v>0.22763768838381274</v>
      </c>
      <c r="E48">
        <f t="shared" si="1"/>
        <v>0.1067493600209644</v>
      </c>
    </row>
    <row r="49" spans="3:5" x14ac:dyDescent="0.25">
      <c r="C49">
        <v>760</v>
      </c>
      <c r="D49">
        <f t="shared" si="0"/>
        <v>0.21871188695221475</v>
      </c>
      <c r="E49">
        <f t="shared" si="1"/>
        <v>9.64265131896411E-2</v>
      </c>
    </row>
    <row r="50" spans="3:5" x14ac:dyDescent="0.25">
      <c r="C50">
        <v>780</v>
      </c>
      <c r="D50">
        <f t="shared" si="0"/>
        <v>0.21013607120076472</v>
      </c>
      <c r="E50">
        <f t="shared" si="1"/>
        <v>8.6508430972118661E-2</v>
      </c>
    </row>
    <row r="51" spans="3:5" x14ac:dyDescent="0.25">
      <c r="C51">
        <v>800</v>
      </c>
      <c r="D51">
        <f t="shared" si="0"/>
        <v>0.20189651799465538</v>
      </c>
      <c r="E51">
        <f t="shared" si="1"/>
        <v>7.6979242320878632E-2</v>
      </c>
    </row>
    <row r="52" spans="3:5" x14ac:dyDescent="0.25">
      <c r="C52">
        <v>820</v>
      </c>
      <c r="D52">
        <f t="shared" si="0"/>
        <v>0.19398004229089189</v>
      </c>
      <c r="E52">
        <f t="shared" si="1"/>
        <v>6.782369850107707E-2</v>
      </c>
    </row>
    <row r="53" spans="3:5" x14ac:dyDescent="0.25">
      <c r="C53">
        <v>840</v>
      </c>
      <c r="D53">
        <f t="shared" si="0"/>
        <v>0.18637397603940997</v>
      </c>
      <c r="E53">
        <f t="shared" si="1"/>
        <v>5.9027148689315426E-2</v>
      </c>
    </row>
    <row r="54" spans="3:5" x14ac:dyDescent="0.25">
      <c r="C54">
        <v>860</v>
      </c>
      <c r="D54">
        <f t="shared" si="0"/>
        <v>0.17906614791149322</v>
      </c>
      <c r="E54">
        <f t="shared" si="1"/>
        <v>5.0575516529197444E-2</v>
      </c>
    </row>
    <row r="55" spans="3:5" x14ac:dyDescent="0.25">
      <c r="C55">
        <v>880</v>
      </c>
      <c r="D55">
        <f t="shared" si="0"/>
        <v>0.17204486382305054</v>
      </c>
      <c r="E55">
        <f t="shared" si="1"/>
        <v>4.2455277606155979E-2</v>
      </c>
    </row>
    <row r="56" spans="3:5" x14ac:dyDescent="0.25">
      <c r="C56">
        <v>900</v>
      </c>
      <c r="D56">
        <f t="shared" si="0"/>
        <v>0.16529888822158653</v>
      </c>
      <c r="E56">
        <f t="shared" si="1"/>
        <v>3.4653437805504068E-2</v>
      </c>
    </row>
    <row r="57" spans="3:5" x14ac:dyDescent="0.25">
      <c r="C57">
        <v>920</v>
      </c>
      <c r="D57">
        <f t="shared" si="0"/>
        <v>0.15881742610692068</v>
      </c>
      <c r="E57">
        <f t="shared" si="1"/>
        <v>2.7157512519079451E-2</v>
      </c>
    </row>
    <row r="58" spans="3:5" x14ac:dyDescent="0.25">
      <c r="C58">
        <v>940</v>
      </c>
      <c r="D58">
        <f t="shared" si="0"/>
        <v>0.15259010575688386</v>
      </c>
      <c r="E58">
        <f t="shared" si="1"/>
        <v>1.9955506667207853E-2</v>
      </c>
    </row>
    <row r="59" spans="3:5" x14ac:dyDescent="0.25">
      <c r="C59">
        <v>960</v>
      </c>
      <c r="D59">
        <f t="shared" si="0"/>
        <v>0.14660696213035015</v>
      </c>
      <c r="E59">
        <f t="shared" si="1"/>
        <v>1.3035895504016399E-2</v>
      </c>
    </row>
    <row r="60" spans="3:5" x14ac:dyDescent="0.25">
      <c r="C60">
        <v>980</v>
      </c>
      <c r="D60">
        <f t="shared" si="0"/>
        <v>0.140858420921045</v>
      </c>
      <c r="E60">
        <f t="shared" si="1"/>
        <v>6.3876061753814902E-3</v>
      </c>
    </row>
    <row r="61" spans="3:5" x14ac:dyDescent="0.25">
      <c r="C61">
        <v>1000</v>
      </c>
      <c r="D61">
        <f t="shared" si="0"/>
        <v>0.1353352832366127</v>
      </c>
      <c r="E61">
        <f t="shared" si="1"/>
        <v>0</v>
      </c>
    </row>
    <row r="62" spans="3:5" x14ac:dyDescent="0.25">
      <c r="C62">
        <v>1020</v>
      </c>
      <c r="D62">
        <f t="shared" si="0"/>
        <v>0.13002871087842591</v>
      </c>
      <c r="E62">
        <f t="shared" si="1"/>
        <v>0</v>
      </c>
    </row>
    <row r="63" spans="3:5" x14ac:dyDescent="0.25">
      <c r="C63">
        <v>1040</v>
      </c>
      <c r="D63">
        <f t="shared" si="0"/>
        <v>0.12493021219858241</v>
      </c>
      <c r="E63">
        <f t="shared" si="1"/>
        <v>0</v>
      </c>
    </row>
    <row r="64" spans="3:5" x14ac:dyDescent="0.25">
      <c r="C64">
        <v>1060</v>
      </c>
      <c r="D64">
        <f t="shared" si="0"/>
        <v>0.12003162851145673</v>
      </c>
      <c r="E64">
        <f t="shared" si="1"/>
        <v>0</v>
      </c>
    </row>
    <row r="65" spans="3:5" x14ac:dyDescent="0.25">
      <c r="C65">
        <v>1080</v>
      </c>
      <c r="D65">
        <f t="shared" si="0"/>
        <v>0.11532512103806251</v>
      </c>
      <c r="E65">
        <f t="shared" si="1"/>
        <v>0</v>
      </c>
    </row>
    <row r="66" spans="3:5" x14ac:dyDescent="0.25">
      <c r="C66">
        <v>1100</v>
      </c>
      <c r="D66">
        <f t="shared" si="0"/>
        <v>0.11080315836233387</v>
      </c>
      <c r="E66">
        <f t="shared" si="1"/>
        <v>0</v>
      </c>
    </row>
    <row r="67" spans="3:5" x14ac:dyDescent="0.25">
      <c r="C67">
        <v>1120</v>
      </c>
      <c r="D67">
        <f t="shared" si="0"/>
        <v>0.10645850437925281</v>
      </c>
      <c r="E67">
        <f t="shared" si="1"/>
        <v>0</v>
      </c>
    </row>
    <row r="68" spans="3:5" x14ac:dyDescent="0.25">
      <c r="C68">
        <v>1140</v>
      </c>
      <c r="D68">
        <f t="shared" si="0"/>
        <v>0.10228420671553744</v>
      </c>
      <c r="E68">
        <f t="shared" si="1"/>
        <v>0</v>
      </c>
    </row>
    <row r="69" spans="3:5" x14ac:dyDescent="0.25">
      <c r="C69">
        <v>1160</v>
      </c>
      <c r="D69">
        <f t="shared" si="0"/>
        <v>9.8273585604361544E-2</v>
      </c>
      <c r="E69">
        <f t="shared" si="1"/>
        <v>0</v>
      </c>
    </row>
    <row r="70" spans="3:5" x14ac:dyDescent="0.25">
      <c r="C70">
        <v>1180</v>
      </c>
      <c r="D70">
        <f t="shared" si="0"/>
        <v>9.4420223196302347E-2</v>
      </c>
      <c r="E70">
        <f t="shared" si="1"/>
        <v>0</v>
      </c>
    </row>
    <row r="71" spans="3:5" x14ac:dyDescent="0.25">
      <c r="C71">
        <v>1200</v>
      </c>
      <c r="D71">
        <f t="shared" si="0"/>
        <v>9.0717953289412512E-2</v>
      </c>
      <c r="E71">
        <f t="shared" si="1"/>
        <v>0</v>
      </c>
    </row>
    <row r="72" spans="3:5" x14ac:dyDescent="0.25">
      <c r="C72">
        <v>1220</v>
      </c>
      <c r="D72">
        <f t="shared" si="0"/>
        <v>8.7160851461981298E-2</v>
      </c>
      <c r="E72">
        <f t="shared" si="1"/>
        <v>0</v>
      </c>
    </row>
    <row r="73" spans="3:5" x14ac:dyDescent="0.25">
      <c r="C73">
        <v>1240</v>
      </c>
      <c r="D73">
        <f t="shared" si="0"/>
        <v>8.3743225592195963E-2</v>
      </c>
      <c r="E73">
        <f t="shared" si="1"/>
        <v>0</v>
      </c>
    </row>
    <row r="74" spans="3:5" x14ac:dyDescent="0.25">
      <c r="C74">
        <v>1260</v>
      </c>
      <c r="D74">
        <f t="shared" si="0"/>
        <v>8.0459606749532439E-2</v>
      </c>
      <c r="E74">
        <f t="shared" si="1"/>
        <v>0</v>
      </c>
    </row>
    <row r="75" spans="3:5" x14ac:dyDescent="0.25">
      <c r="C75">
        <v>1280</v>
      </c>
      <c r="D75">
        <f t="shared" si="0"/>
        <v>7.7304740443299741E-2</v>
      </c>
      <c r="E75">
        <f t="shared" si="1"/>
        <v>0</v>
      </c>
    </row>
    <row r="76" spans="3:5" x14ac:dyDescent="0.25">
      <c r="C76">
        <v>1300</v>
      </c>
      <c r="D76">
        <f t="shared" ref="D76:D137" si="3">EXP($D$7*C76)</f>
        <v>7.4273578214333877E-2</v>
      </c>
      <c r="E76">
        <f t="shared" ref="E76:E137" si="4">MAX(0,(D76-$E$9)*(1/(1-$E$9)))</f>
        <v>0</v>
      </c>
    </row>
    <row r="77" spans="3:5" x14ac:dyDescent="0.25">
      <c r="C77">
        <v>1320</v>
      </c>
      <c r="D77">
        <f t="shared" si="3"/>
        <v>7.1361269556386053E-2</v>
      </c>
      <c r="E77">
        <f t="shared" si="4"/>
        <v>0</v>
      </c>
    </row>
    <row r="78" spans="3:5" x14ac:dyDescent="0.25">
      <c r="C78">
        <v>1340</v>
      </c>
      <c r="D78">
        <f t="shared" si="3"/>
        <v>6.8563154154277911E-2</v>
      </c>
      <c r="E78">
        <f t="shared" si="4"/>
        <v>0</v>
      </c>
    </row>
    <row r="79" spans="3:5" x14ac:dyDescent="0.25">
      <c r="C79">
        <v>1360</v>
      </c>
      <c r="D79">
        <f t="shared" si="3"/>
        <v>6.5874754426402948E-2</v>
      </c>
      <c r="E79">
        <f t="shared" si="4"/>
        <v>0</v>
      </c>
    </row>
    <row r="80" spans="3:5" x14ac:dyDescent="0.25">
      <c r="C80">
        <v>1380</v>
      </c>
      <c r="D80">
        <f t="shared" si="3"/>
        <v>6.3291768359640704E-2</v>
      </c>
      <c r="E80">
        <f t="shared" si="4"/>
        <v>0</v>
      </c>
    </row>
    <row r="81" spans="3:5" x14ac:dyDescent="0.25">
      <c r="C81">
        <v>1400</v>
      </c>
      <c r="D81">
        <f t="shared" si="3"/>
        <v>6.0810062625217952E-2</v>
      </c>
      <c r="E81">
        <f t="shared" si="4"/>
        <v>0</v>
      </c>
    </row>
    <row r="82" spans="3:5" x14ac:dyDescent="0.25">
      <c r="C82">
        <v>1420</v>
      </c>
      <c r="D82">
        <f t="shared" si="3"/>
        <v>5.8425665964500828E-2</v>
      </c>
      <c r="E82">
        <f t="shared" si="4"/>
        <v>0</v>
      </c>
    </row>
    <row r="83" spans="3:5" x14ac:dyDescent="0.25">
      <c r="C83">
        <v>1440</v>
      </c>
      <c r="D83">
        <f t="shared" si="3"/>
        <v>5.6134762834133725E-2</v>
      </c>
      <c r="E83">
        <f t="shared" si="4"/>
        <v>0</v>
      </c>
    </row>
    <row r="84" spans="3:5" x14ac:dyDescent="0.25">
      <c r="C84">
        <v>1460</v>
      </c>
      <c r="D84">
        <f t="shared" si="3"/>
        <v>5.3933687300356019E-2</v>
      </c>
      <c r="E84">
        <f t="shared" si="4"/>
        <v>0</v>
      </c>
    </row>
    <row r="85" spans="3:5" x14ac:dyDescent="0.25">
      <c r="C85">
        <v>1480</v>
      </c>
      <c r="D85">
        <f t="shared" si="3"/>
        <v>5.1818917172725833E-2</v>
      </c>
      <c r="E85">
        <f t="shared" si="4"/>
        <v>0</v>
      </c>
    </row>
    <row r="86" spans="3:5" x14ac:dyDescent="0.25">
      <c r="C86">
        <v>1500</v>
      </c>
      <c r="D86">
        <f t="shared" si="3"/>
        <v>4.9787068367863944E-2</v>
      </c>
      <c r="E86">
        <f t="shared" si="4"/>
        <v>0</v>
      </c>
    </row>
    <row r="87" spans="3:5" x14ac:dyDescent="0.25">
      <c r="C87">
        <v>1520</v>
      </c>
      <c r="D87">
        <f t="shared" si="3"/>
        <v>4.7834889494198368E-2</v>
      </c>
      <c r="E87">
        <f t="shared" si="4"/>
        <v>0</v>
      </c>
    </row>
    <row r="88" spans="3:5" x14ac:dyDescent="0.25">
      <c r="C88">
        <v>1540</v>
      </c>
      <c r="D88">
        <f t="shared" si="3"/>
        <v>4.5959256649044204E-2</v>
      </c>
      <c r="E88">
        <f t="shared" si="4"/>
        <v>0</v>
      </c>
    </row>
    <row r="89" spans="3:5" x14ac:dyDescent="0.25">
      <c r="C89">
        <v>1560</v>
      </c>
      <c r="D89">
        <f t="shared" si="3"/>
        <v>4.415716841969286E-2</v>
      </c>
      <c r="E89">
        <f t="shared" si="4"/>
        <v>0</v>
      </c>
    </row>
    <row r="90" spans="3:5" x14ac:dyDescent="0.25">
      <c r="C90">
        <v>1580</v>
      </c>
      <c r="D90">
        <f t="shared" si="3"/>
        <v>4.2425741080511385E-2</v>
      </c>
      <c r="E90">
        <f t="shared" si="4"/>
        <v>0</v>
      </c>
    </row>
    <row r="91" spans="3:5" x14ac:dyDescent="0.25">
      <c r="C91">
        <v>1600</v>
      </c>
      <c r="D91">
        <f t="shared" si="3"/>
        <v>4.0762203978366211E-2</v>
      </c>
      <c r="E91">
        <f t="shared" si="4"/>
        <v>0</v>
      </c>
    </row>
    <row r="92" spans="3:5" x14ac:dyDescent="0.25">
      <c r="C92">
        <v>1620</v>
      </c>
      <c r="D92">
        <f t="shared" si="3"/>
        <v>3.9163895098987066E-2</v>
      </c>
      <c r="E92">
        <f t="shared" si="4"/>
        <v>0</v>
      </c>
    </row>
    <row r="93" spans="3:5" x14ac:dyDescent="0.25">
      <c r="C93">
        <v>1640</v>
      </c>
      <c r="D93">
        <f t="shared" si="3"/>
        <v>3.76282568071762E-2</v>
      </c>
      <c r="E93">
        <f t="shared" si="4"/>
        <v>0</v>
      </c>
    </row>
    <row r="94" spans="3:5" x14ac:dyDescent="0.25">
      <c r="C94">
        <v>1660</v>
      </c>
      <c r="D94">
        <f t="shared" si="3"/>
        <v>3.6152831754046412E-2</v>
      </c>
      <c r="E94">
        <f t="shared" si="4"/>
        <v>0</v>
      </c>
    </row>
    <row r="95" spans="3:5" x14ac:dyDescent="0.25">
      <c r="C95">
        <v>1680</v>
      </c>
      <c r="D95">
        <f t="shared" si="3"/>
        <v>3.4735258944738563E-2</v>
      </c>
      <c r="E95">
        <f t="shared" si="4"/>
        <v>0</v>
      </c>
    </row>
    <row r="96" spans="3:5" x14ac:dyDescent="0.25">
      <c r="C96">
        <v>1700</v>
      </c>
      <c r="D96">
        <f t="shared" si="3"/>
        <v>3.337326996032608E-2</v>
      </c>
      <c r="E96">
        <f t="shared" si="4"/>
        <v>0</v>
      </c>
    </row>
    <row r="97" spans="3:5" x14ac:dyDescent="0.25">
      <c r="C97">
        <v>1720</v>
      </c>
      <c r="D97">
        <f t="shared" si="3"/>
        <v>3.2064685327860769E-2</v>
      </c>
      <c r="E97">
        <f t="shared" si="4"/>
        <v>0</v>
      </c>
    </row>
    <row r="98" spans="3:5" x14ac:dyDescent="0.25">
      <c r="C98">
        <v>1740</v>
      </c>
      <c r="D98">
        <f t="shared" si="3"/>
        <v>3.0807411032751076E-2</v>
      </c>
      <c r="E98">
        <f t="shared" si="4"/>
        <v>0</v>
      </c>
    </row>
    <row r="99" spans="3:5" x14ac:dyDescent="0.25">
      <c r="C99">
        <v>1760</v>
      </c>
      <c r="D99">
        <f t="shared" si="3"/>
        <v>2.9599435167891999E-2</v>
      </c>
      <c r="E99">
        <f t="shared" si="4"/>
        <v>0</v>
      </c>
    </row>
    <row r="100" spans="3:5" x14ac:dyDescent="0.25">
      <c r="C100">
        <v>1780</v>
      </c>
      <c r="D100">
        <f t="shared" si="3"/>
        <v>2.8438824714184505E-2</v>
      </c>
      <c r="E100">
        <f t="shared" si="4"/>
        <v>0</v>
      </c>
    </row>
    <row r="101" spans="3:5" x14ac:dyDescent="0.25">
      <c r="C101">
        <v>1800</v>
      </c>
      <c r="D101">
        <f t="shared" si="3"/>
        <v>2.7323722447292559E-2</v>
      </c>
      <c r="E101">
        <f t="shared" si="4"/>
        <v>0</v>
      </c>
    </row>
    <row r="102" spans="3:5" x14ac:dyDescent="0.25">
      <c r="C102">
        <v>1820</v>
      </c>
      <c r="D102">
        <f t="shared" si="3"/>
        <v>2.6252343965687961E-2</v>
      </c>
      <c r="E102">
        <f t="shared" si="4"/>
        <v>0</v>
      </c>
    </row>
    <row r="103" spans="3:5" x14ac:dyDescent="0.25">
      <c r="C103">
        <v>1840</v>
      </c>
      <c r="D103">
        <f t="shared" si="3"/>
        <v>2.5222974835227212E-2</v>
      </c>
      <c r="E103">
        <f t="shared" si="4"/>
        <v>0</v>
      </c>
    </row>
    <row r="104" spans="3:5" x14ac:dyDescent="0.25">
      <c r="C104">
        <v>1860</v>
      </c>
      <c r="D104">
        <f t="shared" si="3"/>
        <v>2.4233967845691113E-2</v>
      </c>
      <c r="E104">
        <f t="shared" si="4"/>
        <v>0</v>
      </c>
    </row>
    <row r="105" spans="3:5" x14ac:dyDescent="0.25">
      <c r="C105">
        <v>1880</v>
      </c>
      <c r="D105">
        <f t="shared" si="3"/>
        <v>2.3283740374897E-2</v>
      </c>
      <c r="E105">
        <f t="shared" si="4"/>
        <v>0</v>
      </c>
    </row>
    <row r="106" spans="3:5" x14ac:dyDescent="0.25">
      <c r="C106">
        <v>1900</v>
      </c>
      <c r="D106">
        <f t="shared" si="3"/>
        <v>2.2370771856165591E-2</v>
      </c>
      <c r="E106">
        <f t="shared" si="4"/>
        <v>0</v>
      </c>
    </row>
    <row r="107" spans="3:5" x14ac:dyDescent="0.25">
      <c r="C107">
        <v>1920</v>
      </c>
      <c r="D107">
        <f t="shared" si="3"/>
        <v>2.1493601345089923E-2</v>
      </c>
      <c r="E107">
        <f t="shared" si="4"/>
        <v>0</v>
      </c>
    </row>
    <row r="108" spans="3:5" x14ac:dyDescent="0.25">
      <c r="C108">
        <v>1940</v>
      </c>
      <c r="D108">
        <f t="shared" si="3"/>
        <v>2.0650825181712566E-2</v>
      </c>
      <c r="E108">
        <f t="shared" si="4"/>
        <v>0</v>
      </c>
    </row>
    <row r="109" spans="3:5" x14ac:dyDescent="0.25">
      <c r="C109">
        <v>1960</v>
      </c>
      <c r="D109">
        <f t="shared" si="3"/>
        <v>1.9841094744370288E-2</v>
      </c>
      <c r="E109">
        <f t="shared" si="4"/>
        <v>0</v>
      </c>
    </row>
    <row r="110" spans="3:5" x14ac:dyDescent="0.25">
      <c r="C110">
        <v>1980</v>
      </c>
      <c r="D110">
        <f t="shared" si="3"/>
        <v>1.9063114291611637E-2</v>
      </c>
      <c r="E110">
        <f t="shared" si="4"/>
        <v>0</v>
      </c>
    </row>
    <row r="111" spans="3:5" x14ac:dyDescent="0.25">
      <c r="C111">
        <v>2000</v>
      </c>
      <c r="D111">
        <f t="shared" si="3"/>
        <v>1.8315638888734179E-2</v>
      </c>
      <c r="E111">
        <f t="shared" si="4"/>
        <v>0</v>
      </c>
    </row>
    <row r="112" spans="3:5" x14ac:dyDescent="0.25">
      <c r="C112">
        <v>2020</v>
      </c>
      <c r="D112">
        <f t="shared" si="3"/>
        <v>1.7597472415623393E-2</v>
      </c>
      <c r="E112">
        <f t="shared" si="4"/>
        <v>0</v>
      </c>
    </row>
    <row r="113" spans="3:5" x14ac:dyDescent="0.25">
      <c r="C113">
        <v>2040</v>
      </c>
      <c r="D113">
        <f t="shared" si="3"/>
        <v>1.6907465652705279E-2</v>
      </c>
      <c r="E113">
        <f t="shared" si="4"/>
        <v>0</v>
      </c>
    </row>
    <row r="114" spans="3:5" x14ac:dyDescent="0.25">
      <c r="C114">
        <v>2060</v>
      </c>
      <c r="D114">
        <f t="shared" si="3"/>
        <v>1.6244514441949871E-2</v>
      </c>
      <c r="E114">
        <f t="shared" si="4"/>
        <v>0</v>
      </c>
    </row>
    <row r="115" spans="3:5" x14ac:dyDescent="0.25">
      <c r="C115">
        <v>2080</v>
      </c>
      <c r="D115">
        <f t="shared" si="3"/>
        <v>1.5607557919982831E-2</v>
      </c>
      <c r="E115">
        <f t="shared" si="4"/>
        <v>0</v>
      </c>
    </row>
    <row r="116" spans="3:5" x14ac:dyDescent="0.25">
      <c r="C116">
        <v>2100</v>
      </c>
      <c r="D116">
        <f t="shared" si="3"/>
        <v>1.4995576820477703E-2</v>
      </c>
      <c r="E116">
        <f t="shared" si="4"/>
        <v>0</v>
      </c>
    </row>
    <row r="117" spans="3:5" x14ac:dyDescent="0.25">
      <c r="C117">
        <v>2120</v>
      </c>
      <c r="D117">
        <f t="shared" si="3"/>
        <v>1.440759184311235E-2</v>
      </c>
      <c r="E117">
        <f t="shared" si="4"/>
        <v>0</v>
      </c>
    </row>
    <row r="118" spans="3:5" x14ac:dyDescent="0.25">
      <c r="C118">
        <v>2140</v>
      </c>
      <c r="D118">
        <f t="shared" si="3"/>
        <v>1.3842662086479501E-2</v>
      </c>
      <c r="E118">
        <f t="shared" si="4"/>
        <v>0</v>
      </c>
    </row>
    <row r="119" spans="3:5" x14ac:dyDescent="0.25">
      <c r="C119">
        <v>2160</v>
      </c>
      <c r="D119">
        <f t="shared" si="3"/>
        <v>1.3299883542443767E-2</v>
      </c>
      <c r="E119">
        <f t="shared" si="4"/>
        <v>0</v>
      </c>
    </row>
    <row r="120" spans="3:5" x14ac:dyDescent="0.25">
      <c r="C120">
        <v>2180</v>
      </c>
      <c r="D120">
        <f t="shared" si="3"/>
        <v>1.2778387649535761E-2</v>
      </c>
      <c r="E120">
        <f t="shared" si="4"/>
        <v>0</v>
      </c>
    </row>
    <row r="121" spans="3:5" x14ac:dyDescent="0.25">
      <c r="C121">
        <v>2200</v>
      </c>
      <c r="D121">
        <f t="shared" si="3"/>
        <v>1.2277339903068436E-2</v>
      </c>
      <c r="E121">
        <f t="shared" si="4"/>
        <v>0</v>
      </c>
    </row>
    <row r="122" spans="3:5" x14ac:dyDescent="0.25">
      <c r="C122">
        <v>2220</v>
      </c>
      <c r="D122">
        <f t="shared" si="3"/>
        <v>1.1795938519751562E-2</v>
      </c>
      <c r="E122">
        <f t="shared" si="4"/>
        <v>0</v>
      </c>
    </row>
    <row r="123" spans="3:5" x14ac:dyDescent="0.25">
      <c r="C123">
        <v>2240</v>
      </c>
      <c r="D123">
        <f t="shared" si="3"/>
        <v>1.1333413154667387E-2</v>
      </c>
      <c r="E123">
        <f t="shared" si="4"/>
        <v>0</v>
      </c>
    </row>
    <row r="124" spans="3:5" x14ac:dyDescent="0.25">
      <c r="C124">
        <v>2260</v>
      </c>
      <c r="D124">
        <f t="shared" si="3"/>
        <v>1.088902366855444E-2</v>
      </c>
      <c r="E124">
        <f t="shared" si="4"/>
        <v>0</v>
      </c>
    </row>
    <row r="125" spans="3:5" x14ac:dyDescent="0.25">
      <c r="C125">
        <v>2280</v>
      </c>
      <c r="D125">
        <f t="shared" si="3"/>
        <v>1.0462058943426795E-2</v>
      </c>
      <c r="E125">
        <f t="shared" si="4"/>
        <v>0</v>
      </c>
    </row>
    <row r="126" spans="3:5" x14ac:dyDescent="0.25">
      <c r="C126">
        <v>2300</v>
      </c>
      <c r="D126">
        <f t="shared" si="3"/>
        <v>1.0051835744633576E-2</v>
      </c>
      <c r="E126">
        <f t="shared" si="4"/>
        <v>0</v>
      </c>
    </row>
    <row r="127" spans="3:5" x14ac:dyDescent="0.25">
      <c r="C127">
        <v>2320</v>
      </c>
      <c r="D127">
        <f t="shared" si="3"/>
        <v>9.6576976275377768E-3</v>
      </c>
      <c r="E127">
        <f t="shared" si="4"/>
        <v>0</v>
      </c>
    </row>
    <row r="128" spans="3:5" x14ac:dyDescent="0.25">
      <c r="C128">
        <v>2340</v>
      </c>
      <c r="D128">
        <f t="shared" si="3"/>
        <v>9.2790138870647437E-3</v>
      </c>
      <c r="E128">
        <f t="shared" si="4"/>
        <v>0</v>
      </c>
    </row>
    <row r="129" spans="3:5" x14ac:dyDescent="0.25">
      <c r="C129">
        <v>2360</v>
      </c>
      <c r="D129">
        <f t="shared" si="3"/>
        <v>8.9151785484395535E-3</v>
      </c>
      <c r="E129">
        <f t="shared" si="4"/>
        <v>0</v>
      </c>
    </row>
    <row r="130" spans="3:5" x14ac:dyDescent="0.25">
      <c r="C130">
        <v>2380</v>
      </c>
      <c r="D130">
        <f t="shared" si="3"/>
        <v>8.5656093974980606E-3</v>
      </c>
      <c r="E130">
        <f t="shared" si="4"/>
        <v>0</v>
      </c>
    </row>
    <row r="131" spans="3:5" x14ac:dyDescent="0.25">
      <c r="C131">
        <v>2400</v>
      </c>
      <c r="D131">
        <f t="shared" si="3"/>
        <v>8.2297470490200302E-3</v>
      </c>
      <c r="E131">
        <f t="shared" si="4"/>
        <v>0</v>
      </c>
    </row>
    <row r="132" spans="3:5" x14ac:dyDescent="0.25">
      <c r="C132">
        <v>2420</v>
      </c>
      <c r="D132">
        <f t="shared" si="3"/>
        <v>7.9070540515934415E-3</v>
      </c>
      <c r="E132">
        <f t="shared" si="4"/>
        <v>0</v>
      </c>
    </row>
    <row r="133" spans="3:5" x14ac:dyDescent="0.25">
      <c r="C133">
        <v>2440</v>
      </c>
      <c r="D133">
        <f t="shared" si="3"/>
        <v>7.597014027577567E-3</v>
      </c>
      <c r="E133">
        <f t="shared" si="4"/>
        <v>0</v>
      </c>
    </row>
    <row r="134" spans="3:5" x14ac:dyDescent="0.25">
      <c r="C134">
        <v>2460</v>
      </c>
      <c r="D134">
        <f t="shared" si="3"/>
        <v>7.2991308467885829E-3</v>
      </c>
      <c r="E134">
        <f t="shared" si="4"/>
        <v>0</v>
      </c>
    </row>
    <row r="135" spans="3:5" x14ac:dyDescent="0.25">
      <c r="C135">
        <v>2480</v>
      </c>
      <c r="D135">
        <f t="shared" si="3"/>
        <v>7.0129278325854246E-3</v>
      </c>
      <c r="E135">
        <f t="shared" si="4"/>
        <v>0</v>
      </c>
    </row>
    <row r="136" spans="3:5" x14ac:dyDescent="0.25">
      <c r="C136">
        <v>2500</v>
      </c>
      <c r="D136">
        <f t="shared" si="3"/>
        <v>6.737946999085467E-3</v>
      </c>
      <c r="E136">
        <f t="shared" si="4"/>
        <v>0</v>
      </c>
    </row>
    <row r="137" spans="3:5" x14ac:dyDescent="0.25">
      <c r="C137">
        <v>2520</v>
      </c>
      <c r="D137">
        <f t="shared" si="3"/>
        <v>6.4737483182894049E-3</v>
      </c>
      <c r="E137">
        <f t="shared" si="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2026-05-04T02:42:00Z</dcterms:created>
  <dcterms:modified xsi:type="dcterms:W3CDTF">2026-05-04T22:28:36Z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2026-05-04T06:18:29Z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578c74aa-92d4-4416-983f-3e88d6197b6e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